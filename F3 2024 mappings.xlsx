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0227C46A-6F88-4327-83C3-F52C7C738D5E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  <sheet name="2024" sheetId="29" r:id="rId12"/>
    <sheet name="2025" sheetId="30" r:id="rId13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6" r:id="rId14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861" i="1" l="1"/>
  <c r="J4850" i="1"/>
  <c r="J4849" i="1"/>
  <c r="J4848" i="1"/>
  <c r="J4847" i="1"/>
  <c r="J4845" i="1"/>
  <c r="J4843" i="1"/>
  <c r="J4842" i="1"/>
  <c r="J4867" i="1"/>
  <c r="J4857" i="1"/>
  <c r="J4856" i="1"/>
  <c r="J4855" i="1"/>
  <c r="J4854" i="1"/>
  <c r="J4853" i="1"/>
  <c r="J4852" i="1"/>
  <c r="J4851" i="1"/>
  <c r="J4841" i="1"/>
  <c r="J4840" i="1"/>
  <c r="J4839" i="1"/>
  <c r="J4838" i="1"/>
  <c r="J4837" i="1"/>
  <c r="J4836" i="1"/>
  <c r="J4835" i="1"/>
  <c r="B4859" i="1"/>
  <c r="B4860" i="1"/>
  <c r="B4861" i="1"/>
  <c r="B4862" i="1"/>
  <c r="B4863" i="1"/>
  <c r="B4864" i="1"/>
  <c r="B4865" i="1"/>
  <c r="B4866" i="1"/>
  <c r="B4867" i="1"/>
  <c r="H4859" i="1"/>
  <c r="H4860" i="1"/>
  <c r="H4861" i="1"/>
  <c r="H4862" i="1"/>
  <c r="H4863" i="1"/>
  <c r="H4864" i="1"/>
  <c r="H4865" i="1"/>
  <c r="H4866" i="1"/>
  <c r="H4867" i="1"/>
  <c r="J4862" i="1"/>
  <c r="J4863" i="1"/>
  <c r="J4865" i="1"/>
  <c r="J4866" i="1"/>
  <c r="K4859" i="1"/>
  <c r="K4860" i="1"/>
  <c r="K4861" i="1"/>
  <c r="K4862" i="1"/>
  <c r="K4863" i="1"/>
  <c r="K4864" i="1"/>
  <c r="K4865" i="1"/>
  <c r="K4866" i="1"/>
  <c r="K4867" i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B4858" i="1"/>
  <c r="H4858" i="1"/>
  <c r="K4858" i="1"/>
  <c r="Q4858" i="1"/>
  <c r="P4858" i="1" s="1"/>
  <c r="B4857" i="1"/>
  <c r="H4857" i="1"/>
  <c r="K4857" i="1"/>
  <c r="Q4857" i="1"/>
  <c r="P4857" i="1" s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J4844" i="1"/>
  <c r="J4846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B4835" i="1"/>
  <c r="H4835" i="1"/>
  <c r="K4835" i="1"/>
  <c r="Q4835" i="1"/>
  <c r="P4835" i="1" s="1"/>
  <c r="B4834" i="1"/>
  <c r="H4834" i="1"/>
  <c r="J4834" i="1"/>
  <c r="K4834" i="1"/>
  <c r="Q4834" i="1"/>
  <c r="P4834" i="1" s="1"/>
  <c r="J4858" i="1" l="1"/>
  <c r="J4859" i="1"/>
  <c r="J4860" i="1"/>
  <c r="J4864" i="1"/>
  <c r="B4831" i="1"/>
  <c r="B4832" i="1"/>
  <c r="B4833" i="1"/>
  <c r="H4831" i="1"/>
  <c r="H4832" i="1"/>
  <c r="H4833" i="1"/>
  <c r="J4831" i="1"/>
  <c r="J4832" i="1"/>
  <c r="J4833" i="1"/>
  <c r="K4831" i="1"/>
  <c r="K4832" i="1"/>
  <c r="K4833" i="1"/>
  <c r="Q4831" i="1"/>
  <c r="P4831" i="1" s="1"/>
  <c r="Q4832" i="1"/>
  <c r="P4832" i="1" s="1"/>
  <c r="Q4833" i="1"/>
  <c r="P4833" i="1" s="1"/>
  <c r="B4830" i="1"/>
  <c r="H4830" i="1"/>
  <c r="J4830" i="1"/>
  <c r="K4830" i="1"/>
  <c r="Q4830" i="1"/>
  <c r="P4830" i="1" s="1"/>
  <c r="B4829" i="1"/>
  <c r="H4829" i="1"/>
  <c r="J4829" i="1"/>
  <c r="K4829" i="1"/>
  <c r="Q4829" i="1"/>
  <c r="P4829" i="1" s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Q4686" i="1"/>
  <c r="P4686" i="1" s="1"/>
  <c r="Q4687" i="1"/>
  <c r="P4687" i="1" s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Q4700" i="1"/>
  <c r="P4700" i="1" s="1"/>
  <c r="Q4701" i="1"/>
  <c r="P4701" i="1" s="1"/>
  <c r="Q4702" i="1"/>
  <c r="P4702" i="1" s="1"/>
  <c r="Q4703" i="1"/>
  <c r="P4703" i="1" s="1"/>
  <c r="Q4704" i="1"/>
  <c r="P4704" i="1" s="1"/>
  <c r="Q4705" i="1"/>
  <c r="P4705" i="1" s="1"/>
  <c r="Q4706" i="1"/>
  <c r="P4706" i="1" s="1"/>
  <c r="Q4707" i="1"/>
  <c r="P4707" i="1" s="1"/>
  <c r="Q4708" i="1"/>
  <c r="P4708" i="1" s="1"/>
  <c r="Q4709" i="1"/>
  <c r="P4709" i="1" s="1"/>
  <c r="Q4710" i="1"/>
  <c r="P4710" i="1" s="1"/>
  <c r="Q4711" i="1"/>
  <c r="P4711" i="1" s="1"/>
  <c r="Q4712" i="1"/>
  <c r="P4712" i="1" s="1"/>
  <c r="Q4713" i="1"/>
  <c r="P4713" i="1" s="1"/>
  <c r="Q4714" i="1"/>
  <c r="P4714" i="1" s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Q4722" i="1"/>
  <c r="P4722" i="1" s="1"/>
  <c r="Q4723" i="1"/>
  <c r="P4723" i="1" s="1"/>
  <c r="Q4724" i="1"/>
  <c r="P4724" i="1" s="1"/>
  <c r="Q4725" i="1"/>
  <c r="P4725" i="1" s="1"/>
  <c r="Q4726" i="1"/>
  <c r="P4726" i="1" s="1"/>
  <c r="Q4727" i="1"/>
  <c r="P4727" i="1" s="1"/>
  <c r="Q4728" i="1"/>
  <c r="P4728" i="1" s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Q4752" i="1"/>
  <c r="P4752" i="1" s="1"/>
  <c r="Q4753" i="1"/>
  <c r="P4753" i="1" s="1"/>
  <c r="Q4754" i="1"/>
  <c r="P4754" i="1" s="1"/>
  <c r="Q4755" i="1"/>
  <c r="P4755" i="1" s="1"/>
  <c r="Q4756" i="1"/>
  <c r="P4756" i="1" s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Q4780" i="1"/>
  <c r="P4780" i="1" s="1"/>
  <c r="Q4781" i="1"/>
  <c r="P4781" i="1" s="1"/>
  <c r="Q4782" i="1"/>
  <c r="P4782" i="1" s="1"/>
  <c r="Q4783" i="1"/>
  <c r="P4783" i="1" s="1"/>
  <c r="Q4784" i="1"/>
  <c r="P4784" i="1" s="1"/>
  <c r="Q4785" i="1"/>
  <c r="P4785" i="1" s="1"/>
  <c r="Q4786" i="1"/>
  <c r="P4786" i="1" s="1"/>
  <c r="Q4787" i="1"/>
  <c r="P4787" i="1" s="1"/>
  <c r="Q4788" i="1"/>
  <c r="P4788" i="1" s="1"/>
  <c r="Q4789" i="1"/>
  <c r="P4789" i="1" s="1"/>
  <c r="Q4790" i="1"/>
  <c r="P4790" i="1" s="1"/>
  <c r="Q4791" i="1"/>
  <c r="P4791" i="1" s="1"/>
  <c r="Q4792" i="1"/>
  <c r="P4792" i="1" s="1"/>
  <c r="Q4793" i="1"/>
  <c r="P4793" i="1" s="1"/>
  <c r="Q4794" i="1"/>
  <c r="P4794" i="1" s="1"/>
  <c r="Q4795" i="1"/>
  <c r="P4795" i="1" s="1"/>
  <c r="Q4796" i="1"/>
  <c r="P4796" i="1" s="1"/>
  <c r="Q4797" i="1"/>
  <c r="P4797" i="1" s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B4685" i="1" l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Q4652" i="1"/>
  <c r="P4652" i="1" s="1"/>
  <c r="Q4653" i="1"/>
  <c r="P4653" i="1" s="1"/>
  <c r="Q4654" i="1"/>
  <c r="P4654" i="1" s="1"/>
  <c r="Q4655" i="1"/>
  <c r="P4655" i="1" s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Q4677" i="1"/>
  <c r="P4677" i="1" s="1"/>
  <c r="Q4678" i="1"/>
  <c r="P4678" i="1" s="1"/>
  <c r="Q4679" i="1"/>
  <c r="P4679" i="1" s="1"/>
  <c r="Q4680" i="1"/>
  <c r="P4680" i="1" s="1"/>
  <c r="Q4681" i="1"/>
  <c r="P4681" i="1" s="1"/>
  <c r="Q4682" i="1"/>
  <c r="P4682" i="1" s="1"/>
  <c r="Q4683" i="1"/>
  <c r="P4683" i="1" s="1"/>
  <c r="B4651" i="1"/>
  <c r="H4651" i="1"/>
  <c r="J4651" i="1"/>
  <c r="K4651" i="1"/>
  <c r="Q4651" i="1"/>
  <c r="P4651" i="1" s="1"/>
  <c r="B4650" i="1"/>
  <c r="H4650" i="1"/>
  <c r="J4650" i="1"/>
  <c r="K4650" i="1"/>
  <c r="Q4650" i="1"/>
  <c r="P4650" i="1" s="1"/>
  <c r="B4649" i="1"/>
  <c r="H4649" i="1"/>
  <c r="J4649" i="1"/>
  <c r="K4649" i="1"/>
  <c r="Q4649" i="1"/>
  <c r="P4649" i="1" s="1"/>
  <c r="B4646" i="1" l="1"/>
  <c r="B4647" i="1"/>
  <c r="B4648" i="1"/>
  <c r="H4646" i="1"/>
  <c r="H4647" i="1"/>
  <c r="H4648" i="1"/>
  <c r="J4646" i="1"/>
  <c r="J4647" i="1"/>
  <c r="J4648" i="1"/>
  <c r="K4646" i="1"/>
  <c r="K4647" i="1"/>
  <c r="K4648" i="1"/>
  <c r="Q4646" i="1"/>
  <c r="P4646" i="1" s="1"/>
  <c r="Q4647" i="1"/>
  <c r="P4647" i="1" s="1"/>
  <c r="Q4648" i="1"/>
  <c r="P4648" i="1" s="1"/>
  <c r="B4645" i="1"/>
  <c r="H4645" i="1"/>
  <c r="J4645" i="1"/>
  <c r="K4645" i="1"/>
  <c r="Q4645" i="1"/>
  <c r="P4645" i="1" s="1"/>
  <c r="B4644" i="1"/>
  <c r="H4644" i="1"/>
  <c r="J4644" i="1"/>
  <c r="K4644" i="1"/>
  <c r="Q4644" i="1"/>
  <c r="P4644" i="1" s="1"/>
  <c r="B4643" i="1"/>
  <c r="H4643" i="1"/>
  <c r="J4643" i="1"/>
  <c r="K4643" i="1"/>
  <c r="Q4643" i="1"/>
  <c r="P4643" i="1" s="1"/>
  <c r="B4642" i="1"/>
  <c r="H4642" i="1"/>
  <c r="J4642" i="1"/>
  <c r="K4642" i="1"/>
  <c r="Q4642" i="1"/>
  <c r="P4642" i="1" s="1"/>
  <c r="B4641" i="1"/>
  <c r="H4641" i="1"/>
  <c r="J4641" i="1"/>
  <c r="K4641" i="1"/>
  <c r="Q4641" i="1"/>
  <c r="P4641" i="1" s="1"/>
  <c r="B4640" i="1"/>
  <c r="H4640" i="1"/>
  <c r="J4640" i="1"/>
  <c r="K4640" i="1"/>
  <c r="Q4640" i="1"/>
  <c r="P4640" i="1" s="1"/>
  <c r="J4639" i="1"/>
  <c r="J4631" i="1"/>
  <c r="J4629" i="1"/>
  <c r="J4628" i="1"/>
  <c r="J4627" i="1"/>
  <c r="J4626" i="1"/>
  <c r="J4625" i="1"/>
  <c r="J4624" i="1"/>
  <c r="J4615" i="1"/>
  <c r="J4613" i="1"/>
  <c r="J4612" i="1"/>
  <c r="J4611" i="1"/>
  <c r="B4636" i="1"/>
  <c r="B4637" i="1"/>
  <c r="B4638" i="1"/>
  <c r="B4639" i="1"/>
  <c r="H4636" i="1"/>
  <c r="H4637" i="1"/>
  <c r="H4638" i="1"/>
  <c r="H4639" i="1"/>
  <c r="J4636" i="1"/>
  <c r="J4637" i="1"/>
  <c r="J4638" i="1"/>
  <c r="K4636" i="1"/>
  <c r="K4637" i="1"/>
  <c r="K4638" i="1"/>
  <c r="K4639" i="1"/>
  <c r="Q4636" i="1"/>
  <c r="P4636" i="1" s="1"/>
  <c r="Q4637" i="1"/>
  <c r="P4637" i="1" s="1"/>
  <c r="Q4638" i="1"/>
  <c r="P4638" i="1" s="1"/>
  <c r="Q4639" i="1"/>
  <c r="P4639" i="1" s="1"/>
  <c r="B4635" i="1"/>
  <c r="H4635" i="1"/>
  <c r="J4635" i="1"/>
  <c r="K4635" i="1"/>
  <c r="Q4635" i="1"/>
  <c r="P4635" i="1" s="1"/>
  <c r="B4634" i="1"/>
  <c r="H4634" i="1"/>
  <c r="J4634" i="1"/>
  <c r="K4634" i="1"/>
  <c r="Q4634" i="1"/>
  <c r="P4634" i="1" s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J4614" i="1"/>
  <c r="J4616" i="1"/>
  <c r="J4617" i="1"/>
  <c r="J4618" i="1"/>
  <c r="J4619" i="1"/>
  <c r="J4620" i="1"/>
  <c r="J4621" i="1"/>
  <c r="J4622" i="1"/>
  <c r="J4623" i="1"/>
  <c r="J4630" i="1"/>
  <c r="J4632" i="1"/>
  <c r="J4633" i="1"/>
  <c r="Q4611" i="1"/>
  <c r="P4611" i="1" s="1"/>
  <c r="Q4612" i="1"/>
  <c r="P4612" i="1" s="1"/>
  <c r="Q4613" i="1"/>
  <c r="P4613" i="1" s="1"/>
  <c r="Q4614" i="1"/>
  <c r="P4614" i="1" s="1"/>
  <c r="Q4615" i="1"/>
  <c r="P4615" i="1" s="1"/>
  <c r="Q4616" i="1"/>
  <c r="P4616" i="1" s="1"/>
  <c r="Q4617" i="1"/>
  <c r="P4617" i="1" s="1"/>
  <c r="Q4618" i="1"/>
  <c r="P4618" i="1" s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B4610" i="1"/>
  <c r="H4610" i="1"/>
  <c r="J4610" i="1"/>
  <c r="Q4610" i="1"/>
  <c r="P4610" i="1" s="1"/>
  <c r="B4609" i="1"/>
  <c r="H4609" i="1"/>
  <c r="J4609" i="1"/>
  <c r="Q4609" i="1"/>
  <c r="P4609" i="1" s="1"/>
  <c r="K4608" i="1"/>
  <c r="K4607" i="1"/>
  <c r="K4606" i="1"/>
  <c r="B4608" i="1"/>
  <c r="H4608" i="1"/>
  <c r="J4608" i="1"/>
  <c r="Q4608" i="1"/>
  <c r="P4608" i="1" s="1"/>
  <c r="B4607" i="1"/>
  <c r="H4607" i="1"/>
  <c r="J4607" i="1"/>
  <c r="Q4607" i="1"/>
  <c r="P4607" i="1" s="1"/>
  <c r="B4606" i="1"/>
  <c r="H4606" i="1"/>
  <c r="J4606" i="1"/>
  <c r="Q4606" i="1"/>
  <c r="P4606" i="1" s="1"/>
  <c r="J4600" i="1"/>
  <c r="J4596" i="1"/>
  <c r="J4595" i="1"/>
  <c r="J4594" i="1"/>
  <c r="J4593" i="1"/>
  <c r="J4592" i="1"/>
  <c r="J4591" i="1"/>
  <c r="J4590" i="1"/>
  <c r="J4584" i="1"/>
  <c r="J4580" i="1"/>
  <c r="J4577" i="1"/>
  <c r="J4576" i="1"/>
  <c r="J4575" i="1"/>
  <c r="J4574" i="1"/>
  <c r="Q4581" i="1"/>
  <c r="P4581" i="1" s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J4583" i="1"/>
  <c r="J4585" i="1"/>
  <c r="J4586" i="1"/>
  <c r="J4587" i="1"/>
  <c r="J4588" i="1"/>
  <c r="J4589" i="1"/>
  <c r="J4597" i="1"/>
  <c r="J4598" i="1"/>
  <c r="J4599" i="1"/>
  <c r="J4601" i="1"/>
  <c r="J4602" i="1"/>
  <c r="J4603" i="1"/>
  <c r="J4604" i="1"/>
  <c r="J4605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Q4583" i="1"/>
  <c r="P4583" i="1" s="1"/>
  <c r="Q4584" i="1"/>
  <c r="P4584" i="1" s="1"/>
  <c r="Q4585" i="1"/>
  <c r="P4585" i="1" s="1"/>
  <c r="Q4586" i="1"/>
  <c r="P4586" i="1" s="1"/>
  <c r="Q4587" i="1"/>
  <c r="P4587" i="1" s="1"/>
  <c r="Q4588" i="1"/>
  <c r="P4588" i="1" s="1"/>
  <c r="Q4589" i="1"/>
  <c r="P4589" i="1" s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B4582" i="1"/>
  <c r="H4582" i="1"/>
  <c r="J4582" i="1"/>
  <c r="K4582" i="1"/>
  <c r="Q4582" i="1"/>
  <c r="P4582" i="1" s="1"/>
  <c r="B4577" i="1"/>
  <c r="B4578" i="1"/>
  <c r="B4579" i="1"/>
  <c r="B4580" i="1"/>
  <c r="B4581" i="1"/>
  <c r="H4577" i="1"/>
  <c r="H4578" i="1"/>
  <c r="H4579" i="1"/>
  <c r="H4580" i="1"/>
  <c r="H4581" i="1"/>
  <c r="J4578" i="1"/>
  <c r="J4579" i="1"/>
  <c r="J4581" i="1"/>
  <c r="K4577" i="1"/>
  <c r="K4578" i="1"/>
  <c r="K4579" i="1"/>
  <c r="K4580" i="1"/>
  <c r="K4581" i="1"/>
  <c r="Q4577" i="1"/>
  <c r="P4577" i="1" s="1"/>
  <c r="Q4578" i="1"/>
  <c r="P4578" i="1" s="1"/>
  <c r="Q4579" i="1"/>
  <c r="P4579" i="1" s="1"/>
  <c r="Q4580" i="1"/>
  <c r="P4580" i="1" s="1"/>
  <c r="B4576" i="1"/>
  <c r="H4576" i="1"/>
  <c r="K4576" i="1"/>
  <c r="Q4576" i="1"/>
  <c r="P4576" i="1" s="1"/>
  <c r="J4570" i="1"/>
  <c r="J4569" i="1"/>
  <c r="J4568" i="1"/>
  <c r="B4569" i="1"/>
  <c r="B4570" i="1"/>
  <c r="B4571" i="1"/>
  <c r="B4572" i="1"/>
  <c r="B4573" i="1"/>
  <c r="B4574" i="1"/>
  <c r="B4575" i="1"/>
  <c r="H4569" i="1"/>
  <c r="H4570" i="1"/>
  <c r="H4571" i="1"/>
  <c r="H4572" i="1"/>
  <c r="H4573" i="1"/>
  <c r="H4574" i="1"/>
  <c r="H4575" i="1"/>
  <c r="J4571" i="1"/>
  <c r="J4572" i="1"/>
  <c r="J4573" i="1"/>
  <c r="K4569" i="1"/>
  <c r="K4570" i="1"/>
  <c r="K4571" i="1"/>
  <c r="K4572" i="1"/>
  <c r="K4573" i="1"/>
  <c r="K4574" i="1"/>
  <c r="K4575" i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J4567" i="1"/>
  <c r="J4565" i="1"/>
  <c r="J4563" i="1"/>
  <c r="J4562" i="1"/>
  <c r="J4560" i="1"/>
  <c r="J4556" i="1"/>
  <c r="K4568" i="1"/>
  <c r="Q4568" i="1"/>
  <c r="P4568" i="1" s="1"/>
  <c r="B4568" i="1"/>
  <c r="H4568" i="1"/>
  <c r="Q4567" i="1"/>
  <c r="P4567" i="1" s="1"/>
  <c r="B4567" i="1"/>
  <c r="H4567" i="1"/>
  <c r="K4567" i="1"/>
  <c r="H4566" i="1"/>
  <c r="J4566" i="1"/>
  <c r="K4566" i="1"/>
  <c r="Q4566" i="1"/>
  <c r="P4566" i="1" s="1"/>
  <c r="B4566" i="1"/>
  <c r="H4565" i="1"/>
  <c r="K4565" i="1"/>
  <c r="Q4565" i="1"/>
  <c r="P4565" i="1" s="1"/>
  <c r="B4565" i="1"/>
  <c r="H4564" i="1"/>
  <c r="J4564" i="1"/>
  <c r="K4564" i="1"/>
  <c r="Q4564" i="1"/>
  <c r="P4564" i="1" s="1"/>
  <c r="B4564" i="1"/>
  <c r="Q4562" i="1"/>
  <c r="P4562" i="1" s="1"/>
  <c r="Q4563" i="1"/>
  <c r="P4563" i="1" s="1"/>
  <c r="B4563" i="1"/>
  <c r="H4563" i="1"/>
  <c r="K4563" i="1"/>
  <c r="B4562" i="1"/>
  <c r="H4562" i="1"/>
  <c r="K4562" i="1"/>
  <c r="Q4560" i="1"/>
  <c r="P4560" i="1" s="1"/>
  <c r="Q4561" i="1"/>
  <c r="P4561" i="1" s="1"/>
  <c r="B4561" i="1"/>
  <c r="H4561" i="1"/>
  <c r="J4561" i="1"/>
  <c r="K4561" i="1"/>
  <c r="B4560" i="1"/>
  <c r="H4560" i="1"/>
  <c r="K4560" i="1"/>
  <c r="Q4559" i="1"/>
  <c r="P4559" i="1" s="1"/>
  <c r="B4559" i="1"/>
  <c r="H4559" i="1"/>
  <c r="J4559" i="1"/>
  <c r="K4559" i="1"/>
  <c r="B4558" i="1"/>
  <c r="H4558" i="1"/>
  <c r="J4558" i="1"/>
  <c r="K4558" i="1"/>
  <c r="Q4558" i="1"/>
  <c r="P4558" i="1" s="1"/>
  <c r="B4557" i="1"/>
  <c r="H4557" i="1"/>
  <c r="J4557" i="1"/>
  <c r="K4557" i="1"/>
  <c r="Q4557" i="1"/>
  <c r="P4557" i="1" s="1"/>
  <c r="B4556" i="1"/>
  <c r="H4556" i="1"/>
  <c r="K4556" i="1"/>
  <c r="Q4556" i="1"/>
  <c r="P4556" i="1" s="1"/>
  <c r="B4555" i="1"/>
  <c r="H4555" i="1"/>
  <c r="J4555" i="1"/>
  <c r="K4555" i="1"/>
  <c r="Q4555" i="1"/>
  <c r="P4555" i="1" s="1"/>
  <c r="B4554" i="1"/>
  <c r="H4554" i="1"/>
  <c r="J4554" i="1"/>
  <c r="K4554" i="1"/>
  <c r="Q4554" i="1"/>
  <c r="P4554" i="1" s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B4541" i="1"/>
  <c r="H4541" i="1"/>
  <c r="J4541" i="1"/>
  <c r="K4541" i="1"/>
  <c r="Q4541" i="1"/>
  <c r="P4541" i="1" s="1"/>
  <c r="B4540" i="1"/>
  <c r="H4540" i="1"/>
  <c r="J4540" i="1"/>
  <c r="K4540" i="1"/>
  <c r="Q4540" i="1"/>
  <c r="P4540" i="1" s="1"/>
  <c r="B4539" i="1"/>
  <c r="H4539" i="1"/>
  <c r="J4539" i="1"/>
  <c r="K4539" i="1"/>
  <c r="Q4539" i="1"/>
  <c r="P4539" i="1" s="1"/>
  <c r="B4538" i="1"/>
  <c r="H4538" i="1"/>
  <c r="J4538" i="1"/>
  <c r="K4538" i="1"/>
  <c r="Q4538" i="1"/>
  <c r="P4538" i="1" s="1"/>
  <c r="B4533" i="1"/>
  <c r="B4534" i="1"/>
  <c r="B4535" i="1"/>
  <c r="B4536" i="1"/>
  <c r="B4537" i="1"/>
  <c r="H4533" i="1"/>
  <c r="H4534" i="1"/>
  <c r="H4535" i="1"/>
  <c r="H4536" i="1"/>
  <c r="H4537" i="1"/>
  <c r="J4533" i="1"/>
  <c r="J4534" i="1"/>
  <c r="J4535" i="1"/>
  <c r="J4536" i="1"/>
  <c r="J4537" i="1"/>
  <c r="K4533" i="1"/>
  <c r="K4534" i="1"/>
  <c r="K4535" i="1"/>
  <c r="K4536" i="1"/>
  <c r="K4537" i="1"/>
  <c r="Q4533" i="1"/>
  <c r="P4533" i="1" s="1"/>
  <c r="Q4534" i="1"/>
  <c r="P4534" i="1" s="1"/>
  <c r="Q4535" i="1"/>
  <c r="P4535" i="1" s="1"/>
  <c r="Q4536" i="1"/>
  <c r="P4536" i="1" s="1"/>
  <c r="Q4537" i="1"/>
  <c r="P4537" i="1" s="1"/>
  <c r="B4532" i="1"/>
  <c r="H4532" i="1"/>
  <c r="J4532" i="1"/>
  <c r="K4532" i="1"/>
  <c r="Q4532" i="1"/>
  <c r="P4532" i="1" s="1"/>
  <c r="B4531" i="1"/>
  <c r="H4531" i="1"/>
  <c r="J4531" i="1"/>
  <c r="K4531" i="1"/>
  <c r="Q4531" i="1"/>
  <c r="P4531" i="1" s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Q4510" i="1"/>
  <c r="P4510" i="1" s="1"/>
  <c r="Q4511" i="1"/>
  <c r="P4511" i="1" s="1"/>
  <c r="Q4512" i="1"/>
  <c r="P4512" i="1" s="1"/>
  <c r="Q4513" i="1"/>
  <c r="P4513" i="1" s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H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Q4485" i="1"/>
  <c r="P4485" i="1" s="1"/>
  <c r="Q4486" i="1"/>
  <c r="P4486" i="1" s="1"/>
  <c r="Q4487" i="1"/>
  <c r="P4487" i="1" s="1"/>
  <c r="Q4488" i="1"/>
  <c r="P4488" i="1" s="1"/>
  <c r="Q4489" i="1"/>
  <c r="P4489" i="1" s="1"/>
  <c r="Q4490" i="1"/>
  <c r="P4490" i="1" s="1"/>
  <c r="Q4491" i="1"/>
  <c r="P4491" i="1" s="1"/>
  <c r="Q4492" i="1"/>
  <c r="P4492" i="1" s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B4472" i="1"/>
  <c r="J4472" i="1"/>
  <c r="K4472" i="1"/>
  <c r="Q4472" i="1"/>
  <c r="P4472" i="1" s="1"/>
  <c r="B4471" i="1"/>
  <c r="H4471" i="1"/>
  <c r="J4471" i="1"/>
  <c r="K4471" i="1"/>
  <c r="Q4471" i="1"/>
  <c r="P4471" i="1" s="1"/>
  <c r="B4470" i="1"/>
  <c r="H4470" i="1"/>
  <c r="J4470" i="1"/>
  <c r="K4470" i="1"/>
  <c r="Q4470" i="1"/>
  <c r="P4470" i="1" s="1"/>
  <c r="B4469" i="1"/>
  <c r="H4469" i="1"/>
  <c r="J4469" i="1"/>
  <c r="K4469" i="1"/>
  <c r="Q4469" i="1"/>
  <c r="P4469" i="1" s="1"/>
  <c r="B4468" i="1"/>
  <c r="H4468" i="1"/>
  <c r="J4468" i="1"/>
  <c r="K4468" i="1"/>
  <c r="Q4468" i="1"/>
  <c r="P4468" i="1" s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Q4444" i="1"/>
  <c r="P4444" i="1" s="1"/>
  <c r="Q4445" i="1"/>
  <c r="P4445" i="1" s="1"/>
  <c r="Q4446" i="1"/>
  <c r="P4446" i="1" s="1"/>
  <c r="Q4447" i="1"/>
  <c r="P4447" i="1" s="1"/>
  <c r="Q4448" i="1"/>
  <c r="P4448" i="1" s="1"/>
  <c r="Q4449" i="1"/>
  <c r="P4449" i="1" s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B4443" i="1"/>
  <c r="H4443" i="1"/>
  <c r="J4443" i="1"/>
  <c r="K4443" i="1"/>
  <c r="Q4443" i="1"/>
  <c r="P4443" i="1" s="1"/>
  <c r="B4440" i="1"/>
  <c r="B4441" i="1"/>
  <c r="B4442" i="1"/>
  <c r="H4440" i="1"/>
  <c r="H4441" i="1"/>
  <c r="H4442" i="1"/>
  <c r="J4440" i="1"/>
  <c r="J4441" i="1"/>
  <c r="J4442" i="1"/>
  <c r="K4440" i="1"/>
  <c r="K4441" i="1"/>
  <c r="K4442" i="1"/>
  <c r="Q4440" i="1"/>
  <c r="P4440" i="1" s="1"/>
  <c r="Q4441" i="1"/>
  <c r="P4441" i="1" s="1"/>
  <c r="Q4442" i="1"/>
  <c r="P4442" i="1" s="1"/>
  <c r="B4439" i="1"/>
  <c r="H4439" i="1"/>
  <c r="J4439" i="1"/>
  <c r="K4439" i="1"/>
  <c r="Q4439" i="1"/>
  <c r="P4439" i="1" s="1"/>
  <c r="J4426" i="1"/>
  <c r="J4424" i="1"/>
  <c r="J4423" i="1"/>
  <c r="J4410" i="1"/>
  <c r="J4408" i="1"/>
  <c r="J4407" i="1"/>
  <c r="J4394" i="1"/>
  <c r="J4392" i="1"/>
  <c r="J4391" i="1"/>
  <c r="J4376" i="1"/>
  <c r="J4375" i="1"/>
  <c r="J4362" i="1"/>
  <c r="J4360" i="1"/>
  <c r="J4359" i="1"/>
  <c r="J4346" i="1"/>
  <c r="J4344" i="1"/>
  <c r="J4343" i="1"/>
  <c r="J4323" i="1"/>
  <c r="J4320" i="1"/>
  <c r="J4318" i="1"/>
  <c r="J4340" i="1"/>
  <c r="J4339" i="1"/>
  <c r="J4308" i="1"/>
  <c r="J4306" i="1"/>
  <c r="J4305" i="1"/>
  <c r="J4301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J4414" i="1"/>
  <c r="J4415" i="1"/>
  <c r="J4416" i="1"/>
  <c r="J4417" i="1"/>
  <c r="J4418" i="1"/>
  <c r="J4419" i="1"/>
  <c r="J4420" i="1"/>
  <c r="J4421" i="1"/>
  <c r="J4422" i="1"/>
  <c r="J4425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Q4414" i="1"/>
  <c r="P4414" i="1" s="1"/>
  <c r="Q4415" i="1"/>
  <c r="P4415" i="1" s="1"/>
  <c r="Q4416" i="1"/>
  <c r="P4416" i="1" s="1"/>
  <c r="Q4417" i="1"/>
  <c r="P4417" i="1" s="1"/>
  <c r="Q4418" i="1"/>
  <c r="P4418" i="1" s="1"/>
  <c r="Q4419" i="1"/>
  <c r="P4419" i="1" s="1"/>
  <c r="Q4420" i="1"/>
  <c r="P4420" i="1" s="1"/>
  <c r="Q4421" i="1"/>
  <c r="P4421" i="1" s="1"/>
  <c r="Q4422" i="1"/>
  <c r="P4422" i="1" s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B4413" i="1"/>
  <c r="H4413" i="1"/>
  <c r="J4413" i="1"/>
  <c r="K4413" i="1"/>
  <c r="Q4413" i="1"/>
  <c r="P4413" i="1" s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J4368" i="1"/>
  <c r="J4369" i="1"/>
  <c r="J4370" i="1"/>
  <c r="J4371" i="1"/>
  <c r="J4372" i="1"/>
  <c r="J4373" i="1"/>
  <c r="J4374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3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9" i="1"/>
  <c r="J4411" i="1"/>
  <c r="J4412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Q4368" i="1"/>
  <c r="P4368" i="1" s="1"/>
  <c r="Q4369" i="1"/>
  <c r="P4369" i="1" s="1"/>
  <c r="Q4370" i="1"/>
  <c r="P4370" i="1" s="1"/>
  <c r="Q4371" i="1"/>
  <c r="P4371" i="1" s="1"/>
  <c r="Q4372" i="1"/>
  <c r="P4372" i="1" s="1"/>
  <c r="Q4373" i="1"/>
  <c r="P4373" i="1" s="1"/>
  <c r="Q4374" i="1"/>
  <c r="P4374" i="1" s="1"/>
  <c r="Q4375" i="1"/>
  <c r="P4375" i="1" s="1"/>
  <c r="Q4376" i="1"/>
  <c r="P4376" i="1" s="1"/>
  <c r="Q4377" i="1"/>
  <c r="P4377" i="1" s="1"/>
  <c r="Q4378" i="1"/>
  <c r="P4378" i="1" s="1"/>
  <c r="Q4379" i="1"/>
  <c r="P4379" i="1" s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Q4392" i="1"/>
  <c r="P4392" i="1" s="1"/>
  <c r="Q4393" i="1"/>
  <c r="P4393" i="1" s="1"/>
  <c r="Q4394" i="1"/>
  <c r="P4394" i="1" s="1"/>
  <c r="Q4395" i="1"/>
  <c r="P4395" i="1" s="1"/>
  <c r="Q4396" i="1"/>
  <c r="P4396" i="1" s="1"/>
  <c r="Q4397" i="1"/>
  <c r="P4397" i="1" s="1"/>
  <c r="Q4398" i="1"/>
  <c r="P4398" i="1" s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B4367" i="1"/>
  <c r="H4367" i="1"/>
  <c r="J4367" i="1"/>
  <c r="K4367" i="1"/>
  <c r="Q4367" i="1"/>
  <c r="P4367" i="1" s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61" i="1"/>
  <c r="J4363" i="1"/>
  <c r="J4364" i="1"/>
  <c r="J4365" i="1"/>
  <c r="J436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Q4347" i="1"/>
  <c r="P4347" i="1" s="1"/>
  <c r="Q4348" i="1"/>
  <c r="P4348" i="1" s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Q4359" i="1"/>
  <c r="P4359" i="1" s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B4346" i="1"/>
  <c r="H4346" i="1"/>
  <c r="K4346" i="1"/>
  <c r="Q4346" i="1"/>
  <c r="P4346" i="1" s="1"/>
  <c r="B4345" i="1"/>
  <c r="H4345" i="1"/>
  <c r="J4345" i="1"/>
  <c r="K4345" i="1"/>
  <c r="Q4345" i="1"/>
  <c r="P4345" i="1" s="1"/>
  <c r="B4344" i="1"/>
  <c r="H4344" i="1"/>
  <c r="K4344" i="1"/>
  <c r="Q4344" i="1"/>
  <c r="P4344" i="1" s="1"/>
  <c r="B4343" i="1"/>
  <c r="H4343" i="1"/>
  <c r="K4343" i="1"/>
  <c r="Q4343" i="1"/>
  <c r="P4343" i="1" s="1"/>
  <c r="J4331" i="1"/>
  <c r="J4329" i="1"/>
  <c r="J4328" i="1"/>
  <c r="J4327" i="1"/>
  <c r="J4315" i="1"/>
  <c r="J4314" i="1"/>
  <c r="J4313" i="1"/>
  <c r="J4312" i="1"/>
  <c r="J4311" i="1"/>
  <c r="J4302" i="1"/>
  <c r="B4341" i="1"/>
  <c r="B4342" i="1"/>
  <c r="H4341" i="1"/>
  <c r="H4342" i="1"/>
  <c r="J4341" i="1"/>
  <c r="J4342" i="1"/>
  <c r="K4341" i="1"/>
  <c r="K4342" i="1"/>
  <c r="Q4341" i="1"/>
  <c r="P4341" i="1" s="1"/>
  <c r="Q4342" i="1"/>
  <c r="P4342" i="1" s="1"/>
  <c r="B4340" i="1"/>
  <c r="H4340" i="1"/>
  <c r="K4340" i="1"/>
  <c r="Q4340" i="1"/>
  <c r="P4340" i="1" s="1"/>
  <c r="B4339" i="1"/>
  <c r="H4339" i="1"/>
  <c r="K4339" i="1"/>
  <c r="Q4339" i="1"/>
  <c r="P4339" i="1" s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04" i="1"/>
  <c r="J4307" i="1"/>
  <c r="J4309" i="1"/>
  <c r="J4310" i="1"/>
  <c r="J4316" i="1"/>
  <c r="J4317" i="1"/>
  <c r="J4319" i="1"/>
  <c r="J4321" i="1"/>
  <c r="J4322" i="1"/>
  <c r="J4324" i="1"/>
  <c r="J4325" i="1"/>
  <c r="J4326" i="1"/>
  <c r="J4330" i="1"/>
  <c r="J4332" i="1"/>
  <c r="J4333" i="1"/>
  <c r="J4334" i="1"/>
  <c r="J4335" i="1"/>
  <c r="J4336" i="1"/>
  <c r="J4337" i="1"/>
  <c r="J4338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Q4317" i="1"/>
  <c r="P4317" i="1" s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03" i="1"/>
  <c r="H4303" i="1"/>
  <c r="J4303" i="1"/>
  <c r="K4303" i="1"/>
  <c r="Q4303" i="1"/>
  <c r="P4303" i="1" s="1"/>
  <c r="B4302" i="1"/>
  <c r="H4302" i="1"/>
  <c r="K4302" i="1"/>
  <c r="Q4302" i="1"/>
  <c r="P4302" i="1" s="1"/>
  <c r="B4301" i="1"/>
  <c r="H4301" i="1"/>
  <c r="K4301" i="1"/>
  <c r="Q4301" i="1"/>
  <c r="P4301" i="1" s="1"/>
  <c r="J4286" i="1"/>
  <c r="J4285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H4277" i="1"/>
  <c r="H4278" i="1"/>
  <c r="H4279" i="1"/>
  <c r="H4280" i="1"/>
  <c r="H4281" i="1"/>
  <c r="H4282" i="1"/>
  <c r="H4283" i="1"/>
  <c r="H4284" i="1"/>
  <c r="H4285" i="1"/>
  <c r="H4286" i="1"/>
  <c r="H4287" i="1"/>
  <c r="J4287" i="1"/>
  <c r="H4288" i="1"/>
  <c r="J4288" i="1"/>
  <c r="H4289" i="1"/>
  <c r="J4289" i="1"/>
  <c r="H4290" i="1"/>
  <c r="J4290" i="1"/>
  <c r="H4291" i="1"/>
  <c r="J4291" i="1"/>
  <c r="H4292" i="1"/>
  <c r="J4292" i="1"/>
  <c r="H4293" i="1"/>
  <c r="H4294" i="1"/>
  <c r="H4295" i="1"/>
  <c r="H4296" i="1"/>
  <c r="H4297" i="1"/>
  <c r="H4298" i="1"/>
  <c r="H4299" i="1"/>
  <c r="J4299" i="1"/>
  <c r="H4300" i="1"/>
  <c r="J4300" i="1"/>
  <c r="J4284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Q4289" i="1"/>
  <c r="P4289" i="1" s="1"/>
  <c r="Q4290" i="1"/>
  <c r="P4290" i="1" s="1"/>
  <c r="Q4291" i="1"/>
  <c r="P4291" i="1" s="1"/>
  <c r="Q4292" i="1"/>
  <c r="P4292" i="1" s="1"/>
  <c r="Q4293" i="1"/>
  <c r="P4293" i="1" s="1"/>
  <c r="Q4294" i="1"/>
  <c r="P4294" i="1" s="1"/>
  <c r="Q4295" i="1"/>
  <c r="P4295" i="1" s="1"/>
  <c r="Q4296" i="1"/>
  <c r="P4296" i="1" s="1"/>
  <c r="Q4297" i="1"/>
  <c r="P4297" i="1" s="1"/>
  <c r="Q4298" i="1"/>
  <c r="P4298" i="1" s="1"/>
  <c r="Q4299" i="1"/>
  <c r="P4299" i="1" s="1"/>
  <c r="Q4300" i="1"/>
  <c r="P4300" i="1" s="1"/>
  <c r="J4293" i="1"/>
  <c r="J4277" i="1"/>
  <c r="J4294" i="1"/>
  <c r="J4278" i="1"/>
  <c r="J4283" i="1"/>
  <c r="J4298" i="1"/>
  <c r="J4282" i="1"/>
  <c r="J4297" i="1"/>
  <c r="J4281" i="1"/>
  <c r="J4296" i="1"/>
  <c r="J4280" i="1"/>
  <c r="J4295" i="1"/>
  <c r="J4279" i="1"/>
  <c r="B4276" i="1"/>
  <c r="H4276" i="1"/>
  <c r="J4276" i="1"/>
  <c r="K4276" i="1"/>
  <c r="Q4276" i="1"/>
  <c r="P4276" i="1" s="1"/>
  <c r="B4275" i="1"/>
  <c r="H4275" i="1"/>
  <c r="J4275" i="1"/>
  <c r="K4275" i="1"/>
  <c r="Q4275" i="1"/>
  <c r="P4275" i="1" s="1"/>
  <c r="J4246" i="1"/>
  <c r="J4271" i="1"/>
  <c r="J4268" i="1"/>
  <c r="J4265" i="1"/>
  <c r="J4264" i="1"/>
  <c r="J4263" i="1"/>
  <c r="J4262" i="1"/>
  <c r="J4261" i="1"/>
  <c r="J4260" i="1"/>
  <c r="J4259" i="1"/>
  <c r="J4258" i="1"/>
  <c r="J4257" i="1"/>
  <c r="J4256" i="1"/>
  <c r="J4252" i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72" i="1"/>
  <c r="H4272" i="1"/>
  <c r="J4272" i="1"/>
  <c r="K4272" i="1"/>
  <c r="Q4272" i="1"/>
  <c r="P4272" i="1" s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J4253" i="1"/>
  <c r="J4254" i="1"/>
  <c r="J4255" i="1"/>
  <c r="J4266" i="1"/>
  <c r="J4267" i="1"/>
  <c r="J4269" i="1"/>
  <c r="J4270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B4252" i="1"/>
  <c r="H4252" i="1"/>
  <c r="K4252" i="1"/>
  <c r="Q4252" i="1"/>
  <c r="P4252" i="1" s="1"/>
  <c r="B4251" i="1"/>
  <c r="H4251" i="1"/>
  <c r="J4251" i="1"/>
  <c r="K4251" i="1"/>
  <c r="Q4251" i="1"/>
  <c r="P4251" i="1" s="1"/>
  <c r="B4250" i="1"/>
  <c r="H4250" i="1"/>
  <c r="J4250" i="1"/>
  <c r="K4250" i="1"/>
  <c r="Q4250" i="1"/>
  <c r="P4250" i="1" s="1"/>
  <c r="B4247" i="1"/>
  <c r="B4248" i="1"/>
  <c r="B4249" i="1"/>
  <c r="H4247" i="1"/>
  <c r="H4248" i="1"/>
  <c r="H4249" i="1"/>
  <c r="J4247" i="1"/>
  <c r="J4248" i="1"/>
  <c r="J4249" i="1"/>
  <c r="K4247" i="1"/>
  <c r="K4248" i="1"/>
  <c r="K4249" i="1"/>
  <c r="Q4247" i="1"/>
  <c r="P4247" i="1" s="1"/>
  <c r="Q4248" i="1"/>
  <c r="P4248" i="1" s="1"/>
  <c r="Q4249" i="1"/>
  <c r="P4249" i="1" s="1"/>
  <c r="B4246" i="1"/>
  <c r="H4246" i="1"/>
  <c r="K4246" i="1"/>
  <c r="Q4246" i="1"/>
  <c r="P4246" i="1" s="1"/>
  <c r="J4237" i="1"/>
  <c r="J4236" i="1"/>
  <c r="J4235" i="1"/>
  <c r="J4234" i="1"/>
  <c r="J4233" i="1"/>
  <c r="J4232" i="1"/>
  <c r="J4231" i="1"/>
  <c r="J4230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J4238" i="1"/>
  <c r="J4239" i="1"/>
  <c r="J4240" i="1"/>
  <c r="J4241" i="1"/>
  <c r="J4242" i="1"/>
  <c r="J4243" i="1"/>
  <c r="J4244" i="1"/>
  <c r="J4245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B4233" i="1"/>
  <c r="H4233" i="1"/>
  <c r="K4233" i="1"/>
  <c r="Q4233" i="1"/>
  <c r="P4233" i="1" s="1"/>
  <c r="B4232" i="1"/>
  <c r="H4232" i="1"/>
  <c r="K4232" i="1"/>
  <c r="Q4232" i="1"/>
  <c r="P4232" i="1" s="1"/>
  <c r="B4230" i="1"/>
  <c r="B4231" i="1"/>
  <c r="H4230" i="1"/>
  <c r="H4231" i="1"/>
  <c r="K4230" i="1"/>
  <c r="K4231" i="1"/>
  <c r="Q4230" i="1"/>
  <c r="P4230" i="1" s="1"/>
  <c r="Q4231" i="1"/>
  <c r="P4231" i="1" s="1"/>
  <c r="B4229" i="1"/>
  <c r="H4229" i="1"/>
  <c r="J4229" i="1"/>
  <c r="K4229" i="1"/>
  <c r="Q4229" i="1"/>
  <c r="P4229" i="1" s="1"/>
  <c r="J4228" i="1"/>
  <c r="J4227" i="1"/>
  <c r="J4226" i="1"/>
  <c r="J4225" i="1"/>
  <c r="K4228" i="1"/>
  <c r="K4227" i="1"/>
  <c r="K4226" i="1"/>
  <c r="K4225" i="1"/>
  <c r="K4212" i="1"/>
  <c r="K4211" i="1"/>
  <c r="B4228" i="1"/>
  <c r="B4227" i="1"/>
  <c r="B4226" i="1"/>
  <c r="B4225" i="1"/>
  <c r="B4212" i="1"/>
  <c r="B4211" i="1"/>
  <c r="B4210" i="1"/>
  <c r="H4225" i="1"/>
  <c r="H4226" i="1"/>
  <c r="H4227" i="1"/>
  <c r="H4228" i="1"/>
  <c r="Q4225" i="1"/>
  <c r="P4225" i="1" s="1"/>
  <c r="Q4226" i="1"/>
  <c r="P4226" i="1" s="1"/>
  <c r="Q4227" i="1"/>
  <c r="P4227" i="1" s="1"/>
  <c r="Q4228" i="1"/>
  <c r="P4228" i="1" s="1"/>
  <c r="J4211" i="1"/>
  <c r="J4200" i="1"/>
  <c r="J4199" i="1"/>
  <c r="B4214" i="1"/>
  <c r="B4215" i="1"/>
  <c r="B4216" i="1"/>
  <c r="B4217" i="1"/>
  <c r="B4218" i="1"/>
  <c r="B4219" i="1"/>
  <c r="B4220" i="1"/>
  <c r="B4221" i="1"/>
  <c r="B4222" i="1"/>
  <c r="B4223" i="1"/>
  <c r="B4224" i="1"/>
  <c r="H4214" i="1"/>
  <c r="H4215" i="1"/>
  <c r="H4216" i="1"/>
  <c r="H4217" i="1"/>
  <c r="H4218" i="1"/>
  <c r="H4219" i="1"/>
  <c r="H4220" i="1"/>
  <c r="H4221" i="1"/>
  <c r="H4222" i="1"/>
  <c r="H4223" i="1"/>
  <c r="H4224" i="1"/>
  <c r="J4214" i="1"/>
  <c r="J4215" i="1"/>
  <c r="J4216" i="1"/>
  <c r="J4217" i="1"/>
  <c r="J4218" i="1"/>
  <c r="J4219" i="1"/>
  <c r="J4220" i="1"/>
  <c r="J4221" i="1"/>
  <c r="J4222" i="1"/>
  <c r="J4223" i="1"/>
  <c r="J4224" i="1"/>
  <c r="K4214" i="1"/>
  <c r="K4215" i="1"/>
  <c r="K4216" i="1"/>
  <c r="K4217" i="1"/>
  <c r="K4218" i="1"/>
  <c r="K4219" i="1"/>
  <c r="K4220" i="1"/>
  <c r="K4221" i="1"/>
  <c r="K4222" i="1"/>
  <c r="K4223" i="1"/>
  <c r="K4224" i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Q4223" i="1"/>
  <c r="P4223" i="1" s="1"/>
  <c r="Q4224" i="1"/>
  <c r="P4224" i="1" s="1"/>
  <c r="B4213" i="1"/>
  <c r="H4213" i="1"/>
  <c r="J4213" i="1"/>
  <c r="K4213" i="1"/>
  <c r="Q4213" i="1"/>
  <c r="P4213" i="1" s="1"/>
  <c r="B4203" i="1"/>
  <c r="B4204" i="1"/>
  <c r="B4205" i="1"/>
  <c r="B4206" i="1"/>
  <c r="B4207" i="1"/>
  <c r="B4208" i="1"/>
  <c r="B4209" i="1"/>
  <c r="H4203" i="1"/>
  <c r="H4204" i="1"/>
  <c r="H4205" i="1"/>
  <c r="H4206" i="1"/>
  <c r="H4207" i="1"/>
  <c r="H4208" i="1"/>
  <c r="H4209" i="1"/>
  <c r="H4210" i="1"/>
  <c r="H4211" i="1"/>
  <c r="H4212" i="1"/>
  <c r="J4203" i="1"/>
  <c r="J4204" i="1"/>
  <c r="J4205" i="1"/>
  <c r="J4206" i="1"/>
  <c r="J4207" i="1"/>
  <c r="J4208" i="1"/>
  <c r="J4209" i="1"/>
  <c r="J4210" i="1"/>
  <c r="J4212" i="1"/>
  <c r="K4203" i="1"/>
  <c r="K4204" i="1"/>
  <c r="K4205" i="1"/>
  <c r="K4206" i="1"/>
  <c r="K4207" i="1"/>
  <c r="K4208" i="1"/>
  <c r="K4209" i="1"/>
  <c r="K4210" i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Q4211" i="1"/>
  <c r="P4211" i="1" s="1"/>
  <c r="Q4212" i="1"/>
  <c r="P4212" i="1" s="1"/>
  <c r="B4202" i="1"/>
  <c r="H4202" i="1"/>
  <c r="J4202" i="1"/>
  <c r="K4202" i="1"/>
  <c r="Q4202" i="1"/>
  <c r="P4202" i="1" s="1"/>
  <c r="B4201" i="1"/>
  <c r="H4201" i="1"/>
  <c r="J4201" i="1"/>
  <c r="K4201" i="1"/>
  <c r="Q4201" i="1"/>
  <c r="P4201" i="1" s="1"/>
  <c r="B4199" i="1"/>
  <c r="B4200" i="1"/>
  <c r="H4199" i="1"/>
  <c r="H4200" i="1"/>
  <c r="K4199" i="1"/>
  <c r="K4200" i="1"/>
  <c r="Q4199" i="1"/>
  <c r="P4199" i="1" s="1"/>
  <c r="Q4200" i="1"/>
  <c r="P4200" i="1" s="1"/>
  <c r="B4197" i="1"/>
  <c r="B4198" i="1"/>
  <c r="H4197" i="1"/>
  <c r="H4198" i="1"/>
  <c r="J4197" i="1"/>
  <c r="J4198" i="1"/>
  <c r="K4197" i="1"/>
  <c r="K4198" i="1"/>
  <c r="Q4197" i="1"/>
  <c r="P4197" i="1" s="1"/>
  <c r="Q4198" i="1"/>
  <c r="P4198" i="1" s="1"/>
  <c r="J4193" i="1"/>
  <c r="J4192" i="1"/>
  <c r="J4191" i="1"/>
  <c r="J4188" i="1"/>
  <c r="J4187" i="1"/>
  <c r="J4186" i="1"/>
  <c r="J4185" i="1"/>
  <c r="J4184" i="1"/>
  <c r="J4183" i="1"/>
  <c r="J4182" i="1"/>
  <c r="J4179" i="1"/>
  <c r="J4178" i="1"/>
  <c r="J4177" i="1"/>
  <c r="J4176" i="1"/>
  <c r="J4174" i="1"/>
  <c r="J4172" i="1"/>
  <c r="J4171" i="1"/>
  <c r="J4170" i="1"/>
  <c r="J4169" i="1"/>
  <c r="J4168" i="1"/>
  <c r="J4166" i="1"/>
  <c r="J4163" i="1"/>
  <c r="J4157" i="1"/>
  <c r="J4156" i="1"/>
  <c r="J4155" i="1"/>
  <c r="J4154" i="1"/>
  <c r="J4153" i="1"/>
  <c r="J4152" i="1"/>
  <c r="J4151" i="1"/>
  <c r="J4150" i="1"/>
  <c r="B4196" i="1"/>
  <c r="H4196" i="1"/>
  <c r="J4196" i="1"/>
  <c r="K4196" i="1"/>
  <c r="Q4196" i="1"/>
  <c r="P4196" i="1" s="1"/>
  <c r="B4195" i="1"/>
  <c r="H4195" i="1"/>
  <c r="J4195" i="1"/>
  <c r="K4195" i="1"/>
  <c r="Q4195" i="1"/>
  <c r="P4195" i="1" s="1"/>
  <c r="J4194" i="1"/>
  <c r="J4190" i="1"/>
  <c r="J4181" i="1"/>
  <c r="J4180" i="1"/>
  <c r="J4175" i="1"/>
  <c r="J4164" i="1"/>
  <c r="J4160" i="1"/>
  <c r="J4159" i="1"/>
  <c r="J4158" i="1"/>
  <c r="B4194" i="1"/>
  <c r="H4194" i="1"/>
  <c r="K4194" i="1"/>
  <c r="Q4194" i="1"/>
  <c r="P4194" i="1" s="1"/>
  <c r="B4193" i="1"/>
  <c r="H4193" i="1"/>
  <c r="K4193" i="1"/>
  <c r="Q4193" i="1"/>
  <c r="P4193" i="1" s="1"/>
  <c r="B4192" i="1"/>
  <c r="B4191" i="1"/>
  <c r="B4190" i="1"/>
  <c r="B4189" i="1"/>
  <c r="B4188" i="1"/>
  <c r="B4187" i="1"/>
  <c r="B4186" i="1"/>
  <c r="B4185" i="1"/>
  <c r="B4184" i="1"/>
  <c r="B4183" i="1"/>
  <c r="B4182" i="1"/>
  <c r="B4181" i="1"/>
  <c r="B4180" i="1"/>
  <c r="B4179" i="1"/>
  <c r="B4178" i="1"/>
  <c r="B4177" i="1"/>
  <c r="B4176" i="1"/>
  <c r="B4175" i="1"/>
  <c r="B4174" i="1"/>
  <c r="B4173" i="1"/>
  <c r="B4172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J4173" i="1"/>
  <c r="J4189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Q4172" i="1"/>
  <c r="P4172" i="1" s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B4171" i="1"/>
  <c r="H4171" i="1"/>
  <c r="K4171" i="1"/>
  <c r="Q4171" i="1"/>
  <c r="P4171" i="1" s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J4161" i="1"/>
  <c r="J4162" i="1"/>
  <c r="J4165" i="1"/>
  <c r="J4167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Q4151" i="1"/>
  <c r="P4151" i="1" s="1"/>
  <c r="Q4152" i="1"/>
  <c r="P4152" i="1" s="1"/>
  <c r="Q4153" i="1"/>
  <c r="P4153" i="1" s="1"/>
  <c r="Q4154" i="1"/>
  <c r="P4154" i="1" s="1"/>
  <c r="Q4155" i="1"/>
  <c r="P4155" i="1" s="1"/>
  <c r="Q4156" i="1"/>
  <c r="P4156" i="1" s="1"/>
  <c r="Q4157" i="1"/>
  <c r="P4157" i="1" s="1"/>
  <c r="Q4158" i="1"/>
  <c r="P4158" i="1" s="1"/>
  <c r="Q4159" i="1"/>
  <c r="P4159" i="1" s="1"/>
  <c r="Q4160" i="1"/>
  <c r="P4160" i="1" s="1"/>
  <c r="Q4161" i="1"/>
  <c r="P4161" i="1" s="1"/>
  <c r="Q4162" i="1"/>
  <c r="P4162" i="1" s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B4150" i="1"/>
  <c r="H4150" i="1"/>
  <c r="K4150" i="1"/>
  <c r="Q4150" i="1"/>
  <c r="P4150" i="1" s="1"/>
  <c r="B4148" i="1"/>
  <c r="B4149" i="1"/>
  <c r="H4148" i="1"/>
  <c r="H4149" i="1"/>
  <c r="J4148" i="1"/>
  <c r="J4149" i="1"/>
  <c r="K4148" i="1"/>
  <c r="K4149" i="1"/>
  <c r="Q4148" i="1"/>
  <c r="P4148" i="1" s="1"/>
  <c r="Q4149" i="1"/>
  <c r="P4149" i="1" s="1"/>
  <c r="B4143" i="1"/>
  <c r="B4144" i="1"/>
  <c r="B4145" i="1"/>
  <c r="B4146" i="1"/>
  <c r="B4147" i="1"/>
  <c r="H4143" i="1"/>
  <c r="H4144" i="1"/>
  <c r="H4145" i="1"/>
  <c r="H4146" i="1"/>
  <c r="H4147" i="1"/>
  <c r="J4143" i="1"/>
  <c r="J4144" i="1"/>
  <c r="J4145" i="1"/>
  <c r="J4146" i="1"/>
  <c r="J4147" i="1"/>
  <c r="K4143" i="1"/>
  <c r="K4144" i="1"/>
  <c r="K4145" i="1"/>
  <c r="K4146" i="1"/>
  <c r="K4147" i="1"/>
  <c r="Q4143" i="1"/>
  <c r="P4143" i="1" s="1"/>
  <c r="Q4144" i="1"/>
  <c r="P4144" i="1" s="1"/>
  <c r="Q4145" i="1"/>
  <c r="P4145" i="1" s="1"/>
  <c r="Q4146" i="1"/>
  <c r="P4146" i="1" s="1"/>
  <c r="Q4147" i="1"/>
  <c r="P4147" i="1" s="1"/>
  <c r="J4138" i="1"/>
  <c r="J4136" i="1"/>
  <c r="J4094" i="1"/>
  <c r="J4082" i="1"/>
  <c r="J4135" i="1"/>
  <c r="J4134" i="1"/>
  <c r="J4117" i="1"/>
  <c r="J4116" i="1"/>
  <c r="J4115" i="1"/>
  <c r="J4114" i="1"/>
  <c r="J4100" i="1"/>
  <c r="J4099" i="1"/>
  <c r="J4097" i="1"/>
  <c r="J4095" i="1"/>
  <c r="J4086" i="1"/>
  <c r="J4085" i="1"/>
  <c r="J4084" i="1"/>
  <c r="J4083" i="1"/>
  <c r="J4081" i="1"/>
  <c r="J4079" i="1"/>
  <c r="J407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J4129" i="1"/>
  <c r="J4130" i="1"/>
  <c r="J4131" i="1"/>
  <c r="J4132" i="1"/>
  <c r="J4133" i="1"/>
  <c r="J4137" i="1"/>
  <c r="J4139" i="1"/>
  <c r="J4140" i="1"/>
  <c r="J4141" i="1"/>
  <c r="J4142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Q4129" i="1"/>
  <c r="P4129" i="1" s="1"/>
  <c r="Q4130" i="1"/>
  <c r="P4130" i="1" s="1"/>
  <c r="Q4131" i="1"/>
  <c r="P4131" i="1" s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B4127" i="1"/>
  <c r="B4128" i="1"/>
  <c r="H4127" i="1"/>
  <c r="H4128" i="1"/>
  <c r="J4127" i="1"/>
  <c r="J4128" i="1"/>
  <c r="K4127" i="1"/>
  <c r="K4128" i="1"/>
  <c r="Q4127" i="1"/>
  <c r="P4127" i="1" s="1"/>
  <c r="Q4128" i="1"/>
  <c r="P4128" i="1" s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J4080" i="1"/>
  <c r="J4087" i="1"/>
  <c r="J4088" i="1"/>
  <c r="J4089" i="1"/>
  <c r="J4090" i="1"/>
  <c r="J4091" i="1"/>
  <c r="J4092" i="1"/>
  <c r="J4093" i="1"/>
  <c r="J4096" i="1"/>
  <c r="J4098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8" i="1"/>
  <c r="J4119" i="1"/>
  <c r="J4120" i="1"/>
  <c r="J4121" i="1"/>
  <c r="J4122" i="1"/>
  <c r="J4123" i="1"/>
  <c r="J4124" i="1"/>
  <c r="J4125" i="1"/>
  <c r="J4126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Q4119" i="1"/>
  <c r="P4119" i="1" s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B4078" i="1"/>
  <c r="H4078" i="1"/>
  <c r="K4078" i="1"/>
  <c r="Q4078" i="1"/>
  <c r="P4078" i="1" s="1"/>
  <c r="B4077" i="1"/>
  <c r="H4077" i="1"/>
  <c r="J4077" i="1"/>
  <c r="K4077" i="1"/>
  <c r="Q4077" i="1"/>
  <c r="P4077" i="1" s="1"/>
  <c r="J4067" i="1"/>
  <c r="J4065" i="1"/>
  <c r="J4064" i="1"/>
  <c r="J4063" i="1"/>
  <c r="J4062" i="1"/>
  <c r="J4061" i="1"/>
  <c r="J4055" i="1"/>
  <c r="J4054" i="1"/>
  <c r="J4053" i="1"/>
  <c r="J4043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J4066" i="1"/>
  <c r="J4068" i="1"/>
  <c r="J4069" i="1"/>
  <c r="J4070" i="1"/>
  <c r="J4071" i="1"/>
  <c r="J4072" i="1"/>
  <c r="J4073" i="1"/>
  <c r="J4074" i="1"/>
  <c r="J4075" i="1"/>
  <c r="J4076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B4054" i="1"/>
  <c r="B4055" i="1"/>
  <c r="B4056" i="1"/>
  <c r="B4057" i="1"/>
  <c r="B4058" i="1"/>
  <c r="B4059" i="1"/>
  <c r="B4060" i="1"/>
  <c r="B4061" i="1"/>
  <c r="B4062" i="1"/>
  <c r="B4063" i="1"/>
  <c r="B4064" i="1"/>
  <c r="H4054" i="1"/>
  <c r="H4055" i="1"/>
  <c r="H4056" i="1"/>
  <c r="H4057" i="1"/>
  <c r="H4058" i="1"/>
  <c r="H4059" i="1"/>
  <c r="H4060" i="1"/>
  <c r="H4061" i="1"/>
  <c r="H4062" i="1"/>
  <c r="H4063" i="1"/>
  <c r="H4064" i="1"/>
  <c r="J4056" i="1"/>
  <c r="J4057" i="1"/>
  <c r="J4058" i="1"/>
  <c r="J4059" i="1"/>
  <c r="J4060" i="1"/>
  <c r="K4054" i="1"/>
  <c r="K4055" i="1"/>
  <c r="K4056" i="1"/>
  <c r="K4057" i="1"/>
  <c r="K4058" i="1"/>
  <c r="K4059" i="1"/>
  <c r="K4060" i="1"/>
  <c r="K4061" i="1"/>
  <c r="K4062" i="1"/>
  <c r="K4063" i="1"/>
  <c r="K4064" i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B4053" i="1"/>
  <c r="H4053" i="1"/>
  <c r="K4053" i="1"/>
  <c r="Q4053" i="1"/>
  <c r="P4053" i="1" s="1"/>
  <c r="B4050" i="1"/>
  <c r="B4051" i="1"/>
  <c r="B4052" i="1"/>
  <c r="H4050" i="1"/>
  <c r="H4051" i="1"/>
  <c r="H4052" i="1"/>
  <c r="J4050" i="1"/>
  <c r="J4051" i="1"/>
  <c r="J4052" i="1"/>
  <c r="K4050" i="1"/>
  <c r="K4051" i="1"/>
  <c r="K4052" i="1"/>
  <c r="Q4050" i="1"/>
  <c r="P4050" i="1" s="1"/>
  <c r="Q4051" i="1"/>
  <c r="P4051" i="1" s="1"/>
  <c r="Q4052" i="1"/>
  <c r="P4052" i="1" s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J4033" i="1"/>
  <c r="J4034" i="1"/>
  <c r="J4035" i="1"/>
  <c r="J4036" i="1"/>
  <c r="J4037" i="1"/>
  <c r="J4038" i="1"/>
  <c r="J4039" i="1"/>
  <c r="J4040" i="1"/>
  <c r="J4041" i="1"/>
  <c r="J4042" i="1"/>
  <c r="J4044" i="1"/>
  <c r="J4045" i="1"/>
  <c r="J4046" i="1"/>
  <c r="J4047" i="1"/>
  <c r="J4048" i="1"/>
  <c r="J4049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B4027" i="1"/>
  <c r="B4028" i="1"/>
  <c r="B4029" i="1"/>
  <c r="B4030" i="1"/>
  <c r="B4031" i="1"/>
  <c r="B4032" i="1"/>
  <c r="H4027" i="1"/>
  <c r="H4028" i="1"/>
  <c r="H4029" i="1"/>
  <c r="H4030" i="1"/>
  <c r="H4031" i="1"/>
  <c r="H4032" i="1"/>
  <c r="J4027" i="1"/>
  <c r="J4028" i="1"/>
  <c r="J4029" i="1"/>
  <c r="J4030" i="1"/>
  <c r="J4031" i="1"/>
  <c r="J4032" i="1"/>
  <c r="K4027" i="1"/>
  <c r="K4028" i="1"/>
  <c r="K4029" i="1"/>
  <c r="K4030" i="1"/>
  <c r="K4031" i="1"/>
  <c r="K4032" i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026" i="1"/>
  <c r="J4026" i="1"/>
  <c r="K4026" i="1"/>
  <c r="Q4026" i="1"/>
  <c r="P4026" i="1" s="1"/>
  <c r="H4017" i="1"/>
  <c r="H4018" i="1"/>
  <c r="H4019" i="1"/>
  <c r="H4020" i="1"/>
  <c r="H4021" i="1"/>
  <c r="H4022" i="1"/>
  <c r="H4023" i="1"/>
  <c r="H4024" i="1"/>
  <c r="H4025" i="1"/>
  <c r="J4017" i="1"/>
  <c r="J4018" i="1"/>
  <c r="J4019" i="1"/>
  <c r="J4020" i="1"/>
  <c r="J4021" i="1"/>
  <c r="J4022" i="1"/>
  <c r="J4023" i="1"/>
  <c r="J4024" i="1"/>
  <c r="J4025" i="1"/>
  <c r="K4017" i="1"/>
  <c r="K4018" i="1"/>
  <c r="K4019" i="1"/>
  <c r="K4020" i="1"/>
  <c r="K4021" i="1"/>
  <c r="K4022" i="1"/>
  <c r="K4023" i="1"/>
  <c r="K4024" i="1"/>
  <c r="K4025" i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H4014" i="1"/>
  <c r="H4015" i="1"/>
  <c r="H4016" i="1"/>
  <c r="J4014" i="1"/>
  <c r="J4015" i="1"/>
  <c r="J4016" i="1"/>
  <c r="K4014" i="1"/>
  <c r="K4015" i="1"/>
  <c r="K4016" i="1"/>
  <c r="Q4014" i="1"/>
  <c r="P4014" i="1" s="1"/>
  <c r="Q4015" i="1"/>
  <c r="P4015" i="1" s="1"/>
  <c r="Q4016" i="1"/>
  <c r="P4016" i="1" s="1"/>
  <c r="K4013" i="1"/>
  <c r="K4012" i="1"/>
  <c r="K4011" i="1"/>
  <c r="K4010" i="1"/>
  <c r="K4009" i="1"/>
  <c r="H4012" i="1"/>
  <c r="H4013" i="1"/>
  <c r="J4012" i="1"/>
  <c r="J4013" i="1"/>
  <c r="Q4012" i="1"/>
  <c r="P4012" i="1" s="1"/>
  <c r="Q4013" i="1"/>
  <c r="P4013" i="1" s="1"/>
  <c r="H4011" i="1"/>
  <c r="J4011" i="1"/>
  <c r="Q4011" i="1"/>
  <c r="P4011" i="1" s="1"/>
  <c r="H4010" i="1"/>
  <c r="J4010" i="1"/>
  <c r="Q4010" i="1"/>
  <c r="P4010" i="1" s="1"/>
  <c r="H4009" i="1"/>
  <c r="J4009" i="1"/>
  <c r="Q4009" i="1"/>
  <c r="P4009" i="1" s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3989" i="1"/>
  <c r="H3985" i="1"/>
  <c r="H4006" i="1"/>
  <c r="H4007" i="1"/>
  <c r="H4008" i="1"/>
  <c r="J4006" i="1"/>
  <c r="J4007" i="1"/>
  <c r="J4008" i="1"/>
  <c r="Q4006" i="1"/>
  <c r="P4006" i="1" s="1"/>
  <c r="Q4007" i="1"/>
  <c r="P4007" i="1" s="1"/>
  <c r="Q4008" i="1"/>
  <c r="P4008" i="1" s="1"/>
  <c r="H4005" i="1"/>
  <c r="J4005" i="1"/>
  <c r="Q4005" i="1"/>
  <c r="P4005" i="1" s="1"/>
  <c r="H4004" i="1"/>
  <c r="J4004" i="1"/>
  <c r="Q4004" i="1"/>
  <c r="P4004" i="1" s="1"/>
  <c r="H4003" i="1"/>
  <c r="J4003" i="1"/>
  <c r="Q4003" i="1"/>
  <c r="P4003" i="1" s="1"/>
  <c r="H3986" i="1"/>
  <c r="H3987" i="1"/>
  <c r="H3988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Q3986" i="1"/>
  <c r="P3986" i="1" s="1"/>
  <c r="Q3987" i="1"/>
  <c r="P3987" i="1" s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J3985" i="1"/>
  <c r="J3983" i="1"/>
  <c r="J3982" i="1"/>
  <c r="J3980" i="1"/>
  <c r="J3978" i="1"/>
  <c r="J3977" i="1"/>
  <c r="J3976" i="1"/>
  <c r="J3975" i="1"/>
  <c r="Q3985" i="1"/>
  <c r="P3985" i="1" s="1"/>
  <c r="J3981" i="1"/>
  <c r="H3974" i="1"/>
  <c r="H3975" i="1"/>
  <c r="H3976" i="1"/>
  <c r="H3977" i="1"/>
  <c r="H3978" i="1"/>
  <c r="H3979" i="1"/>
  <c r="H3980" i="1"/>
  <c r="H3981" i="1"/>
  <c r="H3982" i="1"/>
  <c r="H3983" i="1"/>
  <c r="H3984" i="1"/>
  <c r="J3974" i="1"/>
  <c r="J3979" i="1"/>
  <c r="J3984" i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J3973" i="1"/>
  <c r="H3973" i="1"/>
  <c r="Q3973" i="1"/>
  <c r="P3973" i="1" s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Q3932" i="1"/>
  <c r="P3932" i="1" s="1"/>
  <c r="Q3933" i="1"/>
  <c r="P3933" i="1" s="1"/>
  <c r="Q3934" i="1"/>
  <c r="P3934" i="1" s="1"/>
  <c r="Q3935" i="1"/>
  <c r="P3935" i="1" s="1"/>
  <c r="Q3936" i="1"/>
  <c r="P3936" i="1" s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Q3944" i="1"/>
  <c r="P3944" i="1" s="1"/>
  <c r="Q3945" i="1"/>
  <c r="P3945" i="1" s="1"/>
  <c r="Q3946" i="1"/>
  <c r="P3946" i="1" s="1"/>
  <c r="Q3947" i="1"/>
  <c r="P3947" i="1" s="1"/>
  <c r="Q3948" i="1"/>
  <c r="P3948" i="1" s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H3859" i="1"/>
  <c r="J3859" i="1"/>
  <c r="Q3859" i="1"/>
  <c r="P3859" i="1" s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H3841" i="1"/>
  <c r="J3841" i="1"/>
  <c r="Q3841" i="1"/>
  <c r="P3841" i="1" s="1"/>
  <c r="J3835" i="1"/>
  <c r="J3834" i="1"/>
  <c r="J3831" i="1"/>
  <c r="J3830" i="1"/>
  <c r="J3829" i="1"/>
  <c r="J3828" i="1"/>
  <c r="J3827" i="1"/>
  <c r="J3825" i="1"/>
  <c r="J3819" i="1"/>
  <c r="J3818" i="1"/>
  <c r="J3816" i="1"/>
  <c r="J3815" i="1"/>
  <c r="J3814" i="1"/>
  <c r="J3813" i="1"/>
  <c r="J3812" i="1"/>
  <c r="J3811" i="1"/>
  <c r="J3809" i="1"/>
  <c r="J3802" i="1"/>
  <c r="J3800" i="1"/>
  <c r="J3798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J3803" i="1"/>
  <c r="J3804" i="1"/>
  <c r="J3805" i="1"/>
  <c r="J3806" i="1"/>
  <c r="J3807" i="1"/>
  <c r="J3808" i="1"/>
  <c r="J3810" i="1"/>
  <c r="J3817" i="1"/>
  <c r="J3820" i="1"/>
  <c r="J3821" i="1"/>
  <c r="J3822" i="1"/>
  <c r="J3823" i="1"/>
  <c r="J3824" i="1"/>
  <c r="J3826" i="1"/>
  <c r="J3832" i="1"/>
  <c r="J3833" i="1"/>
  <c r="J3836" i="1"/>
  <c r="J3837" i="1"/>
  <c r="J3838" i="1"/>
  <c r="J3839" i="1"/>
  <c r="J3840" i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H3802" i="1"/>
  <c r="Q3802" i="1"/>
  <c r="P3802" i="1" s="1"/>
  <c r="H3801" i="1"/>
  <c r="J3801" i="1"/>
  <c r="Q3801" i="1"/>
  <c r="P3801" i="1" s="1"/>
  <c r="C2" i="2"/>
  <c r="B4" i="1" s="1"/>
  <c r="J3799" i="1"/>
  <c r="J3796" i="1"/>
  <c r="J3795" i="1"/>
  <c r="J3794" i="1"/>
  <c r="J3793" i="1"/>
  <c r="J3792" i="1"/>
  <c r="J3791" i="1"/>
  <c r="J3790" i="1"/>
  <c r="J3789" i="1"/>
  <c r="J3788" i="1"/>
  <c r="J3787" i="1"/>
  <c r="J3786" i="1"/>
  <c r="J3680" i="1"/>
  <c r="J3785" i="1"/>
  <c r="J3783" i="1"/>
  <c r="J3781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8" i="1"/>
  <c r="J3767" i="1"/>
  <c r="J3766" i="1"/>
  <c r="J3765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2" i="1"/>
  <c r="J3751" i="1"/>
  <c r="J3750" i="1"/>
  <c r="J3749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6" i="1"/>
  <c r="J3735" i="1"/>
  <c r="J3734" i="1"/>
  <c r="J3733" i="1"/>
  <c r="J3732" i="1"/>
  <c r="J3731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8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2" i="1"/>
  <c r="J3701" i="1"/>
  <c r="J3700" i="1"/>
  <c r="J3699" i="1"/>
  <c r="J3698" i="1"/>
  <c r="J3697" i="1"/>
  <c r="J3696" i="1"/>
  <c r="J3695" i="1"/>
  <c r="J3694" i="1"/>
  <c r="J3693" i="1"/>
  <c r="J3692" i="1"/>
  <c r="J3691" i="1"/>
  <c r="J3690" i="1"/>
  <c r="J3689" i="1"/>
  <c r="J3688" i="1"/>
  <c r="J3687" i="1"/>
  <c r="J3686" i="1"/>
  <c r="J3685" i="1"/>
  <c r="J3684" i="1"/>
  <c r="J3683" i="1"/>
  <c r="J3682" i="1"/>
  <c r="J3679" i="1"/>
  <c r="J3678" i="1"/>
  <c r="J3677" i="1"/>
  <c r="J3676" i="1"/>
  <c r="J3675" i="1"/>
  <c r="J3674" i="1"/>
  <c r="J3673" i="1"/>
  <c r="J3672" i="1"/>
  <c r="J3669" i="1"/>
  <c r="J3668" i="1"/>
  <c r="J3666" i="1"/>
  <c r="J3665" i="1"/>
  <c r="J3664" i="1"/>
  <c r="J3663" i="1"/>
  <c r="J3662" i="1"/>
  <c r="J3661" i="1"/>
  <c r="J3660" i="1"/>
  <c r="J3659" i="1"/>
  <c r="J3658" i="1"/>
  <c r="J3657" i="1"/>
  <c r="J3656" i="1"/>
  <c r="J3655" i="1"/>
  <c r="J3652" i="1"/>
  <c r="J3650" i="1"/>
  <c r="J3649" i="1"/>
  <c r="J3648" i="1"/>
  <c r="J3647" i="1"/>
  <c r="J3646" i="1"/>
  <c r="J3645" i="1"/>
  <c r="J3644" i="1"/>
  <c r="J3643" i="1"/>
  <c r="J3642" i="1"/>
  <c r="J3641" i="1"/>
  <c r="J3640" i="1"/>
  <c r="J3639" i="1"/>
  <c r="J3637" i="1"/>
  <c r="J3636" i="1"/>
  <c r="J3634" i="1"/>
  <c r="J3633" i="1"/>
  <c r="J3632" i="1"/>
  <c r="J3631" i="1"/>
  <c r="J3630" i="1"/>
  <c r="J3629" i="1"/>
  <c r="J3628" i="1"/>
  <c r="J3627" i="1"/>
  <c r="J3626" i="1"/>
  <c r="J3625" i="1"/>
  <c r="J3624" i="1"/>
  <c r="J3623" i="1"/>
  <c r="J3621" i="1"/>
  <c r="J3620" i="1"/>
  <c r="J3618" i="1"/>
  <c r="J3617" i="1"/>
  <c r="J3616" i="1"/>
  <c r="J3615" i="1"/>
  <c r="J3614" i="1"/>
  <c r="J3613" i="1"/>
  <c r="J3612" i="1"/>
  <c r="J3611" i="1"/>
  <c r="J3610" i="1"/>
  <c r="J3609" i="1"/>
  <c r="J3608" i="1"/>
  <c r="J3607" i="1"/>
  <c r="J3605" i="1"/>
  <c r="J3604" i="1"/>
  <c r="J3602" i="1"/>
  <c r="J3601" i="1"/>
  <c r="J3600" i="1"/>
  <c r="J3599" i="1"/>
  <c r="J3598" i="1"/>
  <c r="J3597" i="1"/>
  <c r="J3596" i="1"/>
  <c r="J3595" i="1"/>
  <c r="J3594" i="1"/>
  <c r="J3593" i="1"/>
  <c r="J3592" i="1"/>
  <c r="J3591" i="1"/>
  <c r="J3589" i="1"/>
  <c r="J3588" i="1"/>
  <c r="J3584" i="1"/>
  <c r="J3583" i="1"/>
  <c r="J3582" i="1"/>
  <c r="J3581" i="1"/>
  <c r="J3580" i="1"/>
  <c r="J3579" i="1"/>
  <c r="J3578" i="1"/>
  <c r="J3577" i="1"/>
  <c r="J3576" i="1"/>
  <c r="J3575" i="1"/>
  <c r="J3574" i="1"/>
  <c r="J3573" i="1"/>
  <c r="J3571" i="1"/>
  <c r="J3570" i="1"/>
  <c r="J3569" i="1"/>
  <c r="J3568" i="1"/>
  <c r="J3567" i="1"/>
  <c r="J3566" i="1"/>
  <c r="J3565" i="1"/>
  <c r="J3564" i="1"/>
  <c r="J3563" i="1"/>
  <c r="J3562" i="1"/>
  <c r="J3561" i="1"/>
  <c r="J3560" i="1"/>
  <c r="J3559" i="1"/>
  <c r="J3558" i="1"/>
  <c r="J3557" i="1"/>
  <c r="J3555" i="1"/>
  <c r="J3554" i="1"/>
  <c r="J3553" i="1"/>
  <c r="J3552" i="1"/>
  <c r="J3551" i="1"/>
  <c r="J3550" i="1"/>
  <c r="J3549" i="1"/>
  <c r="J3548" i="1"/>
  <c r="J3547" i="1"/>
  <c r="J3544" i="1"/>
  <c r="H3799" i="1"/>
  <c r="H3800" i="1"/>
  <c r="Q3799" i="1"/>
  <c r="P3799" i="1" s="1"/>
  <c r="Q3800" i="1"/>
  <c r="P3800" i="1" s="1"/>
  <c r="H3798" i="1"/>
  <c r="Q3798" i="1"/>
  <c r="P3798" i="1" s="1"/>
  <c r="H3791" i="1"/>
  <c r="H3792" i="1"/>
  <c r="H3793" i="1"/>
  <c r="H3794" i="1"/>
  <c r="H3795" i="1"/>
  <c r="H3796" i="1"/>
  <c r="H3797" i="1"/>
  <c r="J3797" i="1"/>
  <c r="Q3791" i="1"/>
  <c r="P3791" i="1" s="1"/>
  <c r="Q3792" i="1"/>
  <c r="P3792" i="1" s="1"/>
  <c r="Q3793" i="1"/>
  <c r="P3793" i="1" s="1"/>
  <c r="Q3794" i="1"/>
  <c r="P3794" i="1" s="1"/>
  <c r="Q3795" i="1"/>
  <c r="P3795" i="1" s="1"/>
  <c r="Q3796" i="1"/>
  <c r="P3796" i="1" s="1"/>
  <c r="Q3797" i="1"/>
  <c r="P3797" i="1" s="1"/>
  <c r="H3786" i="1"/>
  <c r="H3787" i="1"/>
  <c r="H3788" i="1"/>
  <c r="H3789" i="1"/>
  <c r="H3790" i="1"/>
  <c r="Q3786" i="1"/>
  <c r="P3786" i="1" s="1"/>
  <c r="Q3787" i="1"/>
  <c r="P3787" i="1" s="1"/>
  <c r="Q3788" i="1"/>
  <c r="P3788" i="1" s="1"/>
  <c r="Q3789" i="1"/>
  <c r="P3789" i="1" s="1"/>
  <c r="Q3790" i="1"/>
  <c r="P3790" i="1" s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J3681" i="1"/>
  <c r="J3782" i="1"/>
  <c r="J3784" i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2" i="1"/>
  <c r="P3692" i="1" s="1"/>
  <c r="Q3693" i="1"/>
  <c r="P3693" i="1" s="1"/>
  <c r="Q3694" i="1"/>
  <c r="P3694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731" i="1"/>
  <c r="P3731" i="1" s="1"/>
  <c r="Q3732" i="1"/>
  <c r="P3732" i="1" s="1"/>
  <c r="Q3733" i="1"/>
  <c r="P3733" i="1" s="1"/>
  <c r="Q3734" i="1"/>
  <c r="P3734" i="1" s="1"/>
  <c r="Q3735" i="1"/>
  <c r="P3735" i="1" s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J3572" i="1"/>
  <c r="J3556" i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Q3582" i="1"/>
  <c r="P3582" i="1" s="1"/>
  <c r="Q3583" i="1"/>
  <c r="P3583" i="1" s="1"/>
  <c r="Q3584" i="1"/>
  <c r="P3584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47" i="1"/>
  <c r="P3547" i="1" s="1"/>
  <c r="Q3546" i="1"/>
  <c r="P3546" i="1" s="1"/>
  <c r="H3575" i="1"/>
  <c r="H3550" i="1"/>
  <c r="H3547" i="1"/>
  <c r="H3546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J3654" i="1"/>
  <c r="J3667" i="1"/>
  <c r="J3670" i="1"/>
  <c r="J3671" i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Q3661" i="1"/>
  <c r="P3661" i="1" s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H3653" i="1"/>
  <c r="J3653" i="1"/>
  <c r="Q3653" i="1"/>
  <c r="P3653" i="1" s="1"/>
  <c r="H3650" i="1"/>
  <c r="H3651" i="1"/>
  <c r="H3652" i="1"/>
  <c r="J3651" i="1"/>
  <c r="Q3650" i="1"/>
  <c r="P3650" i="1" s="1"/>
  <c r="Q3651" i="1"/>
  <c r="P3651" i="1" s="1"/>
  <c r="Q3652" i="1"/>
  <c r="P3652" i="1" s="1"/>
  <c r="H3649" i="1"/>
  <c r="Q3649" i="1"/>
  <c r="P3649" i="1" s="1"/>
  <c r="H3648" i="1"/>
  <c r="Q3648" i="1"/>
  <c r="P3648" i="1" s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J3590" i="1"/>
  <c r="J3603" i="1"/>
  <c r="J3606" i="1"/>
  <c r="J3619" i="1"/>
  <c r="J3622" i="1"/>
  <c r="J3635" i="1"/>
  <c r="J3638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Q3601" i="1"/>
  <c r="P3601" i="1" s="1"/>
  <c r="Q3602" i="1"/>
  <c r="P3602" i="1" s="1"/>
  <c r="Q3603" i="1"/>
  <c r="P3603" i="1" s="1"/>
  <c r="Q3604" i="1"/>
  <c r="P3604" i="1" s="1"/>
  <c r="Q3605" i="1"/>
  <c r="P3605" i="1" s="1"/>
  <c r="Q3606" i="1"/>
  <c r="P3606" i="1" s="1"/>
  <c r="Q3607" i="1"/>
  <c r="P3607" i="1" s="1"/>
  <c r="Q3608" i="1"/>
  <c r="P3608" i="1" s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Q3620" i="1"/>
  <c r="P3620" i="1" s="1"/>
  <c r="Q3621" i="1"/>
  <c r="P3621" i="1" s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Q3628" i="1"/>
  <c r="P3628" i="1" s="1"/>
  <c r="Q3629" i="1"/>
  <c r="P3629" i="1" s="1"/>
  <c r="Q3630" i="1"/>
  <c r="P3630" i="1" s="1"/>
  <c r="Q3631" i="1"/>
  <c r="P3631" i="1" s="1"/>
  <c r="Q3632" i="1"/>
  <c r="P3632" i="1" s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H3589" i="1"/>
  <c r="Q3589" i="1"/>
  <c r="P3589" i="1" s="1"/>
  <c r="H3588" i="1"/>
  <c r="Q3588" i="1"/>
  <c r="P3588" i="1" s="1"/>
  <c r="H3587" i="1"/>
  <c r="J3587" i="1"/>
  <c r="Q3587" i="1"/>
  <c r="P3587" i="1" s="1"/>
  <c r="H3586" i="1"/>
  <c r="J3586" i="1"/>
  <c r="Q3586" i="1"/>
  <c r="P3586" i="1" s="1"/>
  <c r="H3585" i="1"/>
  <c r="J3585" i="1"/>
  <c r="Q3585" i="1"/>
  <c r="P3585" i="1" s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8" i="1"/>
  <c r="H3549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5" i="1"/>
  <c r="J3546" i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8" i="1"/>
  <c r="P3548" i="1" s="1"/>
  <c r="H3515" i="1"/>
  <c r="J3515" i="1"/>
  <c r="Q3515" i="1"/>
  <c r="P3515" i="1" s="1"/>
  <c r="H3504" i="1"/>
  <c r="H3505" i="1"/>
  <c r="H3506" i="1"/>
  <c r="H3507" i="1"/>
  <c r="H3508" i="1"/>
  <c r="H3509" i="1"/>
  <c r="H3510" i="1"/>
  <c r="H3511" i="1"/>
  <c r="H3512" i="1"/>
  <c r="H3513" i="1"/>
  <c r="H3514" i="1"/>
  <c r="J3504" i="1"/>
  <c r="J3505" i="1"/>
  <c r="J3506" i="1"/>
  <c r="J3507" i="1"/>
  <c r="J3508" i="1"/>
  <c r="J3509" i="1"/>
  <c r="J3510" i="1"/>
  <c r="J3511" i="1"/>
  <c r="J3512" i="1"/>
  <c r="J3513" i="1"/>
  <c r="J3514" i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Q3487" i="1"/>
  <c r="P3487" i="1" s="1"/>
  <c r="Q3488" i="1"/>
  <c r="P3488" i="1" s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H3486" i="1"/>
  <c r="J3486" i="1"/>
  <c r="Q3486" i="1"/>
  <c r="P3486" i="1" s="1"/>
  <c r="J3478" i="1"/>
  <c r="J3477" i="1"/>
  <c r="J3476" i="1"/>
  <c r="J3475" i="1"/>
  <c r="J3473" i="1"/>
  <c r="J3472" i="1"/>
  <c r="J3471" i="1"/>
  <c r="J3470" i="1"/>
  <c r="J3467" i="1"/>
  <c r="J3462" i="1"/>
  <c r="H3485" i="1"/>
  <c r="J3485" i="1"/>
  <c r="Q3485" i="1"/>
  <c r="P3485" i="1" s="1"/>
  <c r="J3474" i="1"/>
  <c r="J3469" i="1"/>
  <c r="J3457" i="1"/>
  <c r="J3456" i="1"/>
  <c r="J3392" i="1"/>
  <c r="J3391" i="1"/>
  <c r="J3390" i="1"/>
  <c r="H3484" i="1"/>
  <c r="J3484" i="1"/>
  <c r="Q3484" i="1"/>
  <c r="P3484" i="1" s="1"/>
  <c r="H3483" i="1"/>
  <c r="J3483" i="1"/>
  <c r="Q3483" i="1"/>
  <c r="P3483" i="1" s="1"/>
  <c r="H3482" i="1"/>
  <c r="J3482" i="1"/>
  <c r="Q3482" i="1"/>
  <c r="P3482" i="1" s="1"/>
  <c r="H3476" i="1"/>
  <c r="H3477" i="1"/>
  <c r="H3478" i="1"/>
  <c r="H3479" i="1"/>
  <c r="H3480" i="1"/>
  <c r="H3481" i="1"/>
  <c r="J3479" i="1"/>
  <c r="J3480" i="1"/>
  <c r="J3481" i="1"/>
  <c r="Q3476" i="1"/>
  <c r="P3476" i="1" s="1"/>
  <c r="Q3477" i="1"/>
  <c r="P3477" i="1" s="1"/>
  <c r="Q3478" i="1"/>
  <c r="P3478" i="1" s="1"/>
  <c r="Q3479" i="1"/>
  <c r="P3479" i="1" s="1"/>
  <c r="Q3480" i="1"/>
  <c r="P3480" i="1" s="1"/>
  <c r="Q3481" i="1"/>
  <c r="P3481" i="1" s="1"/>
  <c r="H3475" i="1"/>
  <c r="Q3475" i="1"/>
  <c r="P3475" i="1" s="1"/>
  <c r="H3474" i="1"/>
  <c r="Q3474" i="1"/>
  <c r="P3474" i="1" s="1"/>
  <c r="H3463" i="1"/>
  <c r="H3464" i="1"/>
  <c r="H3465" i="1"/>
  <c r="H3466" i="1"/>
  <c r="H3467" i="1"/>
  <c r="H3468" i="1"/>
  <c r="H3469" i="1"/>
  <c r="H3470" i="1"/>
  <c r="H3471" i="1"/>
  <c r="H3472" i="1"/>
  <c r="H3473" i="1"/>
  <c r="J3463" i="1"/>
  <c r="J3464" i="1"/>
  <c r="J3465" i="1"/>
  <c r="J3466" i="1"/>
  <c r="J3468" i="1"/>
  <c r="Q3463" i="1"/>
  <c r="P3463" i="1" s="1"/>
  <c r="Q3464" i="1"/>
  <c r="P3464" i="1" s="1"/>
  <c r="Q3465" i="1"/>
  <c r="P3465" i="1" s="1"/>
  <c r="Q3466" i="1"/>
  <c r="P3466" i="1" s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H3462" i="1"/>
  <c r="Q3462" i="1"/>
  <c r="P3462" i="1" s="1"/>
  <c r="H3461" i="1"/>
  <c r="J3461" i="1"/>
  <c r="Q3461" i="1"/>
  <c r="P3461" i="1" s="1"/>
  <c r="J3455" i="1"/>
  <c r="J3452" i="1"/>
  <c r="J3445" i="1"/>
  <c r="J3444" i="1"/>
  <c r="J3443" i="1"/>
  <c r="J3442" i="1"/>
  <c r="J3441" i="1"/>
  <c r="J3440" i="1"/>
  <c r="J3384" i="1"/>
  <c r="J3382" i="1"/>
  <c r="J3381" i="1"/>
  <c r="J3377" i="1"/>
  <c r="J3368" i="1"/>
  <c r="J3367" i="1"/>
  <c r="J3366" i="1"/>
  <c r="J3365" i="1"/>
  <c r="J3364" i="1"/>
  <c r="J3363" i="1"/>
  <c r="J3362" i="1"/>
  <c r="J3361" i="1"/>
  <c r="J3360" i="1"/>
  <c r="J3344" i="1"/>
  <c r="J3341" i="1"/>
  <c r="H3457" i="1"/>
  <c r="H3458" i="1"/>
  <c r="H3459" i="1"/>
  <c r="H3460" i="1"/>
  <c r="J3458" i="1"/>
  <c r="J3459" i="1"/>
  <c r="J3460" i="1"/>
  <c r="Q3457" i="1"/>
  <c r="P3457" i="1" s="1"/>
  <c r="Q3458" i="1"/>
  <c r="P3458" i="1" s="1"/>
  <c r="Q3459" i="1"/>
  <c r="P3459" i="1" s="1"/>
  <c r="Q3460" i="1"/>
  <c r="P3460" i="1" s="1"/>
  <c r="H3456" i="1"/>
  <c r="Q3456" i="1"/>
  <c r="P3456" i="1" s="1"/>
  <c r="J3449" i="1"/>
  <c r="J3427" i="1"/>
  <c r="J3425" i="1"/>
  <c r="J3424" i="1"/>
  <c r="J3411" i="1"/>
  <c r="J3409" i="1"/>
  <c r="J3408" i="1"/>
  <c r="J3395" i="1"/>
  <c r="J3393" i="1"/>
  <c r="J3383" i="1"/>
  <c r="J3379" i="1"/>
  <c r="J3376" i="1"/>
  <c r="J3352" i="1"/>
  <c r="J3351" i="1"/>
  <c r="J3348" i="1"/>
  <c r="J3347" i="1"/>
  <c r="J3345" i="1"/>
  <c r="H3455" i="1"/>
  <c r="Q3455" i="1"/>
  <c r="P3455" i="1" s="1"/>
  <c r="H3444" i="1"/>
  <c r="H3445" i="1"/>
  <c r="H3446" i="1"/>
  <c r="H3447" i="1"/>
  <c r="H3448" i="1"/>
  <c r="H3449" i="1"/>
  <c r="H3450" i="1"/>
  <c r="H3451" i="1"/>
  <c r="H3452" i="1"/>
  <c r="H3453" i="1"/>
  <c r="H3454" i="1"/>
  <c r="J3446" i="1"/>
  <c r="J3447" i="1"/>
  <c r="J3448" i="1"/>
  <c r="J3450" i="1"/>
  <c r="J3451" i="1"/>
  <c r="J3453" i="1"/>
  <c r="J3454" i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43" i="1"/>
  <c r="Q3443" i="1"/>
  <c r="P3443" i="1" s="1"/>
  <c r="H3438" i="1"/>
  <c r="H3439" i="1"/>
  <c r="H3440" i="1"/>
  <c r="H3441" i="1"/>
  <c r="H3442" i="1"/>
  <c r="J3438" i="1"/>
  <c r="J3439" i="1"/>
  <c r="Q3438" i="1"/>
  <c r="P3438" i="1" s="1"/>
  <c r="Q3439" i="1"/>
  <c r="P3439" i="1" s="1"/>
  <c r="Q3440" i="1"/>
  <c r="P3440" i="1" s="1"/>
  <c r="Q3441" i="1"/>
  <c r="P3441" i="1" s="1"/>
  <c r="Q3442" i="1"/>
  <c r="P3442" i="1" s="1"/>
  <c r="H3437" i="1"/>
  <c r="J3437" i="1"/>
  <c r="Q3437" i="1"/>
  <c r="P3437" i="1" s="1"/>
  <c r="J3342" i="1"/>
  <c r="J3340" i="1"/>
  <c r="H3436" i="1"/>
  <c r="J3436" i="1"/>
  <c r="Q3436" i="1"/>
  <c r="P3436" i="1" s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J3343" i="1"/>
  <c r="J3346" i="1"/>
  <c r="J3349" i="1"/>
  <c r="J3350" i="1"/>
  <c r="J3353" i="1"/>
  <c r="J3354" i="1"/>
  <c r="J3355" i="1"/>
  <c r="J3356" i="1"/>
  <c r="J3357" i="1"/>
  <c r="J3358" i="1"/>
  <c r="J3359" i="1"/>
  <c r="J3369" i="1"/>
  <c r="J3370" i="1"/>
  <c r="J3371" i="1"/>
  <c r="J3372" i="1"/>
  <c r="J3373" i="1"/>
  <c r="J3374" i="1"/>
  <c r="J3375" i="1"/>
  <c r="J3378" i="1"/>
  <c r="J3380" i="1"/>
  <c r="J3385" i="1"/>
  <c r="J3386" i="1"/>
  <c r="J3387" i="1"/>
  <c r="J3388" i="1"/>
  <c r="J3389" i="1"/>
  <c r="J3394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10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6" i="1"/>
  <c r="J3428" i="1"/>
  <c r="J3429" i="1"/>
  <c r="J3430" i="1"/>
  <c r="J3431" i="1"/>
  <c r="J3432" i="1"/>
  <c r="J3433" i="1"/>
  <c r="J3434" i="1"/>
  <c r="J3435" i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Q3434" i="1"/>
  <c r="P3434" i="1" s="1"/>
  <c r="Q3435" i="1"/>
  <c r="P3435" i="1" s="1"/>
  <c r="J3335" i="1"/>
  <c r="J3334" i="1"/>
  <c r="J3333" i="1"/>
  <c r="H3341" i="1"/>
  <c r="H3342" i="1"/>
  <c r="Q3341" i="1"/>
  <c r="P3341" i="1" s="1"/>
  <c r="Q3342" i="1"/>
  <c r="P3342" i="1" s="1"/>
  <c r="H3340" i="1"/>
  <c r="Q3340" i="1"/>
  <c r="P3340" i="1" s="1"/>
  <c r="J3339" i="1"/>
  <c r="J3338" i="1"/>
  <c r="J3337" i="1"/>
  <c r="J3336" i="1"/>
  <c r="J3332" i="1"/>
  <c r="H3334" i="1"/>
  <c r="H3335" i="1"/>
  <c r="H3336" i="1"/>
  <c r="H3337" i="1"/>
  <c r="H3338" i="1"/>
  <c r="H3339" i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H3333" i="1"/>
  <c r="Q3333" i="1"/>
  <c r="P3333" i="1" s="1"/>
  <c r="H3332" i="1"/>
  <c r="Q3332" i="1"/>
  <c r="P3332" i="1" s="1"/>
  <c r="H3331" i="1"/>
  <c r="J3331" i="1"/>
  <c r="Q3331" i="1"/>
  <c r="P3331" i="1" s="1"/>
  <c r="J3275" i="1"/>
  <c r="J3274" i="1"/>
  <c r="J3272" i="1"/>
  <c r="J3258" i="1"/>
  <c r="J3257" i="1"/>
  <c r="J3256" i="1"/>
  <c r="J3251" i="1"/>
  <c r="J3241" i="1"/>
  <c r="J3240" i="1"/>
  <c r="J3236" i="1"/>
  <c r="J3235" i="1"/>
  <c r="J3224" i="1"/>
  <c r="J3209" i="1"/>
  <c r="J3201" i="1"/>
  <c r="J3200" i="1"/>
  <c r="J3199" i="1"/>
  <c r="J3198" i="1"/>
  <c r="J3197" i="1"/>
  <c r="J3193" i="1"/>
  <c r="J3178" i="1"/>
  <c r="J3174" i="1"/>
  <c r="J3170" i="1"/>
  <c r="J3162" i="1"/>
  <c r="J3158" i="1"/>
  <c r="J3155" i="1"/>
  <c r="J3140" i="1"/>
  <c r="J3139" i="1"/>
  <c r="J3138" i="1"/>
  <c r="J3124" i="1"/>
  <c r="J3123" i="1"/>
  <c r="J3107" i="1"/>
  <c r="J3105" i="1"/>
  <c r="J3102" i="1"/>
  <c r="J3317" i="1"/>
  <c r="J3316" i="1"/>
  <c r="J3315" i="1"/>
  <c r="J3301" i="1"/>
  <c r="J3300" i="1"/>
  <c r="J3299" i="1"/>
  <c r="J3289" i="1"/>
  <c r="J3288" i="1"/>
  <c r="J3284" i="1"/>
  <c r="J3283" i="1"/>
  <c r="J3268" i="1"/>
  <c r="J3267" i="1"/>
  <c r="J3252" i="1"/>
  <c r="J3220" i="1"/>
  <c r="J3219" i="1"/>
  <c r="J3204" i="1"/>
  <c r="J3203" i="1"/>
  <c r="J3187" i="1"/>
  <c r="J3171" i="1"/>
  <c r="J3156" i="1"/>
  <c r="J3154" i="1"/>
  <c r="H3321" i="1"/>
  <c r="H3322" i="1"/>
  <c r="H3323" i="1"/>
  <c r="H3324" i="1"/>
  <c r="H3325" i="1"/>
  <c r="H3326" i="1"/>
  <c r="H3327" i="1"/>
  <c r="H3328" i="1"/>
  <c r="H3329" i="1"/>
  <c r="H3330" i="1"/>
  <c r="J3321" i="1"/>
  <c r="J3322" i="1"/>
  <c r="J3323" i="1"/>
  <c r="J3324" i="1"/>
  <c r="J3325" i="1"/>
  <c r="J3326" i="1"/>
  <c r="J3327" i="1"/>
  <c r="J3328" i="1"/>
  <c r="J3329" i="1"/>
  <c r="J3330" i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H3314" i="1"/>
  <c r="H3315" i="1"/>
  <c r="H3316" i="1"/>
  <c r="H3317" i="1"/>
  <c r="H3318" i="1"/>
  <c r="H3319" i="1"/>
  <c r="H3320" i="1"/>
  <c r="J3314" i="1"/>
  <c r="J3318" i="1"/>
  <c r="J3319" i="1"/>
  <c r="J3320" i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H3313" i="1"/>
  <c r="J3313" i="1"/>
  <c r="Q3313" i="1"/>
  <c r="P3313" i="1" s="1"/>
  <c r="H3312" i="1"/>
  <c r="J3312" i="1"/>
  <c r="Q3312" i="1"/>
  <c r="P3312" i="1" s="1"/>
  <c r="H3311" i="1"/>
  <c r="J3311" i="1"/>
  <c r="Q3311" i="1"/>
  <c r="P3311" i="1" s="1"/>
  <c r="H3310" i="1"/>
  <c r="J3310" i="1"/>
  <c r="Q3310" i="1"/>
  <c r="P3310" i="1" s="1"/>
  <c r="H3309" i="1"/>
  <c r="J3309" i="1"/>
  <c r="Q3309" i="1"/>
  <c r="P3309" i="1" s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J3291" i="1"/>
  <c r="J3292" i="1"/>
  <c r="J3293" i="1"/>
  <c r="J3294" i="1"/>
  <c r="J3295" i="1"/>
  <c r="J3296" i="1"/>
  <c r="J3297" i="1"/>
  <c r="J3298" i="1"/>
  <c r="J3302" i="1"/>
  <c r="J3303" i="1"/>
  <c r="J3304" i="1"/>
  <c r="J3305" i="1"/>
  <c r="J3306" i="1"/>
  <c r="J3307" i="1"/>
  <c r="J3308" i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H3290" i="1"/>
  <c r="J3290" i="1"/>
  <c r="Q3290" i="1"/>
  <c r="P3290" i="1" s="1"/>
  <c r="H3289" i="1"/>
  <c r="Q3289" i="1"/>
  <c r="P3289" i="1" s="1"/>
  <c r="H3288" i="1"/>
  <c r="Q3288" i="1"/>
  <c r="P3288" i="1" s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J3276" i="1"/>
  <c r="J3277" i="1"/>
  <c r="J3278" i="1"/>
  <c r="J3279" i="1"/>
  <c r="J3280" i="1"/>
  <c r="J3281" i="1"/>
  <c r="J3282" i="1"/>
  <c r="J3285" i="1"/>
  <c r="J3286" i="1"/>
  <c r="J3287" i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J3261" i="1"/>
  <c r="J3260" i="1"/>
  <c r="J3259" i="1"/>
  <c r="J3245" i="1"/>
  <c r="J3244" i="1"/>
  <c r="J3243" i="1"/>
  <c r="J3229" i="1"/>
  <c r="J3228" i="1"/>
  <c r="J3227" i="1"/>
  <c r="J3213" i="1"/>
  <c r="J3212" i="1"/>
  <c r="J3211" i="1"/>
  <c r="J3196" i="1"/>
  <c r="J3195" i="1"/>
  <c r="J3180" i="1"/>
  <c r="J3179" i="1"/>
  <c r="J3165" i="1"/>
  <c r="J3164" i="1"/>
  <c r="J3163" i="1"/>
  <c r="J3149" i="1"/>
  <c r="J3148" i="1"/>
  <c r="J3147" i="1"/>
  <c r="J3133" i="1"/>
  <c r="J3132" i="1"/>
  <c r="J3131" i="1"/>
  <c r="J3117" i="1"/>
  <c r="J3116" i="1"/>
  <c r="J3115" i="1"/>
  <c r="J3101" i="1"/>
  <c r="J3100" i="1"/>
  <c r="J3099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J3097" i="1"/>
  <c r="J3098" i="1"/>
  <c r="J3103" i="1"/>
  <c r="J3104" i="1"/>
  <c r="J3106" i="1"/>
  <c r="J3108" i="1"/>
  <c r="J3109" i="1"/>
  <c r="J3110" i="1"/>
  <c r="J3111" i="1"/>
  <c r="J3112" i="1"/>
  <c r="J3113" i="1"/>
  <c r="J3114" i="1"/>
  <c r="J3118" i="1"/>
  <c r="J3119" i="1"/>
  <c r="J3120" i="1"/>
  <c r="J3121" i="1"/>
  <c r="J3122" i="1"/>
  <c r="J3125" i="1"/>
  <c r="J3126" i="1"/>
  <c r="J3127" i="1"/>
  <c r="J3128" i="1"/>
  <c r="J3129" i="1"/>
  <c r="J3130" i="1"/>
  <c r="J3134" i="1"/>
  <c r="J3135" i="1"/>
  <c r="J3136" i="1"/>
  <c r="J3137" i="1"/>
  <c r="J3141" i="1"/>
  <c r="J3142" i="1"/>
  <c r="J3143" i="1"/>
  <c r="J3144" i="1"/>
  <c r="J3145" i="1"/>
  <c r="J3146" i="1"/>
  <c r="J3150" i="1"/>
  <c r="J3151" i="1"/>
  <c r="J3152" i="1"/>
  <c r="J3153" i="1"/>
  <c r="J3157" i="1"/>
  <c r="J3159" i="1"/>
  <c r="J3160" i="1"/>
  <c r="J3161" i="1"/>
  <c r="J3166" i="1"/>
  <c r="J3167" i="1"/>
  <c r="J3168" i="1"/>
  <c r="J3169" i="1"/>
  <c r="J3172" i="1"/>
  <c r="J3173" i="1"/>
  <c r="J3175" i="1"/>
  <c r="J3176" i="1"/>
  <c r="J3177" i="1"/>
  <c r="J3181" i="1"/>
  <c r="J3182" i="1"/>
  <c r="J3183" i="1"/>
  <c r="J3184" i="1"/>
  <c r="J3185" i="1"/>
  <c r="J3186" i="1"/>
  <c r="J3188" i="1"/>
  <c r="J3189" i="1"/>
  <c r="J3190" i="1"/>
  <c r="J3191" i="1"/>
  <c r="J3192" i="1"/>
  <c r="J3194" i="1"/>
  <c r="J3202" i="1"/>
  <c r="J3205" i="1"/>
  <c r="J3206" i="1"/>
  <c r="J3207" i="1"/>
  <c r="J3208" i="1"/>
  <c r="J3210" i="1"/>
  <c r="J3214" i="1"/>
  <c r="J3215" i="1"/>
  <c r="J3216" i="1"/>
  <c r="J3217" i="1"/>
  <c r="J3218" i="1"/>
  <c r="J3221" i="1"/>
  <c r="J3222" i="1"/>
  <c r="J3223" i="1"/>
  <c r="J3225" i="1"/>
  <c r="J3226" i="1"/>
  <c r="J3230" i="1"/>
  <c r="J3231" i="1"/>
  <c r="J3232" i="1"/>
  <c r="J3233" i="1"/>
  <c r="J3234" i="1"/>
  <c r="J3237" i="1"/>
  <c r="J3238" i="1"/>
  <c r="J3239" i="1"/>
  <c r="J3242" i="1"/>
  <c r="J3246" i="1"/>
  <c r="J3247" i="1"/>
  <c r="J3248" i="1"/>
  <c r="J3249" i="1"/>
  <c r="J3250" i="1"/>
  <c r="J3253" i="1"/>
  <c r="J3254" i="1"/>
  <c r="J3255" i="1"/>
  <c r="J3262" i="1"/>
  <c r="J3263" i="1"/>
  <c r="J3264" i="1"/>
  <c r="J3265" i="1"/>
  <c r="J3266" i="1"/>
  <c r="J3269" i="1"/>
  <c r="J3270" i="1"/>
  <c r="J3271" i="1"/>
  <c r="J3273" i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H3086" i="1"/>
  <c r="H3087" i="1"/>
  <c r="H3088" i="1"/>
  <c r="H3089" i="1"/>
  <c r="H3090" i="1"/>
  <c r="H3091" i="1"/>
  <c r="H3092" i="1"/>
  <c r="H3093" i="1"/>
  <c r="H3094" i="1"/>
  <c r="H3095" i="1"/>
  <c r="H3096" i="1"/>
  <c r="J3086" i="1"/>
  <c r="J3087" i="1"/>
  <c r="J3088" i="1"/>
  <c r="J3089" i="1"/>
  <c r="J3090" i="1"/>
  <c r="J3091" i="1"/>
  <c r="J3092" i="1"/>
  <c r="J3093" i="1"/>
  <c r="J3094" i="1"/>
  <c r="J3095" i="1"/>
  <c r="J3096" i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J2775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Q2813" i="1"/>
  <c r="P2813" i="1" s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Q2821" i="1"/>
  <c r="P2821" i="1" s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Q2833" i="1"/>
  <c r="P2833" i="1" s="1"/>
  <c r="Q2834" i="1"/>
  <c r="P2834" i="1" s="1"/>
  <c r="Q2835" i="1"/>
  <c r="P2835" i="1" s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Q2843" i="1"/>
  <c r="P2843" i="1" s="1"/>
  <c r="Q2844" i="1"/>
  <c r="P2844" i="1" s="1"/>
  <c r="Q2845" i="1"/>
  <c r="P2845" i="1" s="1"/>
  <c r="Q2846" i="1"/>
  <c r="P2846" i="1" s="1"/>
  <c r="Q2847" i="1"/>
  <c r="P2847" i="1" s="1"/>
  <c r="Q2848" i="1"/>
  <c r="P2848" i="1" s="1"/>
  <c r="Q2849" i="1"/>
  <c r="P2849" i="1" s="1"/>
  <c r="Q2850" i="1"/>
  <c r="P2850" i="1" s="1"/>
  <c r="Q2851" i="1"/>
  <c r="P2851" i="1" s="1"/>
  <c r="Q2852" i="1"/>
  <c r="P2852" i="1" s="1"/>
  <c r="Q2853" i="1"/>
  <c r="P2853" i="1" s="1"/>
  <c r="Q2854" i="1"/>
  <c r="P2854" i="1" s="1"/>
  <c r="Q2855" i="1"/>
  <c r="P2855" i="1" s="1"/>
  <c r="Q2856" i="1"/>
  <c r="P2856" i="1" s="1"/>
  <c r="Q2857" i="1"/>
  <c r="P2857" i="1" s="1"/>
  <c r="Q2858" i="1"/>
  <c r="P2858" i="1" s="1"/>
  <c r="Q2859" i="1"/>
  <c r="P2859" i="1" s="1"/>
  <c r="Q2860" i="1"/>
  <c r="P2860" i="1" s="1"/>
  <c r="Q2861" i="1"/>
  <c r="P2861" i="1" s="1"/>
  <c r="Q2862" i="1"/>
  <c r="P2862" i="1" s="1"/>
  <c r="Q2863" i="1"/>
  <c r="P2863" i="1" s="1"/>
  <c r="Q2864" i="1"/>
  <c r="P2864" i="1" s="1"/>
  <c r="Q2865" i="1"/>
  <c r="P2865" i="1" s="1"/>
  <c r="Q2866" i="1"/>
  <c r="P2866" i="1" s="1"/>
  <c r="Q2867" i="1"/>
  <c r="P2867" i="1" s="1"/>
  <c r="Q2868" i="1"/>
  <c r="P2868" i="1" s="1"/>
  <c r="Q2869" i="1"/>
  <c r="P2869" i="1" s="1"/>
  <c r="Q2870" i="1"/>
  <c r="P2870" i="1" s="1"/>
  <c r="Q2871" i="1"/>
  <c r="P2871" i="1" s="1"/>
  <c r="Q2872" i="1"/>
  <c r="P2872" i="1" s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Q2897" i="1"/>
  <c r="P2897" i="1" s="1"/>
  <c r="Q2898" i="1"/>
  <c r="P2898" i="1" s="1"/>
  <c r="Q2899" i="1"/>
  <c r="P2899" i="1" s="1"/>
  <c r="Q2900" i="1"/>
  <c r="P2900" i="1" s="1"/>
  <c r="Q2901" i="1"/>
  <c r="P2901" i="1" s="1"/>
  <c r="Q2902" i="1"/>
  <c r="P2902" i="1" s="1"/>
  <c r="Q2903" i="1"/>
  <c r="P2903" i="1" s="1"/>
  <c r="Q2904" i="1"/>
  <c r="P2904" i="1" s="1"/>
  <c r="Q2905" i="1"/>
  <c r="P2905" i="1" s="1"/>
  <c r="Q2906" i="1"/>
  <c r="P2906" i="1" s="1"/>
  <c r="Q2907" i="1"/>
  <c r="P2907" i="1" s="1"/>
  <c r="Q2908" i="1"/>
  <c r="P2908" i="1" s="1"/>
  <c r="Q2909" i="1"/>
  <c r="P2909" i="1" s="1"/>
  <c r="Q2910" i="1"/>
  <c r="P2910" i="1" s="1"/>
  <c r="Q2911" i="1"/>
  <c r="P2911" i="1" s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Q2919" i="1"/>
  <c r="P2919" i="1" s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J2790" i="1"/>
  <c r="J2788" i="1"/>
  <c r="J2786" i="1"/>
  <c r="J2785" i="1"/>
  <c r="J2784" i="1"/>
  <c r="J2782" i="1"/>
  <c r="J2780" i="1"/>
  <c r="J2779" i="1"/>
  <c r="J2778" i="1"/>
  <c r="J2777" i="1"/>
  <c r="J2776" i="1"/>
  <c r="J2774" i="1"/>
  <c r="J2781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J2783" i="1"/>
  <c r="J2787" i="1"/>
  <c r="J2789" i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H2773" i="1"/>
  <c r="J2773" i="1"/>
  <c r="Q2773" i="1"/>
  <c r="P2773" i="1" s="1"/>
  <c r="H2766" i="1"/>
  <c r="H2767" i="1"/>
  <c r="H2768" i="1"/>
  <c r="H2769" i="1"/>
  <c r="H2770" i="1"/>
  <c r="H2771" i="1"/>
  <c r="H2772" i="1"/>
  <c r="J2766" i="1"/>
  <c r="J2767" i="1"/>
  <c r="J2768" i="1"/>
  <c r="J2769" i="1"/>
  <c r="J2770" i="1"/>
  <c r="J2771" i="1"/>
  <c r="J2772" i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J2759" i="1"/>
  <c r="J2757" i="1"/>
  <c r="H2765" i="1"/>
  <c r="J2765" i="1"/>
  <c r="Q2765" i="1"/>
  <c r="P2765" i="1" s="1"/>
  <c r="H2762" i="1"/>
  <c r="H2763" i="1"/>
  <c r="H2764" i="1"/>
  <c r="J2762" i="1"/>
  <c r="J2763" i="1"/>
  <c r="J2764" i="1"/>
  <c r="Q2762" i="1"/>
  <c r="P2762" i="1" s="1"/>
  <c r="Q2763" i="1"/>
  <c r="P2763" i="1" s="1"/>
  <c r="Q2764" i="1"/>
  <c r="P2764" i="1" s="1"/>
  <c r="H2761" i="1"/>
  <c r="J2761" i="1"/>
  <c r="Q2761" i="1"/>
  <c r="P2761" i="1" s="1"/>
  <c r="H2760" i="1"/>
  <c r="J2760" i="1"/>
  <c r="Q2760" i="1"/>
  <c r="P2760" i="1" s="1"/>
  <c r="H2759" i="1"/>
  <c r="Q2759" i="1"/>
  <c r="P2759" i="1" s="1"/>
  <c r="H2757" i="1"/>
  <c r="H2758" i="1"/>
  <c r="J2758" i="1"/>
  <c r="Q2757" i="1"/>
  <c r="P2757" i="1" s="1"/>
  <c r="Q2758" i="1"/>
  <c r="P2758" i="1" s="1"/>
  <c r="H2756" i="1"/>
  <c r="J2756" i="1"/>
  <c r="Q2756" i="1"/>
  <c r="P2756" i="1" s="1"/>
  <c r="H2754" i="1"/>
  <c r="H2755" i="1"/>
  <c r="J2754" i="1"/>
  <c r="J2755" i="1"/>
  <c r="Q2754" i="1"/>
  <c r="P2754" i="1" s="1"/>
  <c r="Q2755" i="1"/>
  <c r="P2755" i="1" s="1"/>
  <c r="J2738" i="1"/>
  <c r="J2734" i="1"/>
  <c r="J2731" i="1"/>
  <c r="J2730" i="1"/>
  <c r="J2729" i="1"/>
  <c r="J2742" i="1"/>
  <c r="J2741" i="1"/>
  <c r="J2739" i="1"/>
  <c r="J2726" i="1"/>
  <c r="J2725" i="1"/>
  <c r="J2718" i="1"/>
  <c r="H2752" i="1"/>
  <c r="H2753" i="1"/>
  <c r="J2752" i="1"/>
  <c r="J2753" i="1"/>
  <c r="Q2752" i="1"/>
  <c r="P2752" i="1" s="1"/>
  <c r="Q2753" i="1"/>
  <c r="P2753" i="1" s="1"/>
  <c r="H2751" i="1"/>
  <c r="J2751" i="1"/>
  <c r="Q2751" i="1"/>
  <c r="P2751" i="1" s="1"/>
  <c r="H2744" i="1"/>
  <c r="H2745" i="1"/>
  <c r="H2746" i="1"/>
  <c r="H2747" i="1"/>
  <c r="H2748" i="1"/>
  <c r="H2749" i="1"/>
  <c r="H2750" i="1"/>
  <c r="J2744" i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J2727" i="1"/>
  <c r="J2728" i="1"/>
  <c r="J2732" i="1"/>
  <c r="J2733" i="1"/>
  <c r="J2735" i="1"/>
  <c r="J2736" i="1"/>
  <c r="J2737" i="1"/>
  <c r="J2740" i="1"/>
  <c r="J2743" i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H2726" i="1"/>
  <c r="Q2726" i="1"/>
  <c r="P2726" i="1" s="1"/>
  <c r="J2724" i="1"/>
  <c r="J2723" i="1"/>
  <c r="J2722" i="1"/>
  <c r="J2721" i="1"/>
  <c r="J2720" i="1"/>
  <c r="J2717" i="1"/>
  <c r="J2714" i="1"/>
  <c r="H2725" i="1"/>
  <c r="Q2725" i="1"/>
  <c r="P2725" i="1" s="1"/>
  <c r="J2715" i="1"/>
  <c r="J2719" i="1"/>
  <c r="H2724" i="1"/>
  <c r="Q2724" i="1"/>
  <c r="P2724" i="1" s="1"/>
  <c r="H2723" i="1"/>
  <c r="Q2723" i="1"/>
  <c r="P2723" i="1" s="1"/>
  <c r="H2722" i="1"/>
  <c r="Q2722" i="1"/>
  <c r="P2722" i="1" s="1"/>
  <c r="H2718" i="1"/>
  <c r="H2719" i="1"/>
  <c r="H2720" i="1"/>
  <c r="H2721" i="1"/>
  <c r="Q2718" i="1"/>
  <c r="P2718" i="1" s="1"/>
  <c r="Q2719" i="1"/>
  <c r="P2719" i="1" s="1"/>
  <c r="Q2720" i="1"/>
  <c r="P2720" i="1" s="1"/>
  <c r="Q2721" i="1"/>
  <c r="P2721" i="1" s="1"/>
  <c r="H2717" i="1"/>
  <c r="Q2717" i="1"/>
  <c r="P2717" i="1" s="1"/>
  <c r="J2716" i="1"/>
  <c r="J2713" i="1"/>
  <c r="J2712" i="1"/>
  <c r="J2711" i="1"/>
  <c r="H2716" i="1"/>
  <c r="Q2716" i="1"/>
  <c r="P2716" i="1" s="1"/>
  <c r="H2715" i="1"/>
  <c r="Q2715" i="1"/>
  <c r="P2715" i="1" s="1"/>
  <c r="H2714" i="1"/>
  <c r="Q2714" i="1"/>
  <c r="P2714" i="1" s="1"/>
  <c r="H2712" i="1"/>
  <c r="H2713" i="1"/>
  <c r="Q2712" i="1"/>
  <c r="P2712" i="1" s="1"/>
  <c r="Q2713" i="1"/>
  <c r="P2713" i="1" s="1"/>
  <c r="H2711" i="1"/>
  <c r="Q2711" i="1"/>
  <c r="P2711" i="1" s="1"/>
  <c r="S2103" i="1"/>
  <c r="S1766" i="1"/>
  <c r="S1728" i="1"/>
  <c r="S1284" i="1"/>
  <c r="S1150" i="1"/>
  <c r="S1038" i="1"/>
  <c r="S1037" i="1"/>
  <c r="S1036" i="1"/>
  <c r="S1035" i="1"/>
  <c r="S1034" i="1"/>
  <c r="S1033" i="1"/>
  <c r="S1032" i="1"/>
  <c r="S1031" i="1"/>
  <c r="S992" i="1"/>
  <c r="S985" i="1"/>
  <c r="S984" i="1"/>
  <c r="S983" i="1"/>
  <c r="S982" i="1"/>
  <c r="S869" i="1"/>
  <c r="S773" i="1"/>
  <c r="S772" i="1"/>
  <c r="S771" i="1"/>
  <c r="S770" i="1"/>
  <c r="S769" i="1"/>
  <c r="S768" i="1"/>
  <c r="S767" i="1"/>
  <c r="S766" i="1"/>
  <c r="S765" i="1"/>
  <c r="S764" i="1"/>
  <c r="S763" i="1"/>
  <c r="S738" i="1"/>
  <c r="S711" i="1"/>
  <c r="S710" i="1"/>
  <c r="S709" i="1"/>
  <c r="S708" i="1"/>
  <c r="S707" i="1"/>
  <c r="S684" i="1"/>
  <c r="S683" i="1"/>
  <c r="S682" i="1"/>
  <c r="S681" i="1"/>
  <c r="S670" i="1"/>
  <c r="S669" i="1"/>
  <c r="S668" i="1"/>
  <c r="S472" i="1"/>
  <c r="S471" i="1"/>
  <c r="S470" i="1"/>
  <c r="S469" i="1"/>
  <c r="S468" i="1"/>
  <c r="S467" i="1"/>
  <c r="S466" i="1"/>
  <c r="S432" i="1"/>
  <c r="S394" i="1"/>
  <c r="S348" i="1"/>
  <c r="S275" i="1"/>
  <c r="S268" i="1"/>
  <c r="S267" i="1"/>
  <c r="S259" i="1"/>
  <c r="S253" i="1"/>
  <c r="S242" i="1"/>
  <c r="S237" i="1"/>
  <c r="S211" i="1"/>
  <c r="S138" i="1"/>
  <c r="S88" i="1"/>
  <c r="S84" i="1"/>
  <c r="S82" i="1"/>
  <c r="S74" i="1"/>
  <c r="S70" i="1"/>
  <c r="S68" i="1"/>
  <c r="H2710" i="1"/>
  <c r="J2710" i="1"/>
  <c r="Q2710" i="1"/>
  <c r="P2710" i="1" s="1"/>
  <c r="H2709" i="1"/>
  <c r="J2709" i="1"/>
  <c r="Q2709" i="1"/>
  <c r="P2709" i="1" s="1"/>
  <c r="H2708" i="1"/>
  <c r="J2708" i="1"/>
  <c r="Q2708" i="1"/>
  <c r="P2708" i="1" s="1"/>
  <c r="J2707" i="1"/>
  <c r="J2706" i="1"/>
  <c r="J2705" i="1"/>
  <c r="J2702" i="1"/>
  <c r="J2697" i="1"/>
  <c r="J2704" i="1"/>
  <c r="J2703" i="1"/>
  <c r="H2707" i="1"/>
  <c r="Q2707" i="1"/>
  <c r="P2707" i="1" s="1"/>
  <c r="H2706" i="1"/>
  <c r="Q2706" i="1"/>
  <c r="P2706" i="1" s="1"/>
  <c r="H2704" i="1"/>
  <c r="H2705" i="1"/>
  <c r="Q2704" i="1"/>
  <c r="P2704" i="1" s="1"/>
  <c r="Q2705" i="1"/>
  <c r="P2705" i="1" s="1"/>
  <c r="H2703" i="1"/>
  <c r="Q2703" i="1"/>
  <c r="P2703" i="1" s="1"/>
  <c r="H2702" i="1"/>
  <c r="Q2702" i="1"/>
  <c r="P2702" i="1" s="1"/>
  <c r="J2701" i="1"/>
  <c r="J2700" i="1"/>
  <c r="J2699" i="1"/>
  <c r="J2698" i="1"/>
  <c r="J2696" i="1"/>
  <c r="J2691" i="1"/>
  <c r="J2690" i="1"/>
  <c r="J2689" i="1"/>
  <c r="H2700" i="1"/>
  <c r="H2701" i="1"/>
  <c r="Q2700" i="1"/>
  <c r="P2700" i="1" s="1"/>
  <c r="Q2701" i="1"/>
  <c r="P2701" i="1" s="1"/>
  <c r="H2699" i="1"/>
  <c r="Q2699" i="1"/>
  <c r="P2699" i="1" s="1"/>
  <c r="J2692" i="1"/>
  <c r="H2698" i="1"/>
  <c r="Q2698" i="1"/>
  <c r="P2698" i="1" s="1"/>
  <c r="H2697" i="1"/>
  <c r="Q2697" i="1"/>
  <c r="P2697" i="1" s="1"/>
  <c r="H2690" i="1"/>
  <c r="H2691" i="1"/>
  <c r="H2692" i="1"/>
  <c r="H2693" i="1"/>
  <c r="H2694" i="1"/>
  <c r="H2695" i="1"/>
  <c r="H2696" i="1"/>
  <c r="J2693" i="1"/>
  <c r="J2694" i="1"/>
  <c r="J2695" i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H2689" i="1"/>
  <c r="Q2689" i="1"/>
  <c r="P2689" i="1" s="1"/>
  <c r="H2687" i="1"/>
  <c r="H2688" i="1"/>
  <c r="J2687" i="1"/>
  <c r="J2688" i="1"/>
  <c r="Q2687" i="1"/>
  <c r="P2687" i="1" s="1"/>
  <c r="Q2688" i="1"/>
  <c r="P2688" i="1" s="1"/>
  <c r="H2676" i="1"/>
  <c r="H2677" i="1"/>
  <c r="H2678" i="1"/>
  <c r="H2679" i="1"/>
  <c r="H2680" i="1"/>
  <c r="H2681" i="1"/>
  <c r="H2682" i="1"/>
  <c r="H2683" i="1"/>
  <c r="H2684" i="1"/>
  <c r="H2685" i="1"/>
  <c r="H2686" i="1"/>
  <c r="J2676" i="1"/>
  <c r="J2677" i="1"/>
  <c r="J2678" i="1"/>
  <c r="J2679" i="1"/>
  <c r="J2680" i="1"/>
  <c r="J2681" i="1"/>
  <c r="J2682" i="1"/>
  <c r="J2683" i="1"/>
  <c r="J2684" i="1"/>
  <c r="J2685" i="1"/>
  <c r="J2686" i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H2675" i="1"/>
  <c r="J2675" i="1"/>
  <c r="Q2675" i="1"/>
  <c r="P2675" i="1" s="1"/>
  <c r="H2668" i="1"/>
  <c r="H2669" i="1"/>
  <c r="H2670" i="1"/>
  <c r="H2671" i="1"/>
  <c r="H2672" i="1"/>
  <c r="H2673" i="1"/>
  <c r="H2674" i="1"/>
  <c r="J2668" i="1"/>
  <c r="J2669" i="1"/>
  <c r="J2670" i="1"/>
  <c r="J2671" i="1"/>
  <c r="J2672" i="1"/>
  <c r="J2673" i="1"/>
  <c r="J2674" i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H2667" i="1"/>
  <c r="J2667" i="1"/>
  <c r="Q2667" i="1"/>
  <c r="P2667" i="1" s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Q2357" i="1"/>
  <c r="P2357" i="1" s="1"/>
  <c r="Q2358" i="1"/>
  <c r="P2358" i="1" s="1"/>
  <c r="Q2359" i="1"/>
  <c r="P2359" i="1" s="1"/>
  <c r="Q2360" i="1"/>
  <c r="P2360" i="1" s="1"/>
  <c r="Q2361" i="1"/>
  <c r="P2361" i="1" s="1"/>
  <c r="Q2362" i="1"/>
  <c r="P2362" i="1" s="1"/>
  <c r="Q2363" i="1"/>
  <c r="P2363" i="1" s="1"/>
  <c r="Q2364" i="1"/>
  <c r="P2364" i="1" s="1"/>
  <c r="Q2365" i="1"/>
  <c r="P2365" i="1" s="1"/>
  <c r="Q2366" i="1"/>
  <c r="P2366" i="1" s="1"/>
  <c r="Q2367" i="1"/>
  <c r="P2367" i="1" s="1"/>
  <c r="Q2368" i="1"/>
  <c r="P2368" i="1" s="1"/>
  <c r="Q2369" i="1"/>
  <c r="P2369" i="1" s="1"/>
  <c r="Q2370" i="1"/>
  <c r="P2370" i="1" s="1"/>
  <c r="Q2371" i="1"/>
  <c r="P2371" i="1" s="1"/>
  <c r="Q2372" i="1"/>
  <c r="P2372" i="1" s="1"/>
  <c r="Q2373" i="1"/>
  <c r="P2373" i="1" s="1"/>
  <c r="Q2374" i="1"/>
  <c r="P2374" i="1" s="1"/>
  <c r="Q2375" i="1"/>
  <c r="P2375" i="1" s="1"/>
  <c r="Q2376" i="1"/>
  <c r="P2376" i="1" s="1"/>
  <c r="Q2377" i="1"/>
  <c r="P2377" i="1" s="1"/>
  <c r="Q2378" i="1"/>
  <c r="P2378" i="1" s="1"/>
  <c r="Q2379" i="1"/>
  <c r="P2379" i="1" s="1"/>
  <c r="Q2380" i="1"/>
  <c r="P2380" i="1" s="1"/>
  <c r="Q2381" i="1"/>
  <c r="P2381" i="1" s="1"/>
  <c r="Q2382" i="1"/>
  <c r="P2382" i="1" s="1"/>
  <c r="Q2383" i="1"/>
  <c r="P2383" i="1" s="1"/>
  <c r="Q2384" i="1"/>
  <c r="P2384" i="1" s="1"/>
  <c r="Q2385" i="1"/>
  <c r="P2385" i="1" s="1"/>
  <c r="Q2386" i="1"/>
  <c r="P2386" i="1" s="1"/>
  <c r="Q2387" i="1"/>
  <c r="P2387" i="1" s="1"/>
  <c r="Q2388" i="1"/>
  <c r="P2388" i="1" s="1"/>
  <c r="Q2389" i="1"/>
  <c r="P2389" i="1" s="1"/>
  <c r="Q2390" i="1"/>
  <c r="P2390" i="1" s="1"/>
  <c r="Q2391" i="1"/>
  <c r="P2391" i="1" s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406" i="1"/>
  <c r="P2406" i="1" s="1"/>
  <c r="Q2407" i="1"/>
  <c r="P2407" i="1" s="1"/>
  <c r="Q2408" i="1"/>
  <c r="P2408" i="1" s="1"/>
  <c r="Q2409" i="1"/>
  <c r="P2409" i="1" s="1"/>
  <c r="Q2410" i="1"/>
  <c r="P2410" i="1" s="1"/>
  <c r="Q2411" i="1"/>
  <c r="P2411" i="1" s="1"/>
  <c r="Q2412" i="1"/>
  <c r="P2412" i="1" s="1"/>
  <c r="Q2413" i="1"/>
  <c r="P2413" i="1" s="1"/>
  <c r="Q2414" i="1"/>
  <c r="P2414" i="1" s="1"/>
  <c r="Q2415" i="1"/>
  <c r="P2415" i="1" s="1"/>
  <c r="Q2416" i="1"/>
  <c r="P2416" i="1" s="1"/>
  <c r="Q2417" i="1"/>
  <c r="P2417" i="1" s="1"/>
  <c r="Q2418" i="1"/>
  <c r="P2418" i="1" s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Q2427" i="1"/>
  <c r="P2427" i="1" s="1"/>
  <c r="Q2428" i="1"/>
  <c r="P2428" i="1" s="1"/>
  <c r="Q2429" i="1"/>
  <c r="P2429" i="1" s="1"/>
  <c r="Q2430" i="1"/>
  <c r="P2430" i="1" s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Q2499" i="1"/>
  <c r="P2499" i="1" s="1"/>
  <c r="Q2500" i="1"/>
  <c r="P2500" i="1" s="1"/>
  <c r="Q2501" i="1"/>
  <c r="P2501" i="1" s="1"/>
  <c r="Q2502" i="1"/>
  <c r="P2502" i="1" s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H2356" i="1"/>
  <c r="J2356" i="1"/>
  <c r="Q2356" i="1"/>
  <c r="P2356" i="1" s="1"/>
  <c r="H2355" i="1"/>
  <c r="J2355" i="1"/>
  <c r="Q2355" i="1"/>
  <c r="P2355" i="1" s="1"/>
  <c r="H2354" i="1"/>
  <c r="J2354" i="1"/>
  <c r="Q2354" i="1"/>
  <c r="P2354" i="1" s="1"/>
  <c r="H2353" i="1"/>
  <c r="J2353" i="1"/>
  <c r="Q2353" i="1"/>
  <c r="P2353" i="1" s="1"/>
  <c r="H2342" i="1"/>
  <c r="H2343" i="1"/>
  <c r="H2344" i="1"/>
  <c r="H2345" i="1"/>
  <c r="H2346" i="1"/>
  <c r="H2347" i="1"/>
  <c r="H2348" i="1"/>
  <c r="H2349" i="1"/>
  <c r="H2350" i="1"/>
  <c r="H2351" i="1"/>
  <c r="H2352" i="1"/>
  <c r="J2342" i="1"/>
  <c r="J2343" i="1"/>
  <c r="J2344" i="1"/>
  <c r="J2345" i="1"/>
  <c r="J2346" i="1"/>
  <c r="J2347" i="1"/>
  <c r="J2348" i="1"/>
  <c r="J2349" i="1"/>
  <c r="J2350" i="1"/>
  <c r="J2351" i="1"/>
  <c r="J2352" i="1"/>
  <c r="Q2342" i="1"/>
  <c r="P2342" i="1" s="1"/>
  <c r="Q2343" i="1"/>
  <c r="P2343" i="1" s="1"/>
  <c r="Q2344" i="1"/>
  <c r="P2344" i="1" s="1"/>
  <c r="Q2345" i="1"/>
  <c r="P2345" i="1" s="1"/>
  <c r="Q2346" i="1"/>
  <c r="P2346" i="1" s="1"/>
  <c r="Q2347" i="1"/>
  <c r="P2347" i="1" s="1"/>
  <c r="Q2348" i="1"/>
  <c r="P2348" i="1" s="1"/>
  <c r="Q2349" i="1"/>
  <c r="P2349" i="1" s="1"/>
  <c r="Q2350" i="1"/>
  <c r="P2350" i="1" s="1"/>
  <c r="Q2351" i="1"/>
  <c r="P2351" i="1" s="1"/>
  <c r="Q2352" i="1"/>
  <c r="P2352" i="1" s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Q2304" i="1"/>
  <c r="P2304" i="1" s="1"/>
  <c r="Q2305" i="1"/>
  <c r="P2305" i="1" s="1"/>
  <c r="Q2306" i="1"/>
  <c r="P2306" i="1" s="1"/>
  <c r="Q2307" i="1"/>
  <c r="P2307" i="1" s="1"/>
  <c r="Q2308" i="1"/>
  <c r="P2308" i="1" s="1"/>
  <c r="Q2309" i="1"/>
  <c r="P2309" i="1" s="1"/>
  <c r="Q2310" i="1"/>
  <c r="P2310" i="1" s="1"/>
  <c r="Q2311" i="1"/>
  <c r="P2311" i="1" s="1"/>
  <c r="Q2312" i="1"/>
  <c r="P2312" i="1" s="1"/>
  <c r="Q2313" i="1"/>
  <c r="P2313" i="1" s="1"/>
  <c r="Q2314" i="1"/>
  <c r="P2314" i="1" s="1"/>
  <c r="Q2315" i="1"/>
  <c r="P2315" i="1" s="1"/>
  <c r="Q2316" i="1"/>
  <c r="P2316" i="1" s="1"/>
  <c r="Q2317" i="1"/>
  <c r="P2317" i="1" s="1"/>
  <c r="Q2318" i="1"/>
  <c r="P2318" i="1" s="1"/>
  <c r="Q2319" i="1"/>
  <c r="P2319" i="1" s="1"/>
  <c r="Q2320" i="1"/>
  <c r="P2320" i="1" s="1"/>
  <c r="Q2321" i="1"/>
  <c r="P2321" i="1" s="1"/>
  <c r="Q2322" i="1"/>
  <c r="P2322" i="1" s="1"/>
  <c r="Q2323" i="1"/>
  <c r="P2323" i="1" s="1"/>
  <c r="Q2324" i="1"/>
  <c r="P2324" i="1" s="1"/>
  <c r="Q2325" i="1"/>
  <c r="P2325" i="1" s="1"/>
  <c r="Q2326" i="1"/>
  <c r="P2326" i="1" s="1"/>
  <c r="Q2327" i="1"/>
  <c r="P2327" i="1" s="1"/>
  <c r="Q2328" i="1"/>
  <c r="P2328" i="1" s="1"/>
  <c r="Q2329" i="1"/>
  <c r="P2329" i="1" s="1"/>
  <c r="Q2330" i="1"/>
  <c r="P2330" i="1" s="1"/>
  <c r="Q2331" i="1"/>
  <c r="P2331" i="1" s="1"/>
  <c r="Q2332" i="1"/>
  <c r="P2332" i="1" s="1"/>
  <c r="Q2333" i="1"/>
  <c r="P2333" i="1" s="1"/>
  <c r="Q2334" i="1"/>
  <c r="P2334" i="1" s="1"/>
  <c r="Q2335" i="1"/>
  <c r="P2335" i="1" s="1"/>
  <c r="Q2336" i="1"/>
  <c r="P2336" i="1" s="1"/>
  <c r="Q2337" i="1"/>
  <c r="P2337" i="1" s="1"/>
  <c r="Q2338" i="1"/>
  <c r="P2338" i="1" s="1"/>
  <c r="Q2339" i="1"/>
  <c r="P2339" i="1" s="1"/>
  <c r="Q2340" i="1"/>
  <c r="P2340" i="1" s="1"/>
  <c r="Q2341" i="1"/>
  <c r="P2341" i="1" s="1"/>
  <c r="H2284" i="1"/>
  <c r="J2284" i="1"/>
  <c r="Q2284" i="1"/>
  <c r="P2284" i="1" s="1"/>
  <c r="H2283" i="1"/>
  <c r="J2283" i="1"/>
  <c r="Q2283" i="1"/>
  <c r="P2283" i="1" s="1"/>
  <c r="H2282" i="1"/>
  <c r="J2282" i="1"/>
  <c r="Q2282" i="1"/>
  <c r="P2282" i="1" s="1"/>
  <c r="H2281" i="1"/>
  <c r="J2281" i="1"/>
  <c r="Q2281" i="1"/>
  <c r="P2281" i="1" s="1"/>
  <c r="H2273" i="1"/>
  <c r="H2274" i="1"/>
  <c r="H2275" i="1"/>
  <c r="H2276" i="1"/>
  <c r="H2277" i="1"/>
  <c r="H2278" i="1"/>
  <c r="H2279" i="1"/>
  <c r="H2280" i="1"/>
  <c r="J2273" i="1"/>
  <c r="J2274" i="1"/>
  <c r="J2275" i="1"/>
  <c r="J2276" i="1"/>
  <c r="J2277" i="1"/>
  <c r="J2278" i="1"/>
  <c r="J2279" i="1"/>
  <c r="J2280" i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H2272" i="1"/>
  <c r="J2272" i="1"/>
  <c r="Q2272" i="1"/>
  <c r="P2272" i="1" s="1"/>
  <c r="H2271" i="1"/>
  <c r="J2271" i="1"/>
  <c r="Q2271" i="1"/>
  <c r="P2271" i="1" s="1"/>
  <c r="H2270" i="1"/>
  <c r="J2270" i="1"/>
  <c r="Q2270" i="1"/>
  <c r="P2270" i="1" s="1"/>
  <c r="H2269" i="1"/>
  <c r="J2269" i="1"/>
  <c r="Q2269" i="1"/>
  <c r="P2269" i="1" s="1"/>
  <c r="H2268" i="1"/>
  <c r="J2268" i="1"/>
  <c r="Q2268" i="1"/>
  <c r="P2268" i="1" s="1"/>
  <c r="H2267" i="1"/>
  <c r="J2267" i="1"/>
  <c r="Q2267" i="1"/>
  <c r="P2267" i="1" s="1"/>
  <c r="H2263" i="1"/>
  <c r="H2264" i="1"/>
  <c r="H2265" i="1"/>
  <c r="H2266" i="1"/>
  <c r="J2263" i="1"/>
  <c r="J2264" i="1"/>
  <c r="J2265" i="1"/>
  <c r="J2266" i="1"/>
  <c r="Q2263" i="1"/>
  <c r="P2263" i="1" s="1"/>
  <c r="Q2264" i="1"/>
  <c r="P2264" i="1" s="1"/>
  <c r="Q2265" i="1"/>
  <c r="P2265" i="1" s="1"/>
  <c r="Q2266" i="1"/>
  <c r="P2266" i="1" s="1"/>
  <c r="J2141" i="1"/>
  <c r="J2140" i="1"/>
  <c r="J2125" i="1"/>
  <c r="J2124" i="1"/>
  <c r="J2260" i="1"/>
  <c r="J2259" i="1"/>
  <c r="J2254" i="1"/>
  <c r="J2252" i="1"/>
  <c r="J2250" i="1"/>
  <c r="J2249" i="1"/>
  <c r="J2248" i="1"/>
  <c r="J2247" i="1"/>
  <c r="J2244" i="1"/>
  <c r="J2243" i="1"/>
  <c r="J2236" i="1"/>
  <c r="J2234" i="1"/>
  <c r="J2233" i="1"/>
  <c r="J2232" i="1"/>
  <c r="J2231" i="1"/>
  <c r="J2228" i="1"/>
  <c r="J2227" i="1"/>
  <c r="J2220" i="1"/>
  <c r="J2218" i="1"/>
  <c r="J2216" i="1"/>
  <c r="J2215" i="1"/>
  <c r="J2214" i="1"/>
  <c r="J2213" i="1"/>
  <c r="J2210" i="1"/>
  <c r="J2209" i="1"/>
  <c r="J2202" i="1"/>
  <c r="J2200" i="1"/>
  <c r="J2199" i="1"/>
  <c r="J2198" i="1"/>
  <c r="J2197" i="1"/>
  <c r="J2194" i="1"/>
  <c r="J2193" i="1"/>
  <c r="J2186" i="1"/>
  <c r="J2184" i="1"/>
  <c r="J2183" i="1"/>
  <c r="J2182" i="1"/>
  <c r="J2181" i="1"/>
  <c r="J2178" i="1"/>
  <c r="J2177" i="1"/>
  <c r="J2170" i="1"/>
  <c r="J2168" i="1"/>
  <c r="J2167" i="1"/>
  <c r="J2166" i="1"/>
  <c r="J2165" i="1"/>
  <c r="J2162" i="1"/>
  <c r="J2161" i="1"/>
  <c r="H2262" i="1"/>
  <c r="J2262" i="1"/>
  <c r="Q2262" i="1"/>
  <c r="P2262" i="1" s="1"/>
  <c r="H2261" i="1"/>
  <c r="J2261" i="1"/>
  <c r="Q2261" i="1"/>
  <c r="P2261" i="1" s="1"/>
  <c r="H2260" i="1"/>
  <c r="Q2260" i="1"/>
  <c r="P2260" i="1" s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J2246" i="1"/>
  <c r="J2251" i="1"/>
  <c r="J2253" i="1"/>
  <c r="J2255" i="1"/>
  <c r="J2256" i="1"/>
  <c r="J2257" i="1"/>
  <c r="J2258" i="1"/>
  <c r="Q2246" i="1"/>
  <c r="P2246" i="1" s="1"/>
  <c r="Q2247" i="1"/>
  <c r="P2247" i="1" s="1"/>
  <c r="Q2248" i="1"/>
  <c r="P2248" i="1" s="1"/>
  <c r="Q2249" i="1"/>
  <c r="P2249" i="1" s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Q2258" i="1"/>
  <c r="P2258" i="1" s="1"/>
  <c r="Q2259" i="1"/>
  <c r="P2259" i="1" s="1"/>
  <c r="Q2245" i="1"/>
  <c r="P2245" i="1" s="1"/>
  <c r="Q2244" i="1"/>
  <c r="P2244" i="1" s="1"/>
  <c r="Q2243" i="1"/>
  <c r="P2243" i="1" s="1"/>
  <c r="Q2242" i="1"/>
  <c r="P2242" i="1" s="1"/>
  <c r="Q2241" i="1"/>
  <c r="P2241" i="1" s="1"/>
  <c r="Q2240" i="1"/>
  <c r="P2240" i="1" s="1"/>
  <c r="Q2239" i="1"/>
  <c r="P2239" i="1" s="1"/>
  <c r="Q2238" i="1"/>
  <c r="P2238" i="1" s="1"/>
  <c r="Q2237" i="1"/>
  <c r="P2237" i="1" s="1"/>
  <c r="Q2236" i="1"/>
  <c r="P2236" i="1" s="1"/>
  <c r="Q2235" i="1"/>
  <c r="P2235" i="1" s="1"/>
  <c r="Q2234" i="1"/>
  <c r="P2234" i="1" s="1"/>
  <c r="Q2233" i="1"/>
  <c r="P2233" i="1" s="1"/>
  <c r="Q2232" i="1"/>
  <c r="P2232" i="1" s="1"/>
  <c r="Q2231" i="1"/>
  <c r="P2231" i="1" s="1"/>
  <c r="Q2230" i="1"/>
  <c r="P2230" i="1" s="1"/>
  <c r="Q2229" i="1"/>
  <c r="P2229" i="1" s="1"/>
  <c r="Q2228" i="1"/>
  <c r="P2228" i="1" s="1"/>
  <c r="Q2227" i="1"/>
  <c r="P2227" i="1" s="1"/>
  <c r="Q2226" i="1"/>
  <c r="P2226" i="1" s="1"/>
  <c r="Q2225" i="1"/>
  <c r="P2225" i="1" s="1"/>
  <c r="Q2224" i="1"/>
  <c r="P2224" i="1" s="1"/>
  <c r="Q2223" i="1"/>
  <c r="P2223" i="1" s="1"/>
  <c r="Q2222" i="1"/>
  <c r="P2222" i="1" s="1"/>
  <c r="Q2221" i="1"/>
  <c r="P2221" i="1" s="1"/>
  <c r="Q2220" i="1"/>
  <c r="P2220" i="1" s="1"/>
  <c r="Q2219" i="1"/>
  <c r="P2219" i="1" s="1"/>
  <c r="Q2218" i="1"/>
  <c r="P2218" i="1" s="1"/>
  <c r="Q2217" i="1"/>
  <c r="P2217" i="1" s="1"/>
  <c r="Q2216" i="1"/>
  <c r="P2216" i="1" s="1"/>
  <c r="Q2215" i="1"/>
  <c r="P2215" i="1" s="1"/>
  <c r="Q2214" i="1"/>
  <c r="P2214" i="1" s="1"/>
  <c r="Q2213" i="1"/>
  <c r="P2213" i="1" s="1"/>
  <c r="Q2212" i="1"/>
  <c r="P2212" i="1" s="1"/>
  <c r="Q2211" i="1"/>
  <c r="P2211" i="1" s="1"/>
  <c r="Q2210" i="1"/>
  <c r="P2210" i="1" s="1"/>
  <c r="Q2209" i="1"/>
  <c r="P2209" i="1" s="1"/>
  <c r="Q2208" i="1"/>
  <c r="P2208" i="1" s="1"/>
  <c r="Q2207" i="1"/>
  <c r="P2207" i="1" s="1"/>
  <c r="Q2206" i="1"/>
  <c r="P2206" i="1" s="1"/>
  <c r="Q2205" i="1"/>
  <c r="P2205" i="1" s="1"/>
  <c r="Q2204" i="1"/>
  <c r="P2204" i="1" s="1"/>
  <c r="Q2203" i="1"/>
  <c r="P2203" i="1" s="1"/>
  <c r="Q2202" i="1"/>
  <c r="P2202" i="1" s="1"/>
  <c r="Q2201" i="1"/>
  <c r="P2201" i="1" s="1"/>
  <c r="Q2200" i="1"/>
  <c r="P2200" i="1" s="1"/>
  <c r="Q2199" i="1"/>
  <c r="P2199" i="1" s="1"/>
  <c r="Q2198" i="1"/>
  <c r="P2198" i="1" s="1"/>
  <c r="Q2197" i="1"/>
  <c r="P2197" i="1" s="1"/>
  <c r="Q2196" i="1"/>
  <c r="P2196" i="1" s="1"/>
  <c r="Q2195" i="1"/>
  <c r="P2195" i="1" s="1"/>
  <c r="Q2194" i="1"/>
  <c r="P2194" i="1" s="1"/>
  <c r="Q2193" i="1"/>
  <c r="P2193" i="1" s="1"/>
  <c r="Q2192" i="1"/>
  <c r="P2192" i="1" s="1"/>
  <c r="Q2191" i="1"/>
  <c r="P2191" i="1" s="1"/>
  <c r="Q2190" i="1"/>
  <c r="P2190" i="1" s="1"/>
  <c r="Q2189" i="1"/>
  <c r="P2189" i="1" s="1"/>
  <c r="Q2188" i="1"/>
  <c r="P2188" i="1" s="1"/>
  <c r="Q2187" i="1"/>
  <c r="P2187" i="1" s="1"/>
  <c r="Q2186" i="1"/>
  <c r="P2186" i="1" s="1"/>
  <c r="Q2185" i="1"/>
  <c r="P2185" i="1" s="1"/>
  <c r="Q2184" i="1"/>
  <c r="P2184" i="1" s="1"/>
  <c r="Q2183" i="1"/>
  <c r="P2183" i="1" s="1"/>
  <c r="Q2182" i="1"/>
  <c r="P2182" i="1" s="1"/>
  <c r="Q2181" i="1"/>
  <c r="P2181" i="1" s="1"/>
  <c r="Q2180" i="1"/>
  <c r="P2180" i="1" s="1"/>
  <c r="Q2179" i="1"/>
  <c r="P2179" i="1" s="1"/>
  <c r="Q2178" i="1"/>
  <c r="P2178" i="1" s="1"/>
  <c r="Q2177" i="1"/>
  <c r="P2177" i="1" s="1"/>
  <c r="Q2176" i="1"/>
  <c r="P2176" i="1" s="1"/>
  <c r="Q2175" i="1"/>
  <c r="P2175" i="1" s="1"/>
  <c r="Q2174" i="1"/>
  <c r="P2174" i="1" s="1"/>
  <c r="Q2173" i="1"/>
  <c r="P2173" i="1" s="1"/>
  <c r="Q2172" i="1"/>
  <c r="P2172" i="1" s="1"/>
  <c r="Q2171" i="1"/>
  <c r="P2171" i="1" s="1"/>
  <c r="Q2170" i="1"/>
  <c r="P2170" i="1" s="1"/>
  <c r="Q2169" i="1"/>
  <c r="P2169" i="1" s="1"/>
  <c r="Q2168" i="1"/>
  <c r="P2168" i="1" s="1"/>
  <c r="Q2167" i="1"/>
  <c r="P2167" i="1" s="1"/>
  <c r="Q2166" i="1"/>
  <c r="P2166" i="1" s="1"/>
  <c r="Q2165" i="1"/>
  <c r="P2165" i="1" s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J2221" i="1"/>
  <c r="J2222" i="1"/>
  <c r="J2223" i="1"/>
  <c r="J2224" i="1"/>
  <c r="J2225" i="1"/>
  <c r="J2226" i="1"/>
  <c r="J2229" i="1"/>
  <c r="J2230" i="1"/>
  <c r="J2235" i="1"/>
  <c r="J2237" i="1"/>
  <c r="J2238" i="1"/>
  <c r="J2239" i="1"/>
  <c r="J2240" i="1"/>
  <c r="J2241" i="1"/>
  <c r="J2242" i="1"/>
  <c r="J2245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J2169" i="1"/>
  <c r="J2171" i="1"/>
  <c r="J2172" i="1"/>
  <c r="J2173" i="1"/>
  <c r="J2174" i="1"/>
  <c r="J2175" i="1"/>
  <c r="J2176" i="1"/>
  <c r="J2179" i="1"/>
  <c r="J2180" i="1"/>
  <c r="J2185" i="1"/>
  <c r="J2187" i="1"/>
  <c r="J2188" i="1"/>
  <c r="J2189" i="1"/>
  <c r="J2190" i="1"/>
  <c r="J2191" i="1"/>
  <c r="J2192" i="1"/>
  <c r="J2195" i="1"/>
  <c r="J2196" i="1"/>
  <c r="J2201" i="1"/>
  <c r="J2203" i="1"/>
  <c r="J2204" i="1"/>
  <c r="J2205" i="1"/>
  <c r="J2206" i="1"/>
  <c r="J2207" i="1"/>
  <c r="J2208" i="1"/>
  <c r="J2211" i="1"/>
  <c r="J2212" i="1"/>
  <c r="J2217" i="1"/>
  <c r="J2219" i="1"/>
  <c r="H2164" i="1"/>
  <c r="J2164" i="1"/>
  <c r="Q2164" i="1"/>
  <c r="P2164" i="1" s="1"/>
  <c r="H2159" i="1"/>
  <c r="H2160" i="1"/>
  <c r="H2161" i="1"/>
  <c r="H2162" i="1"/>
  <c r="H2163" i="1"/>
  <c r="J2159" i="1"/>
  <c r="J2160" i="1"/>
  <c r="J2163" i="1"/>
  <c r="Q2159" i="1"/>
  <c r="P2159" i="1" s="1"/>
  <c r="Q2160" i="1"/>
  <c r="P2160" i="1" s="1"/>
  <c r="Q2161" i="1"/>
  <c r="P2161" i="1" s="1"/>
  <c r="Q2162" i="1"/>
  <c r="P2162" i="1" s="1"/>
  <c r="Q2163" i="1"/>
  <c r="P2163" i="1" s="1"/>
  <c r="H2158" i="1"/>
  <c r="J2158" i="1"/>
  <c r="Q2158" i="1"/>
  <c r="P2158" i="1" s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H2123" i="1"/>
  <c r="J2123" i="1"/>
  <c r="Q2123" i="1"/>
  <c r="P2123" i="1" s="1"/>
  <c r="H1367" i="1"/>
  <c r="H1369" i="1"/>
  <c r="J1369" i="1"/>
  <c r="Q1369" i="1"/>
  <c r="P1369" i="1" s="1"/>
  <c r="H1370" i="1"/>
  <c r="J1370" i="1"/>
  <c r="Q1370" i="1"/>
  <c r="P1370" i="1" s="1"/>
  <c r="H2116" i="1"/>
  <c r="H2117" i="1"/>
  <c r="H2118" i="1"/>
  <c r="H2119" i="1"/>
  <c r="H2120" i="1"/>
  <c r="H2121" i="1"/>
  <c r="H2122" i="1"/>
  <c r="J2116" i="1"/>
  <c r="J2117" i="1"/>
  <c r="J2118" i="1"/>
  <c r="J2119" i="1"/>
  <c r="J2120" i="1"/>
  <c r="J2121" i="1"/>
  <c r="J2122" i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H2115" i="1"/>
  <c r="J2115" i="1"/>
  <c r="Q2115" i="1"/>
  <c r="P2115" i="1" s="1"/>
  <c r="H2113" i="1"/>
  <c r="H2114" i="1"/>
  <c r="J2113" i="1"/>
  <c r="J2114" i="1"/>
  <c r="Q2113" i="1"/>
  <c r="P2113" i="1" s="1"/>
  <c r="Q2114" i="1"/>
  <c r="P2114" i="1" s="1"/>
  <c r="H2112" i="1"/>
  <c r="J2112" i="1"/>
  <c r="Q2112" i="1"/>
  <c r="P2112" i="1" s="1"/>
  <c r="H2104" i="1"/>
  <c r="H2105" i="1"/>
  <c r="H2106" i="1"/>
  <c r="H2107" i="1"/>
  <c r="H2108" i="1"/>
  <c r="H2109" i="1"/>
  <c r="H2110" i="1"/>
  <c r="H2111" i="1"/>
  <c r="J2104" i="1"/>
  <c r="J2105" i="1"/>
  <c r="J2106" i="1"/>
  <c r="J2107" i="1"/>
  <c r="J2108" i="1"/>
  <c r="J2109" i="1"/>
  <c r="J2110" i="1"/>
  <c r="J2111" i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H2103" i="1"/>
  <c r="J2103" i="1"/>
  <c r="Q2103" i="1"/>
  <c r="P2103" i="1" s="1"/>
  <c r="H2102" i="1"/>
  <c r="J2102" i="1"/>
  <c r="Q2102" i="1"/>
  <c r="P2102" i="1" s="1"/>
  <c r="H2101" i="1"/>
  <c r="J2101" i="1"/>
  <c r="Q2101" i="1"/>
  <c r="P2101" i="1" s="1"/>
  <c r="H2100" i="1"/>
  <c r="J2100" i="1"/>
  <c r="Q2100" i="1"/>
  <c r="P2100" i="1" s="1"/>
  <c r="H2099" i="1"/>
  <c r="J2099" i="1"/>
  <c r="Q2099" i="1"/>
  <c r="P2099" i="1" s="1"/>
  <c r="H2093" i="1"/>
  <c r="H2094" i="1"/>
  <c r="H2095" i="1"/>
  <c r="H2096" i="1"/>
  <c r="H2097" i="1"/>
  <c r="H2098" i="1"/>
  <c r="J2093" i="1"/>
  <c r="J2094" i="1"/>
  <c r="J2095" i="1"/>
  <c r="J2096" i="1"/>
  <c r="J2097" i="1"/>
  <c r="J2098" i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H2092" i="1"/>
  <c r="J2092" i="1"/>
  <c r="Q2092" i="1"/>
  <c r="P2092" i="1" s="1"/>
  <c r="H2088" i="1"/>
  <c r="H2089" i="1"/>
  <c r="H2090" i="1"/>
  <c r="H2091" i="1"/>
  <c r="J2088" i="1"/>
  <c r="J2089" i="1"/>
  <c r="J2090" i="1"/>
  <c r="J2091" i="1"/>
  <c r="Q2088" i="1"/>
  <c r="P2088" i="1" s="1"/>
  <c r="Q2089" i="1"/>
  <c r="P2089" i="1" s="1"/>
  <c r="Q2090" i="1"/>
  <c r="P2090" i="1" s="1"/>
  <c r="Q2091" i="1"/>
  <c r="P2091" i="1" s="1"/>
  <c r="H2087" i="1"/>
  <c r="J2087" i="1"/>
  <c r="Q2087" i="1"/>
  <c r="P2087" i="1" s="1"/>
  <c r="H2086" i="1"/>
  <c r="J2086" i="1"/>
  <c r="Q2086" i="1"/>
  <c r="P2086" i="1" s="1"/>
  <c r="H2085" i="1"/>
  <c r="J2085" i="1"/>
  <c r="Q2085" i="1"/>
  <c r="P2085" i="1" s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Q1767" i="1"/>
  <c r="P1767" i="1" s="1"/>
  <c r="Q1768" i="1"/>
  <c r="P1768" i="1" s="1"/>
  <c r="Q1769" i="1"/>
  <c r="P1769" i="1" s="1"/>
  <c r="Q1770" i="1"/>
  <c r="P1770" i="1" s="1"/>
  <c r="Q1771" i="1"/>
  <c r="P1771" i="1" s="1"/>
  <c r="Q1772" i="1"/>
  <c r="P1772" i="1" s="1"/>
  <c r="Q1773" i="1"/>
  <c r="P1773" i="1" s="1"/>
  <c r="Q1774" i="1"/>
  <c r="P1774" i="1" s="1"/>
  <c r="Q1775" i="1"/>
  <c r="P1775" i="1" s="1"/>
  <c r="Q1776" i="1"/>
  <c r="P1776" i="1" s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Q1790" i="1"/>
  <c r="P1790" i="1" s="1"/>
  <c r="Q1791" i="1"/>
  <c r="P1791" i="1" s="1"/>
  <c r="Q1792" i="1"/>
  <c r="P1792" i="1" s="1"/>
  <c r="Q1793" i="1"/>
  <c r="P1793" i="1" s="1"/>
  <c r="Q1794" i="1"/>
  <c r="P1794" i="1" s="1"/>
  <c r="Q1795" i="1"/>
  <c r="P1795" i="1" s="1"/>
  <c r="Q1796" i="1"/>
  <c r="P1796" i="1" s="1"/>
  <c r="Q1797" i="1"/>
  <c r="P1797" i="1" s="1"/>
  <c r="Q1798" i="1"/>
  <c r="P1798" i="1" s="1"/>
  <c r="Q1799" i="1"/>
  <c r="P1799" i="1" s="1"/>
  <c r="Q1800" i="1"/>
  <c r="P1800" i="1" s="1"/>
  <c r="Q1801" i="1"/>
  <c r="P1801" i="1" s="1"/>
  <c r="Q1802" i="1"/>
  <c r="P1802" i="1" s="1"/>
  <c r="Q1803" i="1"/>
  <c r="P1803" i="1" s="1"/>
  <c r="Q1804" i="1"/>
  <c r="P1804" i="1" s="1"/>
  <c r="Q1805" i="1"/>
  <c r="P1805" i="1" s="1"/>
  <c r="Q1806" i="1"/>
  <c r="P1806" i="1" s="1"/>
  <c r="Q1807" i="1"/>
  <c r="P1807" i="1" s="1"/>
  <c r="Q1808" i="1"/>
  <c r="P1808" i="1" s="1"/>
  <c r="Q1809" i="1"/>
  <c r="P1809" i="1" s="1"/>
  <c r="Q1810" i="1"/>
  <c r="P1810" i="1" s="1"/>
  <c r="Q1811" i="1"/>
  <c r="P1811" i="1" s="1"/>
  <c r="Q1812" i="1"/>
  <c r="P1812" i="1" s="1"/>
  <c r="Q1813" i="1"/>
  <c r="P1813" i="1" s="1"/>
  <c r="Q1814" i="1"/>
  <c r="P1814" i="1" s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Q1912" i="1"/>
  <c r="P1912" i="1" s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H1766" i="1"/>
  <c r="J1766" i="1"/>
  <c r="Q1766" i="1"/>
  <c r="P1766" i="1" s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Q1669" i="1"/>
  <c r="P1669" i="1" s="1"/>
  <c r="Q1670" i="1"/>
  <c r="P1670" i="1" s="1"/>
  <c r="Q1671" i="1"/>
  <c r="P1671" i="1" s="1"/>
  <c r="Q1672" i="1"/>
  <c r="P1672" i="1" s="1"/>
  <c r="Q1673" i="1"/>
  <c r="P1673" i="1" s="1"/>
  <c r="Q1674" i="1"/>
  <c r="P1674" i="1" s="1"/>
  <c r="Q1675" i="1"/>
  <c r="P1675" i="1" s="1"/>
  <c r="Q1676" i="1"/>
  <c r="P1676" i="1" s="1"/>
  <c r="Q1677" i="1"/>
  <c r="P1677" i="1" s="1"/>
  <c r="Q1678" i="1"/>
  <c r="P1678" i="1" s="1"/>
  <c r="Q1679" i="1"/>
  <c r="P1679" i="1" s="1"/>
  <c r="Q1680" i="1"/>
  <c r="P1680" i="1" s="1"/>
  <c r="Q1681" i="1"/>
  <c r="P1681" i="1" s="1"/>
  <c r="Q1682" i="1"/>
  <c r="P1682" i="1" s="1"/>
  <c r="Q1683" i="1"/>
  <c r="P1683" i="1" s="1"/>
  <c r="Q1684" i="1"/>
  <c r="P1684" i="1" s="1"/>
  <c r="Q1685" i="1"/>
  <c r="P1685" i="1" s="1"/>
  <c r="Q1686" i="1"/>
  <c r="P1686" i="1" s="1"/>
  <c r="Q1687" i="1"/>
  <c r="P1687" i="1" s="1"/>
  <c r="Q1688" i="1"/>
  <c r="P1688" i="1" s="1"/>
  <c r="Q1689" i="1"/>
  <c r="P1689" i="1" s="1"/>
  <c r="Q1690" i="1"/>
  <c r="P1690" i="1" s="1"/>
  <c r="Q1691" i="1"/>
  <c r="P1691" i="1" s="1"/>
  <c r="Q1692" i="1"/>
  <c r="P1692" i="1" s="1"/>
  <c r="Q1693" i="1"/>
  <c r="P1693" i="1" s="1"/>
  <c r="Q1694" i="1"/>
  <c r="P1694" i="1" s="1"/>
  <c r="Q1695" i="1"/>
  <c r="P1695" i="1" s="1"/>
  <c r="Q1696" i="1"/>
  <c r="P1696" i="1" s="1"/>
  <c r="Q1697" i="1"/>
  <c r="P1697" i="1" s="1"/>
  <c r="Q1698" i="1"/>
  <c r="P1698" i="1" s="1"/>
  <c r="Q1699" i="1"/>
  <c r="P1699" i="1" s="1"/>
  <c r="Q1700" i="1"/>
  <c r="P1700" i="1" s="1"/>
  <c r="Q1701" i="1"/>
  <c r="P1701" i="1" s="1"/>
  <c r="Q1702" i="1"/>
  <c r="P1702" i="1" s="1"/>
  <c r="Q1703" i="1"/>
  <c r="P1703" i="1" s="1"/>
  <c r="Q1704" i="1"/>
  <c r="P1704" i="1" s="1"/>
  <c r="Q1705" i="1"/>
  <c r="P1705" i="1" s="1"/>
  <c r="Q1706" i="1"/>
  <c r="P1706" i="1" s="1"/>
  <c r="Q1707" i="1"/>
  <c r="P1707" i="1" s="1"/>
  <c r="Q1708" i="1"/>
  <c r="P1708" i="1" s="1"/>
  <c r="Q1709" i="1"/>
  <c r="P1709" i="1" s="1"/>
  <c r="Q1710" i="1"/>
  <c r="P1710" i="1" s="1"/>
  <c r="Q1711" i="1"/>
  <c r="P1711" i="1" s="1"/>
  <c r="Q1712" i="1"/>
  <c r="P1712" i="1" s="1"/>
  <c r="Q1713" i="1"/>
  <c r="P1713" i="1" s="1"/>
  <c r="Q1714" i="1"/>
  <c r="P1714" i="1" s="1"/>
  <c r="Q1715" i="1"/>
  <c r="P1715" i="1" s="1"/>
  <c r="Q1716" i="1"/>
  <c r="P1716" i="1" s="1"/>
  <c r="Q1717" i="1"/>
  <c r="P1717" i="1" s="1"/>
  <c r="Q1718" i="1"/>
  <c r="P1718" i="1" s="1"/>
  <c r="Q1719" i="1"/>
  <c r="P1719" i="1" s="1"/>
  <c r="Q1720" i="1"/>
  <c r="P1720" i="1" s="1"/>
  <c r="Q1721" i="1"/>
  <c r="P1721" i="1" s="1"/>
  <c r="Q1722" i="1"/>
  <c r="P1722" i="1" s="1"/>
  <c r="Q1723" i="1"/>
  <c r="P1723" i="1" s="1"/>
  <c r="Q1724" i="1"/>
  <c r="P1724" i="1" s="1"/>
  <c r="Q1725" i="1"/>
  <c r="P1725" i="1" s="1"/>
  <c r="Q1726" i="1"/>
  <c r="P1726" i="1" s="1"/>
  <c r="Q1727" i="1"/>
  <c r="P1727" i="1" s="1"/>
  <c r="Q1728" i="1"/>
  <c r="P1728" i="1" s="1"/>
  <c r="Q1729" i="1"/>
  <c r="P1729" i="1" s="1"/>
  <c r="Q1730" i="1"/>
  <c r="P1730" i="1" s="1"/>
  <c r="Q1731" i="1"/>
  <c r="P1731" i="1" s="1"/>
  <c r="Q1732" i="1"/>
  <c r="P1732" i="1" s="1"/>
  <c r="Q1733" i="1"/>
  <c r="P1733" i="1" s="1"/>
  <c r="Q1734" i="1"/>
  <c r="P1734" i="1" s="1"/>
  <c r="Q1735" i="1"/>
  <c r="P1735" i="1" s="1"/>
  <c r="Q1736" i="1"/>
  <c r="P1736" i="1" s="1"/>
  <c r="Q1737" i="1"/>
  <c r="P1737" i="1" s="1"/>
  <c r="Q1738" i="1"/>
  <c r="P1738" i="1" s="1"/>
  <c r="Q1739" i="1"/>
  <c r="P1739" i="1" s="1"/>
  <c r="Q1740" i="1"/>
  <c r="P1740" i="1" s="1"/>
  <c r="Q1741" i="1"/>
  <c r="P1741" i="1" s="1"/>
  <c r="Q1742" i="1"/>
  <c r="P1742" i="1" s="1"/>
  <c r="Q1743" i="1"/>
  <c r="P1743" i="1" s="1"/>
  <c r="Q1744" i="1"/>
  <c r="P1744" i="1" s="1"/>
  <c r="Q1745" i="1"/>
  <c r="P1745" i="1" s="1"/>
  <c r="Q1746" i="1"/>
  <c r="P1746" i="1" s="1"/>
  <c r="Q1747" i="1"/>
  <c r="P1747" i="1" s="1"/>
  <c r="Q1748" i="1"/>
  <c r="P1748" i="1" s="1"/>
  <c r="Q1749" i="1"/>
  <c r="P1749" i="1" s="1"/>
  <c r="Q1750" i="1"/>
  <c r="P1750" i="1" s="1"/>
  <c r="Q1751" i="1"/>
  <c r="P1751" i="1" s="1"/>
  <c r="Q1752" i="1"/>
  <c r="P1752" i="1" s="1"/>
  <c r="Q1753" i="1"/>
  <c r="P1753" i="1" s="1"/>
  <c r="Q1754" i="1"/>
  <c r="P1754" i="1" s="1"/>
  <c r="Q1755" i="1"/>
  <c r="P1755" i="1" s="1"/>
  <c r="Q1756" i="1"/>
  <c r="P1756" i="1" s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Q1763" i="1"/>
  <c r="P1763" i="1" s="1"/>
  <c r="Q1764" i="1"/>
  <c r="P1764" i="1" s="1"/>
  <c r="Q1765" i="1"/>
  <c r="P1765" i="1" s="1"/>
  <c r="H1668" i="1"/>
  <c r="J1668" i="1"/>
  <c r="Q1668" i="1"/>
  <c r="P1668" i="1" s="1"/>
  <c r="H1667" i="1"/>
  <c r="J1667" i="1"/>
  <c r="Q1667" i="1"/>
  <c r="P1667" i="1" s="1"/>
  <c r="H1662" i="1"/>
  <c r="H1663" i="1"/>
  <c r="H1664" i="1"/>
  <c r="H1665" i="1"/>
  <c r="H1666" i="1"/>
  <c r="J1662" i="1"/>
  <c r="J1663" i="1"/>
  <c r="J1664" i="1"/>
  <c r="J1665" i="1"/>
  <c r="J1666" i="1"/>
  <c r="Q1662" i="1"/>
  <c r="P1662" i="1" s="1"/>
  <c r="Q1663" i="1"/>
  <c r="P1663" i="1" s="1"/>
  <c r="Q1664" i="1"/>
  <c r="P1664" i="1" s="1"/>
  <c r="Q1665" i="1"/>
  <c r="P1665" i="1" s="1"/>
  <c r="Q1666" i="1"/>
  <c r="P1666" i="1" s="1"/>
  <c r="H1661" i="1"/>
  <c r="J1661" i="1"/>
  <c r="Q1661" i="1"/>
  <c r="P1661" i="1" s="1"/>
  <c r="H1660" i="1"/>
  <c r="J1660" i="1"/>
  <c r="Q1660" i="1"/>
  <c r="P1660" i="1" s="1"/>
  <c r="H1659" i="1"/>
  <c r="J1659" i="1"/>
  <c r="Q1659" i="1"/>
  <c r="P1659" i="1" s="1"/>
  <c r="H1658" i="1"/>
  <c r="J1658" i="1"/>
  <c r="Q1658" i="1"/>
  <c r="P1658" i="1" s="1"/>
  <c r="H1654" i="1"/>
  <c r="H1655" i="1"/>
  <c r="H1656" i="1"/>
  <c r="H1657" i="1"/>
  <c r="J1654" i="1"/>
  <c r="J1655" i="1"/>
  <c r="J1656" i="1"/>
  <c r="J1657" i="1"/>
  <c r="Q1654" i="1"/>
  <c r="P1654" i="1" s="1"/>
  <c r="Q1655" i="1"/>
  <c r="P1655" i="1" s="1"/>
  <c r="Q1656" i="1"/>
  <c r="P1656" i="1" s="1"/>
  <c r="Q1657" i="1"/>
  <c r="P1657" i="1" s="1"/>
  <c r="H1653" i="1"/>
  <c r="J1653" i="1"/>
  <c r="Q1653" i="1"/>
  <c r="P1653" i="1" s="1"/>
  <c r="H1648" i="1"/>
  <c r="H1649" i="1"/>
  <c r="H1650" i="1"/>
  <c r="H1651" i="1"/>
  <c r="H1652" i="1"/>
  <c r="J1648" i="1"/>
  <c r="J1649" i="1"/>
  <c r="J1650" i="1"/>
  <c r="J1651" i="1"/>
  <c r="J1652" i="1"/>
  <c r="Q1648" i="1"/>
  <c r="P1648" i="1" s="1"/>
  <c r="Q1649" i="1"/>
  <c r="P1649" i="1" s="1"/>
  <c r="Q1650" i="1"/>
  <c r="P1650" i="1" s="1"/>
  <c r="Q1651" i="1"/>
  <c r="P1651" i="1" s="1"/>
  <c r="Q1652" i="1"/>
  <c r="P1652" i="1" s="1"/>
  <c r="H1647" i="1"/>
  <c r="J1647" i="1"/>
  <c r="Q1647" i="1"/>
  <c r="P1647" i="1" s="1"/>
  <c r="H1644" i="1"/>
  <c r="H1645" i="1"/>
  <c r="H1646" i="1"/>
  <c r="J1644" i="1"/>
  <c r="J1645" i="1"/>
  <c r="J1646" i="1"/>
  <c r="Q1644" i="1"/>
  <c r="P1644" i="1" s="1"/>
  <c r="Q1645" i="1"/>
  <c r="P1645" i="1" s="1"/>
  <c r="Q1646" i="1"/>
  <c r="P1646" i="1" s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Q1631" i="1"/>
  <c r="P1631" i="1" s="1"/>
  <c r="Q1632" i="1"/>
  <c r="P1632" i="1" s="1"/>
  <c r="Q1633" i="1"/>
  <c r="P1633" i="1" s="1"/>
  <c r="Q1634" i="1"/>
  <c r="P1634" i="1" s="1"/>
  <c r="Q1635" i="1"/>
  <c r="P1635" i="1" s="1"/>
  <c r="Q1636" i="1"/>
  <c r="P1636" i="1" s="1"/>
  <c r="Q1637" i="1"/>
  <c r="P1637" i="1" s="1"/>
  <c r="Q1638" i="1"/>
  <c r="P1638" i="1" s="1"/>
  <c r="Q1639" i="1"/>
  <c r="P1639" i="1" s="1"/>
  <c r="Q1640" i="1"/>
  <c r="P1640" i="1" s="1"/>
  <c r="Q1641" i="1"/>
  <c r="P1641" i="1" s="1"/>
  <c r="Q1642" i="1"/>
  <c r="P1642" i="1" s="1"/>
  <c r="Q1643" i="1"/>
  <c r="P1643" i="1" s="1"/>
  <c r="H1630" i="1"/>
  <c r="J1630" i="1"/>
  <c r="Q1630" i="1"/>
  <c r="P1630" i="1" s="1"/>
  <c r="H1626" i="1"/>
  <c r="H1627" i="1"/>
  <c r="H1628" i="1"/>
  <c r="H1629" i="1"/>
  <c r="J1626" i="1"/>
  <c r="J1627" i="1"/>
  <c r="J1628" i="1"/>
  <c r="J1629" i="1"/>
  <c r="Q1626" i="1"/>
  <c r="P1626" i="1" s="1"/>
  <c r="Q1627" i="1"/>
  <c r="P1627" i="1" s="1"/>
  <c r="Q1628" i="1"/>
  <c r="P1628" i="1" s="1"/>
  <c r="Q1629" i="1"/>
  <c r="P1629" i="1" s="1"/>
  <c r="H1625" i="1"/>
  <c r="J1625" i="1"/>
  <c r="Q1625" i="1"/>
  <c r="P1625" i="1" s="1"/>
  <c r="H1618" i="1"/>
  <c r="H1619" i="1"/>
  <c r="H1620" i="1"/>
  <c r="H1621" i="1"/>
  <c r="H1622" i="1"/>
  <c r="H1623" i="1"/>
  <c r="H1624" i="1"/>
  <c r="J1618" i="1"/>
  <c r="J1619" i="1"/>
  <c r="J1620" i="1"/>
  <c r="J1621" i="1"/>
  <c r="J1622" i="1"/>
  <c r="J1623" i="1"/>
  <c r="J1624" i="1"/>
  <c r="Q1618" i="1"/>
  <c r="P1618" i="1" s="1"/>
  <c r="Q1619" i="1"/>
  <c r="P1619" i="1" s="1"/>
  <c r="Q1620" i="1"/>
  <c r="P1620" i="1" s="1"/>
  <c r="Q1621" i="1"/>
  <c r="P1621" i="1" s="1"/>
  <c r="Q1622" i="1"/>
  <c r="P1622" i="1" s="1"/>
  <c r="Q1623" i="1"/>
  <c r="P1623" i="1" s="1"/>
  <c r="Q1624" i="1"/>
  <c r="P1624" i="1" s="1"/>
  <c r="H1617" i="1"/>
  <c r="J1617" i="1"/>
  <c r="Q1617" i="1"/>
  <c r="P1617" i="1" s="1"/>
  <c r="H1527" i="1"/>
  <c r="H1611" i="1"/>
  <c r="H1612" i="1"/>
  <c r="H1613" i="1"/>
  <c r="H1614" i="1"/>
  <c r="H1615" i="1"/>
  <c r="H1616" i="1"/>
  <c r="J1611" i="1"/>
  <c r="J1612" i="1"/>
  <c r="J1613" i="1"/>
  <c r="J1614" i="1"/>
  <c r="J1615" i="1"/>
  <c r="J1616" i="1"/>
  <c r="Q1611" i="1"/>
  <c r="P1611" i="1" s="1"/>
  <c r="Q1612" i="1"/>
  <c r="P1612" i="1" s="1"/>
  <c r="Q1613" i="1"/>
  <c r="P1613" i="1" s="1"/>
  <c r="Q1614" i="1"/>
  <c r="P1614" i="1" s="1"/>
  <c r="Q1615" i="1"/>
  <c r="P1615" i="1" s="1"/>
  <c r="Q1616" i="1"/>
  <c r="P1616" i="1" s="1"/>
  <c r="H1610" i="1"/>
  <c r="J1610" i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Q1588" i="1"/>
  <c r="P1588" i="1" s="1"/>
  <c r="Q1587" i="1"/>
  <c r="P1587" i="1" s="1"/>
  <c r="Q1586" i="1"/>
  <c r="P1586" i="1" s="1"/>
  <c r="Q1585" i="1"/>
  <c r="P1585" i="1" s="1"/>
  <c r="Q1584" i="1"/>
  <c r="P1584" i="1" s="1"/>
  <c r="Q1583" i="1"/>
  <c r="P1583" i="1" s="1"/>
  <c r="Q1582" i="1"/>
  <c r="P1582" i="1" s="1"/>
  <c r="Q1581" i="1"/>
  <c r="P1581" i="1" s="1"/>
  <c r="Q1580" i="1"/>
  <c r="P1580" i="1" s="1"/>
  <c r="Q1579" i="1"/>
  <c r="P1579" i="1" s="1"/>
  <c r="Q1578" i="1"/>
  <c r="P1578" i="1" s="1"/>
  <c r="Q1577" i="1"/>
  <c r="P1577" i="1" s="1"/>
  <c r="Q1576" i="1"/>
  <c r="P1576" i="1" s="1"/>
  <c r="Q1575" i="1"/>
  <c r="P1575" i="1" s="1"/>
  <c r="Q1574" i="1"/>
  <c r="P1574" i="1" s="1"/>
  <c r="Q1573" i="1"/>
  <c r="P1573" i="1" s="1"/>
  <c r="Q1572" i="1"/>
  <c r="P1572" i="1" s="1"/>
  <c r="Q1571" i="1"/>
  <c r="P1571" i="1" s="1"/>
  <c r="Q1570" i="1"/>
  <c r="P1570" i="1" s="1"/>
  <c r="Q1569" i="1"/>
  <c r="P1569" i="1" s="1"/>
  <c r="Q1568" i="1"/>
  <c r="P1568" i="1" s="1"/>
  <c r="Q1567" i="1"/>
  <c r="P1567" i="1" s="1"/>
  <c r="Q1566" i="1"/>
  <c r="P1566" i="1" s="1"/>
  <c r="Q1565" i="1"/>
  <c r="P1565" i="1" s="1"/>
  <c r="Q1564" i="1"/>
  <c r="P1564" i="1" s="1"/>
  <c r="Q1563" i="1"/>
  <c r="P1563" i="1" s="1"/>
  <c r="Q1562" i="1"/>
  <c r="P1562" i="1" s="1"/>
  <c r="Q1561" i="1"/>
  <c r="P1561" i="1" s="1"/>
  <c r="Q1560" i="1"/>
  <c r="P1560" i="1" s="1"/>
  <c r="Q1559" i="1"/>
  <c r="P1559" i="1" s="1"/>
  <c r="Q1558" i="1"/>
  <c r="P1558" i="1" s="1"/>
  <c r="Q1557" i="1"/>
  <c r="P1557" i="1" s="1"/>
  <c r="Q1556" i="1"/>
  <c r="P1556" i="1" s="1"/>
  <c r="Q1555" i="1"/>
  <c r="P1555" i="1" s="1"/>
  <c r="Q1554" i="1"/>
  <c r="P1554" i="1" s="1"/>
  <c r="Q1553" i="1"/>
  <c r="P1553" i="1" s="1"/>
  <c r="Q1552" i="1"/>
  <c r="P1552" i="1" s="1"/>
  <c r="Q1551" i="1"/>
  <c r="P1551" i="1" s="1"/>
  <c r="Q1550" i="1"/>
  <c r="P1550" i="1" s="1"/>
  <c r="Q1549" i="1"/>
  <c r="P1549" i="1" s="1"/>
  <c r="Q1548" i="1"/>
  <c r="P1548" i="1" s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Q1519" i="1"/>
  <c r="P1519" i="1" s="1"/>
  <c r="Q1518" i="1"/>
  <c r="P1518" i="1" s="1"/>
  <c r="Q1517" i="1"/>
  <c r="P1517" i="1" s="1"/>
  <c r="Q1516" i="1"/>
  <c r="P1516" i="1" s="1"/>
  <c r="Q1515" i="1"/>
  <c r="P1515" i="1" s="1"/>
  <c r="Q1514" i="1"/>
  <c r="P1514" i="1" s="1"/>
  <c r="Q1513" i="1"/>
  <c r="P1513" i="1" s="1"/>
  <c r="Q1512" i="1"/>
  <c r="P1512" i="1" s="1"/>
  <c r="Q1511" i="1"/>
  <c r="P1511" i="1" s="1"/>
  <c r="Q1510" i="1"/>
  <c r="P1510" i="1" s="1"/>
  <c r="Q1509" i="1"/>
  <c r="P1509" i="1" s="1"/>
  <c r="Q1508" i="1"/>
  <c r="P1508" i="1" s="1"/>
  <c r="Q1507" i="1"/>
  <c r="P1507" i="1" s="1"/>
  <c r="Q1506" i="1"/>
  <c r="P1506" i="1" s="1"/>
  <c r="Q1505" i="1"/>
  <c r="P1505" i="1" s="1"/>
  <c r="Q1504" i="1"/>
  <c r="P1504" i="1" s="1"/>
  <c r="Q1503" i="1"/>
  <c r="P1503" i="1" s="1"/>
  <c r="Q1502" i="1"/>
  <c r="P1502" i="1" s="1"/>
  <c r="Q1501" i="1"/>
  <c r="P1501" i="1" s="1"/>
  <c r="Q1500" i="1"/>
  <c r="P1500" i="1" s="1"/>
  <c r="Q1499" i="1"/>
  <c r="P1499" i="1" s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H1498" i="1"/>
  <c r="J1498" i="1"/>
  <c r="Q1498" i="1"/>
  <c r="P1498" i="1" s="1"/>
  <c r="H1497" i="1"/>
  <c r="J1497" i="1"/>
  <c r="Q1497" i="1"/>
  <c r="P1497" i="1" s="1"/>
  <c r="Q1496" i="1"/>
  <c r="P1496" i="1" s="1"/>
  <c r="Q1495" i="1"/>
  <c r="P1495" i="1" s="1"/>
  <c r="Q1494" i="1"/>
  <c r="P1494" i="1" s="1"/>
  <c r="Q1493" i="1"/>
  <c r="P1493" i="1" s="1"/>
  <c r="Q1492" i="1"/>
  <c r="P1492" i="1" s="1"/>
  <c r="Q1491" i="1"/>
  <c r="P1491" i="1" s="1"/>
  <c r="Q1490" i="1"/>
  <c r="P1490" i="1" s="1"/>
  <c r="Q1489" i="1"/>
  <c r="P1489" i="1" s="1"/>
  <c r="Q1488" i="1"/>
  <c r="P1488" i="1" s="1"/>
  <c r="Q1487" i="1"/>
  <c r="P1487" i="1" s="1"/>
  <c r="Q1486" i="1"/>
  <c r="P1486" i="1" s="1"/>
  <c r="Q1485" i="1"/>
  <c r="P1485" i="1" s="1"/>
  <c r="Q1484" i="1"/>
  <c r="P1484" i="1" s="1"/>
  <c r="Q1483" i="1"/>
  <c r="P1483" i="1" s="1"/>
  <c r="Q1482" i="1"/>
  <c r="P1482" i="1" s="1"/>
  <c r="Q1481" i="1"/>
  <c r="P1481" i="1" s="1"/>
  <c r="Q1480" i="1"/>
  <c r="P1480" i="1" s="1"/>
  <c r="Q1479" i="1"/>
  <c r="P1479" i="1" s="1"/>
  <c r="Q1478" i="1"/>
  <c r="P1478" i="1" s="1"/>
  <c r="Q1477" i="1"/>
  <c r="P1477" i="1" s="1"/>
  <c r="Q1476" i="1"/>
  <c r="P1476" i="1" s="1"/>
  <c r="Q1475" i="1"/>
  <c r="P1475" i="1" s="1"/>
  <c r="Q1474" i="1"/>
  <c r="P1474" i="1" s="1"/>
  <c r="Q1473" i="1"/>
  <c r="P1473" i="1" s="1"/>
  <c r="Q1472" i="1"/>
  <c r="P1472" i="1" s="1"/>
  <c r="Q1471" i="1"/>
  <c r="P1471" i="1" s="1"/>
  <c r="Q1470" i="1"/>
  <c r="P1470" i="1" s="1"/>
  <c r="Q1469" i="1"/>
  <c r="P1469" i="1" s="1"/>
  <c r="Q1468" i="1"/>
  <c r="P1468" i="1" s="1"/>
  <c r="Q1467" i="1"/>
  <c r="P1467" i="1" s="1"/>
  <c r="Q1466" i="1"/>
  <c r="P1466" i="1" s="1"/>
  <c r="Q1465" i="1"/>
  <c r="P1465" i="1" s="1"/>
  <c r="Q1464" i="1"/>
  <c r="P1464" i="1" s="1"/>
  <c r="Q1463" i="1"/>
  <c r="P1463" i="1" s="1"/>
  <c r="Q1462" i="1"/>
  <c r="P1462" i="1" s="1"/>
  <c r="Q1461" i="1"/>
  <c r="P1461" i="1" s="1"/>
  <c r="Q1460" i="1"/>
  <c r="P1460" i="1" s="1"/>
  <c r="Q1459" i="1"/>
  <c r="P1459" i="1" s="1"/>
  <c r="Q1458" i="1"/>
  <c r="P1458" i="1" s="1"/>
  <c r="Q1457" i="1"/>
  <c r="P1457" i="1" s="1"/>
  <c r="Q1456" i="1"/>
  <c r="P1456" i="1" s="1"/>
  <c r="Q1455" i="1"/>
  <c r="P1455" i="1" s="1"/>
  <c r="Q1454" i="1"/>
  <c r="P1454" i="1" s="1"/>
  <c r="Q1453" i="1"/>
  <c r="P1453" i="1" s="1"/>
  <c r="Q1452" i="1"/>
  <c r="P1452" i="1" s="1"/>
  <c r="Q1451" i="1"/>
  <c r="P1451" i="1" s="1"/>
  <c r="Q1450" i="1"/>
  <c r="P1450" i="1" s="1"/>
  <c r="Q1449" i="1"/>
  <c r="P1449" i="1" s="1"/>
  <c r="Q1448" i="1"/>
  <c r="P1448" i="1" s="1"/>
  <c r="Q1447" i="1"/>
  <c r="P1447" i="1" s="1"/>
  <c r="Q1446" i="1"/>
  <c r="P1446" i="1" s="1"/>
  <c r="Q1445" i="1"/>
  <c r="P1445" i="1" s="1"/>
  <c r="Q1444" i="1"/>
  <c r="P1444" i="1" s="1"/>
  <c r="Q1443" i="1"/>
  <c r="P1443" i="1" s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H1442" i="1"/>
  <c r="J1442" i="1"/>
  <c r="Q1442" i="1"/>
  <c r="P1442" i="1" s="1"/>
  <c r="H1434" i="1"/>
  <c r="H1435" i="1"/>
  <c r="H1436" i="1"/>
  <c r="H1437" i="1"/>
  <c r="H1438" i="1"/>
  <c r="H1439" i="1"/>
  <c r="H1440" i="1"/>
  <c r="H1441" i="1"/>
  <c r="J1434" i="1"/>
  <c r="J1435" i="1"/>
  <c r="J1436" i="1"/>
  <c r="J1437" i="1"/>
  <c r="J1438" i="1"/>
  <c r="J1439" i="1"/>
  <c r="J1440" i="1"/>
  <c r="J1441" i="1"/>
  <c r="Q1434" i="1"/>
  <c r="P1434" i="1" s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H1433" i="1"/>
  <c r="J1433" i="1"/>
  <c r="Q1433" i="1"/>
  <c r="P1433" i="1" s="1"/>
  <c r="H1431" i="1"/>
  <c r="H1432" i="1"/>
  <c r="J1431" i="1"/>
  <c r="J1432" i="1"/>
  <c r="Q1431" i="1"/>
  <c r="P1431" i="1" s="1"/>
  <c r="Q1432" i="1"/>
  <c r="P1432" i="1" s="1"/>
  <c r="H1430" i="1"/>
  <c r="J1430" i="1"/>
  <c r="Q1430" i="1"/>
  <c r="P1430" i="1" s="1"/>
  <c r="H1429" i="1"/>
  <c r="J1429" i="1"/>
  <c r="Q1429" i="1"/>
  <c r="P1429" i="1" s="1"/>
  <c r="H1428" i="1"/>
  <c r="J1428" i="1"/>
  <c r="Q1428" i="1"/>
  <c r="P1428" i="1" s="1"/>
  <c r="H1427" i="1"/>
  <c r="J1427" i="1"/>
  <c r="Q1427" i="1"/>
  <c r="P1427" i="1" s="1"/>
  <c r="H1423" i="1"/>
  <c r="H1424" i="1"/>
  <c r="H1425" i="1"/>
  <c r="H1426" i="1"/>
  <c r="J1423" i="1"/>
  <c r="J1424" i="1"/>
  <c r="J1425" i="1"/>
  <c r="J1426" i="1"/>
  <c r="Q1423" i="1"/>
  <c r="P1423" i="1" s="1"/>
  <c r="Q1424" i="1"/>
  <c r="P1424" i="1" s="1"/>
  <c r="Q1425" i="1"/>
  <c r="P1425" i="1" s="1"/>
  <c r="Q1426" i="1"/>
  <c r="P1426" i="1" s="1"/>
  <c r="H1422" i="1"/>
  <c r="J1422" i="1"/>
  <c r="Q1422" i="1"/>
  <c r="P1422" i="1" s="1"/>
  <c r="H1416" i="1"/>
  <c r="H1417" i="1"/>
  <c r="H1418" i="1"/>
  <c r="H1419" i="1"/>
  <c r="H1420" i="1"/>
  <c r="H1421" i="1"/>
  <c r="J1416" i="1"/>
  <c r="J1417" i="1"/>
  <c r="J1418" i="1"/>
  <c r="J1419" i="1"/>
  <c r="J1420" i="1"/>
  <c r="J1421" i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H1415" i="1"/>
  <c r="J1415" i="1"/>
  <c r="Q1415" i="1"/>
  <c r="P1415" i="1" s="1"/>
  <c r="H1414" i="1"/>
  <c r="J1414" i="1"/>
  <c r="Q1414" i="1"/>
  <c r="P1414" i="1" s="1"/>
  <c r="H1413" i="1"/>
  <c r="J1413" i="1"/>
  <c r="Q1413" i="1"/>
  <c r="P1413" i="1" s="1"/>
  <c r="H1404" i="1"/>
  <c r="H1405" i="1"/>
  <c r="H1406" i="1"/>
  <c r="H1407" i="1"/>
  <c r="H1408" i="1"/>
  <c r="H1409" i="1"/>
  <c r="H1410" i="1"/>
  <c r="H1411" i="1"/>
  <c r="H1412" i="1"/>
  <c r="J1404" i="1"/>
  <c r="J1405" i="1"/>
  <c r="J1406" i="1"/>
  <c r="J1407" i="1"/>
  <c r="J1408" i="1"/>
  <c r="J1409" i="1"/>
  <c r="J1410" i="1"/>
  <c r="J1411" i="1"/>
  <c r="J1412" i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H1403" i="1"/>
  <c r="J1403" i="1"/>
  <c r="Q1403" i="1"/>
  <c r="P1403" i="1" s="1"/>
  <c r="H1402" i="1"/>
  <c r="J1402" i="1"/>
  <c r="Q1402" i="1"/>
  <c r="P1402" i="1" s="1"/>
  <c r="H1401" i="1"/>
  <c r="J1401" i="1"/>
  <c r="Q1401" i="1"/>
  <c r="P1401" i="1" s="1"/>
  <c r="Q1400" i="1"/>
  <c r="P1400" i="1" s="1"/>
  <c r="Q1399" i="1"/>
  <c r="P1399" i="1" s="1"/>
  <c r="Q1398" i="1"/>
  <c r="P1398" i="1" s="1"/>
  <c r="Q1397" i="1"/>
  <c r="P1397" i="1" s="1"/>
  <c r="Q1396" i="1"/>
  <c r="P1396" i="1" s="1"/>
  <c r="Q1395" i="1"/>
  <c r="P1395" i="1" s="1"/>
  <c r="Q1394" i="1"/>
  <c r="P1394" i="1" s="1"/>
  <c r="Q1393" i="1"/>
  <c r="P1393" i="1" s="1"/>
  <c r="Q1392" i="1"/>
  <c r="P1392" i="1" s="1"/>
  <c r="Q1391" i="1"/>
  <c r="P1391" i="1" s="1"/>
  <c r="Q1390" i="1"/>
  <c r="P1390" i="1" s="1"/>
  <c r="Q1389" i="1"/>
  <c r="P1389" i="1" s="1"/>
  <c r="Q1388" i="1"/>
  <c r="P1388" i="1" s="1"/>
  <c r="Q1387" i="1"/>
  <c r="P1387" i="1" s="1"/>
  <c r="Q1386" i="1"/>
  <c r="P1386" i="1" s="1"/>
  <c r="Q1385" i="1"/>
  <c r="P1385" i="1" s="1"/>
  <c r="Q1384" i="1"/>
  <c r="P1384" i="1" s="1"/>
  <c r="Q1383" i="1"/>
  <c r="P1383" i="1" s="1"/>
  <c r="Q1382" i="1"/>
  <c r="P1382" i="1" s="1"/>
  <c r="Q1381" i="1"/>
  <c r="P1381" i="1" s="1"/>
  <c r="Q1380" i="1"/>
  <c r="P1380" i="1" s="1"/>
  <c r="Q1379" i="1"/>
  <c r="P1379" i="1" s="1"/>
  <c r="Q1378" i="1"/>
  <c r="P1378" i="1" s="1"/>
  <c r="Q1377" i="1"/>
  <c r="P1377" i="1" s="1"/>
  <c r="Q1376" i="1"/>
  <c r="P1376" i="1" s="1"/>
  <c r="Q1375" i="1"/>
  <c r="P1375" i="1" s="1"/>
  <c r="Q1374" i="1"/>
  <c r="P1374" i="1" s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Q1373" i="1"/>
  <c r="P1373" i="1" s="1"/>
  <c r="H1372" i="1"/>
  <c r="J1372" i="1"/>
  <c r="Q1372" i="1"/>
  <c r="P1372" i="1" s="1"/>
  <c r="H1371" i="1"/>
  <c r="J1371" i="1"/>
  <c r="Q1371" i="1"/>
  <c r="P1371" i="1" s="1"/>
  <c r="H1368" i="1"/>
  <c r="J1367" i="1"/>
  <c r="J1368" i="1"/>
  <c r="Q1367" i="1"/>
  <c r="P1367" i="1" s="1"/>
  <c r="Q1368" i="1"/>
  <c r="P1368" i="1" s="1"/>
  <c r="H1366" i="1"/>
  <c r="J1366" i="1"/>
  <c r="Q1366" i="1"/>
  <c r="P1366" i="1" s="1"/>
  <c r="H1356" i="1"/>
  <c r="H1357" i="1"/>
  <c r="H1358" i="1"/>
  <c r="H1359" i="1"/>
  <c r="H1360" i="1"/>
  <c r="H1361" i="1"/>
  <c r="H1362" i="1"/>
  <c r="H1363" i="1"/>
  <c r="H1364" i="1"/>
  <c r="H1365" i="1"/>
  <c r="J1356" i="1"/>
  <c r="J1357" i="1"/>
  <c r="J1358" i="1"/>
  <c r="J1359" i="1"/>
  <c r="J1360" i="1"/>
  <c r="J1361" i="1"/>
  <c r="J1362" i="1"/>
  <c r="J1363" i="1"/>
  <c r="J1364" i="1"/>
  <c r="J1365" i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H1355" i="1"/>
  <c r="J1355" i="1"/>
  <c r="Q1355" i="1"/>
  <c r="P1355" i="1" s="1"/>
  <c r="H1353" i="1"/>
  <c r="H1354" i="1"/>
  <c r="J1353" i="1"/>
  <c r="J1354" i="1"/>
  <c r="Q1353" i="1"/>
  <c r="P1353" i="1" s="1"/>
  <c r="Q1354" i="1"/>
  <c r="P1354" i="1" s="1"/>
  <c r="H1352" i="1"/>
  <c r="J1352" i="1"/>
  <c r="Q1352" i="1"/>
  <c r="P1352" i="1" s="1"/>
  <c r="H1351" i="1"/>
  <c r="J1351" i="1"/>
  <c r="Q1351" i="1"/>
  <c r="P1351" i="1" s="1"/>
  <c r="H1350" i="1"/>
  <c r="J1350" i="1"/>
  <c r="Q1350" i="1"/>
  <c r="P1350" i="1" s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Q1332" i="1"/>
  <c r="P1332" i="1" s="1"/>
  <c r="Q1333" i="1"/>
  <c r="P1333" i="1" s="1"/>
  <c r="Q1334" i="1"/>
  <c r="P1334" i="1" s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H1331" i="1"/>
  <c r="J1331" i="1"/>
  <c r="Q1331" i="1"/>
  <c r="P1331" i="1" s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H1308" i="1"/>
  <c r="J1308" i="1"/>
  <c r="Q1308" i="1"/>
  <c r="P1308" i="1" s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Q1289" i="1"/>
  <c r="P1289" i="1" s="1"/>
  <c r="Q1290" i="1"/>
  <c r="P1290" i="1" s="1"/>
  <c r="Q1291" i="1"/>
  <c r="P1291" i="1" s="1"/>
  <c r="Q1292" i="1"/>
  <c r="P1292" i="1" s="1"/>
  <c r="Q1293" i="1"/>
  <c r="P1293" i="1" s="1"/>
  <c r="Q1294" i="1"/>
  <c r="P1294" i="1" s="1"/>
  <c r="Q1295" i="1"/>
  <c r="P1295" i="1" s="1"/>
  <c r="Q1296" i="1"/>
  <c r="P1296" i="1" s="1"/>
  <c r="Q1297" i="1"/>
  <c r="P1297" i="1" s="1"/>
  <c r="Q1298" i="1"/>
  <c r="P1298" i="1" s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H1288" i="1"/>
  <c r="J1288" i="1"/>
  <c r="Q1288" i="1"/>
  <c r="P1288" i="1" s="1"/>
  <c r="H1287" i="1"/>
  <c r="J1287" i="1"/>
  <c r="Q1287" i="1"/>
  <c r="P1287" i="1" s="1"/>
  <c r="Q1286" i="1"/>
  <c r="P1286" i="1" s="1"/>
  <c r="H1286" i="1"/>
  <c r="J1286" i="1"/>
  <c r="H1285" i="1"/>
  <c r="J1285" i="1"/>
  <c r="Q1285" i="1"/>
  <c r="P1285" i="1" s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H1207" i="1"/>
  <c r="J1207" i="1"/>
  <c r="Q1207" i="1"/>
  <c r="P1207" i="1" s="1"/>
  <c r="H1206" i="1"/>
  <c r="J1206" i="1"/>
  <c r="Q1206" i="1"/>
  <c r="P1206" i="1" s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Q1189" i="1"/>
  <c r="P1189" i="1" s="1"/>
  <c r="Q1190" i="1"/>
  <c r="P1190" i="1" s="1"/>
  <c r="Q1191" i="1"/>
  <c r="P1191" i="1" s="1"/>
  <c r="Q1192" i="1"/>
  <c r="P1192" i="1" s="1"/>
  <c r="Q1193" i="1"/>
  <c r="P1193" i="1" s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Q1153" i="1"/>
  <c r="P1153" i="1" s="1"/>
  <c r="Q1154" i="1"/>
  <c r="P1154" i="1" s="1"/>
  <c r="Q1155" i="1"/>
  <c r="P1155" i="1" s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Q1162" i="1"/>
  <c r="P1162" i="1" s="1"/>
  <c r="Q1163" i="1"/>
  <c r="P1163" i="1" s="1"/>
  <c r="Q1164" i="1"/>
  <c r="P1164" i="1" s="1"/>
  <c r="Q1165" i="1"/>
  <c r="P1165" i="1" s="1"/>
  <c r="Q1166" i="1"/>
  <c r="P1166" i="1" s="1"/>
  <c r="Q1167" i="1"/>
  <c r="P1167" i="1" s="1"/>
  <c r="Q1168" i="1"/>
  <c r="P1168" i="1" s="1"/>
  <c r="Q1169" i="1"/>
  <c r="P1169" i="1" s="1"/>
  <c r="Q1170" i="1"/>
  <c r="P1170" i="1" s="1"/>
  <c r="Q1171" i="1"/>
  <c r="P1171" i="1" s="1"/>
  <c r="Q1172" i="1"/>
  <c r="P1172" i="1" s="1"/>
  <c r="Q1173" i="1"/>
  <c r="P1173" i="1" s="1"/>
  <c r="Q1174" i="1"/>
  <c r="P1174" i="1" s="1"/>
  <c r="Q1175" i="1"/>
  <c r="P1175" i="1" s="1"/>
  <c r="Q1176" i="1"/>
  <c r="P1176" i="1" s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Q1185" i="1"/>
  <c r="P1185" i="1" s="1"/>
  <c r="Q1186" i="1"/>
  <c r="P1186" i="1" s="1"/>
  <c r="Q1187" i="1"/>
  <c r="P1187" i="1" s="1"/>
  <c r="Q1188" i="1"/>
  <c r="P1188" i="1" s="1"/>
  <c r="H1152" i="1"/>
  <c r="J1152" i="1"/>
  <c r="Q1152" i="1"/>
  <c r="P1152" i="1" s="1"/>
  <c r="H1151" i="1"/>
  <c r="J1151" i="1"/>
  <c r="Q1151" i="1"/>
  <c r="P1151" i="1" s="1"/>
  <c r="H1150" i="1"/>
  <c r="J1150" i="1"/>
  <c r="Q1150" i="1"/>
  <c r="P1150" i="1" s="1"/>
  <c r="H1149" i="1"/>
  <c r="J1149" i="1"/>
  <c r="Q1149" i="1"/>
  <c r="P1149" i="1" s="1"/>
  <c r="H1148" i="1"/>
  <c r="J1148" i="1"/>
  <c r="Q1148" i="1"/>
  <c r="P1148" i="1" s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Q1048" i="1"/>
  <c r="P1048" i="1" s="1"/>
  <c r="Q1049" i="1"/>
  <c r="P1049" i="1" s="1"/>
  <c r="Q1050" i="1"/>
  <c r="P1050" i="1" s="1"/>
  <c r="Q1051" i="1"/>
  <c r="P1051" i="1" s="1"/>
  <c r="Q1052" i="1"/>
  <c r="P1052" i="1" s="1"/>
  <c r="Q1053" i="1"/>
  <c r="P1053" i="1" s="1"/>
  <c r="Q1054" i="1"/>
  <c r="P1054" i="1" s="1"/>
  <c r="Q1055" i="1"/>
  <c r="P1055" i="1" s="1"/>
  <c r="Q1056" i="1"/>
  <c r="P1056" i="1" s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Q1072" i="1"/>
  <c r="P1072" i="1" s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Q1124" i="1"/>
  <c r="P1124" i="1" s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Q1132" i="1"/>
  <c r="P1132" i="1" s="1"/>
  <c r="Q1133" i="1"/>
  <c r="P1133" i="1" s="1"/>
  <c r="Q1134" i="1"/>
  <c r="P1134" i="1" s="1"/>
  <c r="Q1135" i="1"/>
  <c r="P1135" i="1" s="1"/>
  <c r="Q1136" i="1"/>
  <c r="P1136" i="1" s="1"/>
  <c r="Q1137" i="1"/>
  <c r="P1137" i="1" s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Q1147" i="1"/>
  <c r="P1147" i="1" s="1"/>
  <c r="H1047" i="1"/>
  <c r="J1047" i="1"/>
  <c r="Q1047" i="1"/>
  <c r="P1047" i="1" s="1"/>
  <c r="H1046" i="1"/>
  <c r="J1046" i="1"/>
  <c r="Q1046" i="1"/>
  <c r="P1046" i="1" s="1"/>
  <c r="H1045" i="1"/>
  <c r="J1045" i="1"/>
  <c r="Q1045" i="1"/>
  <c r="P1045" i="1" s="1"/>
  <c r="H1044" i="1"/>
  <c r="J1044" i="1"/>
  <c r="Q1044" i="1"/>
  <c r="P1044" i="1" s="1"/>
  <c r="H1040" i="1"/>
  <c r="H1041" i="1"/>
  <c r="H1042" i="1"/>
  <c r="H1043" i="1"/>
  <c r="J1040" i="1"/>
  <c r="J1041" i="1"/>
  <c r="J1042" i="1"/>
  <c r="J1043" i="1"/>
  <c r="Q1040" i="1"/>
  <c r="P1040" i="1" s="1"/>
  <c r="Q1041" i="1"/>
  <c r="P1041" i="1" s="1"/>
  <c r="Q1042" i="1"/>
  <c r="P1042" i="1" s="1"/>
  <c r="Q1043" i="1"/>
  <c r="P1043" i="1" s="1"/>
  <c r="H1039" i="1"/>
  <c r="J1039" i="1"/>
  <c r="Q1039" i="1"/>
  <c r="P1039" i="1" s="1"/>
  <c r="H1031" i="1"/>
  <c r="H1032" i="1"/>
  <c r="H1033" i="1"/>
  <c r="H1034" i="1"/>
  <c r="H1035" i="1"/>
  <c r="H1036" i="1"/>
  <c r="H1037" i="1"/>
  <c r="H1038" i="1"/>
  <c r="J1031" i="1"/>
  <c r="J1032" i="1"/>
  <c r="J1033" i="1"/>
  <c r="J1034" i="1"/>
  <c r="J1035" i="1"/>
  <c r="J1036" i="1"/>
  <c r="J1037" i="1"/>
  <c r="J1038" i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H1030" i="1"/>
  <c r="J1030" i="1"/>
  <c r="Q1030" i="1"/>
  <c r="P1030" i="1" s="1"/>
  <c r="H1029" i="1"/>
  <c r="J1029" i="1"/>
  <c r="Q1029" i="1"/>
  <c r="P1029" i="1" s="1"/>
  <c r="H1028" i="1"/>
  <c r="J1028" i="1"/>
  <c r="Q1028" i="1"/>
  <c r="P1028" i="1" s="1"/>
  <c r="H1024" i="1"/>
  <c r="H1025" i="1"/>
  <c r="H1026" i="1"/>
  <c r="H1027" i="1"/>
  <c r="J1024" i="1"/>
  <c r="J1025" i="1"/>
  <c r="J1026" i="1"/>
  <c r="J1027" i="1"/>
  <c r="Q1024" i="1"/>
  <c r="P1024" i="1" s="1"/>
  <c r="Q1025" i="1"/>
  <c r="P1025" i="1" s="1"/>
  <c r="Q1026" i="1"/>
  <c r="P1026" i="1" s="1"/>
  <c r="Q1027" i="1"/>
  <c r="P1027" i="1" s="1"/>
  <c r="H1023" i="1"/>
  <c r="J1023" i="1"/>
  <c r="Q1023" i="1"/>
  <c r="P1023" i="1" s="1"/>
  <c r="H1022" i="1"/>
  <c r="J1022" i="1"/>
  <c r="Q1022" i="1"/>
  <c r="P1022" i="1" s="1"/>
  <c r="H1021" i="1"/>
  <c r="J1021" i="1"/>
  <c r="Q1021" i="1"/>
  <c r="P1021" i="1" s="1"/>
  <c r="H1018" i="1"/>
  <c r="H1019" i="1"/>
  <c r="H1020" i="1"/>
  <c r="J1018" i="1"/>
  <c r="J1019" i="1"/>
  <c r="J1020" i="1"/>
  <c r="Q1018" i="1"/>
  <c r="P1018" i="1" s="1"/>
  <c r="Q1019" i="1"/>
  <c r="P1019" i="1" s="1"/>
  <c r="Q1020" i="1"/>
  <c r="P1020" i="1" s="1"/>
  <c r="H1017" i="1"/>
  <c r="J1017" i="1"/>
  <c r="Q1017" i="1"/>
  <c r="P1017" i="1" s="1"/>
  <c r="H1016" i="1"/>
  <c r="J1016" i="1"/>
  <c r="Q1016" i="1"/>
  <c r="P1016" i="1" s="1"/>
  <c r="H1010" i="1"/>
  <c r="H1011" i="1"/>
  <c r="H1012" i="1"/>
  <c r="H1013" i="1"/>
  <c r="H1014" i="1"/>
  <c r="H1015" i="1"/>
  <c r="J1010" i="1"/>
  <c r="J1011" i="1"/>
  <c r="J1012" i="1"/>
  <c r="J1013" i="1"/>
  <c r="J1014" i="1"/>
  <c r="J1015" i="1"/>
  <c r="Q1010" i="1"/>
  <c r="P1010" i="1" s="1"/>
  <c r="Q1011" i="1"/>
  <c r="P1011" i="1" s="1"/>
  <c r="Q1012" i="1"/>
  <c r="P1012" i="1" s="1"/>
  <c r="Q1013" i="1"/>
  <c r="P1013" i="1" s="1"/>
  <c r="Q1014" i="1"/>
  <c r="P1014" i="1" s="1"/>
  <c r="Q1015" i="1"/>
  <c r="P1015" i="1" s="1"/>
  <c r="H1009" i="1"/>
  <c r="J1009" i="1"/>
  <c r="Q1009" i="1"/>
  <c r="P1009" i="1" s="1"/>
  <c r="H1006" i="1"/>
  <c r="H1007" i="1"/>
  <c r="H1008" i="1"/>
  <c r="J1006" i="1"/>
  <c r="J1007" i="1"/>
  <c r="J1008" i="1"/>
  <c r="Q1006" i="1"/>
  <c r="P1006" i="1" s="1"/>
  <c r="Q1007" i="1"/>
  <c r="P1007" i="1" s="1"/>
  <c r="Q1008" i="1"/>
  <c r="P1008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992" i="1"/>
  <c r="H993" i="1"/>
  <c r="H994" i="1"/>
  <c r="H995" i="1"/>
  <c r="H996" i="1"/>
  <c r="H997" i="1"/>
  <c r="H998" i="1"/>
  <c r="H999" i="1"/>
  <c r="H1000" i="1"/>
  <c r="J992" i="1"/>
  <c r="J993" i="1"/>
  <c r="J994" i="1"/>
  <c r="J995" i="1"/>
  <c r="J996" i="1"/>
  <c r="J997" i="1"/>
  <c r="J998" i="1"/>
  <c r="J999" i="1"/>
  <c r="J1000" i="1"/>
  <c r="Q992" i="1"/>
  <c r="P992" i="1" s="1"/>
  <c r="Q993" i="1"/>
  <c r="P993" i="1" s="1"/>
  <c r="Q994" i="1"/>
  <c r="P994" i="1" s="1"/>
  <c r="Q995" i="1"/>
  <c r="P995" i="1" s="1"/>
  <c r="Q996" i="1"/>
  <c r="P996" i="1" s="1"/>
  <c r="Q997" i="1"/>
  <c r="P997" i="1" s="1"/>
  <c r="Q998" i="1"/>
  <c r="P998" i="1" s="1"/>
  <c r="Q999" i="1"/>
  <c r="P999" i="1" s="1"/>
  <c r="Q1000" i="1"/>
  <c r="P1000" i="1" s="1"/>
  <c r="H991" i="1"/>
  <c r="J991" i="1"/>
  <c r="Q991" i="1"/>
  <c r="P991" i="1" s="1"/>
  <c r="H990" i="1"/>
  <c r="J990" i="1"/>
  <c r="Q990" i="1"/>
  <c r="P990" i="1" s="1"/>
  <c r="H989" i="1"/>
  <c r="J989" i="1"/>
  <c r="Q989" i="1"/>
  <c r="P989" i="1" s="1"/>
  <c r="H987" i="1"/>
  <c r="H988" i="1"/>
  <c r="J987" i="1"/>
  <c r="J988" i="1"/>
  <c r="Q987" i="1"/>
  <c r="P987" i="1" s="1"/>
  <c r="Q988" i="1"/>
  <c r="P988" i="1" s="1"/>
  <c r="H986" i="1"/>
  <c r="J986" i="1"/>
  <c r="Q986" i="1"/>
  <c r="P986" i="1" s="1"/>
  <c r="H979" i="1"/>
  <c r="H980" i="1"/>
  <c r="H981" i="1"/>
  <c r="H982" i="1"/>
  <c r="H983" i="1"/>
  <c r="H984" i="1"/>
  <c r="H985" i="1"/>
  <c r="J979" i="1"/>
  <c r="J980" i="1"/>
  <c r="J981" i="1"/>
  <c r="J982" i="1"/>
  <c r="J983" i="1"/>
  <c r="J984" i="1"/>
  <c r="J985" i="1"/>
  <c r="Q979" i="1"/>
  <c r="P979" i="1" s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H978" i="1"/>
  <c r="J978" i="1"/>
  <c r="Q978" i="1"/>
  <c r="P978" i="1" s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Q927" i="1"/>
  <c r="P927" i="1" s="1"/>
  <c r="Q928" i="1"/>
  <c r="P928" i="1" s="1"/>
  <c r="Q929" i="1"/>
  <c r="P929" i="1" s="1"/>
  <c r="Q930" i="1"/>
  <c r="P930" i="1" s="1"/>
  <c r="Q931" i="1"/>
  <c r="P931" i="1" s="1"/>
  <c r="Q932" i="1"/>
  <c r="P932" i="1" s="1"/>
  <c r="Q933" i="1"/>
  <c r="P933" i="1" s="1"/>
  <c r="Q934" i="1"/>
  <c r="P934" i="1" s="1"/>
  <c r="Q935" i="1"/>
  <c r="P935" i="1" s="1"/>
  <c r="Q936" i="1"/>
  <c r="P936" i="1" s="1"/>
  <c r="Q937" i="1"/>
  <c r="P937" i="1" s="1"/>
  <c r="Q938" i="1"/>
  <c r="P938" i="1" s="1"/>
  <c r="Q939" i="1"/>
  <c r="P939" i="1" s="1"/>
  <c r="Q940" i="1"/>
  <c r="P940" i="1" s="1"/>
  <c r="Q941" i="1"/>
  <c r="P941" i="1" s="1"/>
  <c r="Q942" i="1"/>
  <c r="P942" i="1" s="1"/>
  <c r="Q943" i="1"/>
  <c r="P943" i="1" s="1"/>
  <c r="Q944" i="1"/>
  <c r="P944" i="1" s="1"/>
  <c r="Q945" i="1"/>
  <c r="P945" i="1" s="1"/>
  <c r="Q946" i="1"/>
  <c r="P946" i="1" s="1"/>
  <c r="Q947" i="1"/>
  <c r="P947" i="1" s="1"/>
  <c r="Q948" i="1"/>
  <c r="P948" i="1" s="1"/>
  <c r="Q949" i="1"/>
  <c r="P949" i="1" s="1"/>
  <c r="Q950" i="1"/>
  <c r="P950" i="1" s="1"/>
  <c r="Q951" i="1"/>
  <c r="P951" i="1" s="1"/>
  <c r="Q952" i="1"/>
  <c r="P952" i="1" s="1"/>
  <c r="Q953" i="1"/>
  <c r="P953" i="1" s="1"/>
  <c r="Q954" i="1"/>
  <c r="P954" i="1" s="1"/>
  <c r="Q955" i="1"/>
  <c r="P955" i="1" s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Q965" i="1"/>
  <c r="P965" i="1" s="1"/>
  <c r="Q966" i="1"/>
  <c r="P966" i="1" s="1"/>
  <c r="Q967" i="1"/>
  <c r="P967" i="1" s="1"/>
  <c r="Q968" i="1"/>
  <c r="P968" i="1" s="1"/>
  <c r="Q969" i="1"/>
  <c r="P969" i="1" s="1"/>
  <c r="Q970" i="1"/>
  <c r="P970" i="1" s="1"/>
  <c r="Q971" i="1"/>
  <c r="P971" i="1" s="1"/>
  <c r="Q972" i="1"/>
  <c r="P972" i="1" s="1"/>
  <c r="Q973" i="1"/>
  <c r="P973" i="1" s="1"/>
  <c r="Q974" i="1"/>
  <c r="P974" i="1" s="1"/>
  <c r="Q975" i="1"/>
  <c r="P975" i="1" s="1"/>
  <c r="Q976" i="1"/>
  <c r="P976" i="1" s="1"/>
  <c r="Q977" i="1"/>
  <c r="P977" i="1" s="1"/>
  <c r="H926" i="1"/>
  <c r="J926" i="1"/>
  <c r="Q926" i="1"/>
  <c r="P926" i="1" s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Q920" i="1"/>
  <c r="P920" i="1" s="1"/>
  <c r="Q921" i="1"/>
  <c r="P921" i="1" s="1"/>
  <c r="Q922" i="1"/>
  <c r="P922" i="1" s="1"/>
  <c r="Q923" i="1"/>
  <c r="P923" i="1" s="1"/>
  <c r="Q924" i="1"/>
  <c r="P924" i="1" s="1"/>
  <c r="Q925" i="1"/>
  <c r="P925" i="1" s="1"/>
  <c r="H909" i="1"/>
  <c r="H910" i="1"/>
  <c r="J909" i="1"/>
  <c r="J910" i="1"/>
  <c r="Q909" i="1"/>
  <c r="P909" i="1" s="1"/>
  <c r="Q910" i="1"/>
  <c r="P910" i="1" s="1"/>
  <c r="H908" i="1"/>
  <c r="J908" i="1"/>
  <c r="Q908" i="1"/>
  <c r="P908" i="1" s="1"/>
  <c r="H877" i="1"/>
  <c r="J877" i="1"/>
  <c r="Q877" i="1"/>
  <c r="P877" i="1" s="1"/>
  <c r="H876" i="1"/>
  <c r="J876" i="1"/>
  <c r="Q876" i="1"/>
  <c r="P876" i="1" s="1"/>
  <c r="H869" i="1"/>
  <c r="J869" i="1"/>
  <c r="Q869" i="1"/>
  <c r="P869" i="1" s="1"/>
  <c r="H871" i="1"/>
  <c r="H872" i="1"/>
  <c r="J871" i="1"/>
  <c r="J872" i="1"/>
  <c r="Q871" i="1"/>
  <c r="P871" i="1" s="1"/>
  <c r="Q872" i="1"/>
  <c r="P872" i="1" s="1"/>
  <c r="H870" i="1"/>
  <c r="J870" i="1"/>
  <c r="Q870" i="1"/>
  <c r="P870" i="1" s="1"/>
  <c r="H868" i="1"/>
  <c r="J868" i="1"/>
  <c r="Q868" i="1"/>
  <c r="P868" i="1" s="1"/>
  <c r="H873" i="1"/>
  <c r="J873" i="1"/>
  <c r="Q873" i="1"/>
  <c r="P873" i="1" s="1"/>
  <c r="H875" i="1"/>
  <c r="J875" i="1"/>
  <c r="Q875" i="1"/>
  <c r="P875" i="1" s="1"/>
  <c r="H874" i="1"/>
  <c r="J874" i="1"/>
  <c r="Q874" i="1"/>
  <c r="P874" i="1" s="1"/>
  <c r="H907" i="1"/>
  <c r="J907" i="1"/>
  <c r="Q907" i="1"/>
  <c r="P907" i="1" s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Q881" i="1"/>
  <c r="P881" i="1" s="1"/>
  <c r="Q882" i="1"/>
  <c r="P882" i="1" s="1"/>
  <c r="Q883" i="1"/>
  <c r="P883" i="1" s="1"/>
  <c r="Q884" i="1"/>
  <c r="P884" i="1" s="1"/>
  <c r="Q885" i="1"/>
  <c r="P885" i="1" s="1"/>
  <c r="Q886" i="1"/>
  <c r="P886" i="1" s="1"/>
  <c r="Q887" i="1"/>
  <c r="P887" i="1" s="1"/>
  <c r="Q888" i="1"/>
  <c r="P888" i="1" s="1"/>
  <c r="Q889" i="1"/>
  <c r="P889" i="1" s="1"/>
  <c r="Q890" i="1"/>
  <c r="P890" i="1" s="1"/>
  <c r="Q891" i="1"/>
  <c r="P891" i="1" s="1"/>
  <c r="Q892" i="1"/>
  <c r="P892" i="1" s="1"/>
  <c r="Q893" i="1"/>
  <c r="P893" i="1" s="1"/>
  <c r="Q894" i="1"/>
  <c r="P894" i="1" s="1"/>
  <c r="Q895" i="1"/>
  <c r="P895" i="1" s="1"/>
  <c r="Q896" i="1"/>
  <c r="P896" i="1" s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Q906" i="1"/>
  <c r="P906" i="1" s="1"/>
  <c r="H878" i="1"/>
  <c r="H879" i="1"/>
  <c r="H880" i="1"/>
  <c r="J878" i="1"/>
  <c r="J879" i="1"/>
  <c r="J880" i="1"/>
  <c r="Q878" i="1"/>
  <c r="P878" i="1" s="1"/>
  <c r="Q879" i="1"/>
  <c r="P879" i="1" s="1"/>
  <c r="Q880" i="1"/>
  <c r="P880" i="1" s="1"/>
  <c r="H863" i="1"/>
  <c r="J863" i="1"/>
  <c r="Q863" i="1"/>
  <c r="P863" i="1" s="1"/>
  <c r="H862" i="1"/>
  <c r="J862" i="1"/>
  <c r="Q862" i="1"/>
  <c r="P862" i="1" s="1"/>
  <c r="H865" i="1"/>
  <c r="J865" i="1"/>
  <c r="Q865" i="1"/>
  <c r="P865" i="1" s="1"/>
  <c r="H864" i="1"/>
  <c r="J864" i="1"/>
  <c r="Q864" i="1"/>
  <c r="P864" i="1" s="1"/>
  <c r="H866" i="1"/>
  <c r="H867" i="1"/>
  <c r="J866" i="1"/>
  <c r="J867" i="1"/>
  <c r="Q866" i="1"/>
  <c r="P866" i="1" s="1"/>
  <c r="Q867" i="1"/>
  <c r="P867" i="1" s="1"/>
  <c r="H823" i="1"/>
  <c r="J823" i="1"/>
  <c r="Q823" i="1"/>
  <c r="P823" i="1" s="1"/>
  <c r="H856" i="1"/>
  <c r="H857" i="1"/>
  <c r="H858" i="1"/>
  <c r="H859" i="1"/>
  <c r="J856" i="1"/>
  <c r="J857" i="1"/>
  <c r="J858" i="1"/>
  <c r="J859" i="1"/>
  <c r="Q856" i="1"/>
  <c r="P856" i="1" s="1"/>
  <c r="Q857" i="1"/>
  <c r="P857" i="1" s="1"/>
  <c r="Q858" i="1"/>
  <c r="P858" i="1" s="1"/>
  <c r="Q859" i="1"/>
  <c r="P859" i="1" s="1"/>
  <c r="H855" i="1"/>
  <c r="J855" i="1"/>
  <c r="Q855" i="1"/>
  <c r="P855" i="1" s="1"/>
  <c r="H861" i="1"/>
  <c r="J861" i="1"/>
  <c r="Q861" i="1"/>
  <c r="P861" i="1" s="1"/>
  <c r="H860" i="1"/>
  <c r="J860" i="1"/>
  <c r="Q860" i="1"/>
  <c r="P860" i="1" s="1"/>
  <c r="H819" i="1"/>
  <c r="J819" i="1"/>
  <c r="Q819" i="1"/>
  <c r="P819" i="1" s="1"/>
  <c r="H854" i="1"/>
  <c r="J854" i="1"/>
  <c r="Q854" i="1"/>
  <c r="P854" i="1" s="1"/>
  <c r="H842" i="1"/>
  <c r="H843" i="1"/>
  <c r="H844" i="1"/>
  <c r="J842" i="1"/>
  <c r="J843" i="1"/>
  <c r="J844" i="1"/>
  <c r="Q842" i="1"/>
  <c r="P842" i="1" s="1"/>
  <c r="Q843" i="1"/>
  <c r="P843" i="1" s="1"/>
  <c r="Q844" i="1"/>
  <c r="P844" i="1" s="1"/>
  <c r="H846" i="1"/>
  <c r="H847" i="1"/>
  <c r="H848" i="1"/>
  <c r="J846" i="1"/>
  <c r="J847" i="1"/>
  <c r="J848" i="1"/>
  <c r="Q846" i="1"/>
  <c r="P846" i="1" s="1"/>
  <c r="Q847" i="1"/>
  <c r="P847" i="1" s="1"/>
  <c r="Q848" i="1"/>
  <c r="P848" i="1" s="1"/>
  <c r="H845" i="1"/>
  <c r="J845" i="1"/>
  <c r="Q845" i="1"/>
  <c r="P845" i="1" s="1"/>
  <c r="H849" i="1"/>
  <c r="H850" i="1"/>
  <c r="H851" i="1"/>
  <c r="H852" i="1"/>
  <c r="J849" i="1"/>
  <c r="J850" i="1"/>
  <c r="J851" i="1"/>
  <c r="J852" i="1"/>
  <c r="Q849" i="1"/>
  <c r="P849" i="1" s="1"/>
  <c r="Q850" i="1"/>
  <c r="P850" i="1" s="1"/>
  <c r="Q851" i="1"/>
  <c r="P851" i="1" s="1"/>
  <c r="Q852" i="1"/>
  <c r="P852" i="1" s="1"/>
  <c r="H853" i="1"/>
  <c r="J853" i="1"/>
  <c r="Q853" i="1"/>
  <c r="P853" i="1" s="1"/>
  <c r="H820" i="1"/>
  <c r="J820" i="1"/>
  <c r="Q820" i="1"/>
  <c r="P820" i="1" s="1"/>
  <c r="H834" i="1"/>
  <c r="H835" i="1"/>
  <c r="H836" i="1"/>
  <c r="H837" i="1"/>
  <c r="H838" i="1"/>
  <c r="H839" i="1"/>
  <c r="H840" i="1"/>
  <c r="H841" i="1"/>
  <c r="J834" i="1"/>
  <c r="J835" i="1"/>
  <c r="J836" i="1"/>
  <c r="J837" i="1"/>
  <c r="J838" i="1"/>
  <c r="J839" i="1"/>
  <c r="J840" i="1"/>
  <c r="J841" i="1"/>
  <c r="Q834" i="1"/>
  <c r="P834" i="1" s="1"/>
  <c r="Q835" i="1"/>
  <c r="P835" i="1" s="1"/>
  <c r="Q836" i="1"/>
  <c r="P836" i="1" s="1"/>
  <c r="Q837" i="1"/>
  <c r="P837" i="1" s="1"/>
  <c r="Q838" i="1"/>
  <c r="P838" i="1" s="1"/>
  <c r="Q839" i="1"/>
  <c r="P839" i="1" s="1"/>
  <c r="Q840" i="1"/>
  <c r="P840" i="1" s="1"/>
  <c r="Q841" i="1"/>
  <c r="P841" i="1" s="1"/>
  <c r="H831" i="1"/>
  <c r="J831" i="1"/>
  <c r="Q831" i="1"/>
  <c r="P831" i="1" s="1"/>
  <c r="H832" i="1"/>
  <c r="J832" i="1"/>
  <c r="Q832" i="1"/>
  <c r="P832" i="1" s="1"/>
  <c r="H833" i="1"/>
  <c r="J833" i="1"/>
  <c r="Q833" i="1"/>
  <c r="P833" i="1" s="1"/>
  <c r="H830" i="1"/>
  <c r="J830" i="1"/>
  <c r="Q830" i="1"/>
  <c r="P830" i="1" s="1"/>
  <c r="H822" i="1"/>
  <c r="J822" i="1"/>
  <c r="Q822" i="1"/>
  <c r="P822" i="1" s="1"/>
  <c r="H821" i="1"/>
  <c r="J821" i="1"/>
  <c r="Q821" i="1"/>
  <c r="P821" i="1" s="1"/>
  <c r="H824" i="1"/>
  <c r="J824" i="1"/>
  <c r="Q824" i="1"/>
  <c r="P824" i="1" s="1"/>
  <c r="H825" i="1"/>
  <c r="J825" i="1"/>
  <c r="Q825" i="1"/>
  <c r="P825" i="1" s="1"/>
  <c r="H826" i="1"/>
  <c r="J826" i="1"/>
  <c r="Q826" i="1"/>
  <c r="P826" i="1" s="1"/>
  <c r="H827" i="1"/>
  <c r="J827" i="1"/>
  <c r="Q827" i="1"/>
  <c r="P827" i="1" s="1"/>
  <c r="J720" i="1"/>
  <c r="H720" i="1"/>
  <c r="Q720" i="1"/>
  <c r="P720" i="1" s="1"/>
  <c r="H803" i="1"/>
  <c r="J803" i="1"/>
  <c r="Q803" i="1"/>
  <c r="P803" i="1" s="1"/>
  <c r="H804" i="1"/>
  <c r="J804" i="1"/>
  <c r="Q804" i="1"/>
  <c r="P804" i="1" s="1"/>
  <c r="H805" i="1"/>
  <c r="J805" i="1"/>
  <c r="Q805" i="1"/>
  <c r="P805" i="1" s="1"/>
  <c r="H806" i="1"/>
  <c r="J806" i="1"/>
  <c r="Q806" i="1"/>
  <c r="P806" i="1" s="1"/>
  <c r="H807" i="1"/>
  <c r="J807" i="1"/>
  <c r="Q807" i="1"/>
  <c r="P807" i="1" s="1"/>
  <c r="H808" i="1"/>
  <c r="J808" i="1"/>
  <c r="Q808" i="1"/>
  <c r="P808" i="1" s="1"/>
  <c r="H802" i="1"/>
  <c r="J802" i="1"/>
  <c r="Q802" i="1"/>
  <c r="P802" i="1" s="1"/>
  <c r="H800" i="1"/>
  <c r="J800" i="1"/>
  <c r="Q800" i="1"/>
  <c r="P800" i="1" s="1"/>
  <c r="H801" i="1"/>
  <c r="J801" i="1"/>
  <c r="Q801" i="1"/>
  <c r="P801" i="1" s="1"/>
  <c r="H792" i="1"/>
  <c r="J792" i="1"/>
  <c r="Q792" i="1"/>
  <c r="P792" i="1" s="1"/>
  <c r="H793" i="1"/>
  <c r="J793" i="1"/>
  <c r="Q793" i="1"/>
  <c r="P793" i="1" s="1"/>
  <c r="H794" i="1"/>
  <c r="J794" i="1"/>
  <c r="Q794" i="1"/>
  <c r="P794" i="1" s="1"/>
  <c r="H795" i="1"/>
  <c r="J795" i="1"/>
  <c r="Q795" i="1"/>
  <c r="P795" i="1" s="1"/>
  <c r="H796" i="1"/>
  <c r="J796" i="1"/>
  <c r="Q796" i="1"/>
  <c r="P796" i="1" s="1"/>
  <c r="H797" i="1"/>
  <c r="J797" i="1"/>
  <c r="Q797" i="1"/>
  <c r="P797" i="1" s="1"/>
  <c r="H798" i="1"/>
  <c r="J798" i="1"/>
  <c r="Q798" i="1"/>
  <c r="P798" i="1" s="1"/>
  <c r="H799" i="1"/>
  <c r="J799" i="1"/>
  <c r="Q799" i="1"/>
  <c r="P799" i="1" s="1"/>
  <c r="H829" i="1"/>
  <c r="J829" i="1"/>
  <c r="Q829" i="1"/>
  <c r="P829" i="1" s="1"/>
  <c r="H828" i="1"/>
  <c r="J828" i="1"/>
  <c r="Q828" i="1"/>
  <c r="P828" i="1" s="1"/>
  <c r="H810" i="1"/>
  <c r="H811" i="1"/>
  <c r="H812" i="1"/>
  <c r="H813" i="1"/>
  <c r="H814" i="1"/>
  <c r="H815" i="1"/>
  <c r="H816" i="1"/>
  <c r="H817" i="1"/>
  <c r="H818" i="1"/>
  <c r="J810" i="1"/>
  <c r="J811" i="1"/>
  <c r="J812" i="1"/>
  <c r="J813" i="1"/>
  <c r="J814" i="1"/>
  <c r="J815" i="1"/>
  <c r="J816" i="1"/>
  <c r="J817" i="1"/>
  <c r="J818" i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H809" i="1"/>
  <c r="J809" i="1"/>
  <c r="Q809" i="1"/>
  <c r="P809" i="1" s="1"/>
  <c r="H788" i="1"/>
  <c r="H789" i="1"/>
  <c r="H790" i="1"/>
  <c r="H791" i="1"/>
  <c r="J788" i="1"/>
  <c r="J789" i="1"/>
  <c r="J790" i="1"/>
  <c r="J791" i="1"/>
  <c r="Q788" i="1"/>
  <c r="P788" i="1" s="1"/>
  <c r="Q789" i="1"/>
  <c r="P789" i="1" s="1"/>
  <c r="Q790" i="1"/>
  <c r="P790" i="1" s="1"/>
  <c r="Q791" i="1"/>
  <c r="P791" i="1" s="1"/>
  <c r="H785" i="1"/>
  <c r="H786" i="1"/>
  <c r="H787" i="1"/>
  <c r="J785" i="1"/>
  <c r="J786" i="1"/>
  <c r="J787" i="1"/>
  <c r="Q785" i="1"/>
  <c r="P785" i="1" s="1"/>
  <c r="Q786" i="1"/>
  <c r="P786" i="1" s="1"/>
  <c r="Q787" i="1"/>
  <c r="P787" i="1" s="1"/>
  <c r="Q783" i="1"/>
  <c r="P783" i="1" s="1"/>
  <c r="Q782" i="1"/>
  <c r="P782" i="1" s="1"/>
  <c r="Q781" i="1"/>
  <c r="P781" i="1" s="1"/>
  <c r="H781" i="1"/>
  <c r="H782" i="1"/>
  <c r="H783" i="1"/>
  <c r="J781" i="1"/>
  <c r="J782" i="1"/>
  <c r="J783" i="1"/>
  <c r="H780" i="1"/>
  <c r="J780" i="1"/>
  <c r="Q780" i="1"/>
  <c r="P780" i="1" s="1"/>
  <c r="H784" i="1"/>
  <c r="J784" i="1"/>
  <c r="Q784" i="1"/>
  <c r="P784" i="1" s="1"/>
  <c r="H779" i="1"/>
  <c r="J779" i="1"/>
  <c r="Q779" i="1"/>
  <c r="P779" i="1" s="1"/>
  <c r="H778" i="1"/>
  <c r="J778" i="1"/>
  <c r="Q778" i="1"/>
  <c r="P778" i="1" s="1"/>
  <c r="H777" i="1"/>
  <c r="J777" i="1"/>
  <c r="Q777" i="1"/>
  <c r="P777" i="1" s="1"/>
  <c r="H776" i="1"/>
  <c r="J776" i="1"/>
  <c r="Q776" i="1"/>
  <c r="P776" i="1" s="1"/>
  <c r="H775" i="1"/>
  <c r="J775" i="1"/>
  <c r="Q775" i="1"/>
  <c r="P775" i="1" s="1"/>
  <c r="H774" i="1"/>
  <c r="J774" i="1"/>
  <c r="Q774" i="1"/>
  <c r="P774" i="1" s="1"/>
  <c r="H763" i="1"/>
  <c r="H764" i="1"/>
  <c r="H765" i="1"/>
  <c r="H766" i="1"/>
  <c r="H767" i="1"/>
  <c r="H768" i="1"/>
  <c r="H769" i="1"/>
  <c r="H770" i="1"/>
  <c r="H771" i="1"/>
  <c r="H772" i="1"/>
  <c r="H773" i="1"/>
  <c r="J763" i="1"/>
  <c r="J764" i="1"/>
  <c r="J765" i="1"/>
  <c r="J766" i="1"/>
  <c r="J767" i="1"/>
  <c r="J768" i="1"/>
  <c r="J769" i="1"/>
  <c r="J770" i="1"/>
  <c r="J771" i="1"/>
  <c r="J772" i="1"/>
  <c r="J773" i="1"/>
  <c r="Q763" i="1"/>
  <c r="P763" i="1" s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H761" i="1"/>
  <c r="J761" i="1"/>
  <c r="Q761" i="1"/>
  <c r="P761" i="1" s="1"/>
  <c r="H737" i="1"/>
  <c r="J737" i="1"/>
  <c r="Q737" i="1"/>
  <c r="P737" i="1" s="1"/>
  <c r="J762" i="1"/>
  <c r="J743" i="1"/>
  <c r="J742" i="1"/>
  <c r="J741" i="1"/>
  <c r="J740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19" i="1"/>
  <c r="J718" i="1"/>
  <c r="J717" i="1"/>
  <c r="J716" i="1"/>
  <c r="J715" i="1"/>
  <c r="J687" i="1"/>
  <c r="H762" i="1"/>
  <c r="Q762" i="1"/>
  <c r="P762" i="1" s="1"/>
  <c r="H760" i="1"/>
  <c r="J760" i="1"/>
  <c r="Q760" i="1"/>
  <c r="P760" i="1" s="1"/>
  <c r="H752" i="1"/>
  <c r="H753" i="1"/>
  <c r="H754" i="1"/>
  <c r="H755" i="1"/>
  <c r="H756" i="1"/>
  <c r="H757" i="1"/>
  <c r="H758" i="1"/>
  <c r="H759" i="1"/>
  <c r="J752" i="1"/>
  <c r="J753" i="1"/>
  <c r="J754" i="1"/>
  <c r="J755" i="1"/>
  <c r="J756" i="1"/>
  <c r="J757" i="1"/>
  <c r="J758" i="1"/>
  <c r="J759" i="1"/>
  <c r="Q752" i="1"/>
  <c r="P752" i="1" s="1"/>
  <c r="Q753" i="1"/>
  <c r="P753" i="1" s="1"/>
  <c r="Q754" i="1"/>
  <c r="P754" i="1" s="1"/>
  <c r="Q755" i="1"/>
  <c r="P755" i="1" s="1"/>
  <c r="Q756" i="1"/>
  <c r="P756" i="1" s="1"/>
  <c r="Q757" i="1"/>
  <c r="P757" i="1" s="1"/>
  <c r="Q758" i="1"/>
  <c r="P758" i="1" s="1"/>
  <c r="Q759" i="1"/>
  <c r="P759" i="1" s="1"/>
  <c r="H751" i="1"/>
  <c r="J751" i="1"/>
  <c r="Q751" i="1"/>
  <c r="P751" i="1" s="1"/>
  <c r="H745" i="1"/>
  <c r="H746" i="1"/>
  <c r="H747" i="1"/>
  <c r="H748" i="1"/>
  <c r="J745" i="1"/>
  <c r="J746" i="1"/>
  <c r="J747" i="1"/>
  <c r="J748" i="1"/>
  <c r="Q745" i="1"/>
  <c r="P745" i="1" s="1"/>
  <c r="Q746" i="1"/>
  <c r="P746" i="1" s="1"/>
  <c r="Q747" i="1"/>
  <c r="P747" i="1" s="1"/>
  <c r="Q748" i="1"/>
  <c r="P748" i="1" s="1"/>
  <c r="H749" i="1"/>
  <c r="J749" i="1"/>
  <c r="Q749" i="1"/>
  <c r="P749" i="1" s="1"/>
  <c r="H750" i="1"/>
  <c r="J750" i="1"/>
  <c r="Q750" i="1"/>
  <c r="P750" i="1" s="1"/>
  <c r="H740" i="1"/>
  <c r="H741" i="1"/>
  <c r="H742" i="1"/>
  <c r="H743" i="1"/>
  <c r="Q740" i="1"/>
  <c r="P740" i="1" s="1"/>
  <c r="Q741" i="1"/>
  <c r="P741" i="1" s="1"/>
  <c r="Q742" i="1"/>
  <c r="P742" i="1" s="1"/>
  <c r="Q743" i="1"/>
  <c r="P743" i="1" s="1"/>
  <c r="H744" i="1"/>
  <c r="J744" i="1"/>
  <c r="Q744" i="1"/>
  <c r="P744" i="1" s="1"/>
  <c r="H686" i="1"/>
  <c r="Q686" i="1"/>
  <c r="P686" i="1" s="1"/>
  <c r="J686" i="1"/>
  <c r="H738" i="1"/>
  <c r="H739" i="1"/>
  <c r="J738" i="1"/>
  <c r="J739" i="1"/>
  <c r="Q738" i="1"/>
  <c r="P738" i="1" s="1"/>
  <c r="Q739" i="1"/>
  <c r="P739" i="1" s="1"/>
  <c r="H736" i="1"/>
  <c r="J736" i="1"/>
  <c r="Q736" i="1"/>
  <c r="P736" i="1" s="1"/>
  <c r="H735" i="1"/>
  <c r="J735" i="1"/>
  <c r="Q735" i="1"/>
  <c r="P735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Q690" i="1"/>
  <c r="P690" i="1" s="1"/>
  <c r="Q689" i="1"/>
  <c r="P689" i="1" s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Q688" i="1"/>
  <c r="P688" i="1" s="1"/>
  <c r="H706" i="1"/>
  <c r="H707" i="1"/>
  <c r="H708" i="1"/>
  <c r="J706" i="1"/>
  <c r="J707" i="1"/>
  <c r="J708" i="1"/>
  <c r="Q706" i="1"/>
  <c r="P706" i="1" s="1"/>
  <c r="Q707" i="1"/>
  <c r="P707" i="1" s="1"/>
  <c r="Q708" i="1"/>
  <c r="P708" i="1" s="1"/>
  <c r="H709" i="1"/>
  <c r="H710" i="1"/>
  <c r="H711" i="1"/>
  <c r="H712" i="1"/>
  <c r="H713" i="1"/>
  <c r="H714" i="1"/>
  <c r="J709" i="1"/>
  <c r="J710" i="1"/>
  <c r="J711" i="1"/>
  <c r="J712" i="1"/>
  <c r="J713" i="1"/>
  <c r="J714" i="1"/>
  <c r="Q709" i="1"/>
  <c r="P709" i="1" s="1"/>
  <c r="Q710" i="1"/>
  <c r="P710" i="1" s="1"/>
  <c r="Q711" i="1"/>
  <c r="P711" i="1" s="1"/>
  <c r="Q712" i="1"/>
  <c r="P712" i="1" s="1"/>
  <c r="Q713" i="1"/>
  <c r="P713" i="1" s="1"/>
  <c r="Q714" i="1"/>
  <c r="P71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19" i="1"/>
  <c r="P719" i="1" s="1"/>
  <c r="Q718" i="1"/>
  <c r="P718" i="1" s="1"/>
  <c r="Q717" i="1"/>
  <c r="P717" i="1" s="1"/>
  <c r="Q716" i="1"/>
  <c r="P716" i="1" s="1"/>
  <c r="H715" i="1"/>
  <c r="H716" i="1"/>
  <c r="H717" i="1"/>
  <c r="H718" i="1"/>
  <c r="H719" i="1"/>
  <c r="H721" i="1"/>
  <c r="H722" i="1"/>
  <c r="H723" i="1"/>
  <c r="H725" i="1"/>
  <c r="H726" i="1"/>
  <c r="H727" i="1"/>
  <c r="H728" i="1"/>
  <c r="H729" i="1"/>
  <c r="H730" i="1"/>
  <c r="H731" i="1"/>
  <c r="H732" i="1"/>
  <c r="H733" i="1"/>
  <c r="Q715" i="1"/>
  <c r="P715" i="1" s="1"/>
  <c r="H734" i="1"/>
  <c r="J734" i="1"/>
  <c r="Q734" i="1"/>
  <c r="P734" i="1" s="1"/>
  <c r="H685" i="1"/>
  <c r="J685" i="1"/>
  <c r="Q685" i="1"/>
  <c r="P685" i="1" s="1"/>
  <c r="H687" i="1"/>
  <c r="Q687" i="1"/>
  <c r="P687" i="1" s="1"/>
  <c r="H662" i="1"/>
  <c r="H663" i="1"/>
  <c r="H664" i="1"/>
  <c r="H665" i="1"/>
  <c r="H666" i="1"/>
  <c r="J662" i="1"/>
  <c r="J663" i="1"/>
  <c r="J664" i="1"/>
  <c r="J665" i="1"/>
  <c r="J666" i="1"/>
  <c r="Q662" i="1"/>
  <c r="P662" i="1" s="1"/>
  <c r="Q663" i="1"/>
  <c r="P663" i="1" s="1"/>
  <c r="Q664" i="1"/>
  <c r="P664" i="1" s="1"/>
  <c r="Q665" i="1"/>
  <c r="P665" i="1" s="1"/>
  <c r="Q666" i="1"/>
  <c r="P666" i="1" s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H667" i="1"/>
  <c r="J667" i="1"/>
  <c r="Q667" i="1"/>
  <c r="P667" i="1" s="1"/>
  <c r="H618" i="1"/>
  <c r="H619" i="1"/>
  <c r="H620" i="1"/>
  <c r="H621" i="1"/>
  <c r="H622" i="1"/>
  <c r="H623" i="1"/>
  <c r="H624" i="1"/>
  <c r="H625" i="1"/>
  <c r="J618" i="1"/>
  <c r="J619" i="1"/>
  <c r="J620" i="1"/>
  <c r="J621" i="1"/>
  <c r="J622" i="1"/>
  <c r="J623" i="1"/>
  <c r="J624" i="1"/>
  <c r="J625" i="1"/>
  <c r="Q618" i="1"/>
  <c r="P618" i="1" s="1"/>
  <c r="Q619" i="1"/>
  <c r="P619" i="1" s="1"/>
  <c r="Q620" i="1"/>
  <c r="P620" i="1" s="1"/>
  <c r="Q621" i="1"/>
  <c r="P621" i="1" s="1"/>
  <c r="Q622" i="1"/>
  <c r="P622" i="1" s="1"/>
  <c r="Q623" i="1"/>
  <c r="P623" i="1" s="1"/>
  <c r="Q624" i="1"/>
  <c r="P624" i="1" s="1"/>
  <c r="Q625" i="1"/>
  <c r="P625" i="1" s="1"/>
  <c r="Q627" i="1"/>
  <c r="P627" i="1" s="1"/>
  <c r="Q626" i="1"/>
  <c r="P626" i="1" s="1"/>
  <c r="J627" i="1"/>
  <c r="J626" i="1"/>
  <c r="H627" i="1"/>
  <c r="H626" i="1"/>
  <c r="H628" i="1"/>
  <c r="J628" i="1"/>
  <c r="Q628" i="1"/>
  <c r="P628" i="1" s="1"/>
  <c r="H629" i="1"/>
  <c r="H630" i="1"/>
  <c r="H631" i="1"/>
  <c r="H632" i="1"/>
  <c r="H633" i="1"/>
  <c r="H634" i="1"/>
  <c r="H635" i="1"/>
  <c r="H636" i="1"/>
  <c r="H637" i="1"/>
  <c r="H638" i="1"/>
  <c r="H639" i="1"/>
  <c r="J629" i="1"/>
  <c r="J630" i="1"/>
  <c r="J631" i="1"/>
  <c r="J632" i="1"/>
  <c r="J633" i="1"/>
  <c r="J634" i="1"/>
  <c r="J635" i="1"/>
  <c r="J636" i="1"/>
  <c r="J637" i="1"/>
  <c r="J638" i="1"/>
  <c r="J639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Q638" i="1"/>
  <c r="P638" i="1" s="1"/>
  <c r="Q639" i="1"/>
  <c r="P639" i="1" s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Q640" i="1"/>
  <c r="P640" i="1" s="1"/>
  <c r="Q641" i="1"/>
  <c r="P641" i="1" s="1"/>
  <c r="Q642" i="1"/>
  <c r="P642" i="1" s="1"/>
  <c r="Q643" i="1"/>
  <c r="P643" i="1" s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Q651" i="1"/>
  <c r="P651" i="1" s="1"/>
  <c r="Q652" i="1"/>
  <c r="P652" i="1" s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15" i="1"/>
  <c r="J615" i="1"/>
  <c r="Q615" i="1"/>
  <c r="P615" i="1" s="1"/>
  <c r="H616" i="1"/>
  <c r="H617" i="1"/>
  <c r="J616" i="1"/>
  <c r="J617" i="1"/>
  <c r="Q616" i="1"/>
  <c r="P616" i="1" s="1"/>
  <c r="Q617" i="1"/>
  <c r="P617" i="1" s="1"/>
  <c r="H609" i="1"/>
  <c r="J609" i="1"/>
  <c r="Q609" i="1"/>
  <c r="P609" i="1" s="1"/>
  <c r="H608" i="1"/>
  <c r="J608" i="1"/>
  <c r="Q608" i="1"/>
  <c r="P608" i="1" s="1"/>
  <c r="H611" i="1"/>
  <c r="H612" i="1"/>
  <c r="H613" i="1"/>
  <c r="J611" i="1"/>
  <c r="J612" i="1"/>
  <c r="J613" i="1"/>
  <c r="Q611" i="1"/>
  <c r="P611" i="1" s="1"/>
  <c r="Q612" i="1"/>
  <c r="P612" i="1" s="1"/>
  <c r="Q613" i="1"/>
  <c r="P613" i="1" s="1"/>
  <c r="H610" i="1"/>
  <c r="J610" i="1"/>
  <c r="Q610" i="1"/>
  <c r="P610" i="1" s="1"/>
  <c r="H614" i="1"/>
  <c r="J614" i="1"/>
  <c r="Q614" i="1"/>
  <c r="P614" i="1" s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Q593" i="1"/>
  <c r="P593" i="1" s="1"/>
  <c r="Q594" i="1"/>
  <c r="P594" i="1" s="1"/>
  <c r="Q595" i="1"/>
  <c r="P595" i="1" s="1"/>
  <c r="Q596" i="1"/>
  <c r="P596" i="1" s="1"/>
  <c r="Q597" i="1"/>
  <c r="P597" i="1" s="1"/>
  <c r="Q598" i="1"/>
  <c r="P598" i="1" s="1"/>
  <c r="Q599" i="1"/>
  <c r="P599" i="1" s="1"/>
  <c r="Q600" i="1"/>
  <c r="P600" i="1" s="1"/>
  <c r="Q601" i="1"/>
  <c r="P601" i="1" s="1"/>
  <c r="Q602" i="1"/>
  <c r="P602" i="1" s="1"/>
  <c r="Q603" i="1"/>
  <c r="P603" i="1" s="1"/>
  <c r="Q604" i="1"/>
  <c r="P604" i="1" s="1"/>
  <c r="Q605" i="1"/>
  <c r="P605" i="1" s="1"/>
  <c r="Q606" i="1"/>
  <c r="P606" i="1" s="1"/>
  <c r="Q607" i="1"/>
  <c r="P607" i="1" s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Q530" i="1"/>
  <c r="P530" i="1" s="1"/>
  <c r="Q531" i="1"/>
  <c r="P531" i="1" s="1"/>
  <c r="Q532" i="1"/>
  <c r="P532" i="1" s="1"/>
  <c r="Q533" i="1"/>
  <c r="P533" i="1" s="1"/>
  <c r="Q534" i="1"/>
  <c r="P534" i="1" s="1"/>
  <c r="Q535" i="1"/>
  <c r="P535" i="1" s="1"/>
  <c r="Q536" i="1"/>
  <c r="P536" i="1" s="1"/>
  <c r="Q537" i="1"/>
  <c r="P537" i="1" s="1"/>
  <c r="Q538" i="1"/>
  <c r="P538" i="1" s="1"/>
  <c r="Q539" i="1"/>
  <c r="P539" i="1" s="1"/>
  <c r="Q540" i="1"/>
  <c r="P540" i="1" s="1"/>
  <c r="Q541" i="1"/>
  <c r="P541" i="1" s="1"/>
  <c r="Q542" i="1"/>
  <c r="P542" i="1" s="1"/>
  <c r="Q543" i="1"/>
  <c r="P543" i="1" s="1"/>
  <c r="Q589" i="1"/>
  <c r="P589" i="1" s="1"/>
  <c r="Q588" i="1"/>
  <c r="P588" i="1" s="1"/>
  <c r="Q587" i="1"/>
  <c r="P587" i="1" s="1"/>
  <c r="Q586" i="1"/>
  <c r="P586" i="1" s="1"/>
  <c r="Q585" i="1"/>
  <c r="P585" i="1" s="1"/>
  <c r="Q584" i="1"/>
  <c r="P584" i="1" s="1"/>
  <c r="Q583" i="1"/>
  <c r="P583" i="1" s="1"/>
  <c r="Q582" i="1"/>
  <c r="P582" i="1" s="1"/>
  <c r="Q581" i="1"/>
  <c r="P581" i="1" s="1"/>
  <c r="Q580" i="1"/>
  <c r="P580" i="1" s="1"/>
  <c r="Q579" i="1"/>
  <c r="P579" i="1" s="1"/>
  <c r="Q578" i="1"/>
  <c r="P578" i="1" s="1"/>
  <c r="Q577" i="1"/>
  <c r="P577" i="1" s="1"/>
  <c r="Q576" i="1"/>
  <c r="P576" i="1" s="1"/>
  <c r="Q575" i="1"/>
  <c r="P575" i="1" s="1"/>
  <c r="Q574" i="1"/>
  <c r="P574" i="1" s="1"/>
  <c r="Q573" i="1"/>
  <c r="P573" i="1" s="1"/>
  <c r="Q572" i="1"/>
  <c r="P572" i="1" s="1"/>
  <c r="Q571" i="1"/>
  <c r="P571" i="1" s="1"/>
  <c r="Q570" i="1"/>
  <c r="P570" i="1" s="1"/>
  <c r="Q569" i="1"/>
  <c r="P569" i="1" s="1"/>
  <c r="Q568" i="1"/>
  <c r="P568" i="1" s="1"/>
  <c r="Q567" i="1"/>
  <c r="P567" i="1" s="1"/>
  <c r="Q566" i="1"/>
  <c r="P566" i="1" s="1"/>
  <c r="Q565" i="1"/>
  <c r="P565" i="1" s="1"/>
  <c r="Q564" i="1"/>
  <c r="P564" i="1" s="1"/>
  <c r="Q563" i="1"/>
  <c r="P563" i="1" s="1"/>
  <c r="Q562" i="1"/>
  <c r="P562" i="1" s="1"/>
  <c r="Q561" i="1"/>
  <c r="P561" i="1" s="1"/>
  <c r="Q560" i="1"/>
  <c r="P560" i="1" s="1"/>
  <c r="Q559" i="1"/>
  <c r="P559" i="1" s="1"/>
  <c r="Q558" i="1"/>
  <c r="P558" i="1" s="1"/>
  <c r="Q557" i="1"/>
  <c r="P557" i="1" s="1"/>
  <c r="Q556" i="1"/>
  <c r="P556" i="1" s="1"/>
  <c r="Q555" i="1"/>
  <c r="P555" i="1" s="1"/>
  <c r="Q554" i="1"/>
  <c r="P554" i="1" s="1"/>
  <c r="Q553" i="1"/>
  <c r="P553" i="1" s="1"/>
  <c r="Q552" i="1"/>
  <c r="P552" i="1" s="1"/>
  <c r="Q551" i="1"/>
  <c r="P551" i="1" s="1"/>
  <c r="Q550" i="1"/>
  <c r="P550" i="1" s="1"/>
  <c r="Q549" i="1"/>
  <c r="P549" i="1" s="1"/>
  <c r="Q548" i="1"/>
  <c r="P548" i="1" s="1"/>
  <c r="Q547" i="1"/>
  <c r="P547" i="1" s="1"/>
  <c r="Q546" i="1"/>
  <c r="P546" i="1" s="1"/>
  <c r="Q545" i="1"/>
  <c r="P545" i="1" s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H544" i="1"/>
  <c r="J544" i="1"/>
  <c r="Q544" i="1"/>
  <c r="P544" i="1" s="1"/>
  <c r="Q592" i="1"/>
  <c r="P592" i="1" s="1"/>
  <c r="Q591" i="1"/>
  <c r="P591" i="1" s="1"/>
  <c r="H591" i="1"/>
  <c r="H592" i="1"/>
  <c r="J591" i="1"/>
  <c r="J592" i="1"/>
  <c r="H590" i="1"/>
  <c r="J590" i="1"/>
  <c r="Q590" i="1"/>
  <c r="P590" i="1" s="1"/>
  <c r="H517" i="1"/>
  <c r="H518" i="1"/>
  <c r="H519" i="1"/>
  <c r="J517" i="1"/>
  <c r="J518" i="1"/>
  <c r="J519" i="1"/>
  <c r="Q517" i="1"/>
  <c r="P517" i="1" s="1"/>
  <c r="Q518" i="1"/>
  <c r="P518" i="1" s="1"/>
  <c r="Q519" i="1"/>
  <c r="P519" i="1" s="1"/>
  <c r="H516" i="1"/>
  <c r="J516" i="1"/>
  <c r="Q516" i="1"/>
  <c r="P516" i="1" s="1"/>
  <c r="H521" i="1"/>
  <c r="H522" i="1"/>
  <c r="H523" i="1"/>
  <c r="H524" i="1"/>
  <c r="H525" i="1"/>
  <c r="H526" i="1"/>
  <c r="H527" i="1"/>
  <c r="H528" i="1"/>
  <c r="H529" i="1"/>
  <c r="J521" i="1"/>
  <c r="J522" i="1"/>
  <c r="J523" i="1"/>
  <c r="J524" i="1"/>
  <c r="J525" i="1"/>
  <c r="J526" i="1"/>
  <c r="J527" i="1"/>
  <c r="J528" i="1"/>
  <c r="J529" i="1"/>
  <c r="Q521" i="1"/>
  <c r="P521" i="1" s="1"/>
  <c r="Q522" i="1"/>
  <c r="P522" i="1" s="1"/>
  <c r="Q523" i="1"/>
  <c r="P523" i="1" s="1"/>
  <c r="Q524" i="1"/>
  <c r="P524" i="1" s="1"/>
  <c r="Q525" i="1"/>
  <c r="P525" i="1" s="1"/>
  <c r="Q526" i="1"/>
  <c r="P526" i="1" s="1"/>
  <c r="Q527" i="1"/>
  <c r="P527" i="1" s="1"/>
  <c r="Q528" i="1"/>
  <c r="P528" i="1" s="1"/>
  <c r="Q529" i="1"/>
  <c r="P529" i="1" s="1"/>
  <c r="H520" i="1"/>
  <c r="J520" i="1"/>
  <c r="Q520" i="1"/>
  <c r="P520" i="1" s="1"/>
  <c r="H507" i="1"/>
  <c r="H508" i="1"/>
  <c r="H509" i="1"/>
  <c r="H510" i="1"/>
  <c r="H511" i="1"/>
  <c r="H512" i="1"/>
  <c r="H513" i="1"/>
  <c r="H514" i="1"/>
  <c r="H515" i="1"/>
  <c r="J507" i="1"/>
  <c r="J508" i="1"/>
  <c r="J509" i="1"/>
  <c r="J510" i="1"/>
  <c r="J511" i="1"/>
  <c r="J512" i="1"/>
  <c r="J513" i="1"/>
  <c r="J514" i="1"/>
  <c r="J515" i="1"/>
  <c r="Q507" i="1"/>
  <c r="P507" i="1" s="1"/>
  <c r="Q508" i="1"/>
  <c r="P508" i="1" s="1"/>
  <c r="Q509" i="1"/>
  <c r="P509" i="1" s="1"/>
  <c r="Q510" i="1"/>
  <c r="P510" i="1" s="1"/>
  <c r="Q511" i="1"/>
  <c r="P511" i="1" s="1"/>
  <c r="Q512" i="1"/>
  <c r="P512" i="1" s="1"/>
  <c r="Q513" i="1"/>
  <c r="P513" i="1" s="1"/>
  <c r="Q514" i="1"/>
  <c r="P514" i="1" s="1"/>
  <c r="Q515" i="1"/>
  <c r="P515" i="1" s="1"/>
  <c r="H506" i="1"/>
  <c r="J506" i="1"/>
  <c r="Q506" i="1"/>
  <c r="P506" i="1" s="1"/>
  <c r="H497" i="1"/>
  <c r="J497" i="1"/>
  <c r="Q497" i="1"/>
  <c r="P497" i="1" s="1"/>
  <c r="H498" i="1"/>
  <c r="H499" i="1"/>
  <c r="H500" i="1"/>
  <c r="H501" i="1"/>
  <c r="H502" i="1"/>
  <c r="H503" i="1"/>
  <c r="H504" i="1"/>
  <c r="J498" i="1"/>
  <c r="J499" i="1"/>
  <c r="J500" i="1"/>
  <c r="J501" i="1"/>
  <c r="J502" i="1"/>
  <c r="J503" i="1"/>
  <c r="J504" i="1"/>
  <c r="Q498" i="1"/>
  <c r="P498" i="1" s="1"/>
  <c r="Q499" i="1"/>
  <c r="P499" i="1" s="1"/>
  <c r="Q500" i="1"/>
  <c r="P500" i="1" s="1"/>
  <c r="Q501" i="1"/>
  <c r="P501" i="1" s="1"/>
  <c r="Q502" i="1"/>
  <c r="P502" i="1" s="1"/>
  <c r="Q503" i="1"/>
  <c r="P503" i="1" s="1"/>
  <c r="Q504" i="1"/>
  <c r="P504" i="1" s="1"/>
  <c r="H505" i="1"/>
  <c r="J505" i="1"/>
  <c r="Q505" i="1"/>
  <c r="P505" i="1" s="1"/>
  <c r="H496" i="1"/>
  <c r="J496" i="1"/>
  <c r="Q496" i="1"/>
  <c r="P496" i="1" s="1"/>
  <c r="H495" i="1"/>
  <c r="J495" i="1"/>
  <c r="Q495" i="1"/>
  <c r="P495" i="1" s="1"/>
  <c r="H494" i="1"/>
  <c r="J494" i="1"/>
  <c r="Q494" i="1"/>
  <c r="P494" i="1" s="1"/>
  <c r="H487" i="1"/>
  <c r="H488" i="1"/>
  <c r="J487" i="1"/>
  <c r="J488" i="1"/>
  <c r="Q487" i="1"/>
  <c r="P487" i="1" s="1"/>
  <c r="Q488" i="1"/>
  <c r="P488" i="1" s="1"/>
  <c r="H478" i="1"/>
  <c r="H479" i="1"/>
  <c r="H480" i="1"/>
  <c r="H481" i="1"/>
  <c r="H482" i="1"/>
  <c r="H483" i="1"/>
  <c r="H484" i="1"/>
  <c r="H485" i="1"/>
  <c r="H486" i="1"/>
  <c r="J478" i="1"/>
  <c r="J479" i="1"/>
  <c r="J480" i="1"/>
  <c r="J481" i="1"/>
  <c r="J482" i="1"/>
  <c r="J483" i="1"/>
  <c r="J484" i="1"/>
  <c r="J485" i="1"/>
  <c r="J486" i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H477" i="1"/>
  <c r="J477" i="1"/>
  <c r="Q477" i="1"/>
  <c r="P477" i="1" s="1"/>
  <c r="H490" i="1"/>
  <c r="H491" i="1"/>
  <c r="H492" i="1"/>
  <c r="H493" i="1"/>
  <c r="J490" i="1"/>
  <c r="J491" i="1"/>
  <c r="J492" i="1"/>
  <c r="J493" i="1"/>
  <c r="Q490" i="1"/>
  <c r="P490" i="1" s="1"/>
  <c r="Q491" i="1"/>
  <c r="P491" i="1" s="1"/>
  <c r="Q492" i="1"/>
  <c r="P492" i="1" s="1"/>
  <c r="Q493" i="1"/>
  <c r="P493" i="1" s="1"/>
  <c r="H489" i="1"/>
  <c r="J489" i="1"/>
  <c r="Q489" i="1"/>
  <c r="P489" i="1" s="1"/>
  <c r="H231" i="1"/>
  <c r="J231" i="1"/>
  <c r="Q231" i="1"/>
  <c r="P231" i="1" s="1"/>
  <c r="H236" i="1"/>
  <c r="J236" i="1"/>
  <c r="Q236" i="1"/>
  <c r="P236" i="1" s="1"/>
  <c r="H353" i="1"/>
  <c r="J353" i="1"/>
  <c r="Q353" i="1"/>
  <c r="P353" i="1" s="1"/>
  <c r="H354" i="1"/>
  <c r="J354" i="1"/>
  <c r="Q354" i="1"/>
  <c r="P354" i="1" s="1"/>
  <c r="H355" i="1"/>
  <c r="J355" i="1"/>
  <c r="Q355" i="1"/>
  <c r="P355" i="1" s="1"/>
  <c r="H356" i="1"/>
  <c r="J356" i="1"/>
  <c r="Q356" i="1"/>
  <c r="P356" i="1" s="1"/>
  <c r="H357" i="1"/>
  <c r="J357" i="1"/>
  <c r="Q357" i="1"/>
  <c r="P357" i="1" s="1"/>
  <c r="H358" i="1"/>
  <c r="J358" i="1"/>
  <c r="Q358" i="1"/>
  <c r="P358" i="1" s="1"/>
  <c r="H359" i="1"/>
  <c r="J359" i="1"/>
  <c r="Q359" i="1"/>
  <c r="P359" i="1" s="1"/>
  <c r="H360" i="1"/>
  <c r="J360" i="1"/>
  <c r="Q360" i="1"/>
  <c r="P360" i="1" s="1"/>
  <c r="H361" i="1"/>
  <c r="J361" i="1"/>
  <c r="Q361" i="1"/>
  <c r="P361" i="1" s="1"/>
  <c r="H362" i="1"/>
  <c r="J362" i="1"/>
  <c r="Q362" i="1"/>
  <c r="P362" i="1" s="1"/>
  <c r="H368" i="1"/>
  <c r="J368" i="1"/>
  <c r="Q368" i="1"/>
  <c r="P368" i="1" s="1"/>
  <c r="H369" i="1"/>
  <c r="J369" i="1"/>
  <c r="Q369" i="1"/>
  <c r="P369" i="1" s="1"/>
  <c r="H370" i="1"/>
  <c r="J370" i="1"/>
  <c r="Q370" i="1"/>
  <c r="P370" i="1" s="1"/>
  <c r="H371" i="1"/>
  <c r="J371" i="1"/>
  <c r="Q371" i="1"/>
  <c r="P371" i="1" s="1"/>
  <c r="H372" i="1"/>
  <c r="J372" i="1"/>
  <c r="Q372" i="1"/>
  <c r="P372" i="1" s="1"/>
  <c r="H373" i="1"/>
  <c r="J373" i="1"/>
  <c r="Q373" i="1"/>
  <c r="P373" i="1" s="1"/>
  <c r="H374" i="1"/>
  <c r="J374" i="1"/>
  <c r="Q374" i="1"/>
  <c r="P374" i="1" s="1"/>
  <c r="H375" i="1"/>
  <c r="J375" i="1"/>
  <c r="Q375" i="1"/>
  <c r="P375" i="1" s="1"/>
  <c r="H376" i="1"/>
  <c r="J376" i="1"/>
  <c r="Q376" i="1"/>
  <c r="P376" i="1" s="1"/>
  <c r="H377" i="1"/>
  <c r="J377" i="1"/>
  <c r="Q377" i="1"/>
  <c r="P377" i="1" s="1"/>
  <c r="H378" i="1"/>
  <c r="J378" i="1"/>
  <c r="Q378" i="1"/>
  <c r="P378" i="1" s="1"/>
  <c r="H379" i="1"/>
  <c r="J379" i="1"/>
  <c r="Q379" i="1"/>
  <c r="P379" i="1" s="1"/>
  <c r="H380" i="1"/>
  <c r="J380" i="1"/>
  <c r="Q380" i="1"/>
  <c r="P380" i="1" s="1"/>
  <c r="H381" i="1"/>
  <c r="J381" i="1"/>
  <c r="Q381" i="1"/>
  <c r="P381" i="1" s="1"/>
  <c r="H382" i="1"/>
  <c r="J382" i="1"/>
  <c r="Q382" i="1"/>
  <c r="P382" i="1" s="1"/>
  <c r="H383" i="1"/>
  <c r="J383" i="1"/>
  <c r="Q383" i="1"/>
  <c r="P383" i="1" s="1"/>
  <c r="H384" i="1"/>
  <c r="J384" i="1"/>
  <c r="Q384" i="1"/>
  <c r="P384" i="1" s="1"/>
  <c r="H385" i="1"/>
  <c r="J385" i="1"/>
  <c r="Q385" i="1"/>
  <c r="P385" i="1" s="1"/>
  <c r="H386" i="1"/>
  <c r="J386" i="1"/>
  <c r="Q386" i="1"/>
  <c r="P386" i="1" s="1"/>
  <c r="H387" i="1"/>
  <c r="J387" i="1"/>
  <c r="Q387" i="1"/>
  <c r="P387" i="1" s="1"/>
  <c r="H388" i="1"/>
  <c r="J388" i="1"/>
  <c r="Q388" i="1"/>
  <c r="P388" i="1" s="1"/>
  <c r="H389" i="1"/>
  <c r="J389" i="1"/>
  <c r="Q389" i="1"/>
  <c r="P389" i="1" s="1"/>
  <c r="H390" i="1"/>
  <c r="J390" i="1"/>
  <c r="Q390" i="1"/>
  <c r="P390" i="1" s="1"/>
  <c r="H391" i="1"/>
  <c r="J391" i="1"/>
  <c r="Q391" i="1"/>
  <c r="P391" i="1" s="1"/>
  <c r="H392" i="1"/>
  <c r="J392" i="1"/>
  <c r="Q392" i="1"/>
  <c r="P392" i="1" s="1"/>
  <c r="H393" i="1"/>
  <c r="J393" i="1"/>
  <c r="Q393" i="1"/>
  <c r="P393" i="1" s="1"/>
  <c r="H394" i="1"/>
  <c r="J394" i="1"/>
  <c r="Q394" i="1"/>
  <c r="P394" i="1" s="1"/>
  <c r="H395" i="1"/>
  <c r="J395" i="1"/>
  <c r="Q395" i="1"/>
  <c r="P395" i="1" s="1"/>
  <c r="H396" i="1"/>
  <c r="J396" i="1"/>
  <c r="Q396" i="1"/>
  <c r="P396" i="1" s="1"/>
  <c r="H397" i="1"/>
  <c r="J397" i="1"/>
  <c r="Q397" i="1"/>
  <c r="P397" i="1" s="1"/>
  <c r="H398" i="1"/>
  <c r="J398" i="1"/>
  <c r="Q398" i="1"/>
  <c r="P398" i="1" s="1"/>
  <c r="H399" i="1"/>
  <c r="J399" i="1"/>
  <c r="Q399" i="1"/>
  <c r="P399" i="1" s="1"/>
  <c r="H400" i="1"/>
  <c r="J400" i="1"/>
  <c r="Q400" i="1"/>
  <c r="P400" i="1" s="1"/>
  <c r="H401" i="1"/>
  <c r="J401" i="1"/>
  <c r="Q401" i="1"/>
  <c r="P401" i="1" s="1"/>
  <c r="H402" i="1"/>
  <c r="J402" i="1"/>
  <c r="Q402" i="1"/>
  <c r="P402" i="1" s="1"/>
  <c r="H403" i="1"/>
  <c r="J403" i="1"/>
  <c r="Q403" i="1"/>
  <c r="P403" i="1" s="1"/>
  <c r="H404" i="1"/>
  <c r="J404" i="1"/>
  <c r="Q404" i="1"/>
  <c r="P404" i="1" s="1"/>
  <c r="H405" i="1"/>
  <c r="J405" i="1"/>
  <c r="Q405" i="1"/>
  <c r="P405" i="1" s="1"/>
  <c r="H406" i="1"/>
  <c r="J406" i="1"/>
  <c r="Q406" i="1"/>
  <c r="P406" i="1" s="1"/>
  <c r="H407" i="1"/>
  <c r="J407" i="1"/>
  <c r="Q407" i="1"/>
  <c r="P407" i="1" s="1"/>
  <c r="H408" i="1"/>
  <c r="J408" i="1"/>
  <c r="Q408" i="1"/>
  <c r="P408" i="1" s="1"/>
  <c r="H409" i="1"/>
  <c r="J409" i="1"/>
  <c r="Q409" i="1"/>
  <c r="P409" i="1" s="1"/>
  <c r="H410" i="1"/>
  <c r="J410" i="1"/>
  <c r="Q410" i="1"/>
  <c r="P410" i="1" s="1"/>
  <c r="H411" i="1"/>
  <c r="J411" i="1"/>
  <c r="Q411" i="1"/>
  <c r="P411" i="1" s="1"/>
  <c r="H412" i="1"/>
  <c r="J412" i="1"/>
  <c r="Q412" i="1"/>
  <c r="P412" i="1" s="1"/>
  <c r="H413" i="1"/>
  <c r="J413" i="1"/>
  <c r="Q413" i="1"/>
  <c r="P413" i="1" s="1"/>
  <c r="H414" i="1"/>
  <c r="J414" i="1"/>
  <c r="Q414" i="1"/>
  <c r="P414" i="1" s="1"/>
  <c r="H415" i="1"/>
  <c r="J415" i="1"/>
  <c r="Q415" i="1"/>
  <c r="P415" i="1" s="1"/>
  <c r="H416" i="1"/>
  <c r="J416" i="1"/>
  <c r="Q416" i="1"/>
  <c r="P416" i="1" s="1"/>
  <c r="H417" i="1"/>
  <c r="J417" i="1"/>
  <c r="Q417" i="1"/>
  <c r="P417" i="1" s="1"/>
  <c r="H418" i="1"/>
  <c r="J418" i="1"/>
  <c r="Q418" i="1"/>
  <c r="P418" i="1" s="1"/>
  <c r="H419" i="1"/>
  <c r="J419" i="1"/>
  <c r="Q419" i="1"/>
  <c r="P419" i="1" s="1"/>
  <c r="H420" i="1"/>
  <c r="J420" i="1"/>
  <c r="Q420" i="1"/>
  <c r="P420" i="1" s="1"/>
  <c r="H421" i="1"/>
  <c r="J421" i="1"/>
  <c r="Q421" i="1"/>
  <c r="P421" i="1" s="1"/>
  <c r="H422" i="1"/>
  <c r="J422" i="1"/>
  <c r="Q422" i="1"/>
  <c r="P422" i="1" s="1"/>
  <c r="H423" i="1"/>
  <c r="J423" i="1"/>
  <c r="Q423" i="1"/>
  <c r="P423" i="1" s="1"/>
  <c r="H424" i="1"/>
  <c r="J424" i="1"/>
  <c r="Q424" i="1"/>
  <c r="P424" i="1" s="1"/>
  <c r="H425" i="1"/>
  <c r="J425" i="1"/>
  <c r="Q425" i="1"/>
  <c r="P425" i="1" s="1"/>
  <c r="H426" i="1"/>
  <c r="J426" i="1"/>
  <c r="Q426" i="1"/>
  <c r="P426" i="1" s="1"/>
  <c r="H427" i="1"/>
  <c r="J427" i="1"/>
  <c r="Q427" i="1"/>
  <c r="P427" i="1" s="1"/>
  <c r="H428" i="1"/>
  <c r="J428" i="1"/>
  <c r="Q428" i="1"/>
  <c r="P428" i="1" s="1"/>
  <c r="H429" i="1"/>
  <c r="J429" i="1"/>
  <c r="Q429" i="1"/>
  <c r="P429" i="1" s="1"/>
  <c r="H430" i="1"/>
  <c r="J430" i="1"/>
  <c r="Q430" i="1"/>
  <c r="P430" i="1" s="1"/>
  <c r="H431" i="1"/>
  <c r="J431" i="1"/>
  <c r="Q431" i="1"/>
  <c r="P431" i="1" s="1"/>
  <c r="H432" i="1"/>
  <c r="J432" i="1"/>
  <c r="Q432" i="1"/>
  <c r="P432" i="1" s="1"/>
  <c r="H433" i="1"/>
  <c r="J433" i="1"/>
  <c r="Q433" i="1"/>
  <c r="P433" i="1" s="1"/>
  <c r="H434" i="1"/>
  <c r="J434" i="1"/>
  <c r="Q434" i="1"/>
  <c r="P434" i="1" s="1"/>
  <c r="H435" i="1"/>
  <c r="J435" i="1"/>
  <c r="Q435" i="1"/>
  <c r="P435" i="1" s="1"/>
  <c r="H436" i="1"/>
  <c r="J436" i="1"/>
  <c r="Q436" i="1"/>
  <c r="P436" i="1" s="1"/>
  <c r="H437" i="1"/>
  <c r="J437" i="1"/>
  <c r="Q437" i="1"/>
  <c r="P437" i="1" s="1"/>
  <c r="H438" i="1"/>
  <c r="J438" i="1"/>
  <c r="Q438" i="1"/>
  <c r="P438" i="1" s="1"/>
  <c r="H439" i="1"/>
  <c r="J439" i="1"/>
  <c r="Q439" i="1"/>
  <c r="P439" i="1" s="1"/>
  <c r="H440" i="1"/>
  <c r="J440" i="1"/>
  <c r="Q440" i="1"/>
  <c r="P440" i="1" s="1"/>
  <c r="H441" i="1"/>
  <c r="J441" i="1"/>
  <c r="Q441" i="1"/>
  <c r="P441" i="1" s="1"/>
  <c r="H442" i="1"/>
  <c r="J442" i="1"/>
  <c r="Q442" i="1"/>
  <c r="P442" i="1" s="1"/>
  <c r="H443" i="1"/>
  <c r="J443" i="1"/>
  <c r="Q443" i="1"/>
  <c r="P443" i="1" s="1"/>
  <c r="H444" i="1"/>
  <c r="J444" i="1"/>
  <c r="Q444" i="1"/>
  <c r="P444" i="1" s="1"/>
  <c r="H445" i="1"/>
  <c r="J445" i="1"/>
  <c r="Q445" i="1"/>
  <c r="P445" i="1" s="1"/>
  <c r="H446" i="1"/>
  <c r="J446" i="1"/>
  <c r="Q446" i="1"/>
  <c r="P446" i="1" s="1"/>
  <c r="H447" i="1"/>
  <c r="J447" i="1"/>
  <c r="Q447" i="1"/>
  <c r="P447" i="1" s="1"/>
  <c r="H448" i="1"/>
  <c r="J448" i="1"/>
  <c r="Q448" i="1"/>
  <c r="P448" i="1" s="1"/>
  <c r="H449" i="1"/>
  <c r="J449" i="1"/>
  <c r="Q449" i="1"/>
  <c r="P449" i="1" s="1"/>
  <c r="H450" i="1"/>
  <c r="J450" i="1"/>
  <c r="Q450" i="1"/>
  <c r="P450" i="1" s="1"/>
  <c r="H451" i="1"/>
  <c r="J451" i="1"/>
  <c r="Q451" i="1"/>
  <c r="P451" i="1" s="1"/>
  <c r="H452" i="1"/>
  <c r="J452" i="1"/>
  <c r="Q452" i="1"/>
  <c r="P452" i="1" s="1"/>
  <c r="H453" i="1"/>
  <c r="J453" i="1"/>
  <c r="Q453" i="1"/>
  <c r="P453" i="1" s="1"/>
  <c r="H454" i="1"/>
  <c r="J454" i="1"/>
  <c r="Q454" i="1"/>
  <c r="P454" i="1" s="1"/>
  <c r="H455" i="1"/>
  <c r="J455" i="1"/>
  <c r="Q455" i="1"/>
  <c r="P455" i="1" s="1"/>
  <c r="H456" i="1"/>
  <c r="J456" i="1"/>
  <c r="Q456" i="1"/>
  <c r="P456" i="1" s="1"/>
  <c r="H457" i="1"/>
  <c r="J457" i="1"/>
  <c r="Q457" i="1"/>
  <c r="P457" i="1" s="1"/>
  <c r="H458" i="1"/>
  <c r="J458" i="1"/>
  <c r="Q458" i="1"/>
  <c r="P458" i="1" s="1"/>
  <c r="H459" i="1"/>
  <c r="J459" i="1"/>
  <c r="Q459" i="1"/>
  <c r="P459" i="1" s="1"/>
  <c r="H460" i="1"/>
  <c r="J460" i="1"/>
  <c r="Q460" i="1"/>
  <c r="P460" i="1" s="1"/>
  <c r="H461" i="1"/>
  <c r="J461" i="1"/>
  <c r="Q461" i="1"/>
  <c r="P461" i="1" s="1"/>
  <c r="H462" i="1"/>
  <c r="J462" i="1"/>
  <c r="Q462" i="1"/>
  <c r="P462" i="1" s="1"/>
  <c r="H463" i="1"/>
  <c r="J463" i="1"/>
  <c r="Q463" i="1"/>
  <c r="P463" i="1" s="1"/>
  <c r="H464" i="1"/>
  <c r="J464" i="1"/>
  <c r="Q464" i="1"/>
  <c r="P464" i="1" s="1"/>
  <c r="H465" i="1"/>
  <c r="J465" i="1"/>
  <c r="Q465" i="1"/>
  <c r="P465" i="1" s="1"/>
  <c r="H466" i="1"/>
  <c r="J466" i="1"/>
  <c r="Q466" i="1"/>
  <c r="P466" i="1" s="1"/>
  <c r="H467" i="1"/>
  <c r="J467" i="1"/>
  <c r="Q467" i="1"/>
  <c r="P467" i="1" s="1"/>
  <c r="H468" i="1"/>
  <c r="J468" i="1"/>
  <c r="Q468" i="1"/>
  <c r="P468" i="1" s="1"/>
  <c r="H469" i="1"/>
  <c r="J469" i="1"/>
  <c r="Q469" i="1"/>
  <c r="P469" i="1" s="1"/>
  <c r="H470" i="1"/>
  <c r="J470" i="1"/>
  <c r="Q470" i="1"/>
  <c r="P470" i="1" s="1"/>
  <c r="H471" i="1"/>
  <c r="J471" i="1"/>
  <c r="Q471" i="1"/>
  <c r="P471" i="1" s="1"/>
  <c r="H472" i="1"/>
  <c r="J472" i="1"/>
  <c r="Q472" i="1"/>
  <c r="P472" i="1" s="1"/>
  <c r="H473" i="1"/>
  <c r="J473" i="1"/>
  <c r="Q473" i="1"/>
  <c r="P473" i="1" s="1"/>
  <c r="H474" i="1"/>
  <c r="J474" i="1"/>
  <c r="Q474" i="1"/>
  <c r="P474" i="1" s="1"/>
  <c r="H475" i="1"/>
  <c r="J475" i="1"/>
  <c r="Q475" i="1"/>
  <c r="P475" i="1" s="1"/>
  <c r="H476" i="1"/>
  <c r="J476" i="1"/>
  <c r="Q476" i="1"/>
  <c r="P476" i="1" s="1"/>
  <c r="H367" i="1"/>
  <c r="J367" i="1"/>
  <c r="Q367" i="1"/>
  <c r="P367" i="1" s="1"/>
  <c r="H366" i="1"/>
  <c r="J366" i="1"/>
  <c r="Q366" i="1"/>
  <c r="P366" i="1" s="1"/>
  <c r="H365" i="1"/>
  <c r="J365" i="1"/>
  <c r="Q365" i="1"/>
  <c r="P365" i="1" s="1"/>
  <c r="H364" i="1"/>
  <c r="J364" i="1"/>
  <c r="Q364" i="1"/>
  <c r="P364" i="1" s="1"/>
  <c r="H363" i="1"/>
  <c r="J363" i="1"/>
  <c r="Q363" i="1"/>
  <c r="P363" i="1" s="1"/>
  <c r="H352" i="1"/>
  <c r="J352" i="1"/>
  <c r="Q352" i="1"/>
  <c r="P352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350" i="1"/>
  <c r="H351" i="1"/>
  <c r="J350" i="1"/>
  <c r="J351" i="1"/>
  <c r="Q350" i="1"/>
  <c r="P350" i="1" s="1"/>
  <c r="Q351" i="1"/>
  <c r="P351" i="1" s="1"/>
  <c r="H349" i="1"/>
  <c r="J349" i="1"/>
  <c r="Q349" i="1"/>
  <c r="P349" i="1" s="1"/>
  <c r="H348" i="1"/>
  <c r="J348" i="1"/>
  <c r="Q348" i="1"/>
  <c r="P348" i="1" s="1"/>
  <c r="H347" i="1"/>
  <c r="J347" i="1"/>
  <c r="Q347" i="1"/>
  <c r="P347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284" i="1"/>
  <c r="H285" i="1"/>
  <c r="J284" i="1"/>
  <c r="J285" i="1"/>
  <c r="Q284" i="1"/>
  <c r="P284" i="1" s="1"/>
  <c r="Q285" i="1"/>
  <c r="P285" i="1" s="1"/>
  <c r="H283" i="1"/>
  <c r="J283" i="1"/>
  <c r="Q283" i="1"/>
  <c r="P283" i="1" s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Q296" i="1"/>
  <c r="P296" i="1" s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Q307" i="1"/>
  <c r="P307" i="1" s="1"/>
  <c r="Q308" i="1"/>
  <c r="P308" i="1" s="1"/>
  <c r="Q309" i="1"/>
  <c r="P309" i="1" s="1"/>
  <c r="Q310" i="1"/>
  <c r="P310" i="1" s="1"/>
  <c r="Q311" i="1"/>
  <c r="P311" i="1" s="1"/>
  <c r="Q312" i="1"/>
  <c r="P312" i="1" s="1"/>
  <c r="Q313" i="1"/>
  <c r="P313" i="1" s="1"/>
  <c r="Q314" i="1"/>
  <c r="P314" i="1" s="1"/>
  <c r="Q315" i="1"/>
  <c r="P315" i="1" s="1"/>
  <c r="Q316" i="1"/>
  <c r="P316" i="1" s="1"/>
  <c r="Q317" i="1"/>
  <c r="P317" i="1" s="1"/>
  <c r="Q318" i="1"/>
  <c r="P318" i="1" s="1"/>
  <c r="Q319" i="1"/>
  <c r="P319" i="1" s="1"/>
  <c r="Q320" i="1"/>
  <c r="P320" i="1" s="1"/>
  <c r="Q321" i="1"/>
  <c r="P321" i="1" s="1"/>
  <c r="Q322" i="1"/>
  <c r="P322" i="1" s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Q341" i="1"/>
  <c r="P341" i="1" s="1"/>
  <c r="H286" i="1"/>
  <c r="J286" i="1"/>
  <c r="Q286" i="1"/>
  <c r="P286" i="1" s="1"/>
  <c r="H238" i="1"/>
  <c r="H239" i="1"/>
  <c r="H240" i="1"/>
  <c r="J238" i="1"/>
  <c r="J239" i="1"/>
  <c r="J240" i="1"/>
  <c r="Q238" i="1"/>
  <c r="P238" i="1" s="1"/>
  <c r="Q239" i="1"/>
  <c r="P239" i="1" s="1"/>
  <c r="Q240" i="1"/>
  <c r="P240" i="1" s="1"/>
  <c r="H237" i="1"/>
  <c r="J237" i="1"/>
  <c r="Q237" i="1"/>
  <c r="P237" i="1" s="1"/>
  <c r="H241" i="1"/>
  <c r="J241" i="1"/>
  <c r="Q241" i="1"/>
  <c r="P241" i="1" s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Q242" i="1"/>
  <c r="P242" i="1" s="1"/>
  <c r="Q243" i="1"/>
  <c r="P243" i="1" s="1"/>
  <c r="Q244" i="1"/>
  <c r="P244" i="1" s="1"/>
  <c r="Q245" i="1"/>
  <c r="P245" i="1" s="1"/>
  <c r="Q246" i="1"/>
  <c r="P246" i="1" s="1"/>
  <c r="Q247" i="1"/>
  <c r="P247" i="1" s="1"/>
  <c r="Q248" i="1"/>
  <c r="P248" i="1" s="1"/>
  <c r="Q249" i="1"/>
  <c r="P249" i="1" s="1"/>
  <c r="Q250" i="1"/>
  <c r="P250" i="1" s="1"/>
  <c r="Q251" i="1"/>
  <c r="P251" i="1" s="1"/>
  <c r="Q252" i="1"/>
  <c r="P252" i="1" s="1"/>
  <c r="Q253" i="1"/>
  <c r="P253" i="1" s="1"/>
  <c r="Q254" i="1"/>
  <c r="P254" i="1" s="1"/>
  <c r="Q255" i="1"/>
  <c r="P255" i="1" s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Q263" i="1"/>
  <c r="P263" i="1" s="1"/>
  <c r="Q264" i="1"/>
  <c r="P264" i="1" s="1"/>
  <c r="Q265" i="1"/>
  <c r="P265" i="1" s="1"/>
  <c r="Q266" i="1"/>
  <c r="P266" i="1" s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Q282" i="1"/>
  <c r="P282" i="1" s="1"/>
  <c r="H219" i="1"/>
  <c r="J219" i="1"/>
  <c r="Q219" i="1"/>
  <c r="P219" i="1" s="1"/>
  <c r="H221" i="1"/>
  <c r="H222" i="1"/>
  <c r="H223" i="1"/>
  <c r="H224" i="1"/>
  <c r="H225" i="1"/>
  <c r="H226" i="1"/>
  <c r="H227" i="1"/>
  <c r="H228" i="1"/>
  <c r="H229" i="1"/>
  <c r="H230" i="1"/>
  <c r="H232" i="1"/>
  <c r="H233" i="1"/>
  <c r="H234" i="1"/>
  <c r="H235" i="1"/>
  <c r="J221" i="1"/>
  <c r="J222" i="1"/>
  <c r="J223" i="1"/>
  <c r="J224" i="1"/>
  <c r="J225" i="1"/>
  <c r="J226" i="1"/>
  <c r="J227" i="1"/>
  <c r="J228" i="1"/>
  <c r="J229" i="1"/>
  <c r="J230" i="1"/>
  <c r="J232" i="1"/>
  <c r="J233" i="1"/>
  <c r="J234" i="1"/>
  <c r="J235" i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2" i="1"/>
  <c r="P232" i="1" s="1"/>
  <c r="Q233" i="1"/>
  <c r="P233" i="1" s="1"/>
  <c r="Q234" i="1"/>
  <c r="P234" i="1" s="1"/>
  <c r="Q235" i="1"/>
  <c r="P235" i="1" s="1"/>
  <c r="H220" i="1"/>
  <c r="J220" i="1"/>
  <c r="Q220" i="1"/>
  <c r="P220" i="1" s="1"/>
  <c r="H196" i="1"/>
  <c r="H197" i="1"/>
  <c r="H198" i="1"/>
  <c r="H199" i="1"/>
  <c r="H200" i="1"/>
  <c r="J196" i="1"/>
  <c r="J197" i="1"/>
  <c r="J198" i="1"/>
  <c r="J199" i="1"/>
  <c r="J200" i="1"/>
  <c r="Q196" i="1"/>
  <c r="P196" i="1" s="1"/>
  <c r="Q197" i="1"/>
  <c r="P197" i="1" s="1"/>
  <c r="Q198" i="1"/>
  <c r="P198" i="1" s="1"/>
  <c r="Q199" i="1"/>
  <c r="P199" i="1" s="1"/>
  <c r="Q200" i="1"/>
  <c r="P200" i="1" s="1"/>
  <c r="H195" i="1"/>
  <c r="J195" i="1"/>
  <c r="Q195" i="1"/>
  <c r="P195" i="1" s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Q201" i="1"/>
  <c r="P201" i="1" s="1"/>
  <c r="Q202" i="1"/>
  <c r="P202" i="1" s="1"/>
  <c r="Q203" i="1"/>
  <c r="P203" i="1" s="1"/>
  <c r="Q204" i="1"/>
  <c r="P204" i="1" s="1"/>
  <c r="Q205" i="1"/>
  <c r="P205" i="1" s="1"/>
  <c r="Q206" i="1"/>
  <c r="P206" i="1" s="1"/>
  <c r="Q207" i="1"/>
  <c r="P207" i="1" s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H215" i="1"/>
  <c r="H216" i="1"/>
  <c r="H217" i="1"/>
  <c r="J215" i="1"/>
  <c r="J216" i="1"/>
  <c r="J217" i="1"/>
  <c r="Q215" i="1"/>
  <c r="P215" i="1" s="1"/>
  <c r="Q216" i="1"/>
  <c r="P216" i="1" s="1"/>
  <c r="Q217" i="1"/>
  <c r="P217" i="1" s="1"/>
  <c r="H214" i="1"/>
  <c r="J214" i="1"/>
  <c r="Q214" i="1"/>
  <c r="P214" i="1" s="1"/>
  <c r="H218" i="1"/>
  <c r="J218" i="1"/>
  <c r="Q218" i="1"/>
  <c r="P218" i="1" s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Q187" i="1"/>
  <c r="P187" i="1" s="1"/>
  <c r="Q188" i="1"/>
  <c r="P188" i="1" s="1"/>
  <c r="Q189" i="1"/>
  <c r="P189" i="1" s="1"/>
  <c r="Q190" i="1"/>
  <c r="P190" i="1" s="1"/>
  <c r="Q191" i="1"/>
  <c r="P191" i="1" s="1"/>
  <c r="Q192" i="1"/>
  <c r="P192" i="1" s="1"/>
  <c r="Q193" i="1"/>
  <c r="P193" i="1" s="1"/>
  <c r="Q194" i="1"/>
  <c r="P194" i="1" s="1"/>
  <c r="H169" i="1"/>
  <c r="J169" i="1"/>
  <c r="Q169" i="1"/>
  <c r="P169" i="1" s="1"/>
  <c r="H171" i="1"/>
  <c r="H172" i="1"/>
  <c r="H173" i="1"/>
  <c r="H174" i="1"/>
  <c r="H175" i="1"/>
  <c r="J171" i="1"/>
  <c r="J172" i="1"/>
  <c r="J173" i="1"/>
  <c r="J174" i="1"/>
  <c r="J175" i="1"/>
  <c r="Q171" i="1"/>
  <c r="P171" i="1" s="1"/>
  <c r="Q172" i="1"/>
  <c r="P172" i="1" s="1"/>
  <c r="Q173" i="1"/>
  <c r="P173" i="1" s="1"/>
  <c r="Q174" i="1"/>
  <c r="P174" i="1" s="1"/>
  <c r="Q175" i="1"/>
  <c r="P175" i="1" s="1"/>
  <c r="H170" i="1"/>
  <c r="J170" i="1"/>
  <c r="Q170" i="1"/>
  <c r="P170" i="1" s="1"/>
  <c r="H176" i="1"/>
  <c r="J176" i="1"/>
  <c r="Q176" i="1"/>
  <c r="P176" i="1" s="1"/>
  <c r="H168" i="1"/>
  <c r="J168" i="1"/>
  <c r="Q168" i="1"/>
  <c r="P168" i="1" s="1"/>
  <c r="H163" i="1"/>
  <c r="H164" i="1"/>
  <c r="H165" i="1"/>
  <c r="H166" i="1"/>
  <c r="H167" i="1"/>
  <c r="J163" i="1"/>
  <c r="J164" i="1"/>
  <c r="J165" i="1"/>
  <c r="J166" i="1"/>
  <c r="J167" i="1"/>
  <c r="Q163" i="1"/>
  <c r="P163" i="1" s="1"/>
  <c r="Q164" i="1"/>
  <c r="P164" i="1" s="1"/>
  <c r="Q165" i="1"/>
  <c r="P165" i="1" s="1"/>
  <c r="Q166" i="1"/>
  <c r="P166" i="1" s="1"/>
  <c r="Q167" i="1"/>
  <c r="P167" i="1" s="1"/>
  <c r="H162" i="1"/>
  <c r="J162" i="1"/>
  <c r="Q162" i="1"/>
  <c r="P162" i="1" s="1"/>
  <c r="H161" i="1"/>
  <c r="J161" i="1"/>
  <c r="Q161" i="1"/>
  <c r="P161" i="1" s="1"/>
  <c r="H151" i="1"/>
  <c r="H152" i="1"/>
  <c r="H153" i="1"/>
  <c r="H154" i="1"/>
  <c r="H155" i="1"/>
  <c r="H156" i="1"/>
  <c r="H157" i="1"/>
  <c r="H158" i="1"/>
  <c r="H159" i="1"/>
  <c r="H160" i="1"/>
  <c r="J151" i="1"/>
  <c r="J152" i="1"/>
  <c r="J153" i="1"/>
  <c r="J154" i="1"/>
  <c r="J155" i="1"/>
  <c r="J156" i="1"/>
  <c r="J157" i="1"/>
  <c r="J158" i="1"/>
  <c r="J159" i="1"/>
  <c r="J160" i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Q157" i="1"/>
  <c r="P157" i="1" s="1"/>
  <c r="Q158" i="1"/>
  <c r="P158" i="1" s="1"/>
  <c r="Q159" i="1"/>
  <c r="P159" i="1" s="1"/>
  <c r="Q160" i="1"/>
  <c r="P160" i="1" s="1"/>
  <c r="H150" i="1"/>
  <c r="J150" i="1"/>
  <c r="Q150" i="1"/>
  <c r="P150" i="1" s="1"/>
  <c r="H141" i="1"/>
  <c r="H142" i="1"/>
  <c r="H143" i="1"/>
  <c r="H144" i="1"/>
  <c r="H145" i="1"/>
  <c r="H146" i="1"/>
  <c r="H147" i="1"/>
  <c r="H148" i="1"/>
  <c r="H149" i="1"/>
  <c r="J141" i="1"/>
  <c r="J142" i="1"/>
  <c r="J143" i="1"/>
  <c r="J144" i="1"/>
  <c r="J145" i="1"/>
  <c r="J146" i="1"/>
  <c r="J147" i="1"/>
  <c r="J148" i="1"/>
  <c r="J149" i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H140" i="1"/>
  <c r="J140" i="1"/>
  <c r="Q140" i="1"/>
  <c r="P140" i="1" s="1"/>
  <c r="H136" i="1"/>
  <c r="H137" i="1"/>
  <c r="H138" i="1"/>
  <c r="H139" i="1"/>
  <c r="J136" i="1"/>
  <c r="J137" i="1"/>
  <c r="J138" i="1"/>
  <c r="J139" i="1"/>
  <c r="Q136" i="1"/>
  <c r="P136" i="1" s="1"/>
  <c r="Q137" i="1"/>
  <c r="P137" i="1" s="1"/>
  <c r="Q138" i="1"/>
  <c r="P138" i="1" s="1"/>
  <c r="Q139" i="1"/>
  <c r="P139" i="1" s="1"/>
  <c r="H121" i="1"/>
  <c r="H122" i="1"/>
  <c r="H123" i="1"/>
  <c r="J121" i="1"/>
  <c r="J122" i="1"/>
  <c r="J123" i="1"/>
  <c r="Q121" i="1"/>
  <c r="P121" i="1" s="1"/>
  <c r="Q122" i="1"/>
  <c r="P122" i="1" s="1"/>
  <c r="Q123" i="1"/>
  <c r="P123" i="1" s="1"/>
  <c r="H120" i="1"/>
  <c r="J120" i="1"/>
  <c r="Q120" i="1"/>
  <c r="P120" i="1" s="1"/>
  <c r="H125" i="1"/>
  <c r="H126" i="1"/>
  <c r="H127" i="1"/>
  <c r="H128" i="1"/>
  <c r="H129" i="1"/>
  <c r="H130" i="1"/>
  <c r="H131" i="1"/>
  <c r="H132" i="1"/>
  <c r="H133" i="1"/>
  <c r="H134" i="1"/>
  <c r="H135" i="1"/>
  <c r="J125" i="1"/>
  <c r="J126" i="1"/>
  <c r="J127" i="1"/>
  <c r="J128" i="1"/>
  <c r="J129" i="1"/>
  <c r="J130" i="1"/>
  <c r="J131" i="1"/>
  <c r="J132" i="1"/>
  <c r="J133" i="1"/>
  <c r="J134" i="1"/>
  <c r="J135" i="1"/>
  <c r="Q125" i="1"/>
  <c r="P125" i="1" s="1"/>
  <c r="Q126" i="1"/>
  <c r="P126" i="1" s="1"/>
  <c r="Q127" i="1"/>
  <c r="P127" i="1" s="1"/>
  <c r="Q128" i="1"/>
  <c r="P128" i="1" s="1"/>
  <c r="Q129" i="1"/>
  <c r="P129" i="1" s="1"/>
  <c r="Q130" i="1"/>
  <c r="P130" i="1" s="1"/>
  <c r="Q131" i="1"/>
  <c r="P131" i="1" s="1"/>
  <c r="Q132" i="1"/>
  <c r="P132" i="1" s="1"/>
  <c r="Q133" i="1"/>
  <c r="P133" i="1" s="1"/>
  <c r="Q134" i="1"/>
  <c r="P134" i="1" s="1"/>
  <c r="Q135" i="1"/>
  <c r="P135" i="1" s="1"/>
  <c r="H124" i="1"/>
  <c r="J124" i="1"/>
  <c r="Q124" i="1"/>
  <c r="P124" i="1" s="1"/>
  <c r="H117" i="1"/>
  <c r="H118" i="1"/>
  <c r="H119" i="1"/>
  <c r="J117" i="1"/>
  <c r="J118" i="1"/>
  <c r="J119" i="1"/>
  <c r="Q117" i="1"/>
  <c r="P117" i="1" s="1"/>
  <c r="Q118" i="1"/>
  <c r="P118" i="1" s="1"/>
  <c r="Q119" i="1"/>
  <c r="P119" i="1" s="1"/>
  <c r="H110" i="1"/>
  <c r="H111" i="1"/>
  <c r="H112" i="1"/>
  <c r="H113" i="1"/>
  <c r="H114" i="1"/>
  <c r="H115" i="1"/>
  <c r="H116" i="1"/>
  <c r="J110" i="1"/>
  <c r="J111" i="1"/>
  <c r="J112" i="1"/>
  <c r="J113" i="1"/>
  <c r="J114" i="1"/>
  <c r="J115" i="1"/>
  <c r="J116" i="1"/>
  <c r="Q110" i="1"/>
  <c r="P110" i="1" s="1"/>
  <c r="Q111" i="1"/>
  <c r="P111" i="1" s="1"/>
  <c r="Q112" i="1"/>
  <c r="P112" i="1" s="1"/>
  <c r="Q113" i="1"/>
  <c r="P113" i="1" s="1"/>
  <c r="Q114" i="1"/>
  <c r="P114" i="1" s="1"/>
  <c r="Q115" i="1"/>
  <c r="P115" i="1" s="1"/>
  <c r="Q116" i="1"/>
  <c r="P116" i="1" s="1"/>
  <c r="H105" i="1"/>
  <c r="H106" i="1"/>
  <c r="H107" i="1"/>
  <c r="H108" i="1"/>
  <c r="H109" i="1"/>
  <c r="J105" i="1"/>
  <c r="J106" i="1"/>
  <c r="J107" i="1"/>
  <c r="J108" i="1"/>
  <c r="J109" i="1"/>
  <c r="Q105" i="1"/>
  <c r="P105" i="1" s="1"/>
  <c r="Q106" i="1"/>
  <c r="P106" i="1" s="1"/>
  <c r="Q107" i="1"/>
  <c r="P107" i="1" s="1"/>
  <c r="Q108" i="1"/>
  <c r="P108" i="1" s="1"/>
  <c r="Q109" i="1"/>
  <c r="P109" i="1" s="1"/>
  <c r="H104" i="1"/>
  <c r="J104" i="1"/>
  <c r="Q104" i="1"/>
  <c r="P104" i="1" s="1"/>
  <c r="H103" i="1"/>
  <c r="J103" i="1"/>
  <c r="Q103" i="1"/>
  <c r="P103" i="1" s="1"/>
  <c r="H99" i="1"/>
  <c r="H100" i="1"/>
  <c r="H101" i="1"/>
  <c r="H102" i="1"/>
  <c r="J99" i="1"/>
  <c r="J100" i="1"/>
  <c r="J101" i="1"/>
  <c r="J102" i="1"/>
  <c r="Q99" i="1"/>
  <c r="P99" i="1" s="1"/>
  <c r="Q100" i="1"/>
  <c r="P100" i="1" s="1"/>
  <c r="Q101" i="1"/>
  <c r="P101" i="1" s="1"/>
  <c r="Q102" i="1"/>
  <c r="P102" i="1" s="1"/>
  <c r="H98" i="1"/>
  <c r="H89" i="1"/>
  <c r="H90" i="1"/>
  <c r="H91" i="1"/>
  <c r="H92" i="1"/>
  <c r="H93" i="1"/>
  <c r="H94" i="1"/>
  <c r="H95" i="1"/>
  <c r="H96" i="1"/>
  <c r="H97" i="1"/>
  <c r="J89" i="1"/>
  <c r="J90" i="1"/>
  <c r="J91" i="1"/>
  <c r="J92" i="1"/>
  <c r="J93" i="1"/>
  <c r="J94" i="1"/>
  <c r="J95" i="1"/>
  <c r="J96" i="1"/>
  <c r="J97" i="1"/>
  <c r="J98" i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Q62" i="1"/>
  <c r="P62" i="1" s="1"/>
  <c r="Q63" i="1"/>
  <c r="P63" i="1" s="1"/>
  <c r="Q64" i="1"/>
  <c r="P64" i="1" s="1"/>
  <c r="Q65" i="1"/>
  <c r="P65" i="1" s="1"/>
  <c r="Q66" i="1"/>
  <c r="P66" i="1" s="1"/>
  <c r="Q67" i="1"/>
  <c r="P67" i="1" s="1"/>
  <c r="Q68" i="1"/>
  <c r="P68" i="1" s="1"/>
  <c r="Q69" i="1"/>
  <c r="P69" i="1" s="1"/>
  <c r="Q70" i="1"/>
  <c r="P70" i="1" s="1"/>
  <c r="Q71" i="1"/>
  <c r="P71" i="1" s="1"/>
  <c r="Q72" i="1"/>
  <c r="P72" i="1" s="1"/>
  <c r="Q73" i="1"/>
  <c r="P73" i="1" s="1"/>
  <c r="Q74" i="1"/>
  <c r="P74" i="1" s="1"/>
  <c r="Q75" i="1"/>
  <c r="P75" i="1" s="1"/>
  <c r="Q76" i="1"/>
  <c r="P76" i="1" s="1"/>
  <c r="Q77" i="1"/>
  <c r="P77" i="1" s="1"/>
  <c r="Q78" i="1"/>
  <c r="P78" i="1" s="1"/>
  <c r="Q79" i="1"/>
  <c r="P79" i="1" s="1"/>
  <c r="Q80" i="1"/>
  <c r="P80" i="1" s="1"/>
  <c r="Q81" i="1"/>
  <c r="P81" i="1" s="1"/>
  <c r="Q82" i="1"/>
  <c r="P82" i="1" s="1"/>
  <c r="Q83" i="1"/>
  <c r="P83" i="1" s="1"/>
  <c r="Q84" i="1"/>
  <c r="P84" i="1" s="1"/>
  <c r="Q85" i="1"/>
  <c r="P85" i="1" s="1"/>
  <c r="Q86" i="1"/>
  <c r="P86" i="1" s="1"/>
  <c r="Q87" i="1"/>
  <c r="P87" i="1" s="1"/>
  <c r="Q88" i="1"/>
  <c r="P88" i="1" s="1"/>
  <c r="H60" i="1"/>
  <c r="H61" i="1"/>
  <c r="J60" i="1"/>
  <c r="J61" i="1"/>
  <c r="Q60" i="1"/>
  <c r="P60" i="1" s="1"/>
  <c r="Q61" i="1"/>
  <c r="P61" i="1" s="1"/>
  <c r="H59" i="1"/>
  <c r="J59" i="1"/>
  <c r="Q59" i="1"/>
  <c r="P59" i="1" s="1"/>
  <c r="H58" i="1"/>
  <c r="J58" i="1"/>
  <c r="Q58" i="1"/>
  <c r="P58" i="1" s="1"/>
  <c r="H57" i="1"/>
  <c r="J57" i="1"/>
  <c r="Q57" i="1"/>
  <c r="P57" i="1" s="1"/>
  <c r="H44" i="1"/>
  <c r="J44" i="1"/>
  <c r="Q44" i="1"/>
  <c r="P44" i="1" s="1"/>
  <c r="H45" i="1"/>
  <c r="J45" i="1"/>
  <c r="Q45" i="1"/>
  <c r="P45" i="1" s="1"/>
  <c r="H46" i="1"/>
  <c r="H47" i="1"/>
  <c r="H48" i="1"/>
  <c r="H49" i="1"/>
  <c r="H50" i="1"/>
  <c r="J46" i="1"/>
  <c r="J47" i="1"/>
  <c r="J48" i="1"/>
  <c r="J49" i="1"/>
  <c r="J50" i="1"/>
  <c r="Q46" i="1"/>
  <c r="P46" i="1" s="1"/>
  <c r="Q47" i="1"/>
  <c r="P47" i="1" s="1"/>
  <c r="Q48" i="1"/>
  <c r="P48" i="1" s="1"/>
  <c r="Q49" i="1"/>
  <c r="P49" i="1" s="1"/>
  <c r="Q50" i="1"/>
  <c r="P50" i="1" s="1"/>
  <c r="H55" i="1"/>
  <c r="H56" i="1"/>
  <c r="J55" i="1"/>
  <c r="J56" i="1"/>
  <c r="Q55" i="1"/>
  <c r="P55" i="1" s="1"/>
  <c r="Q56" i="1"/>
  <c r="P56" i="1" s="1"/>
  <c r="H51" i="1"/>
  <c r="H52" i="1"/>
  <c r="H53" i="1"/>
  <c r="H54" i="1"/>
  <c r="J51" i="1"/>
  <c r="J52" i="1"/>
  <c r="J53" i="1"/>
  <c r="J54" i="1"/>
  <c r="Q51" i="1"/>
  <c r="P51" i="1" s="1"/>
  <c r="Q52" i="1"/>
  <c r="P52" i="1" s="1"/>
  <c r="Q53" i="1"/>
  <c r="P53" i="1" s="1"/>
  <c r="Q54" i="1"/>
  <c r="P54" i="1" s="1"/>
  <c r="H41" i="1"/>
  <c r="H42" i="1"/>
  <c r="H43" i="1"/>
  <c r="J41" i="1"/>
  <c r="J42" i="1"/>
  <c r="J43" i="1"/>
  <c r="Q41" i="1"/>
  <c r="P41" i="1" s="1"/>
  <c r="Q42" i="1"/>
  <c r="P42" i="1" s="1"/>
  <c r="Q43" i="1"/>
  <c r="P43" i="1" s="1"/>
  <c r="H18" i="1"/>
  <c r="Q18" i="1"/>
  <c r="P18" i="1" s="1"/>
  <c r="H19" i="1"/>
  <c r="H20" i="1"/>
  <c r="J19" i="1"/>
  <c r="J20" i="1"/>
  <c r="Q19" i="1"/>
  <c r="P19" i="1" s="1"/>
  <c r="Q20" i="1"/>
  <c r="P20" i="1" s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Q21" i="1"/>
  <c r="P21" i="1" s="1"/>
  <c r="Q22" i="1"/>
  <c r="P22" i="1" s="1"/>
  <c r="Q23" i="1"/>
  <c r="P23" i="1" s="1"/>
  <c r="Q24" i="1"/>
  <c r="P24" i="1" s="1"/>
  <c r="Q25" i="1"/>
  <c r="P25" i="1" s="1"/>
  <c r="Q26" i="1"/>
  <c r="P26" i="1" s="1"/>
  <c r="Q27" i="1"/>
  <c r="P27" i="1" s="1"/>
  <c r="Q28" i="1"/>
  <c r="P28" i="1" s="1"/>
  <c r="Q29" i="1"/>
  <c r="P29" i="1" s="1"/>
  <c r="Q30" i="1"/>
  <c r="P30" i="1" s="1"/>
  <c r="Q31" i="1"/>
  <c r="P31" i="1" s="1"/>
  <c r="Q32" i="1"/>
  <c r="P32" i="1" s="1"/>
  <c r="Q33" i="1"/>
  <c r="P33" i="1" s="1"/>
  <c r="Q34" i="1"/>
  <c r="P34" i="1" s="1"/>
  <c r="Q35" i="1"/>
  <c r="P35" i="1" s="1"/>
  <c r="Q36" i="1"/>
  <c r="P36" i="1" s="1"/>
  <c r="Q37" i="1"/>
  <c r="P37" i="1" s="1"/>
  <c r="Q38" i="1"/>
  <c r="P38" i="1" s="1"/>
  <c r="Q39" i="1"/>
  <c r="P39" i="1" s="1"/>
  <c r="Q40" i="1"/>
  <c r="P40" i="1" s="1"/>
  <c r="J18" i="1"/>
  <c r="H17" i="1"/>
  <c r="J17" i="1"/>
  <c r="Q17" i="1"/>
  <c r="P17" i="1" s="1"/>
  <c r="H16" i="1"/>
  <c r="J16" i="1"/>
  <c r="Q16" i="1"/>
  <c r="P16" i="1" s="1"/>
  <c r="H14" i="1"/>
  <c r="H15" i="1"/>
  <c r="J14" i="1"/>
  <c r="J15" i="1"/>
  <c r="Q14" i="1"/>
  <c r="P14" i="1" s="1"/>
  <c r="Q15" i="1"/>
  <c r="P15" i="1" s="1"/>
  <c r="H13" i="1"/>
  <c r="J13" i="1"/>
  <c r="Q13" i="1"/>
  <c r="P13" i="1" s="1"/>
  <c r="H11" i="1"/>
  <c r="H12" i="1"/>
  <c r="J11" i="1"/>
  <c r="J12" i="1"/>
  <c r="Q11" i="1"/>
  <c r="P11" i="1" s="1"/>
  <c r="Q12" i="1"/>
  <c r="P12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748" i="1"/>
  <c r="J2747" i="1"/>
  <c r="J2745" i="1"/>
  <c r="J2750" i="1"/>
  <c r="J2749" i="1"/>
  <c r="J2746" i="1"/>
  <c r="B9" i="1"/>
  <c r="B10" i="1"/>
  <c r="B8" i="1"/>
  <c r="B7" i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<sst xmlns="http://schemas.openxmlformats.org/spreadsheetml/2006/main" count="45040" uniqueCount="7320">
  <si>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</si>
  <si>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</si>
  <si>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</si>
  <si>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</si>
  <si>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</si>
  <si>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</si>
  <si>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</si>
  <si>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</si>
  <si>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</si>
  <si>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</si>
  <si>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</si>
  <si>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</si>
  <si>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</si>
  <si>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</si>
  <si>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</si>
  <si>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</si>
  <si>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</si>
  <si>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</si>
  <si>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</si>
  <si>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</si>
  <si>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</si>
  <si>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</si>
  <si>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</si>
  <si>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</si>
  <si>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</si>
  <si>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</si>
  <si>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</si>
  <si>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</si>
  <si>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</si>
  <si>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</si>
  <si>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</si>
  <si>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</si>
  <si>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</si>
  <si>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</si>
  <si>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</si>
  <si>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</si>
  <si>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</si>
  <si>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</si>
  <si>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</si>
  <si>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</si>
  <si>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</si>
  <si>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</si>
  <si>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</si>
  <si>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</si>
  <si>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</si>
  <si>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</si>
  <si>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</si>
  <si>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</si>
  <si>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</si>
  <si>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</si>
  <si>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</si>
  <si>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</si>
  <si>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</si>
  <si>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</si>
  <si>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</si>
  <si>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</si>
  <si>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</si>
  <si>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</si>
  <si>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</si>
  <si>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</si>
  <si>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</si>
  <si>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</si>
  <si>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</si>
  <si>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</si>
  <si>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</si>
  <si>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</si>
  <si>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</si>
  <si>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</si>
  <si>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</si>
  <si>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</si>
  <si>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</si>
  <si>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</si>
  <si>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</si>
  <si>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</si>
  <si>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</si>
  <si>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</si>
  <si>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</si>
  <si>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</si>
  <si>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</si>
  <si>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</si>
  <si>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</si>
  <si>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</si>
  <si>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</si>
  <si>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</si>
  <si>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</si>
  <si>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</si>
  <si>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</si>
  <si>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</si>
  <si>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</si>
  <si>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</si>
  <si>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</si>
  <si>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</si>
  <si>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</si>
  <si>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</si>
  <si>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</si>
  <si>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</si>
  <si>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</si>
  <si>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</si>
  <si>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</si>
  <si>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</si>
  <si>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</si>
  <si>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</si>
  <si>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</si>
  <si>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</si>
  <si>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</si>
  <si>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</si>
  <si>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</si>
  <si>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</si>
  <si>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</si>
  <si>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</si>
  <si>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</si>
  <si>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</si>
  <si>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</si>
  <si>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</si>
  <si>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</si>
  <si>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</si>
  <si>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</si>
  <si>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</si>
  <si>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</si>
  <si>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</si>
  <si>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</si>
  <si>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</si>
  <si>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</si>
  <si>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</si>
  <si>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</si>
  <si>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</si>
  <si>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</si>
  <si>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</si>
  <si>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</si>
  <si>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</si>
  <si>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</si>
  <si>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</si>
  <si>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</si>
  <si>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</si>
  <si>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</si>
  <si>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</si>
  <si>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</si>
  <si>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</si>
  <si>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</si>
  <si>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</si>
  <si>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</si>
  <si>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</si>
  <si>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</si>
  <si>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</si>
  <si>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</si>
  <si>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</si>
  <si>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</si>
  <si>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</si>
  <si>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</si>
  <si>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</si>
  <si>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</si>
  <si>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</si>
  <si>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</si>
  <si>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</si>
  <si>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</si>
  <si>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</si>
  <si>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</si>
  <si>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</si>
  <si>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</si>
  <si>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</si>
  <si>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</si>
  <si>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</si>
  <si>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</si>
  <si>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</si>
  <si>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</si>
  <si>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</si>
  <si>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</si>
  <si>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</si>
  <si>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</si>
  <si>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</si>
  <si>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</si>
  <si>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</si>
  <si>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</si>
  <si>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</si>
  <si>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</si>
  <si>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</si>
  <si>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</si>
  <si>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</si>
  <si>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</si>
  <si>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</si>
  <si>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</si>
  <si>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</si>
  <si>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</si>
  <si>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</si>
  <si>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</si>
  <si>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</si>
  <si>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</si>
  <si>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</si>
  <si>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</si>
  <si>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</si>
  <si>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</si>
  <si>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</si>
  <si>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</si>
  <si>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</si>
  <si>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</si>
  <si>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</si>
  <si>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</si>
  <si>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</si>
  <si>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</si>
  <si>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</si>
  <si>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</si>
  <si>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</si>
  <si>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</si>
  <si>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</si>
  <si>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</si>
  <si>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</si>
  <si>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</si>
  <si>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</si>
  <si>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</si>
  <si>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</si>
  <si>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</si>
  <si>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</si>
  <si>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</si>
  <si>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</si>
  <si>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</si>
  <si>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</si>
  <si>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</si>
  <si>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</si>
  <si>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</si>
  <si>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</si>
  <si>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</si>
  <si>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</si>
  <si>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</si>
  <si>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</si>
  <si>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</si>
  <si>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</si>
  <si>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</si>
  <si>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</si>
  <si>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</si>
  <si>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</si>
  <si>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</si>
  <si>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</si>
  <si>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</si>
  <si>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</si>
  <si>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</si>
  <si>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</si>
  <si>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</si>
  <si>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</si>
  <si>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</si>
  <si>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</si>
  <si>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</si>
  <si>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</si>
  <si>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</si>
  <si>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</si>
  <si>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</si>
  <si>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</si>
  <si>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</si>
  <si>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</si>
  <si>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</si>
  <si>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</si>
  <si>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</si>
  <si>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</si>
  <si>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</si>
  <si>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</si>
  <si>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</si>
  <si>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</si>
  <si>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</si>
  <si>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</si>
  <si>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</si>
  <si>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</si>
  <si>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</si>
  <si>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</si>
  <si>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</si>
  <si>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</si>
  <si>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</si>
  <si>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</si>
  <si>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</si>
  <si>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</si>
  <si>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</si>
  <si>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</si>
  <si>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</si>
  <si>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</si>
  <si>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</si>
  <si>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</si>
  <si>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</si>
  <si>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</si>
  <si>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</si>
  <si>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</si>
  <si>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</si>
  <si>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</si>
  <si>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</si>
  <si>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</si>
  <si>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</si>
  <si>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</si>
  <si>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</si>
  <si>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</si>
  <si>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</si>
  <si>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</si>
  <si>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</si>
  <si>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</si>
  <si>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</si>
  <si>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</si>
  <si>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</si>
  <si>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</si>
  <si>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</si>
  <si>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</si>
  <si>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</si>
  <si>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</si>
  <si>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</si>
  <si>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</si>
  <si>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</si>
  <si>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</si>
  <si>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</si>
  <si>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</si>
  <si>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</si>
  <si>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</si>
  <si>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</si>
  <si>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</si>
  <si>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</si>
  <si>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</si>
  <si>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</si>
  <si>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</si>
  <si>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</si>
  <si>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</si>
  <si>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</si>
  <si>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</si>
  <si>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</si>
  <si>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</si>
  <si>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</si>
  <si>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</si>
  <si>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</si>
  <si>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</si>
  <si>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</si>
  <si>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</si>
  <si>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</si>
  <si>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</si>
  <si>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</si>
  <si>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</si>
  <si>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</si>
  <si>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</si>
  <si>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</si>
  <si>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</si>
  <si>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</si>
  <si>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</si>
  <si>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</si>
  <si>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</si>
  <si>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</si>
  <si>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</si>
  <si>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</si>
  <si>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</si>
  <si>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</si>
  <si>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</si>
  <si>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</si>
  <si>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</si>
  <si>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</si>
  <si>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</si>
  <si>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</si>
  <si>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</si>
  <si>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</si>
  <si>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</si>
  <si>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</si>
  <si>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</si>
  <si>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</si>
  <si>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</si>
  <si>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</si>
  <si>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</si>
  <si>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</si>
  <si>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</si>
  <si>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</si>
  <si>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</si>
  <si>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</si>
  <si>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</si>
  <si>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</si>
  <si>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</si>
  <si>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</si>
  <si>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</si>
  <si>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</si>
  <si>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</si>
  <si>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</si>
  <si>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</si>
  <si>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</si>
  <si>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</si>
  <si>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</si>
  <si>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</si>
  <si>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</si>
  <si>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</si>
  <si>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</si>
  <si>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</si>
  <si>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</si>
  <si>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</si>
  <si>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</si>
  <si>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</si>
  <si>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</si>
  <si>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</si>
  <si>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</si>
  <si>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</si>
  <si>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</si>
  <si>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</si>
  <si>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</si>
  <si>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</si>
  <si>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</si>
  <si>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</si>
  <si>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</si>
  <si>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</si>
  <si>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</si>
  <si>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</si>
  <si>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</si>
  <si>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</si>
  <si>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</si>
  <si>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</si>
  <si>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</si>
  <si>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</si>
  <si>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</si>
  <si>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</si>
  <si>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</si>
  <si>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</si>
  <si>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</si>
  <si>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</si>
  <si>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</si>
  <si>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</si>
  <si>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</si>
  <si>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</si>
  <si>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</si>
  <si>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</si>
  <si>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</si>
  <si>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</si>
  <si>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</si>
  <si>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</si>
  <si>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</si>
  <si>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</si>
  <si>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</si>
  <si>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</si>
  <si>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</si>
  <si>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</si>
  <si>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</si>
  <si>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</si>
  <si>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</si>
  <si>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</si>
  <si>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</si>
  <si>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</si>
  <si>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</si>
  <si>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</si>
  <si>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</si>
  <si>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</si>
  <si>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</si>
  <si>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</si>
  <si>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</si>
  <si>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</si>
  <si>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</si>
  <si>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</si>
  <si>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</si>
  <si>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</si>
  <si>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</si>
  <si>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</si>
  <si>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</si>
  <si>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</si>
  <si>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</si>
  <si>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</si>
  <si>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</si>
  <si>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</si>
  <si>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</si>
  <si>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</si>
  <si>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</si>
  <si>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</si>
  <si>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</si>
  <si>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</si>
  <si>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</si>
  <si>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</si>
  <si>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</si>
  <si>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</si>
  <si>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</si>
  <si>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</si>
  <si>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</si>
  <si>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</si>
  <si>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</si>
  <si>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</si>
  <si>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</si>
  <si>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</si>
  <si>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</si>
  <si>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</si>
  <si>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</si>
  <si>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</si>
  <si>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</si>
  <si>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</si>
  <si>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</si>
  <si>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</si>
  <si>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</si>
  <si>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</si>
  <si>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</si>
  <si>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</si>
  <si>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</si>
  <si>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</si>
  <si>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</si>
  <si>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</si>
  <si>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</si>
  <si>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</si>
  <si>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</si>
  <si>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</si>
  <si>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</si>
  <si>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</si>
  <si>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</si>
  <si>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</si>
  <si>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</si>
  <si>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</si>
  <si>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</si>
  <si>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</si>
  <si>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</si>
  <si>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</si>
  <si>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</si>
  <si>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</si>
  <si>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</si>
  <si>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</si>
  <si>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</si>
  <si>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</si>
  <si>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</si>
  <si>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</si>
  <si>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</si>
  <si>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</si>
  <si>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</si>
  <si>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</si>
  <si>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</si>
  <si>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</si>
  <si>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</si>
  <si>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</si>
  <si>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</si>
  <si>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</si>
  <si>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</si>
  <si>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</si>
  <si>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</si>
  <si>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</si>
  <si>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</si>
  <si>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</si>
  <si>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</si>
  <si>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</si>
  <si>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</si>
  <si>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</si>
  <si>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</si>
  <si>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</si>
  <si>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</si>
  <si>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</si>
  <si>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</si>
  <si>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</si>
  <si>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</si>
  <si>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</si>
  <si>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</si>
  <si>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</si>
  <si>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</si>
  <si>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</si>
  <si>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</si>
  <si>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</si>
  <si>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</si>
  <si>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</si>
  <si>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</si>
  <si>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</si>
  <si>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</si>
  <si>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</si>
  <si>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</si>
  <si>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</si>
  <si>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</si>
  <si>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</si>
  <si>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</si>
  <si>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</si>
  <si>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</si>
  <si>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</si>
  <si>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</si>
  <si>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</si>
  <si>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</si>
  <si>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</si>
  <si>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</si>
  <si>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</si>
  <si>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</si>
  <si>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</si>
  <si>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</si>
  <si>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</si>
  <si>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</si>
  <si>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</si>
  <si>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</si>
  <si>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</si>
  <si>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</si>
  <si>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</si>
  <si>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</si>
  <si>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</si>
  <si>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</si>
  <si>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</si>
  <si>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</si>
  <si>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</si>
  <si>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</si>
  <si>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</si>
  <si>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</si>
  <si>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</si>
  <si>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</si>
  <si>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</si>
  <si>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</si>
  <si>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</si>
  <si>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</si>
  <si>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</si>
  <si>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</si>
  <si>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</si>
  <si>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</si>
  <si>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</si>
  <si>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</si>
  <si>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</si>
  <si>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</si>
  <si>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</si>
  <si>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</si>
  <si>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</si>
  <si>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</si>
  <si>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</si>
  <si>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</si>
  <si>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</si>
  <si>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</si>
  <si>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</si>
  <si>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</si>
  <si>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</si>
  <si>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</si>
  <si>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</si>
  <si>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</si>
  <si>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</si>
  <si>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</si>
  <si>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</si>
  <si>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</si>
  <si>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</si>
  <si>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</si>
  <si>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</si>
  <si>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</si>
  <si>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</si>
  <si>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</si>
  <si>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</si>
  <si>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</si>
  <si>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</si>
  <si>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</si>
  <si>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</si>
  <si>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</si>
  <si>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</si>
  <si>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</si>
  <si>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</si>
  <si>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</si>
  <si>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</si>
  <si>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</si>
  <si>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</si>
  <si>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</si>
  <si>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</si>
  <si>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</si>
  <si>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</si>
  <si>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</si>
  <si>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</si>
  <si>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</si>
  <si>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</si>
  <si>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</si>
  <si>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</si>
  <si>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</si>
  <si>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</si>
  <si>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</si>
  <si>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</si>
  <si>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</si>
  <si>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</si>
  <si>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</si>
  <si>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</si>
  <si>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</si>
  <si>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</si>
  <si>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</si>
  <si>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</si>
  <si>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</si>
  <si>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</si>
  <si>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</si>
  <si>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</si>
  <si>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</si>
  <si>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</si>
  <si>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</si>
  <si>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</si>
  <si>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</si>
  <si>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</si>
  <si>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</si>
  <si>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</si>
  <si>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</si>
  <si>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</si>
  <si>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</si>
  <si>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</si>
  <si>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</si>
  <si>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</si>
  <si>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</si>
  <si>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</si>
  <si>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</si>
  <si>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</si>
  <si>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</si>
  <si>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</si>
  <si>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</si>
  <si>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</si>
  <si>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</si>
  <si>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</si>
  <si>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</si>
  <si>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</si>
  <si>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</si>
  <si>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</si>
  <si>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</si>
  <si>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</si>
  <si>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</si>
  <si>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</si>
  <si>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</si>
  <si>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</si>
  <si>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</si>
  <si>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</si>
  <si>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</si>
  <si>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</si>
  <si>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</si>
  <si>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</si>
  <si>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</si>
  <si>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</si>
  <si>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</si>
  <si>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</si>
  <si>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</si>
  <si>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</si>
  <si>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</si>
  <si>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</si>
  <si>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</si>
  <si>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</si>
  <si>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</si>
  <si>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</si>
  <si>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</si>
  <si>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</si>
  <si>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</si>
  <si>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</si>
  <si>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</si>
  <si>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</si>
  <si>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</si>
  <si>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</si>
  <si>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</si>
  <si>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</si>
  <si>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</si>
  <si>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</si>
  <si>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</si>
  <si>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</si>
  <si>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</si>
  <si>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</si>
  <si>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</si>
  <si>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</si>
  <si>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</si>
  <si>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</si>
  <si>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</si>
  <si>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</si>
  <si>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</si>
  <si>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</si>
  <si>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</si>
  <si>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</si>
  <si>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</si>
  <si>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</si>
  <si>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</si>
  <si>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</si>
  <si>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</si>
  <si>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</si>
  <si>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</si>
  <si>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</si>
  <si>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</si>
  <si>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</si>
  <si>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</si>
  <si>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</si>
  <si>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</si>
  <si>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</si>
  <si>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</si>
  <si>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</si>
  <si>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</si>
  <si>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</si>
  <si>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</si>
  <si>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</si>
  <si>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</si>
  <si>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</si>
  <si>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</si>
  <si>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</si>
  <si>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</si>
  <si>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</si>
  <si>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</si>
  <si>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</si>
  <si>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</si>
  <si>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</si>
  <si>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</si>
  <si>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</si>
  <si>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</si>
  <si>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</si>
  <si>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</si>
  <si>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</si>
  <si>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</si>
  <si>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</si>
  <si>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</si>
  <si>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</si>
  <si>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</si>
  <si>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</si>
  <si>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</si>
  <si>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</si>
  <si>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</si>
  <si>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</si>
  <si>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</si>
  <si>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</si>
  <si>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</si>
  <si>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</si>
  <si>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</si>
  <si>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</si>
  <si>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</si>
  <si>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</si>
  <si>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</si>
  <si>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</si>
  <si>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</si>
  <si>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</si>
  <si>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</si>
  <si>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</si>
  <si>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</si>
  <si>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</si>
  <si>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</si>
  <si>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</si>
  <si>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</si>
  <si>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</si>
  <si>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</si>
  <si>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</si>
  <si>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</si>
  <si>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</si>
  <si>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</si>
  <si>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</si>
  <si>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</si>
  <si>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</si>
  <si>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</si>
  <si>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</si>
  <si>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</si>
  <si>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</si>
  <si>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</si>
  <si>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</si>
  <si>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</si>
  <si>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</si>
  <si>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</si>
  <si>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</si>
  <si>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</si>
  <si>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</si>
  <si>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</si>
  <si>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</si>
  <si>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</si>
  <si>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</si>
  <si>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</si>
  <si>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</si>
  <si>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</si>
  <si>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</si>
  <si>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</si>
  <si>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</si>
  <si>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</si>
  <si>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</si>
  <si>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</si>
  <si>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</si>
  <si>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</si>
  <si>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</si>
  <si>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</si>
  <si>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</si>
  <si>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</si>
  <si>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</si>
  <si>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</si>
  <si>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</si>
  <si>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</si>
  <si>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</si>
  <si>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</si>
  <si>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</si>
  <si>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</si>
  <si>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</si>
  <si>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</si>
  <si>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</si>
  <si>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</si>
  <si>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</si>
  <si>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</si>
  <si>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</si>
  <si>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</si>
  <si>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</si>
  <si>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</si>
  <si>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</si>
  <si>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</si>
  <si>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</si>
  <si>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</si>
  <si>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</si>
  <si>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</si>
  <si>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</si>
  <si>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</si>
  <si>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</si>
  <si>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</si>
  <si>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</si>
  <si>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</si>
  <si>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</si>
  <si>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</si>
  <si>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</si>
  <si>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</si>
  <si>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</si>
  <si>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</si>
  <si>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</si>
  <si>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</si>
  <si>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</si>
  <si>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</si>
  <si>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</si>
  <si>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</si>
  <si>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</si>
  <si>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</si>
  <si>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</si>
  <si>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</si>
  <si>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</si>
  <si>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</si>
  <si>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</si>
  <si>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</si>
  <si>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</si>
  <si>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</si>
  <si>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</si>
  <si>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</si>
  <si>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</si>
  <si>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</si>
  <si>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</si>
  <si>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</si>
  <si>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</si>
  <si>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</si>
  <si>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</si>
  <si>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</si>
  <si>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</si>
  <si>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</si>
  <si>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</si>
  <si>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</si>
  <si>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</si>
  <si>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</si>
  <si>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</si>
  <si>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</si>
  <si>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</si>
  <si>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</si>
  <si>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</si>
  <si>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</si>
  <si>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</si>
  <si>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</si>
  <si>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</si>
  <si>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</si>
  <si>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</si>
  <si>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</si>
  <si>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</si>
  <si>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</si>
  <si>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</si>
  <si>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</si>
  <si>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</si>
  <si>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</si>
  <si>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</si>
  <si>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</si>
  <si>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</si>
  <si>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</si>
  <si>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</si>
  <si>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</si>
  <si>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</si>
  <si>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</si>
  <si>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</si>
  <si>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</si>
  <si>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</si>
  <si>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</si>
  <si>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</si>
  <si>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</si>
  <si>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</si>
  <si>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</si>
  <si>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</si>
  <si>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</si>
  <si>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</si>
  <si>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</si>
  <si>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</si>
  <si>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</si>
  <si>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</si>
  <si>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</si>
  <si>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</si>
  <si>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</si>
  <si>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</si>
  <si>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</si>
  <si>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</si>
  <si>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</si>
  <si>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</si>
  <si>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</si>
  <si>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</si>
  <si>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</si>
  <si>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</si>
  <si>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</si>
  <si>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</si>
  <si>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</si>
  <si>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</si>
  <si>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</si>
  <si>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</si>
  <si>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</si>
  <si>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</si>
  <si>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</si>
  <si>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</si>
  <si>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</si>
  <si>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</si>
  <si>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</si>
  <si>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</si>
  <si>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</si>
  <si>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</si>
  <si>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</si>
  <si>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</si>
  <si>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</si>
  <si>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</si>
  <si>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</si>
  <si>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</si>
  <si>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</si>
  <si>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</si>
  <si>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</si>
  <si>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</si>
  <si>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</si>
  <si>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</si>
  <si>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</si>
  <si>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</si>
  <si>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</si>
  <si>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</si>
  <si>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</si>
  <si>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</si>
  <si>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</si>
  <si>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</si>
  <si>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</si>
  <si>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</si>
  <si>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</si>
  <si>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</si>
  <si>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</si>
  <si>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</si>
  <si>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</si>
  <si>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</si>
  <si>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</si>
  <si>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</si>
  <si>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</si>
  <si>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</si>
  <si>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</si>
  <si>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</si>
  <si>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</si>
  <si>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</si>
  <si>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</si>
  <si>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</si>
  <si>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</si>
  <si>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</si>
  <si>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</si>
  <si>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</si>
  <si>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</si>
  <si>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</si>
  <si>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</si>
  <si>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</si>
  <si>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</si>
  <si>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</si>
  <si>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</si>
  <si>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</si>
  <si>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</si>
  <si>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</si>
  <si>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</si>
  <si>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</si>
  <si>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</si>
  <si>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</si>
  <si>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</si>
  <si>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</si>
  <si>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</si>
  <si>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</si>
  <si>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</si>
  <si>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</si>
  <si>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</si>
  <si>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</si>
  <si>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</si>
  <si>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</si>
  <si>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</si>
  <si>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</si>
  <si>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</si>
  <si>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</si>
  <si>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</si>
  <si>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</si>
  <si>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</si>
  <si>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</si>
  <si>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</si>
  <si>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</si>
  <si>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</si>
  <si>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</si>
  <si>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</si>
  <si>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</si>
  <si>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</si>
  <si>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</si>
  <si>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</si>
  <si>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</si>
  <si>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</si>
  <si>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</si>
  <si>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</si>
  <si>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</si>
  <si>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</si>
  <si>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</si>
  <si>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</si>
  <si>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</si>
  <si>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</si>
  <si>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</si>
  <si>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</si>
  <si>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</si>
  <si>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</si>
  <si>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</si>
  <si>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</si>
  <si>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</si>
  <si>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</si>
  <si>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</si>
  <si>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</si>
  <si>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</si>
  <si>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</si>
  <si>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</si>
  <si>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</si>
  <si>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</si>
  <si>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</si>
  <si>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</si>
  <si>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</si>
  <si>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</si>
  <si>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</si>
  <si>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</si>
  <si>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</si>
  <si>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</si>
  <si>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</si>
  <si>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</si>
  <si>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</si>
  <si>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</si>
  <si>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</si>
  <si>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</si>
  <si>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</si>
  <si>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</si>
  <si>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</si>
  <si>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</si>
  <si>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</si>
  <si>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</si>
  <si>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</si>
  <si>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</si>
  <si>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</si>
  <si>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</si>
  <si>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</si>
  <si>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</si>
  <si>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</si>
  <si>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</si>
  <si>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</si>
  <si>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</si>
  <si>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</si>
  <si>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</si>
  <si>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</si>
  <si>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</si>
  <si>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</si>
  <si>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</si>
  <si>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</si>
  <si>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</si>
  <si>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</si>
  <si>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</si>
  <si>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</si>
  <si>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</si>
  <si>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</si>
  <si>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</si>
  <si>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</si>
  <si>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</si>
  <si>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</si>
  <si>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</si>
  <si>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</si>
  <si>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</si>
  <si>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</si>
  <si>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</si>
  <si>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</si>
  <si>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</si>
  <si>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</si>
  <si>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</si>
  <si>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</si>
  <si>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</si>
  <si>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</si>
  <si>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</si>
  <si>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</si>
  <si>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</si>
  <si>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</si>
  <si>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</si>
  <si>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</si>
  <si>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</si>
  <si>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</si>
  <si>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</si>
  <si>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</si>
  <si>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</si>
  <si>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</si>
  <si>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</si>
  <si>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</si>
  <si>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</si>
  <si>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</si>
  <si>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</si>
  <si>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</si>
  <si>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</si>
  <si>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</si>
  <si>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</si>
  <si>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</si>
  <si>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</si>
  <si>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</si>
  <si>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</si>
  <si>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</si>
  <si>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</si>
  <si>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</si>
  <si>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</si>
  <si>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</si>
  <si>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</si>
  <si>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</si>
  <si>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</si>
  <si>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</si>
  <si>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</si>
  <si>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</si>
  <si>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</si>
  <si>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</si>
  <si>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</si>
  <si>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</si>
  <si>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</si>
  <si>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</si>
  <si>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</si>
  <si>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</si>
  <si>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</si>
  <si>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</si>
  <si>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</si>
  <si>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</si>
  <si>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</si>
  <si>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</si>
  <si>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</si>
  <si>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</si>
  <si>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</si>
  <si>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</si>
  <si>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</si>
  <si>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</si>
  <si>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</si>
  <si>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</si>
  <si>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</si>
  <si>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</si>
  <si>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</si>
  <si>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</si>
  <si>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</si>
  <si>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</si>
  <si>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</si>
  <si>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</si>
  <si>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</si>
  <si>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</si>
  <si>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</si>
  <si>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</si>
  <si>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</si>
  <si>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</si>
  <si>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</si>
  <si>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</si>
  <si>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</si>
  <si>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</si>
  <si>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</si>
  <si>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</si>
  <si>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</si>
  <si>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</si>
  <si>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</si>
  <si>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</si>
  <si>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</si>
  <si>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</si>
  <si>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</si>
  <si>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</si>
  <si>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</si>
  <si>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</si>
  <si>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</si>
  <si>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</si>
  <si>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</si>
  <si>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</si>
  <si>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</si>
  <si>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</si>
  <si>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</si>
  <si>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</si>
  <si>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</si>
  <si>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</si>
  <si>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</si>
  <si>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</si>
  <si>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</si>
  <si>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</si>
  <si>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</si>
  <si>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</si>
  <si>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</si>
  <si>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</si>
  <si>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</si>
  <si>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</si>
  <si>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</si>
  <si>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</si>
  <si>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</si>
  <si>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</si>
  <si>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</si>
  <si>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</si>
  <si>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</si>
  <si>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</si>
  <si>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</si>
  <si>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</si>
  <si>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</si>
  <si>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</si>
  <si>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</si>
  <si>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</si>
  <si>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</si>
  <si>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</si>
  <si>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</si>
  <si>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</si>
  <si>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</si>
  <si>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</si>
  <si>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</si>
  <si>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</si>
  <si>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</si>
  <si>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</si>
  <si>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</si>
  <si>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</si>
  <si>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</si>
  <si>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</si>
  <si>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</si>
  <si>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</si>
  <si>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</si>
  <si>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</si>
  <si>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</si>
  <si>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</si>
  <si>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</si>
  <si>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</si>
  <si>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</si>
  <si>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</si>
  <si>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</si>
  <si>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</si>
  <si>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</si>
  <si>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</si>
  <si>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</si>
  <si>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</si>
  <si>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</si>
  <si>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</si>
  <si>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</si>
  <si>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</si>
  <si>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</si>
  <si>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</si>
  <si>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</si>
  <si>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</si>
  <si>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</si>
  <si>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</si>
  <si>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</si>
  <si>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</si>
  <si>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</si>
  <si>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</si>
  <si>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</si>
  <si>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</si>
  <si>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</si>
  <si>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</si>
  <si>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</si>
  <si>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</si>
  <si>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</si>
  <si>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</si>
  <si>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</si>
  <si>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</si>
  <si>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</si>
  <si>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</si>
  <si>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</si>
  <si>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</si>
  <si>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</si>
  <si>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</si>
  <si>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</si>
  <si>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</si>
  <si>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</si>
  <si>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</si>
  <si>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</si>
  <si>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</si>
  <si>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</si>
  <si>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</si>
  <si>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</si>
  <si>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</si>
  <si>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</si>
  <si>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</si>
  <si>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</si>
  <si>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</si>
  <si>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</si>
  <si>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</si>
  <si>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</si>
  <si>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</si>
  <si>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</si>
  <si>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</si>
  <si>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</si>
  <si>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</si>
  <si>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</si>
  <si>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</si>
  <si>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</si>
  <si>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</si>
  <si>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</si>
  <si>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</si>
  <si>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</si>
  <si>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</si>
  <si>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</si>
  <si>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</si>
  <si>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</si>
  <si>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</si>
  <si>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</si>
  <si>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</si>
  <si>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</si>
  <si>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</si>
  <si>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</si>
  <si>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</si>
  <si>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</si>
  <si>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</si>
  <si>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</si>
  <si>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</si>
  <si>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</si>
  <si>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</si>
  <si>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</si>
  <si>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</si>
  <si>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</si>
  <si>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</si>
  <si>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</si>
  <si>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</si>
  <si>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</si>
  <si>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</si>
  <si>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</si>
  <si>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</si>
  <si>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</si>
  <si>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</si>
  <si>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</si>
  <si>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</si>
  <si>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</si>
  <si>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</si>
  <si>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</si>
  <si>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</si>
  <si>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</si>
  <si>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</si>
  <si>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</si>
  <si>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</si>
  <si>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</si>
  <si>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</si>
  <si>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</si>
  <si>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</si>
  <si>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</si>
  <si>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</si>
  <si>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</si>
  <si>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</si>
  <si>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</si>
  <si>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</si>
  <si>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</si>
  <si>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</si>
  <si>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</si>
  <si>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</si>
  <si>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</si>
  <si>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</si>
  <si>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</si>
  <si>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</si>
  <si>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</si>
  <si>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</si>
  <si>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</si>
  <si>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</si>
  <si>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</si>
  <si>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</si>
  <si>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</si>
  <si>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</si>
  <si>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</si>
  <si>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</si>
  <si>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</si>
  <si>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</si>
  <si>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</si>
  <si>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</si>
  <si>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</si>
  <si>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</si>
  <si>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</si>
  <si>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</si>
  <si>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</si>
  <si>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</si>
  <si>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</si>
  <si>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</si>
  <si>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</si>
  <si>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</si>
  <si>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</si>
  <si>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</si>
  <si>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</si>
  <si>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</si>
  <si>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</si>
  <si>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</si>
  <si>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</si>
  <si>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</si>
  <si>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</si>
  <si>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</si>
  <si>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</si>
  <si>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</si>
  <si>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</si>
  <si>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</si>
  <si>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</si>
  <si>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</si>
  <si>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</si>
  <si>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</si>
  <si>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</si>
  <si>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</si>
  <si>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</si>
  <si>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</si>
  <si>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</si>
  <si>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</si>
  <si>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</si>
  <si>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</si>
  <si>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</si>
  <si>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</si>
  <si>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</si>
  <si>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</si>
  <si>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</si>
  <si>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</si>
  <si>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</si>
  <si>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</si>
  <si>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</si>
  <si>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</si>
  <si>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</si>
  <si>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</si>
  <si>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</si>
  <si>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</si>
  <si>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</si>
  <si>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</si>
  <si>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</si>
  <si>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</si>
  <si>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</si>
  <si>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</si>
  <si>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</si>
  <si>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</si>
  <si>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</si>
  <si>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</si>
  <si>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</si>
  <si>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</si>
  <si>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</si>
  <si>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</si>
  <si>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</si>
  <si>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</si>
  <si>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</si>
  <si>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</si>
  <si>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</si>
  <si>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</si>
  <si>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</si>
  <si>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</si>
  <si>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</si>
  <si>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</si>
  <si>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</si>
  <si>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</si>
  <si>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</si>
  <si>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</si>
  <si>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</si>
  <si>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</si>
  <si>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</si>
  <si>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</si>
  <si>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</si>
  <si>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</si>
  <si>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</si>
  <si>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</si>
  <si>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</si>
  <si>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</si>
  <si>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</si>
  <si>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</si>
  <si>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</si>
  <si>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</si>
  <si>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</si>
  <si>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</si>
  <si>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</si>
  <si>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</si>
  <si>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</si>
  <si>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</si>
  <si>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</si>
  <si>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</si>
  <si>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</si>
  <si>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</si>
  <si>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</si>
  <si>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</si>
  <si>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</si>
  <si>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</si>
  <si>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</si>
  <si>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</si>
  <si>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</si>
  <si>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</si>
  <si>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</si>
  <si>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</si>
  <si>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</si>
  <si>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</si>
  <si>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</si>
  <si>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</si>
  <si>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</si>
  <si>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</si>
  <si>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</si>
  <si>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</si>
  <si>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</si>
  <si>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</si>
  <si>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</si>
  <si>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</si>
  <si>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</si>
  <si>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</si>
  <si>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</si>
  <si>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</si>
  <si>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</si>
  <si>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</si>
  <si>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</si>
  <si>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</si>
  <si>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</si>
  <si>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</si>
  <si>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</si>
  <si>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</si>
  <si>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</si>
  <si>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</si>
  <si>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</si>
  <si>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</si>
  <si>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</si>
  <si>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</si>
  <si>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</si>
  <si>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</si>
  <si>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</si>
  <si>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</si>
  <si>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</si>
  <si>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</si>
  <si>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</si>
  <si>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</si>
  <si>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</si>
  <si>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</si>
  <si>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</si>
  <si>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</si>
  <si>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</si>
  <si>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</si>
  <si>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</si>
  <si>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</si>
  <si>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</si>
  <si>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</si>
  <si>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</si>
  <si>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</si>
  <si>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</si>
  <si>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</si>
  <si>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</si>
  <si>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</si>
  <si>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</si>
  <si>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</si>
  <si>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</si>
  <si>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</si>
  <si>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</si>
  <si>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</si>
  <si>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</si>
  <si>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</si>
  <si>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</si>
  <si>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</si>
  <si>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</si>
  <si>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</si>
  <si>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</si>
  <si>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</si>
  <si>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</si>
  <si>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</si>
  <si>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</si>
  <si>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</si>
  <si>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</si>
  <si>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</si>
  <si>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</si>
  <si>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</si>
  <si>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</si>
  <si>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</si>
  <si>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</si>
  <si>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</si>
  <si>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</si>
  <si>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</si>
  <si>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</si>
  <si>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</si>
  <si>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</si>
  <si>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</si>
  <si>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</si>
  <si>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</si>
  <si>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</si>
  <si>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</si>
  <si>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</si>
  <si>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</si>
  <si>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</si>
  <si>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</si>
  <si>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</si>
  <si>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</si>
  <si>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</si>
  <si>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</si>
  <si>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</si>
  <si>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</si>
  <si>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</si>
  <si>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</si>
  <si>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</si>
  <si>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</si>
  <si>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</si>
  <si>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</si>
  <si>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</si>
  <si>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</si>
  <si>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</si>
  <si>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</si>
  <si>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</si>
  <si>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</si>
  <si>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</si>
  <si>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</si>
  <si>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</si>
  <si>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</si>
  <si>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</si>
  <si>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</si>
  <si>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</si>
  <si>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</si>
  <si>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</si>
  <si>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</si>
  <si>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</si>
  <si>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</si>
  <si>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</si>
  <si>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</si>
  <si>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</si>
  <si>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</si>
  <si>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</si>
  <si>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</si>
  <si>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</si>
  <si>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</si>
  <si>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</si>
  <si>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</si>
  <si>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</si>
  <si>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</si>
  <si>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</si>
  <si>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</si>
  <si>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</si>
  <si>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</si>
  <si>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</si>
  <si>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</si>
  <si>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</si>
  <si>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</si>
  <si>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</si>
  <si>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</si>
  <si>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</si>
  <si>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</si>
  <si>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</si>
  <si>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</si>
  <si>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</si>
  <si>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</si>
  <si>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</si>
  <si>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</si>
  <si>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</si>
  <si>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</si>
  <si>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</si>
  <si>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</si>
  <si>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</si>
  <si>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</si>
  <si>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</si>
  <si>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</si>
  <si>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</si>
  <si>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</si>
  <si>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</si>
  <si>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</si>
  <si>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</si>
  <si>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</si>
  <si>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</si>
  <si>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</si>
  <si>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</si>
  <si>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</si>
  <si>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</si>
  <si>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</si>
  <si>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</si>
  <si>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</si>
  <si>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</si>
  <si>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</si>
  <si>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</si>
  <si>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</si>
  <si>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</si>
  <si>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</si>
  <si>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</si>
  <si>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</si>
  <si>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</si>
  <si>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</si>
  <si>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</si>
  <si>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</si>
  <si>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</si>
  <si>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</si>
  <si>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</si>
  <si>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</si>
  <si>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</si>
  <si>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</si>
  <si>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</si>
  <si>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</si>
  <si>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</si>
  <si>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</si>
  <si>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</si>
  <si>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</si>
  <si>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</si>
  <si>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</si>
  <si>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</si>
  <si>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</si>
  <si>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</si>
  <si>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</si>
  <si>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</si>
  <si>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</si>
  <si>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</si>
  <si>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</si>
  <si>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</si>
  <si>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</si>
  <si>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</si>
  <si>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</si>
  <si>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</si>
  <si>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</si>
  <si>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</si>
  <si>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</si>
  <si>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</si>
  <si>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</si>
  <si>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</si>
  <si>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</si>
  <si>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</si>
  <si>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</si>
  <si>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</si>
  <si>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</si>
  <si>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</si>
  <si>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</si>
  <si>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</si>
  <si>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</si>
  <si>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</si>
  <si>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</si>
  <si>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</si>
  <si>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</si>
  <si>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</si>
  <si>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</si>
  <si>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</si>
  <si>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</si>
  <si>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</si>
  <si>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</si>
  <si>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</si>
  <si>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</si>
  <si>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</si>
  <si>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</si>
  <si>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</si>
  <si>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</si>
  <si>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</si>
  <si>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</si>
  <si>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</si>
  <si>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</si>
  <si>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</si>
  <si>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</si>
  <si>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</si>
  <si>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</si>
  <si>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</si>
  <si>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</si>
  <si>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</si>
  <si>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</si>
  <si>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</si>
  <si>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</si>
  <si>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</si>
  <si>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</si>
  <si>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</si>
  <si>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</si>
  <si>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</si>
  <si>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</si>
  <si>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</si>
  <si>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</si>
  <si>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</si>
  <si>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</si>
  <si>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</si>
  <si>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</si>
  <si>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</si>
  <si>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</si>
  <si>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</si>
  <si>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</si>
  <si>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</si>
  <si>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</si>
  <si>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</si>
  <si>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</si>
  <si>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</si>
  <si>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</si>
  <si>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</si>
  <si>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</si>
  <si>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</si>
  <si>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</si>
  <si>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</si>
  <si>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</si>
  <si>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</si>
  <si>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</si>
  <si>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</si>
  <si>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</si>
  <si>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</si>
  <si>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</si>
  <si>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</si>
  <si>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</si>
  <si>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</si>
  <si>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</si>
  <si>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</si>
  <si>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</si>
  <si>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</si>
  <si>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</si>
  <si>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</si>
  <si>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</si>
  <si>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</si>
  <si>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</si>
  <si>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</si>
  <si>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</si>
  <si>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</si>
  <si>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</si>
  <si>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</si>
  <si>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</si>
  <si>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</si>
  <si>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</si>
  <si>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</si>
  <si>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</si>
  <si>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</si>
  <si>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</si>
  <si>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</si>
  <si>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</si>
  <si>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</si>
  <si>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</si>
  <si>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</si>
  <si>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</si>
  <si>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</si>
  <si>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</si>
  <si>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</si>
  <si>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</si>
  <si>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</si>
  <si>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</si>
  <si>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</si>
  <si>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</si>
  <si>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</si>
  <si>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</si>
  <si>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</si>
  <si>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</si>
  <si>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</si>
  <si>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</si>
  <si>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</si>
  <si>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</si>
  <si>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</si>
  <si>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</si>
  <si>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</si>
  <si>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</si>
  <si>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</si>
  <si>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</si>
  <si>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</si>
  <si>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</si>
  <si>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</si>
  <si>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</si>
  <si>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</si>
  <si>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</si>
  <si>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</si>
  <si>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</si>
  <si>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</si>
  <si>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</si>
  <si>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</si>
  <si>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</si>
  <si>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</si>
  <si>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</si>
  <si>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</si>
  <si>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</si>
  <si>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</si>
  <si>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</si>
  <si>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</si>
  <si>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</si>
  <si>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</si>
  <si>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</si>
  <si>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</si>
  <si>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</si>
  <si>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</si>
  <si>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</si>
  <si>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</si>
  <si>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</si>
  <si>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</si>
  <si>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</si>
  <si>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</si>
  <si>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</si>
  <si>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</si>
  <si>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</si>
  <si>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</si>
  <si>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</si>
  <si>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</si>
  <si>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</si>
  <si>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</si>
  <si>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</si>
  <si>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</si>
  <si>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</si>
  <si>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</si>
  <si>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</si>
  <si>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</si>
  <si>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</si>
  <si>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</si>
  <si>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</si>
  <si>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</si>
  <si>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</si>
  <si>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</si>
  <si>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</si>
  <si>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</si>
  <si>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</si>
  <si>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</si>
  <si>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</si>
  <si>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</si>
  <si>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</si>
  <si>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</si>
  <si>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</si>
  <si>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</si>
  <si>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</si>
  <si>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</si>
  <si>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</si>
  <si>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</si>
  <si>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</si>
  <si>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</si>
  <si>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</si>
  <si>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</si>
  <si>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</si>
  <si>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</si>
  <si>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</si>
  <si>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</si>
  <si>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</si>
  <si>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</si>
  <si>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</si>
  <si>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</si>
  <si>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</si>
  <si>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</si>
  <si>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</si>
  <si>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</si>
  <si>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</si>
  <si>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</si>
  <si>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</si>
  <si>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</si>
  <si>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</si>
  <si>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</si>
  <si>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</si>
  <si>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</si>
  <si>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</si>
  <si>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</si>
  <si>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</si>
  <si>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</si>
  <si>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</si>
  <si>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</si>
  <si>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</si>
  <si>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</si>
  <si>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</si>
  <si>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</si>
  <si>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</si>
  <si>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</si>
  <si>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</si>
  <si>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</si>
  <si>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</si>
  <si>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</si>
  <si>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</si>
  <si>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</si>
  <si>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</si>
  <si>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</si>
  <si>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</si>
  <si>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</si>
  <si>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</si>
  <si>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</si>
  <si>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</si>
  <si>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</si>
  <si>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</si>
  <si>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</si>
  <si>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</si>
  <si>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</si>
  <si>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</si>
  <si>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</si>
  <si>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</si>
  <si>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</si>
  <si>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</si>
  <si>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</si>
  <si>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</si>
  <si>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</si>
  <si>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</si>
  <si>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</si>
  <si>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</si>
  <si>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</si>
  <si>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</si>
  <si>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</si>
  <si>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</si>
  <si>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</si>
  <si>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</si>
  <si>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</si>
  <si>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</si>
  <si>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</si>
  <si>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</si>
  <si>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</si>
  <si>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</si>
  <si>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</si>
  <si>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</si>
  <si>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</si>
  <si>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</si>
  <si>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</si>
  <si>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</si>
  <si>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</si>
  <si>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</si>
  <si>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</si>
  <si>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</si>
  <si>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</si>
  <si>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</si>
  <si>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</si>
  <si>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</si>
  <si>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</si>
  <si>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</si>
  <si>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</si>
  <si>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</si>
  <si>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</si>
  <si>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</si>
  <si>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</si>
  <si>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</si>
  <si>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</si>
  <si>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</si>
  <si>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</si>
  <si>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</si>
  <si>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</si>
  <si>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</si>
  <si>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</si>
  <si>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</si>
  <si>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</si>
  <si>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</si>
  <si>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</si>
  <si>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</si>
  <si>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</si>
  <si>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</si>
  <si>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</si>
  <si>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</si>
  <si>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</si>
  <si>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</si>
  <si>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</si>
  <si>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</si>
  <si>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</si>
  <si>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</si>
  <si>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</si>
  <si>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</si>
  <si>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</si>
  <si>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</si>
  <si>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</si>
  <si>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</si>
  <si>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</si>
  <si>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</si>
  <si>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</si>
  <si>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</si>
  <si>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</si>
  <si>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</si>
  <si>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</si>
  <si>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</si>
  <si>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</si>
  <si>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</si>
  <si>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</si>
  <si>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</si>
  <si>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</si>
  <si>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</si>
  <si>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</si>
  <si>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</si>
  <si>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</si>
  <si>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</si>
  <si>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</si>
  <si>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</si>
  <si>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</si>
  <si>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</si>
  <si>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</si>
  <si>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</si>
  <si>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</si>
  <si>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</si>
  <si>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</si>
  <si>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</si>
  <si>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</si>
  <si>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</si>
  <si>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</si>
  <si>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</si>
  <si>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</si>
  <si>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</si>
  <si>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</si>
  <si>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</si>
  <si>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</si>
  <si>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</si>
  <si>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</si>
  <si>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</si>
  <si>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</si>
  <si>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</si>
  <si>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</si>
  <si>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</si>
  <si>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</si>
  <si>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</si>
  <si>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</si>
  <si>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</si>
  <si>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</si>
  <si>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</si>
  <si>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</si>
  <si>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</si>
  <si>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</si>
  <si>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</si>
  <si>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</si>
  <si>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</si>
  <si>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</si>
  <si>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</si>
  <si>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</si>
  <si>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</si>
  <si>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</si>
  <si>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</si>
  <si>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</si>
  <si>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</si>
  <si>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</si>
  <si>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</si>
  <si>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</si>
  <si>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</si>
  <si>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</si>
  <si>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</si>
  <si>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</si>
  <si>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</si>
  <si>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</si>
  <si>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</si>
  <si>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</si>
  <si>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</si>
  <si>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</si>
  <si>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</si>
  <si>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</si>
  <si>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</si>
  <si>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</si>
  <si>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</si>
  <si>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</si>
  <si>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</si>
  <si>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</si>
  <si>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</si>
  <si>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</si>
  <si>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</si>
  <si>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</si>
  <si>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</si>
  <si>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</si>
  <si>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</si>
  <si>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</si>
  <si>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</si>
  <si>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</si>
  <si>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</si>
  <si>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</si>
  <si>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</si>
  <si>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</si>
  <si>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</si>
  <si>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</si>
  <si>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</si>
  <si>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</si>
  <si>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</si>
  <si>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</si>
  <si>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</si>
  <si>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</si>
  <si>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</si>
  <si>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</si>
  <si>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</si>
  <si>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</si>
  <si>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</si>
  <si>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</si>
  <si>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</si>
  <si>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</si>
  <si>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</si>
  <si>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</si>
  <si>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</si>
  <si>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</si>
  <si>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</si>
  <si>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</si>
  <si>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</si>
  <si>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</si>
  <si>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</si>
  <si>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</si>
  <si>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</si>
  <si>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</si>
  <si>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</si>
  <si>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</si>
  <si>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</si>
  <si>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</si>
  <si>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</si>
  <si>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</si>
  <si>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</si>
  <si>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</si>
  <si>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</si>
  <si>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</si>
  <si>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</si>
  <si>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</si>
  <si>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</si>
  <si>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</si>
  <si>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</si>
  <si>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</si>
  <si>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</si>
  <si>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</si>
  <si>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</si>
  <si>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</si>
  <si>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</si>
  <si>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</si>
  <si>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</si>
  <si>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</si>
  <si>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</si>
  <si>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</si>
  <si>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</si>
  <si>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</si>
  <si>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</si>
  <si>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</si>
  <si>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</si>
  <si>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</si>
  <si>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</si>
  <si>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</si>
  <si>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</si>
  <si>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</si>
  <si>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</si>
  <si>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</si>
  <si>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</si>
  <si>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</si>
  <si>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</si>
  <si>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</si>
  <si>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</si>
  <si>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</si>
  <si>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</si>
  <si>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</si>
  <si>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</si>
  <si>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</si>
  <si>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</si>
  <si>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</si>
  <si>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</si>
  <si>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</si>
  <si>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</si>
  <si>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</si>
  <si>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</si>
  <si>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</si>
  <si>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</si>
  <si>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</si>
  <si>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</si>
  <si>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</si>
  <si>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</si>
  <si>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</si>
  <si>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</si>
  <si>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</si>
  <si>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</si>
  <si>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</si>
  <si>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</si>
  <si>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</si>
  <si>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</si>
  <si>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</si>
  <si>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</si>
  <si>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</si>
  <si>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</si>
  <si>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</si>
  <si>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</si>
  <si>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</si>
  <si>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</si>
  <si>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</si>
  <si>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</si>
  <si>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</si>
  <si>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</si>
  <si>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</si>
  <si>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</si>
  <si>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</si>
  <si>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</si>
  <si>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</si>
  <si>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</si>
  <si>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</si>
  <si>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</si>
  <si>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</si>
  <si>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</si>
  <si>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</si>
  <si>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</si>
  <si>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</si>
  <si>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</si>
  <si>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</si>
  <si>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</si>
  <si>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</si>
  <si>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</si>
  <si>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</si>
  <si>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</si>
  <si>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</si>
  <si>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</si>
  <si>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</si>
  <si>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</si>
  <si>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</si>
  <si>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</si>
  <si>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</si>
  <si>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</si>
  <si>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</si>
  <si>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</si>
  <si>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</si>
  <si>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</si>
  <si>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</si>
  <si>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</si>
  <si>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</si>
  <si>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</si>
  <si>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</si>
  <si>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</si>
  <si>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</si>
  <si>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</si>
  <si>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</si>
  <si>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</si>
  <si>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</si>
  <si>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</si>
  <si>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</si>
  <si>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</si>
  <si>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</si>
  <si>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</si>
  <si>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</si>
  <si>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</si>
  <si>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</si>
  <si>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</si>
  <si>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</si>
  <si>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</si>
  <si>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</si>
  <si>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</si>
  <si>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</si>
  <si>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</si>
  <si>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</si>
  <si>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</si>
  <si>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</si>
  <si>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</si>
  <si>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</si>
  <si>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</si>
  <si>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</si>
  <si>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</si>
  <si>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</si>
  <si>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</si>
  <si>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</si>
  <si>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</si>
  <si>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</si>
  <si>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</si>
  <si>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</si>
  <si>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</si>
  <si>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</si>
  <si>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</si>
  <si>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</si>
  <si>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</si>
  <si>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</si>
  <si>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</si>
  <si>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</si>
  <si>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</si>
  <si>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</si>
  <si>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</si>
  <si>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</si>
  <si>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</si>
  <si>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</si>
  <si>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</si>
  <si>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</si>
  <si>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</si>
  <si>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</si>
  <si>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</si>
  <si>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</si>
  <si>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</si>
  <si>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</si>
  <si>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</si>
  <si>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</si>
  <si>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</si>
  <si>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</si>
  <si>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</si>
  <si>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</si>
  <si>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</si>
  <si>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</si>
  <si>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</si>
  <si>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</si>
  <si>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</si>
  <si>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</si>
  <si>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</si>
  <si>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</si>
  <si>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</si>
  <si>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</si>
  <si>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</si>
  <si>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</si>
  <si>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</si>
  <si>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</si>
  <si>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</si>
  <si>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</si>
  <si>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</si>
  <si>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</si>
  <si>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</si>
  <si>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</si>
  <si>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</si>
  <si>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</si>
  <si>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</si>
  <si>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</si>
  <si>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</si>
  <si>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</si>
  <si>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</si>
  <si>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</si>
  <si>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</si>
  <si>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</si>
  <si>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</si>
  <si>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</si>
  <si>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</si>
  <si>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</si>
  <si>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</si>
  <si>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</si>
  <si>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</si>
  <si>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</si>
  <si>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</si>
  <si>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</si>
  <si>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</si>
  <si>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</si>
  <si>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</si>
  <si>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</si>
  <si>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</si>
  <si>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</si>
  <si>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</si>
  <si>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</si>
  <si>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</si>
  <si>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</si>
  <si>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</si>
  <si>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</si>
  <si>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</si>
  <si>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</si>
  <si>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</si>
  <si>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</si>
  <si>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</si>
  <si>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</si>
  <si>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</si>
  <si>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</si>
  <si>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</si>
  <si>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</si>
  <si>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</si>
  <si>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</si>
  <si>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</si>
  <si>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</si>
  <si>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</si>
  <si>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</si>
  <si>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</si>
  <si>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</si>
  <si>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</si>
  <si>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</si>
  <si>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</si>
  <si>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</si>
  <si>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</si>
  <si>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</si>
  <si>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</si>
  <si>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</si>
  <si>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</si>
  <si>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</si>
  <si>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</si>
  <si>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</si>
  <si>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</si>
  <si>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</si>
  <si>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</si>
  <si>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</si>
  <si>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</si>
  <si>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</si>
  <si>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</si>
  <si>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</si>
  <si>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</si>
  <si>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</si>
  <si>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</si>
  <si>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</si>
  <si>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</si>
  <si>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</si>
  <si>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</si>
  <si>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</si>
  <si>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</si>
  <si>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</si>
  <si>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</si>
  <si>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</si>
  <si>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</si>
  <si>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</si>
  <si>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</si>
  <si>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</si>
  <si>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</si>
  <si>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</si>
  <si>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</si>
  <si>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</si>
  <si>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</si>
  <si>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</si>
  <si>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</si>
  <si>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</si>
  <si>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</si>
  <si>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</si>
  <si>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</si>
  <si>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</si>
  <si>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</si>
  <si>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</si>
  <si>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</si>
  <si>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</si>
  <si>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</si>
  <si>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</si>
  <si>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</si>
  <si>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</si>
  <si>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</si>
  <si>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</si>
  <si>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</si>
  <si>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</si>
  <si>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</si>
  <si>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</si>
  <si>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</si>
  <si>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</si>
  <si>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</si>
  <si>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</si>
  <si>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</si>
  <si>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</si>
  <si>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</si>
  <si>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</si>
  <si>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</si>
  <si>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</si>
  <si>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</si>
  <si>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</si>
  <si>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</si>
  <si>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</si>
  <si>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</si>
  <si>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</si>
  <si>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</si>
  <si>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</si>
  <si>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</si>
  <si>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</si>
  <si>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</si>
  <si>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</si>
  <si>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</si>
  <si>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</si>
  <si>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</si>
  <si>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</si>
  <si>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</si>
  <si>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</si>
  <si>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</si>
  <si>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</si>
  <si>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</si>
  <si>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</si>
  <si>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</si>
  <si>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</si>
  <si>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</si>
  <si>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</si>
  <si>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</si>
  <si>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</si>
  <si>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</si>
  <si>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</si>
  <si>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</si>
  <si>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</si>
  <si>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</si>
  <si>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</si>
  <si>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</si>
  <si>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</si>
  <si>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</si>
  <si>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</si>
  <si>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</si>
  <si>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</si>
  <si>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</si>
  <si>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</si>
  <si>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</si>
  <si>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</si>
  <si>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</si>
  <si>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</si>
  <si>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</si>
  <si>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</si>
  <si>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</si>
  <si>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</si>
  <si>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</si>
  <si>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</si>
  <si>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</si>
  <si>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</si>
  <si>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</si>
  <si>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</si>
  <si>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</si>
  <si>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</si>
  <si>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</si>
  <si>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</si>
  <si>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</si>
  <si>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</si>
  <si>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</si>
  <si>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</si>
  <si>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</si>
  <si>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</si>
  <si>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</si>
  <si>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</si>
  <si>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</si>
  <si>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</si>
  <si>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</si>
  <si>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</si>
  <si>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</si>
  <si>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</si>
  <si>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</si>
  <si>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</si>
  <si>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</si>
  <si>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</si>
  <si>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</si>
  <si>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</si>
  <si>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</si>
  <si>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</si>
  <si>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</si>
  <si>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</si>
  <si>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</si>
  <si>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</si>
  <si>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</si>
  <si>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</si>
  <si>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</si>
  <si>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</si>
  <si>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</si>
  <si>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</si>
  <si>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</si>
  <si>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</si>
  <si>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</si>
  <si>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</si>
  <si>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</si>
  <si>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</si>
  <si>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</si>
  <si>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</si>
  <si>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</si>
  <si>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</si>
  <si>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</si>
  <si>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</si>
  <si>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</si>
  <si>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</si>
  <si>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</si>
  <si>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</si>
  <si>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</si>
  <si>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</si>
  <si>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</si>
  <si>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</si>
  <si>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</si>
  <si>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</si>
  <si>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</si>
  <si>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</si>
  <si>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</si>
  <si>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</si>
  <si>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</si>
  <si>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</si>
  <si>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</si>
  <si>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</si>
  <si>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</si>
  <si>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</si>
  <si>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</si>
  <si>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</si>
  <si>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</si>
  <si>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</si>
  <si>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</si>
  <si>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</si>
  <si>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</si>
  <si>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</si>
  <si>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</si>
  <si>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</si>
  <si>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</si>
  <si>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</si>
  <si>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</si>
  <si>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</si>
  <si>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</si>
  <si>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</si>
  <si>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</si>
  <si>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</si>
  <si>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</si>
  <si>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</si>
  <si>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</si>
  <si>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</si>
  <si>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</si>
  <si>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</si>
  <si>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</si>
  <si>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</si>
  <si>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</si>
  <si>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</si>
  <si>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</si>
  <si>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</si>
  <si>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</si>
  <si>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</si>
  <si>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</si>
  <si>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</si>
  <si>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</si>
  <si>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</si>
  <si>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</si>
  <si>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</si>
  <si>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</si>
  <si>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</si>
  <si>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</si>
  <si>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</si>
  <si>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</si>
  <si>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</si>
  <si>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</si>
  <si>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</si>
  <si>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</si>
  <si>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</si>
  <si>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</si>
  <si>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</si>
  <si>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</si>
  <si>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</si>
  <si>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</si>
  <si>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</si>
  <si>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</si>
  <si>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</si>
  <si>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</si>
  <si>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</si>
  <si>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</si>
  <si>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</si>
  <si>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</si>
  <si>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</si>
  <si>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</si>
  <si>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</si>
  <si>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</si>
  <si>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</si>
  <si>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</si>
  <si>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</si>
  <si>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</si>
  <si>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</si>
  <si>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</si>
  <si>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</si>
  <si>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</si>
  <si>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</si>
  <si>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</si>
  <si>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</si>
  <si>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</si>
  <si>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</si>
  <si>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</si>
  <si>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</si>
  <si>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</si>
  <si>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</si>
  <si>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</si>
  <si>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</si>
  <si>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</si>
  <si>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</si>
  <si>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</si>
  <si>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</si>
  <si>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</si>
  <si>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</si>
  <si>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</si>
  <si>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</si>
  <si>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</si>
  <si>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</si>
  <si>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</si>
  <si>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</si>
  <si>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</si>
  <si>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</si>
  <si>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</si>
  <si>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</si>
  <si>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</si>
  <si>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</si>
  <si>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</si>
  <si>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</si>
  <si>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</si>
  <si>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</si>
  <si>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</si>
  <si>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</si>
  <si>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</si>
  <si>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</si>
  <si>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</si>
  <si>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</si>
  <si>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</si>
  <si>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</si>
  <si>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</si>
  <si>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</si>
  <si>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</si>
  <si>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</si>
  <si>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</si>
  <si>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</si>
  <si>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</si>
  <si>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</si>
  <si>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</si>
  <si>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</si>
  <si>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</si>
  <si>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</si>
  <si>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</si>
  <si>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</si>
  <si>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</si>
  <si>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</si>
  <si>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</si>
  <si>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</si>
  <si>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</si>
  <si>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</si>
  <si>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</si>
  <si>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</si>
  <si>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</si>
  <si>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</si>
  <si>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</si>
  <si>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</si>
  <si>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</si>
  <si>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</si>
  <si>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</si>
  <si>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</si>
  <si>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</si>
  <si>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</si>
  <si>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</si>
  <si>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</si>
  <si>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</si>
  <si>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</si>
  <si>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</si>
  <si>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</si>
  <si>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</si>
  <si>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</si>
  <si>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</si>
  <si>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</si>
  <si>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</si>
  <si>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</si>
  <si>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</si>
  <si>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</si>
  <si>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</si>
  <si>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</si>
  <si>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</si>
  <si>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</si>
  <si>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</si>
  <si>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</si>
  <si>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</si>
  <si>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</si>
  <si>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</si>
  <si>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</si>
  <si>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</si>
  <si>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</si>
  <si>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</si>
  <si>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</si>
  <si>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</si>
  <si>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</si>
  <si>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</si>
  <si>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</si>
  <si>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</si>
  <si>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</si>
  <si>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</si>
  <si>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</si>
  <si>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</si>
  <si>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</si>
  <si>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</si>
  <si>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</si>
  <si>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</si>
  <si>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</si>
  <si>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</si>
  <si>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</si>
  <si>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</si>
  <si>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</si>
  <si>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</si>
  <si>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</si>
  <si>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</si>
  <si>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</si>
  <si>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</si>
  <si>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</si>
  <si>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</si>
  <si>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</si>
  <si>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</si>
  <si>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</si>
  <si>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</si>
  <si>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</si>
  <si>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</si>
  <si>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</si>
  <si>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</si>
  <si>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</si>
  <si>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</si>
  <si>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</si>
  <si>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</si>
  <si>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</si>
  <si>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</si>
  <si>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</si>
  <si>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</si>
  <si>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</si>
  <si>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</si>
  <si>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</si>
  <si>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</si>
  <si>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</si>
  <si>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</si>
  <si>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</si>
  <si>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</si>
  <si>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</si>
  <si>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</si>
  <si>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</si>
  <si>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</si>
  <si>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</si>
  <si>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</si>
  <si>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</si>
  <si>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</si>
  <si>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</si>
  <si>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</si>
  <si>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</si>
  <si>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</si>
  <si>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</si>
  <si>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</si>
  <si>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</si>
  <si>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</si>
  <si>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</si>
  <si>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</si>
  <si>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</si>
  <si>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</si>
  <si>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</si>
  <si>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</si>
  <si>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</si>
  <si>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</si>
  <si>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</si>
  <si>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</si>
  <si>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</si>
  <si>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</si>
  <si>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</si>
  <si>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</si>
  <si>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</si>
  <si>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</si>
  <si>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</si>
  <si>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</si>
  <si>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</si>
  <si>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</si>
  <si>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</si>
  <si>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</si>
  <si>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</si>
  <si>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</si>
  <si>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</si>
  <si>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</si>
  <si>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</si>
  <si>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</si>
  <si>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</si>
  <si>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</si>
  <si>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</si>
  <si>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</si>
  <si>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</si>
  <si>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</si>
  <si>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</si>
  <si>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</si>
  <si>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</si>
  <si>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</si>
  <si>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</si>
  <si>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</si>
  <si>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</si>
  <si>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</si>
  <si>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</si>
  <si>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</si>
  <si>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</si>
  <si>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</si>
  <si>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</si>
  <si>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</si>
  <si>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</si>
  <si>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</si>
  <si>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</si>
  <si>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</si>
  <si>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</si>
  <si>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</si>
  <si>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</si>
  <si>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</si>
  <si>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</si>
  <si>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</si>
  <si>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</si>
  <si>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</si>
  <si>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</si>
  <si>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</si>
  <si>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</si>
  <si>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</si>
  <si>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</si>
  <si>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</si>
  <si>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</si>
  <si>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</si>
  <si>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</si>
  <si>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</si>
  <si>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</si>
  <si>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</si>
  <si>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</si>
  <si>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</si>
  <si>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</si>
  <si>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</si>
  <si>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</si>
  <si>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</si>
  <si>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</si>
  <si>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</si>
  <si>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</si>
  <si>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</si>
  <si>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</si>
  <si>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</si>
  <si>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</si>
  <si>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</si>
  <si>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</si>
  <si>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</si>
  <si>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</si>
  <si>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</si>
  <si>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</si>
  <si>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</si>
  <si>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</si>
  <si>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</si>
  <si>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</si>
  <si>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</si>
  <si>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</si>
  <si>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</si>
  <si>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</si>
  <si>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</si>
  <si>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</si>
  <si>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</si>
  <si>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</si>
  <si>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</si>
  <si>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</si>
  <si>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</si>
  <si>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</si>
  <si>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</si>
  <si>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</si>
  <si>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</si>
  <si>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</si>
  <si>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</si>
  <si>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</si>
  <si>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</si>
  <si>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</si>
  <si>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</si>
  <si>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</si>
  <si>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</si>
  <si>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</si>
  <si>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</si>
  <si>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</si>
  <si>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</si>
  <si>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</si>
  <si>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</si>
  <si>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</si>
  <si>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</si>
  <si>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</si>
  <si>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</si>
  <si>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</si>
  <si>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</si>
  <si>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</si>
  <si>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</si>
  <si>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</si>
  <si>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</si>
  <si>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</si>
  <si>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</si>
  <si>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</si>
  <si>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</si>
  <si>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</si>
  <si>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</si>
  <si>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</si>
  <si>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</si>
  <si>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</si>
  <si>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</si>
  <si>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</si>
  <si>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</si>
  <si>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</si>
  <si>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</si>
  <si>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</si>
  <si>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</si>
  <si>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</si>
  <si>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</si>
  <si>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</si>
  <si>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</si>
  <si>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</si>
  <si>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</si>
  <si>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</si>
  <si>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</si>
  <si>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</si>
  <si>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</si>
  <si>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</si>
  <si>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</si>
  <si>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</si>
  <si>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</si>
  <si>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</si>
  <si>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</si>
  <si>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</si>
  <si>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</si>
  <si>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</si>
  <si>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</si>
  <si>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</si>
  <si>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</si>
  <si>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</si>
  <si>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</si>
  <si>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</si>
  <si>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</si>
  <si>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</si>
  <si>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</si>
  <si>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</si>
  <si>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</si>
  <si>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</si>
  <si>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</si>
  <si>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</si>
  <si>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</si>
  <si>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</si>
  <si>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</si>
  <si>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</si>
  <si>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</si>
  <si>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</si>
  <si>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</si>
  <si>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</si>
  <si>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</si>
  <si>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</si>
  <si>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</si>
  <si>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</si>
  <si>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</si>
  <si>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</si>
  <si>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</si>
  <si>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</si>
  <si>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</si>
  <si>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</si>
  <si>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</si>
  <si>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</si>
  <si>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</si>
  <si>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</si>
  <si>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</si>
  <si>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</si>
  <si>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</si>
  <si>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</si>
  <si>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</si>
  <si>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</si>
  <si>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</si>
  <si>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</si>
  <si>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</si>
  <si>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</si>
  <si>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</si>
  <si>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</si>
  <si>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</si>
  <si>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</si>
  <si>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</si>
  <si>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</si>
  <si>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</si>
  <si>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</si>
  <si>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</si>
  <si>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</si>
  <si>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</si>
  <si>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</si>
  <si>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</si>
  <si>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</si>
  <si>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</si>
  <si>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</si>
  <si>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</si>
  <si>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</si>
  <si>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</si>
  <si>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</si>
  <si>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</si>
  <si>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</si>
  <si>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</si>
  <si>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</si>
  <si>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</si>
  <si>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</si>
  <si>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</si>
  <si>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</si>
  <si>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</si>
  <si>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</si>
  <si>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</si>
  <si>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</si>
  <si>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</si>
  <si>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</si>
  <si>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</si>
  <si>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</si>
  <si>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</si>
  <si>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</si>
  <si>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</si>
  <si>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</si>
  <si>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</si>
  <si>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</si>
  <si>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</si>
  <si>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</si>
  <si>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</si>
  <si>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</si>
  <si>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</si>
  <si>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</si>
  <si>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</si>
  <si>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</si>
  <si>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</si>
  <si>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</si>
  <si>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</si>
  <si>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</si>
  <si>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</si>
  <si>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</si>
  <si>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</si>
  <si>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</si>
  <si>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</si>
  <si>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</si>
  <si>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</si>
  <si>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</si>
  <si>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</si>
  <si>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</si>
  <si>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</si>
  <si>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</si>
  <si>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</si>
  <si>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</si>
  <si>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</si>
  <si>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</si>
  <si>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</si>
  <si>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</si>
  <si>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</si>
  <si>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</si>
  <si>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</si>
  <si>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</si>
  <si>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</si>
  <si>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</si>
  <si>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</si>
  <si>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</si>
  <si>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</si>
  <si>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</si>
  <si>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</si>
  <si>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</si>
  <si>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</si>
  <si>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</si>
  <si>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</si>
  <si>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</si>
  <si>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</si>
  <si>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</si>
  <si>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</si>
  <si>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</si>
  <si>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</si>
  <si>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</si>
  <si>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</si>
  <si>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</si>
  <si>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</si>
  <si>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</si>
  <si>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</si>
  <si>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</si>
  <si>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</si>
  <si>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</si>
  <si>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</si>
  <si>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</si>
  <si>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</si>
  <si>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</si>
  <si>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</si>
  <si>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</si>
  <si>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</si>
  <si>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</si>
  <si>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</si>
  <si>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</si>
  <si>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</si>
  <si>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</si>
  <si>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</si>
  <si>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</si>
  <si>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</si>
  <si>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</si>
  <si>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</si>
  <si>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</si>
  <si>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</si>
  <si>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</si>
  <si>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</si>
  <si>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</si>
  <si>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</si>
  <si>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</si>
  <si>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</si>
  <si>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</si>
  <si>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</si>
  <si>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</si>
  <si>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</si>
  <si>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</si>
  <si>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</si>
  <si>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</si>
  <si>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</si>
  <si>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</si>
  <si>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</si>
  <si>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</si>
  <si>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</si>
  <si>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</si>
  <si>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</si>
  <si>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</si>
  <si>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</si>
  <si>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</si>
  <si>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</si>
  <si>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</si>
  <si>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</si>
  <si>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</si>
  <si>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</si>
  <si>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</si>
  <si>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</si>
  <si>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</si>
  <si>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</si>
  <si>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</si>
  <si>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</si>
  <si>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</si>
  <si>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</si>
  <si>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</si>
  <si>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</si>
  <si>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</si>
  <si>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</si>
  <si>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</si>
  <si>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</si>
  <si>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</si>
  <si>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</si>
  <si>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</si>
  <si>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</si>
  <si>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</si>
  <si>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</si>
  <si>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</si>
  <si>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</si>
  <si>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</si>
  <si>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</si>
  <si>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</si>
  <si>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</si>
  <si>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</si>
  <si>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</si>
  <si>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</si>
  <si>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</si>
  <si>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</si>
  <si>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</si>
  <si>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</si>
  <si>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</si>
  <si>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</si>
  <si>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</si>
  <si>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</si>
  <si>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</si>
  <si>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</si>
  <si>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</si>
  <si>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</si>
  <si>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</si>
  <si>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</si>
  <si>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</si>
  <si>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</si>
  <si>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</si>
  <si>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</si>
  <si>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</si>
  <si>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</si>
  <si>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</si>
  <si>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</si>
  <si>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</si>
  <si>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</si>
  <si>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</si>
  <si>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</si>
  <si>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</si>
  <si>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</si>
  <si>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</si>
  <si>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</si>
  <si>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</si>
  <si>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</si>
  <si>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</si>
  <si>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</si>
  <si>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</si>
  <si>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</si>
  <si>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</si>
  <si>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</si>
  <si>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</si>
  <si>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</si>
  <si>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</si>
  <si>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</si>
  <si>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</si>
  <si>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</si>
  <si>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</si>
  <si>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</si>
  <si>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</si>
  <si>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</si>
  <si>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</si>
  <si>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</si>
  <si>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</si>
  <si>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</si>
  <si>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</si>
  <si>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</si>
  <si>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</si>
  <si>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</si>
  <si>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</si>
  <si>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</si>
  <si>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</si>
  <si>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</si>
  <si>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</si>
  <si>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</si>
  <si>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</si>
  <si>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</si>
  <si>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</si>
  <si>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</si>
  <si>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</si>
  <si>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</si>
  <si>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</si>
  <si>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</si>
  <si>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</si>
  <si>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</si>
  <si>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</si>
  <si>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</si>
  <si>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</si>
  <si>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</si>
  <si>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</si>
  <si>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</si>
  <si>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</si>
  <si>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</si>
  <si>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</si>
  <si>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</si>
  <si>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</si>
  <si>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</si>
  <si>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</si>
  <si>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</si>
  <si>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</si>
  <si>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</si>
  <si>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</si>
  <si>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</si>
  <si>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</si>
  <si>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</si>
  <si>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</si>
  <si>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</si>
  <si>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</si>
  <si>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</si>
  <si>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</si>
  <si>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</si>
  <si>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</si>
  <si>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</si>
  <si>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</si>
  <si>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</si>
  <si>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</si>
  <si>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</si>
  <si>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</si>
  <si>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</si>
  <si>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</si>
  <si>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</si>
  <si>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</si>
  <si>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</si>
  <si>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</si>
  <si>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</si>
  <si>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</si>
  <si>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</si>
  <si>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</si>
  <si>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</si>
  <si>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</si>
  <si>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</si>
  <si>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</si>
  <si>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</si>
  <si>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</si>
  <si>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</si>
  <si>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</si>
  <si>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</si>
  <si>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</si>
  <si>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</si>
  <si>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</si>
  <si>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</si>
  <si>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</si>
  <si>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</si>
  <si>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</si>
  <si>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</si>
  <si>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</si>
  <si>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</si>
  <si>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</si>
  <si>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</si>
  <si>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</si>
  <si>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</si>
  <si>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</si>
  <si>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</si>
  <si>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</si>
  <si>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</si>
  <si>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</si>
  <si>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</si>
  <si>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</si>
  <si>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</si>
  <si>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</si>
  <si>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</si>
  <si>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</si>
  <si>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</si>
  <si>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</si>
  <si>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</si>
  <si>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</si>
  <si>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</si>
  <si>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</si>
  <si>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</si>
  <si>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</si>
  <si>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</si>
  <si>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</si>
  <si>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</si>
  <si>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</si>
  <si>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</si>
  <si>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</si>
  <si>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</si>
  <si>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</si>
  <si>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</si>
  <si>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</si>
  <si>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</si>
  <si>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</si>
  <si>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</si>
  <si>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</si>
  <si>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</si>
  <si>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</si>
  <si>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</si>
  <si>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</si>
  <si>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</si>
  <si>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</si>
  <si>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</si>
  <si>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</si>
  <si>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</si>
  <si>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</si>
  <si>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</si>
  <si>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</si>
  <si>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</si>
  <si>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</si>
  <si>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</si>
  <si>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</si>
  <si>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</si>
  <si>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</si>
  <si>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</si>
  <si>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</si>
  <si>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</si>
  <si>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</si>
  <si>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</si>
  <si>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</si>
  <si>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</si>
  <si>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</si>
  <si>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</si>
  <si>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</si>
  <si>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</si>
  <si>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</si>
  <si>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</si>
  <si>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</si>
  <si>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</si>
  <si>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</si>
  <si>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</si>
  <si>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</si>
  <si>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</si>
  <si>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</si>
  <si>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</si>
  <si>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</si>
  <si>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</si>
  <si>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</si>
  <si>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</si>
  <si>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</si>
  <si>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</si>
  <si>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</si>
  <si>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</si>
  <si>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</si>
  <si>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</si>
  <si>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</si>
  <si>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</si>
  <si>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</si>
  <si>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</si>
  <si>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</si>
  <si>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</si>
  <si>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</si>
  <si>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</si>
  <si>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</si>
  <si>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</si>
  <si>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</si>
  <si>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</si>
  <si>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</si>
  <si>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</si>
  <si>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</si>
  <si>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</si>
  <si>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</si>
  <si>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</si>
  <si>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</si>
  <si>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</si>
  <si>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</si>
  <si>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</si>
  <si>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</si>
  <si>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</si>
  <si>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</si>
  <si>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</si>
  <si>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</si>
  <si>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</si>
  <si>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</si>
  <si>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</si>
  <si>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</si>
  <si>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</si>
  <si>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</si>
  <si>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</si>
  <si>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</si>
  <si>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</si>
  <si>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</si>
  <si>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</si>
  <si>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</si>
  <si>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</si>
  <si>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</si>
  <si>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</si>
  <si>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</si>
  <si>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</si>
  <si>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</si>
  <si>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</si>
  <si>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</si>
  <si>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</si>
  <si>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</si>
  <si>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</si>
  <si>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</si>
  <si>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</si>
  <si>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</si>
  <si>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</si>
  <si>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</si>
  <si>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</si>
  <si>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</si>
  <si>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</si>
  <si>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</si>
  <si>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</si>
  <si>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</si>
  <si>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</si>
  <si>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</si>
  <si>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</si>
  <si>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</si>
  <si>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</si>
  <si>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</si>
  <si>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</si>
  <si>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</si>
  <si>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</si>
  <si>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</si>
  <si>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</si>
  <si>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</si>
  <si>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</si>
  <si>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</si>
  <si>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</si>
  <si>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</si>
  <si>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</si>
  <si>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</si>
  <si>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</si>
  <si>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</si>
  <si>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</si>
  <si>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</si>
  <si>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</si>
  <si>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</si>
  <si>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</si>
  <si>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</si>
  <si>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</si>
  <si>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</si>
  <si>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</si>
  <si>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</si>
  <si>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</si>
  <si>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</si>
  <si>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</si>
  <si>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</si>
  <si>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</si>
  <si>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</si>
  <si>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</si>
  <si>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</si>
  <si>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</si>
  <si>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</si>
  <si>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</si>
  <si>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</si>
  <si>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</si>
  <si>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</si>
  <si>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</si>
  <si>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</si>
  <si>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</si>
  <si>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</si>
  <si>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</si>
  <si>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</si>
  <si>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</si>
  <si>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</si>
  <si>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</si>
  <si>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</si>
  <si>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</si>
  <si>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</si>
  <si>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</si>
  <si>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</si>
  <si>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</si>
  <si>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</si>
  <si>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</si>
  <si>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</si>
  <si>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</si>
  <si>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</si>
  <si>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</si>
  <si>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</si>
  <si>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</si>
  <si>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</si>
  <si>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</si>
  <si>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</si>
  <si>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</si>
  <si>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</si>
  <si>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</si>
  <si>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</si>
  <si>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</si>
  <si>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</si>
  <si>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</si>
  <si>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</si>
  <si>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</si>
  <si>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</si>
  <si>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</si>
  <si>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</si>
  <si>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</si>
  <si>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</si>
  <si>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</si>
  <si>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</si>
  <si>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</si>
  <si>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</si>
  <si>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</si>
  <si>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</si>
  <si>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</si>
  <si>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</si>
  <si>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</si>
  <si>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</si>
  <si>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</si>
  <si>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</si>
  <si>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</si>
  <si>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</si>
  <si>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</si>
  <si>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</si>
  <si>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</si>
  <si>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</si>
  <si>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</si>
  <si>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</si>
  <si>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</si>
  <si>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</si>
  <si>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</si>
  <si>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</si>
  <si>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</si>
  <si>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</si>
  <si>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</si>
  <si>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</si>
  <si>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</si>
  <si>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</si>
  <si>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</si>
  <si>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</si>
  <si>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</si>
  <si>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</si>
  <si>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</si>
  <si>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</si>
  <si>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</si>
  <si>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</si>
  <si>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</si>
  <si>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</si>
  <si>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</si>
  <si>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</si>
  <si>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</si>
  <si>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</si>
  <si>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</si>
  <si>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</si>
  <si>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</si>
  <si>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</si>
  <si>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</si>
  <si>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</si>
  <si>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</si>
  <si>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</si>
  <si>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</si>
  <si>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</si>
  <si>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</si>
  <si>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</si>
  <si>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</si>
  <si>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</si>
  <si>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</si>
  <si>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</si>
  <si>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</si>
  <si>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</si>
  <si>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</si>
  <si>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</si>
  <si>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</si>
  <si>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</si>
  <si>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</si>
  <si>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</si>
  <si>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</si>
  <si>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</si>
  <si>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</si>
  <si>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</si>
  <si>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</si>
  <si>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</si>
  <si>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</si>
  <si>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</si>
  <si>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</si>
  <si>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</si>
  <si>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</si>
  <si>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</si>
  <si>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</si>
  <si>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</si>
  <si>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</si>
  <si>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</si>
  <si>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</si>
  <si>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</si>
  <si>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</si>
  <si>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</si>
  <si>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</si>
  <si>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</si>
  <si>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</si>
  <si>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</si>
  <si>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</si>
  <si>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</si>
  <si>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</si>
  <si>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</si>
  <si>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</si>
  <si>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</si>
  <si>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</si>
  <si>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</si>
  <si>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</si>
  <si>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</si>
  <si>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</si>
  <si>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</si>
  <si>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</si>
  <si>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</si>
  <si>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</si>
  <si>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</si>
  <si>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</si>
  <si>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</si>
  <si>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</si>
  <si>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</si>
  <si>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</si>
  <si>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</si>
  <si>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</si>
  <si>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</si>
  <si>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</si>
  <si>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</si>
  <si>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</si>
  <si>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</si>
  <si>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</si>
  <si>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</si>
  <si>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</si>
  <si>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</si>
  <si>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</si>
  <si>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</si>
  <si>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</si>
  <si>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</si>
  <si>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</si>
  <si>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</si>
  <si>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</si>
  <si>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</si>
  <si>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</si>
  <si>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</si>
  <si>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</si>
  <si>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</si>
  <si>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</si>
  <si>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</si>
  <si>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</si>
  <si>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</si>
  <si>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</si>
  <si>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</si>
  <si>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</si>
  <si>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</si>
  <si>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</si>
  <si>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</si>
  <si>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</si>
  <si>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</si>
  <si>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</si>
  <si>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</si>
  <si>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</si>
  <si>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</si>
  <si>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</si>
  <si>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</si>
  <si>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</si>
  <si>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</si>
  <si>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</si>
  <si>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</si>
  <si>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</si>
  <si>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</si>
  <si>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</si>
  <si>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</si>
  <si>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</si>
  <si>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</si>
  <si>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</si>
  <si>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</si>
  <si>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</si>
  <si>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</si>
  <si>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</si>
  <si>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</si>
  <si>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</si>
  <si>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</si>
  <si>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</si>
  <si>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</si>
  <si>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</si>
  <si>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</si>
  <si>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</si>
  <si>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</si>
  <si>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</si>
  <si>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</si>
  <si>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</si>
  <si>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</si>
  <si>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</si>
  <si>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</si>
  <si>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</si>
  <si>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</si>
  <si>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</si>
  <si>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</si>
  <si>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</si>
  <si>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</si>
  <si>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</si>
  <si>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</si>
  <si>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</si>
  <si>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</si>
  <si>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</si>
  <si>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</si>
  <si>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</si>
  <si>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</si>
  <si>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</si>
  <si>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</si>
  <si>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</si>
  <si>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</si>
  <si>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</si>
  <si>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</si>
  <si>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</si>
  <si>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</si>
  <si>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</si>
  <si>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</si>
  <si>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</si>
  <si>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</si>
  <si>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</si>
  <si>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</si>
  <si>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</si>
  <si>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</si>
  <si>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</si>
  <si>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</si>
  <si>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</si>
  <si>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</si>
  <si>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</si>
  <si>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</si>
  <si>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</si>
  <si>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</si>
  <si>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</si>
  <si>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</si>
  <si>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</si>
  <si>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</si>
  <si>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</si>
  <si>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</si>
  <si>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</si>
  <si>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</si>
  <si>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</si>
  <si>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</si>
  <si>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</si>
  <si>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</si>
  <si>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</si>
  <si>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</si>
  <si>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</si>
  <si>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</si>
  <si>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</si>
  <si>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</si>
  <si>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</si>
  <si>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</si>
  <si>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</si>
  <si>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</si>
  <si>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</si>
  <si>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</si>
  <si>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</si>
  <si>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</si>
  <si>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</si>
  <si>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</si>
  <si>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</si>
  <si>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</si>
  <si>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</si>
  <si>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</si>
  <si>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</si>
  <si>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</si>
  <si>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</si>
  <si>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</si>
  <si>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</si>
  <si>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</si>
  <si>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</si>
  <si>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</si>
  <si>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</si>
  <si>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</si>
  <si>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</si>
  <si>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</si>
  <si>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</si>
  <si>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</si>
  <si>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</si>
  <si>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</si>
  <si>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</si>
  <si>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</si>
  <si>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</si>
  <si>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</si>
  <si>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</si>
  <si>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</si>
  <si>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</si>
  <si>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</si>
  <si>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</si>
  <si>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</si>
  <si>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</si>
  <si>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</si>
  <si>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</si>
  <si>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</si>
  <si>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</si>
  <si>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</si>
  <si>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</si>
  <si>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</si>
  <si>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</si>
  <si>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</si>
  <si>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</si>
  <si>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</si>
  <si>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</si>
  <si>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</si>
  <si>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</si>
  <si>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</si>
  <si>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</si>
  <si>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</si>
  <si>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</si>
  <si>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</si>
  <si>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</si>
  <si>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</si>
  <si>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</si>
  <si>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</si>
  <si>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</si>
  <si>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</si>
  <si>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</si>
  <si>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</si>
  <si>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</si>
  <si>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</si>
  <si>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</si>
  <si>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</si>
  <si>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</si>
  <si>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</si>
  <si>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</si>
  <si>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</si>
  <si>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</si>
  <si>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</si>
  <si>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</si>
  <si>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</si>
  <si>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</si>
  <si>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</si>
  <si>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</si>
  <si>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</si>
  <si>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</si>
  <si>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</si>
  <si>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</si>
  <si>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</si>
  <si>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</si>
  <si>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</si>
  <si>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</si>
  <si>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</si>
  <si>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</si>
  <si>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</si>
  <si>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</si>
  <si>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</si>
  <si>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</si>
  <si>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</si>
  <si>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</si>
  <si>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</si>
  <si>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</si>
  <si>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</si>
  <si>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</si>
  <si>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</si>
  <si>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</si>
  <si>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</si>
  <si>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</si>
  <si>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</si>
  <si>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</si>
  <si>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</si>
  <si>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</si>
  <si>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</si>
  <si>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</si>
  <si>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</si>
  <si>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</si>
  <si>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</si>
  <si>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</si>
  <si>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</si>
  <si>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</si>
  <si>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</si>
  <si>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</si>
  <si>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</si>
  <si>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</si>
  <si>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</si>
  <si>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</si>
  <si>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</si>
  <si>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</si>
  <si>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</si>
  <si>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</si>
  <si>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</si>
  <si>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</si>
  <si>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</si>
  <si>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</si>
  <si>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</si>
  <si>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</si>
  <si>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</si>
  <si>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</si>
  <si>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</si>
  <si>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</si>
  <si>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</si>
  <si>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</si>
  <si>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</si>
  <si>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</si>
  <si>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</si>
  <si>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</si>
  <si>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</si>
  <si>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</si>
  <si>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</si>
  <si>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</si>
  <si>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</si>
  <si>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</si>
  <si>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</si>
  <si>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</si>
  <si>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</si>
  <si>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</si>
  <si>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</si>
  <si>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</si>
  <si>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</si>
  <si>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</si>
  <si>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</si>
  <si>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</si>
  <si>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</si>
  <si>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</si>
  <si>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</si>
  <si>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</si>
  <si>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</si>
  <si>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</si>
  <si>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</si>
  <si>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</si>
  <si>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</si>
  <si>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</si>
  <si>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</si>
  <si>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</si>
  <si>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</si>
  <si>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</si>
  <si>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</si>
  <si>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</si>
  <si>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</si>
  <si>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</si>
  <si>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</si>
  <si>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</si>
  <si>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</si>
  <si>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</si>
  <si>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</si>
  <si>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</si>
  <si>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</si>
  <si>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</si>
  <si>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</si>
  <si>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</si>
  <si>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</si>
  <si>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</si>
  <si>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</si>
  <si>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</si>
  <si>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</si>
  <si>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</si>
  <si>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</si>
  <si>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</si>
  <si>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</si>
  <si>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</si>
  <si>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</si>
  <si>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</si>
  <si>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</si>
  <si>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</si>
  <si>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</si>
  <si>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</si>
  <si>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</si>
  <si>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</si>
  <si>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</si>
  <si>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</si>
  <si>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</si>
  <si>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</si>
  <si>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</si>
  <si>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</si>
  <si>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</si>
  <si>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</si>
  <si>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</si>
  <si>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</si>
  <si>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</si>
  <si>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</si>
  <si>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</si>
  <si>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</si>
  <si>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</si>
  <si>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</si>
  <si>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</si>
  <si>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</si>
  <si>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</si>
  <si>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</si>
  <si>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</si>
  <si>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</si>
  <si>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</si>
  <si>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</si>
  <si>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</si>
  <si>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</si>
  <si>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</si>
  <si>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</si>
  <si>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</si>
  <si>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</si>
  <si>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</si>
  <si>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</si>
  <si>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</si>
  <si>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</si>
  <si>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</si>
  <si>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</si>
  <si>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</si>
  <si>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</si>
  <si>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</si>
  <si>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</si>
  <si>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</si>
  <si>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</si>
  <si>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</si>
  <si>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</si>
  <si>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</si>
  <si>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</si>
  <si>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</si>
  <si>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</si>
  <si>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</si>
  <si>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</si>
  <si>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</si>
  <si>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</si>
  <si>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</si>
  <si>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</si>
  <si>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</si>
  <si>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</si>
  <si>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</si>
  <si>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</si>
  <si>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</si>
  <si>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</si>
  <si>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</si>
  <si>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</si>
  <si>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</si>
  <si>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</si>
  <si>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</si>
  <si>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</si>
  <si>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</si>
  <si>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</si>
  <si>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</si>
  <si>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</si>
  <si>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</si>
  <si>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</si>
  <si>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</si>
  <si>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</si>
  <si>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</si>
  <si>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</si>
  <si>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</si>
  <si>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</si>
  <si>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</si>
  <si>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</si>
  <si>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</si>
  <si>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</si>
  <si>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</si>
  <si>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</si>
  <si>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</si>
  <si>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</si>
  <si>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</si>
  <si>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</si>
  <si>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</si>
  <si>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</si>
  <si>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</si>
  <si>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</si>
  <si>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</si>
  <si>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</si>
  <si>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</si>
  <si>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</si>
  <si>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</si>
  <si>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</si>
  <si>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</si>
  <si>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</si>
  <si>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</si>
  <si>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</si>
  <si>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</si>
  <si>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</si>
  <si>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</si>
  <si>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</si>
  <si>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</si>
  <si>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</si>
  <si>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</si>
  <si>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</si>
  <si>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</si>
  <si>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</si>
  <si>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</si>
  <si>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</si>
  <si>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</si>
  <si>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</si>
  <si>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</si>
  <si>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</si>
  <si>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</si>
  <si>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</si>
  <si>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</si>
  <si>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</si>
  <si>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</si>
  <si>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</si>
  <si>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</si>
  <si>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</si>
  <si>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</si>
  <si>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</si>
  <si>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</si>
  <si>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</si>
  <si>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</si>
  <si>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</si>
  <si>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</si>
  <si>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</si>
  <si>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</si>
  <si>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</si>
  <si>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</si>
  <si>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</si>
  <si>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</si>
  <si>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</si>
  <si>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</si>
  <si>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</si>
  <si>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</si>
  <si>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</si>
  <si>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</si>
  <si>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</si>
  <si>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</si>
  <si>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</si>
  <si>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</si>
  <si>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</si>
  <si>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</si>
  <si>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</si>
  <si>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</si>
  <si>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</si>
  <si>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</si>
  <si>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</si>
  <si>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</si>
  <si>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</si>
  <si>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</si>
  <si>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</si>
  <si>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</si>
  <si>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</si>
  <si>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</si>
  <si>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</si>
  <si>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</si>
  <si>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</si>
  <si>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</si>
  <si>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</si>
  <si>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</si>
  <si>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</si>
  <si>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</si>
  <si>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</si>
  <si>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</si>
  <si>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</si>
  <si>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</si>
  <si>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</si>
  <si>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</si>
  <si>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</si>
  <si>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</si>
  <si>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</si>
  <si>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</si>
  <si>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</si>
  <si>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</si>
  <si>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</si>
  <si>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</si>
  <si>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</si>
  <si>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</si>
  <si>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</si>
  <si>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</si>
  <si>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</si>
  <si>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</si>
  <si>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</si>
  <si>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</si>
  <si>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</si>
  <si>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</si>
  <si>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</si>
  <si>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</si>
  <si>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</si>
  <si>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</si>
  <si>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</si>
  <si>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</si>
  <si>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</si>
  <si>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</si>
  <si>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</si>
  <si>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</si>
  <si>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</si>
  <si>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</si>
  <si>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</si>
  <si>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</si>
  <si>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</si>
  <si>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</si>
  <si>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</si>
  <si>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</si>
  <si>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</si>
  <si>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</si>
  <si>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</si>
  <si>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</si>
  <si>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</si>
  <si>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</si>
  <si>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</si>
  <si>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</si>
  <si>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</si>
  <si>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</si>
  <si>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</si>
  <si>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</si>
  <si>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</si>
  <si>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</si>
  <si>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</si>
  <si>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</si>
  <si>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</si>
  <si>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</si>
  <si>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</si>
  <si>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</si>
  <si>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</si>
  <si>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</si>
  <si>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</si>
  <si>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</si>
  <si>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</si>
  <si>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</si>
  <si>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</si>
  <si>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</si>
  <si>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</si>
  <si>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</si>
  <si>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</si>
  <si>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</si>
  <si>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</si>
  <si>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</si>
  <si>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</si>
  <si>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</si>
  <si>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</si>
  <si>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</si>
  <si>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</si>
  <si>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</si>
  <si>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</si>
  <si>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</si>
  <si>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</si>
  <si>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</si>
  <si>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</si>
  <si>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</si>
  <si>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</si>
  <si>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</si>
  <si>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</si>
  <si>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</si>
  <si>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</si>
  <si>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</si>
  <si>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</si>
  <si>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</si>
  <si>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</si>
  <si>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</si>
  <si>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</si>
  <si>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</si>
  <si>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</si>
  <si>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</si>
  <si>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</si>
  <si>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</si>
  <si>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</si>
  <si>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</si>
  <si>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</si>
  <si>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</si>
  <si>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</si>
  <si>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</si>
  <si>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</si>
  <si>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</si>
  <si>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</si>
  <si>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</si>
  <si>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</si>
  <si>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</si>
  <si>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</si>
  <si>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</si>
  <si>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</si>
  <si>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</si>
  <si>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</si>
  <si>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</si>
  <si>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</si>
  <si>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</si>
  <si>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</si>
  <si>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</si>
  <si>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</si>
  <si>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</si>
  <si>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</si>
  <si>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</si>
  <si>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</si>
  <si>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</si>
  <si>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</si>
  <si>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</si>
  <si>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</si>
  <si>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</si>
  <si>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</si>
  <si>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</si>
  <si>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</si>
  <si>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</si>
  <si>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</si>
  <si>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</si>
  <si>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</si>
  <si>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</si>
  <si>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</si>
  <si>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</si>
  <si>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</si>
  <si>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</si>
  <si>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</si>
  <si>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</si>
  <si>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</si>
  <si>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</si>
  <si>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</si>
  <si>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</si>
  <si>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</si>
  <si>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</si>
  <si>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</si>
  <si>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</si>
  <si>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</si>
  <si>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</si>
  <si>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</si>
  <si>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</si>
  <si>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</si>
  <si>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</si>
  <si>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</si>
  <si>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</si>
  <si>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</si>
  <si>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</si>
  <si>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</si>
  <si>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</si>
  <si>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</si>
  <si>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</si>
  <si>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</si>
  <si>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</si>
  <si>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</si>
  <si>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</si>
  <si>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</si>
  <si>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</si>
  <si>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</si>
  <si>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</si>
  <si>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</si>
  <si>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</si>
  <si>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</si>
  <si>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</si>
  <si>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</si>
  <si>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</si>
  <si>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</si>
  <si>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</si>
  <si>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</si>
  <si>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</si>
  <si>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</si>
  <si>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</si>
  <si>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</si>
  <si>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</si>
  <si>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</si>
  <si>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</si>
  <si>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</si>
  <si>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</si>
  <si>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</si>
  <si>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</si>
  <si>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</si>
  <si>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</si>
  <si>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</si>
  <si>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</si>
  <si>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</si>
  <si>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</si>
  <si>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</si>
  <si>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</si>
  <si>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</si>
  <si>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</si>
  <si>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</si>
  <si>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</si>
  <si>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</si>
  <si>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</si>
  <si>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</si>
  <si>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</si>
  <si>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</si>
  <si>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</si>
  <si>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</si>
  <si>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</si>
  <si>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</si>
  <si>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</si>
  <si>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</si>
  <si>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</si>
  <si>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</si>
  <si>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</si>
  <si>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</si>
  <si>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</si>
  <si>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</si>
  <si>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</si>
  <si>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</si>
  <si>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</si>
  <si>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</si>
  <si>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</si>
  <si>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</si>
  <si>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</si>
  <si>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</si>
  <si>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</si>
  <si>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</si>
  <si>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</si>
  <si>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</si>
  <si>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</si>
  <si>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</si>
  <si>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</si>
  <si>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</si>
  <si>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</si>
  <si>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</si>
  <si>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</si>
  <si>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</si>
  <si>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</si>
  <si>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</si>
  <si>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</si>
  <si>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</si>
  <si>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</si>
  <si>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</si>
  <si>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</si>
  <si>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</si>
  <si>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</si>
  <si>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</si>
  <si>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</si>
  <si>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</si>
  <si>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</si>
  <si>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</si>
  <si>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</si>
  <si>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</si>
  <si>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</si>
  <si>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</si>
  <si>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</si>
  <si>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</si>
  <si>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</si>
  <si>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</si>
  <si>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</si>
  <si>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</si>
  <si>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</si>
  <si>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</si>
  <si>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</si>
  <si>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</si>
  <si>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</si>
  <si>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</si>
  <si>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</si>
  <si>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</si>
  <si>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</si>
  <si>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</si>
  <si>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</si>
  <si>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</si>
  <si>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</si>
  <si>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</si>
  <si>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</si>
  <si>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</si>
  <si>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</si>
  <si>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</si>
  <si>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</si>
  <si>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</si>
  <si>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</si>
  <si>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</si>
  <si>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</si>
  <si>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</si>
  <si>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</si>
  <si>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</si>
  <si>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</si>
  <si>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</si>
  <si>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</si>
  <si>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</si>
  <si>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</si>
  <si>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</si>
  <si>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</si>
  <si>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</si>
  <si>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</si>
  <si>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</si>
  <si>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</si>
  <si>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</si>
  <si>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</si>
  <si>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</si>
  <si>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</si>
  <si>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</si>
  <si>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</si>
  <si>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</si>
  <si>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</si>
  <si>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</si>
  <si>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</si>
  <si>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</si>
  <si>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</si>
  <si>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</si>
  <si>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</si>
  <si>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</si>
  <si>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</si>
  <si>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</si>
  <si>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</si>
  <si>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</si>
  <si>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</si>
  <si>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</si>
  <si>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</si>
  <si>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</si>
  <si>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</si>
  <si>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</si>
  <si>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</si>
  <si>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</si>
  <si>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</si>
  <si>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</si>
  <si>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</si>
  <si>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</si>
  <si>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</si>
  <si>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</si>
  <si>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</si>
  <si>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</si>
  <si>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</si>
  <si>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</si>
  <si>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</si>
  <si>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</si>
  <si>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</si>
  <si>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</si>
  <si>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</si>
  <si>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</si>
  <si>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</si>
  <si>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</si>
  <si>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</si>
  <si>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</si>
  <si>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</si>
  <si>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</si>
  <si>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</si>
  <si>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</si>
  <si>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</si>
  <si>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</si>
  <si>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</si>
  <si>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</si>
  <si>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</si>
  <si>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</si>
  <si>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</si>
  <si>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</si>
  <si>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</si>
  <si>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</si>
  <si>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</si>
  <si>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</si>
  <si>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</si>
  <si>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</si>
  <si>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</si>
  <si>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</si>
  <si>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</si>
  <si>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</si>
  <si>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</si>
  <si>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</si>
  <si>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</si>
  <si>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</si>
  <si>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</si>
  <si>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</si>
  <si>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</si>
  <si>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</si>
  <si>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</si>
  <si>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</si>
  <si>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</si>
  <si>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</si>
  <si>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</si>
  <si>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</si>
  <si>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</si>
  <si>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</si>
  <si>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</si>
  <si>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</si>
  <si>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</si>
  <si>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</si>
  <si>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</si>
  <si>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</si>
  <si>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</si>
  <si>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</si>
  <si>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</si>
  <si>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</si>
  <si>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</si>
  <si>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</si>
  <si>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</si>
  <si>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</si>
  <si>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</si>
  <si>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</si>
  <si>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</si>
  <si>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</si>
  <si>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</si>
  <si>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</si>
  <si>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</si>
  <si>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</si>
  <si>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</si>
  <si>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</si>
  <si>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</si>
  <si>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</si>
  <si>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</si>
  <si>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</si>
  <si>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</si>
  <si>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</si>
  <si>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</si>
  <si>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</si>
  <si>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</si>
  <si>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</si>
  <si>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</si>
  <si>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</si>
  <si>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</si>
  <si>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</si>
  <si>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</si>
  <si>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</si>
  <si>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</si>
  <si>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</si>
  <si>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</si>
  <si>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</si>
  <si>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</si>
  <si>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</si>
  <si>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</si>
  <si>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</si>
  <si>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</si>
  <si>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</si>
  <si>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</si>
  <si>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</si>
  <si>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</si>
  <si>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</si>
  <si>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</si>
  <si>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</si>
  <si>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</si>
  <si>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</si>
  <si>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</si>
  <si>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</si>
  <si>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</si>
  <si>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</si>
  <si>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</si>
  <si>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</si>
  <si>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</si>
  <si>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</si>
  <si>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</si>
  <si>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</si>
  <si>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</si>
  <si>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</si>
  <si>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</si>
  <si>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</si>
  <si>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</si>
  <si>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</si>
  <si>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</si>
  <si>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</si>
  <si>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</si>
  <si>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</si>
  <si>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</si>
  <si>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</si>
  <si>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</si>
  <si>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</si>
  <si>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</si>
  <si>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</si>
  <si>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</si>
  <si>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</si>
  <si>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</si>
  <si>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</si>
  <si>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</si>
  <si>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</si>
  <si>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</si>
  <si>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</si>
  <si>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</si>
  <si>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</si>
  <si>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</si>
  <si>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</si>
  <si>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</si>
  <si>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</si>
  <si>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</si>
  <si>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</si>
  <si>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</si>
  <si>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</si>
  <si>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</si>
  <si>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</si>
  <si>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</si>
  <si>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</si>
  <si>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</si>
  <si>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</si>
  <si>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</si>
  <si>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</si>
  <si>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</si>
  <si>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</si>
  <si>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</si>
  <si>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</si>
  <si>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</si>
  <si>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</si>
  <si>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</si>
  <si>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</si>
  <si>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</si>
  <si>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</si>
  <si>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</si>
  <si>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</si>
  <si>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</si>
  <si>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</si>
  <si>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</si>
  <si>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</si>
  <si>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</si>
  <si>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</si>
  <si>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</si>
  <si>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</si>
  <si>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</si>
  <si>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</si>
  <si>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</si>
  <si>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</si>
  <si>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</si>
  <si>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</si>
  <si>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</si>
  <si>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</si>
  <si>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</si>
  <si>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</si>
  <si>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</si>
  <si>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</si>
  <si>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</si>
  <si>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</si>
  <si>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</si>
  <si>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</si>
  <si>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</si>
  <si>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</si>
  <si>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</si>
  <si>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</si>
  <si>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</si>
  <si>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</si>
  <si>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</si>
  <si>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</si>
  <si>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</si>
  <si>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</si>
  <si>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</si>
  <si>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</si>
  <si>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</si>
  <si>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</si>
  <si>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</si>
  <si>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</si>
  <si>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</si>
  <si>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</si>
  <si>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</si>
  <si>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</si>
  <si>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</si>
  <si>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</si>
  <si>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</si>
  <si>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</si>
  <si>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</si>
  <si>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</si>
  <si>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</si>
  <si>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</si>
  <si>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</si>
  <si>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</si>
  <si>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</si>
  <si>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</si>
  <si>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</si>
  <si>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</si>
  <si>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</si>
  <si>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</si>
  <si>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</si>
  <si>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</si>
  <si>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</si>
  <si>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</si>
  <si>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</si>
  <si>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</si>
  <si>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</si>
  <si>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</si>
  <si>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</si>
  <si>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</si>
  <si>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</si>
  <si>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</si>
  <si>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</si>
  <si>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</si>
  <si>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</si>
  <si>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</si>
  <si>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</si>
  <si>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</si>
  <si>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</si>
  <si>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</si>
  <si>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</si>
  <si>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</si>
  <si>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</si>
  <si>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</si>
  <si>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</si>
  <si>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</si>
  <si>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</si>
  <si>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</si>
  <si>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</si>
  <si>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</si>
  <si>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</si>
  <si>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</si>
  <si>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</si>
  <si>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</si>
  <si>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</si>
  <si>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</si>
  <si>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</si>
  <si>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</si>
  <si>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</si>
  <si>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</si>
  <si>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</si>
  <si>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</si>
  <si>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</si>
  <si>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</si>
  <si>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</si>
  <si>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</si>
  <si>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</si>
  <si>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</si>
  <si>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</si>
  <si>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</si>
  <si>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</si>
  <si>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</si>
  <si>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</si>
  <si>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</si>
  <si>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</si>
  <si>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</si>
  <si>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</si>
  <si>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</si>
  <si>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</si>
  <si>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</si>
  <si>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</si>
  <si>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</si>
  <si>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</si>
  <si>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</si>
  <si>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</si>
  <si>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</si>
  <si>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</si>
  <si>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</si>
  <si>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</si>
  <si>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</si>
  <si>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</si>
  <si>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</si>
  <si>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</si>
  <si>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</si>
  <si>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</si>
  <si>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</si>
  <si>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</si>
  <si>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</si>
  <si>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</si>
  <si>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</si>
  <si>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</si>
  <si>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</si>
  <si>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</si>
  <si>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</si>
  <si>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</si>
  <si>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</si>
  <si>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</si>
  <si>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</si>
  <si>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</si>
  <si>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</si>
  <si>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</si>
  <si>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</si>
  <si>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</si>
  <si>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</si>
  <si>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</si>
  <si>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</si>
  <si>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</si>
  <si>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</si>
  <si>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</si>
  <si>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</si>
  <si>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</si>
  <si>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</si>
  <si>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</si>
  <si>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</si>
  <si>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</si>
  <si>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</si>
  <si>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</si>
  <si>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</si>
  <si>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</si>
  <si>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</si>
  <si>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</si>
  <si>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</si>
  <si>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</si>
  <si>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</si>
  <si>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</si>
  <si>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</si>
  <si>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</si>
  <si>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</si>
  <si>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</si>
  <si>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</si>
  <si>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</si>
  <si>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</si>
  <si>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</si>
  <si>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</si>
  <si>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</si>
  <si>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</si>
  <si>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</si>
  <si>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</si>
  <si>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</si>
  <si>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</si>
  <si>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</si>
  <si>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</si>
  <si>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</si>
  <si>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</si>
  <si>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</si>
  <si>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</si>
  <si>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</si>
  <si>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</si>
  <si>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</si>
  <si>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</si>
  <si>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</si>
  <si>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</si>
  <si>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</si>
  <si>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</si>
  <si>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</si>
  <si>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</si>
  <si>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</si>
  <si>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</si>
  <si>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</si>
  <si>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</si>
  <si>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</si>
  <si>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</si>
  <si>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</si>
  <si>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</si>
  <si>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</si>
  <si>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</si>
  <si>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</si>
  <si>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</si>
  <si>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</si>
  <si>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</si>
  <si>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</si>
  <si>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</si>
  <si>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</si>
  <si>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</si>
  <si>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</si>
  <si>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</si>
  <si>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</si>
  <si>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</si>
  <si>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</si>
  <si>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</si>
  <si>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</si>
  <si>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</si>
  <si>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</si>
  <si>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</si>
  <si>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</si>
  <si>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</si>
  <si>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</si>
  <si>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</si>
  <si>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</si>
  <si>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</si>
  <si>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</si>
  <si>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</si>
  <si>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</si>
  <si>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</si>
  <si>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</si>
  <si>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</si>
  <si>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</si>
  <si>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</si>
  <si>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</si>
  <si>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</si>
  <si>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</si>
  <si>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</si>
  <si>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</si>
  <si>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</si>
  <si>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</si>
  <si>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</si>
  <si>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</si>
  <si>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</si>
  <si>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</si>
  <si>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</si>
  <si>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</si>
  <si>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</si>
  <si>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</si>
  <si>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</si>
  <si>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</si>
  <si>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</si>
  <si>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</si>
  <si>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</si>
  <si>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</si>
  <si>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</si>
  <si>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</si>
  <si>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</si>
  <si>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</si>
  <si>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</si>
  <si>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</si>
  <si>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</si>
  <si>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</si>
  <si>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</si>
  <si>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</si>
  <si>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</si>
  <si>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</si>
  <si>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</si>
  <si>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</si>
  <si>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</si>
  <si>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</si>
  <si>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</si>
  <si>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</si>
  <si>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</si>
  <si>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</si>
  <si>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</si>
  <si>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</si>
  <si>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</si>
  <si>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</si>
  <si>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</si>
  <si>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</si>
  <si>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</si>
  <si>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</si>
  <si>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</si>
  <si>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</si>
  <si>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</si>
  <si>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</si>
  <si>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</si>
  <si>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</si>
  <si>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</si>
  <si>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</si>
  <si>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</si>
  <si>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</si>
  <si>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</si>
  <si>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</si>
  <si>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</si>
  <si>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</si>
  <si>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</si>
  <si>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</si>
  <si>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</si>
  <si>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</si>
  <si>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</si>
  <si>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</si>
  <si>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</si>
  <si>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</si>
  <si>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</si>
  <si>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</si>
  <si>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</si>
  <si>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</si>
  <si>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</si>
  <si>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</si>
  <si>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</si>
  <si>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</si>
  <si>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</si>
  <si>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</si>
  <si>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</si>
  <si>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</si>
  <si>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</si>
  <si>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</si>
  <si>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</si>
  <si>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</si>
  <si>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</si>
  <si>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</si>
  <si>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</si>
  <si>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</si>
  <si>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</si>
  <si>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</si>
  <si>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</si>
  <si>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</si>
  <si>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</si>
  <si>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</si>
  <si>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</si>
  <si>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</si>
  <si>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</si>
  <si>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</si>
  <si>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</si>
  <si>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</si>
  <si>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</si>
  <si>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</si>
  <si>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</si>
  <si>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</si>
  <si>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</si>
  <si>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</si>
  <si>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</si>
  <si>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</si>
  <si>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</si>
  <si>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</si>
  <si>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</si>
  <si>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</si>
  <si>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</si>
  <si>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</si>
  <si>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</si>
  <si>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</si>
  <si>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</si>
  <si>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</si>
  <si>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</si>
  <si>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</si>
  <si>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</si>
  <si>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</si>
  <si>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</si>
  <si>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</si>
  <si>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</si>
  <si>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</si>
  <si>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</si>
  <si>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</si>
  <si>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</si>
  <si>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</si>
  <si>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</si>
  <si>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</si>
  <si>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</si>
  <si>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</si>
  <si>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</si>
  <si>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</si>
  <si>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</si>
  <si>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</si>
  <si>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</si>
  <si>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</si>
  <si>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</si>
  <si>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</si>
  <si>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</si>
  <si>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</si>
  <si>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</si>
  <si>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</si>
  <si>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</si>
  <si>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</si>
  <si>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</si>
  <si>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</si>
  <si>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</si>
  <si>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</si>
  <si>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</si>
  <si>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</si>
  <si>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</si>
  <si>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</si>
  <si>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</si>
  <si>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</si>
  <si>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</si>
  <si>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</si>
  <si>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</si>
  <si>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</si>
  <si>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</si>
  <si>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</si>
  <si>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</si>
  <si>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</si>
  <si>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</si>
  <si>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</si>
  <si>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</si>
  <si>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</si>
  <si>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</si>
  <si>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</si>
  <si>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</si>
  <si>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</si>
  <si>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</si>
  <si>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</si>
  <si>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</si>
  <si>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</si>
  <si>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</si>
  <si>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</si>
  <si>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</si>
  <si>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</si>
  <si>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</si>
  <si>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</si>
  <si>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</si>
  <si>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</si>
  <si>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</si>
  <si>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</si>
  <si>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</si>
  <si>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</si>
  <si>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</si>
  <si>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</si>
  <si>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</si>
  <si>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</si>
  <si>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</si>
  <si>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</si>
  <si>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</si>
  <si>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</si>
  <si>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</si>
  <si>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</si>
  <si>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</si>
  <si>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</si>
  <si>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</si>
  <si>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</si>
  <si>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</si>
  <si>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</si>
  <si>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</si>
  <si>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</si>
  <si>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</si>
  <si>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</si>
  <si>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</si>
  <si>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</si>
  <si>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</si>
  <si>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</si>
  <si>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</si>
  <si>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</si>
  <si>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</si>
  <si>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</si>
  <si>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</si>
  <si>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</si>
  <si>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</si>
  <si>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</si>
  <si>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</si>
  <si>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</si>
  <si>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</si>
  <si>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</si>
  <si>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</si>
  <si>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</si>
  <si>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</si>
  <si>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</si>
  <si>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</si>
  <si>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</si>
  <si>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</si>
  <si>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</si>
  <si>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</si>
  <si>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</si>
  <si>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</si>
  <si>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</si>
  <si>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</si>
  <si>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</si>
  <si>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</si>
  <si>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</si>
  <si>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</si>
  <si>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</si>
  <si>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</si>
  <si>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</si>
  <si>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</si>
  <si>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</si>
  <si>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</si>
  <si>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</si>
  <si>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</si>
  <si>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</si>
  <si>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</si>
  <si>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</si>
  <si>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</si>
  <si>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</si>
  <si>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</si>
  <si>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</si>
  <si>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</si>
  <si>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</si>
  <si>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</si>
  <si>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</si>
  <si>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</si>
  <si>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</si>
  <si>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</si>
  <si>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</si>
  <si>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</si>
  <si>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</si>
  <si>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</si>
  <si>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</si>
  <si>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</si>
  <si>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</si>
  <si>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</si>
  <si>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</si>
  <si>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</si>
  <si>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</si>
  <si>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</si>
  <si>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</si>
  <si>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</si>
  <si>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</si>
  <si>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</si>
  <si>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</si>
  <si>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</si>
  <si>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</si>
  <si>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</si>
  <si>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</si>
  <si>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</si>
  <si>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</si>
  <si>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</si>
  <si>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</si>
  <si>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</si>
  <si>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</si>
  <si>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</si>
  <si>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</si>
  <si>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</si>
  <si>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</si>
  <si>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</si>
  <si>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</si>
  <si>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</si>
  <si>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</si>
  <si>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</si>
  <si>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</si>
  <si>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</si>
  <si>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</si>
  <si>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</si>
  <si>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</si>
  <si>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</si>
  <si>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</si>
  <si>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</si>
  <si>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</si>
  <si>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</si>
  <si>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</si>
  <si>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</si>
  <si>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</si>
  <si>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</si>
  <si>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</si>
  <si>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</si>
  <si>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</si>
  <si>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</si>
  <si>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</si>
  <si>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</si>
  <si>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</si>
  <si>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</si>
  <si>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</si>
  <si>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</si>
  <si>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</si>
  <si>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</si>
  <si>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</si>
  <si>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</si>
  <si>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</si>
  <si>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</si>
  <si>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</si>
  <si>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</si>
  <si>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</si>
  <si>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</si>
  <si>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</si>
  <si>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</si>
  <si>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</si>
  <si>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</si>
  <si>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</si>
  <si>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</si>
  <si>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</si>
  <si>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</si>
  <si>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</si>
  <si>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</si>
  <si>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</si>
  <si>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</si>
  <si>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</si>
  <si>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</si>
  <si>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</si>
  <si>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</si>
  <si>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</si>
  <si>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</si>
  <si>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</si>
  <si>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</si>
  <si>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</si>
  <si>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</si>
  <si>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</si>
  <si>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</si>
  <si>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</si>
  <si>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</si>
  <si>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</si>
  <si>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</si>
  <si>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</si>
  <si>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</si>
  <si>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</si>
  <si>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</si>
  <si>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</si>
  <si>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</si>
  <si>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</si>
  <si>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</si>
  <si>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</si>
  <si>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</si>
  <si>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</si>
  <si>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</si>
  <si>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</si>
  <si>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</si>
  <si>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</si>
  <si>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</si>
  <si>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</si>
  <si>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</si>
  <si>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</si>
  <si>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</si>
  <si>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</si>
  <si>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</si>
  <si>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</si>
  <si>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</si>
  <si>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</si>
  <si>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</si>
  <si>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</si>
  <si>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</si>
  <si>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</si>
  <si>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</si>
  <si>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</si>
  <si>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</si>
  <si>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</si>
  <si>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</si>
  <si>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</si>
  <si>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</si>
  <si>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</si>
  <si>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</si>
  <si>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</si>
  <si>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</si>
  <si>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</si>
  <si>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</si>
  <si>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</si>
  <si>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</si>
  <si>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</si>
  <si>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</si>
  <si>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</si>
  <si>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</si>
  <si>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</si>
  <si>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</si>
  <si>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</si>
  <si>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</si>
  <si>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</si>
  <si>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</si>
  <si>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</si>
  <si>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</si>
  <si>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</si>
  <si>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</si>
  <si>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</si>
  <si>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</si>
  <si>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</si>
  <si>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</si>
  <si>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</si>
  <si>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</si>
  <si>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</si>
  <si>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</si>
  <si>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</si>
  <si>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</si>
  <si>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</si>
  <si>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</si>
  <si>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</si>
  <si>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</si>
  <si>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</si>
  <si>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</si>
  <si>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</si>
  <si>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</si>
  <si>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</si>
  <si>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</si>
  <si>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</si>
  <si>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</si>
  <si>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</si>
  <si>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</si>
  <si>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</si>
  <si>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</si>
  <si>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</si>
  <si>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</si>
  <si>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</si>
  <si>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</si>
  <si>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</si>
  <si>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</si>
  <si>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</si>
  <si>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</si>
  <si>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</si>
  <si>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</si>
  <si>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</si>
  <si>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</si>
  <si>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</si>
  <si>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</si>
  <si>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</si>
  <si>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</si>
  <si>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</si>
  <si>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</si>
  <si>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</si>
  <si>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</si>
  <si>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</si>
  <si>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</si>
  <si>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</si>
  <si>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</si>
  <si>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</si>
  <si>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</si>
  <si>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</si>
  <si>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</si>
  <si>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</si>
  <si>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</si>
  <si>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</si>
  <si>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</si>
  <si>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</si>
  <si>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</si>
  <si>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</si>
  <si>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</si>
  <si>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</si>
  <si>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</si>
  <si>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</si>
  <si>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</si>
  <si>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</si>
  <si>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</si>
  <si>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</si>
  <si>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</si>
  <si>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</si>
  <si>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</si>
  <si>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</si>
  <si>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</si>
  <si>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</si>
  <si>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</si>
  <si>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</si>
  <si>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</si>
  <si>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</si>
  <si>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</si>
  <si>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</si>
  <si>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</si>
  <si>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</si>
  <si>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</si>
  <si>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</si>
  <si>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</si>
  <si>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</si>
  <si>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</si>
  <si>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</si>
  <si>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</si>
  <si>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</si>
  <si>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</si>
  <si>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</si>
  <si>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</si>
  <si>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</si>
  <si>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</si>
  <si>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</si>
  <si>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</si>
  <si>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</si>
  <si>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</si>
  <si>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</si>
  <si>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</si>
  <si>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</si>
  <si>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</si>
  <si>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</si>
  <si>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</si>
  <si>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</si>
  <si>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</si>
  <si>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</si>
  <si>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</si>
  <si>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</si>
  <si>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</si>
  <si>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</si>
  <si>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</si>
  <si>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</si>
  <si>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</si>
  <si>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</si>
  <si>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</si>
  <si>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</si>
  <si>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</si>
  <si>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</si>
  <si>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</si>
  <si>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</si>
  <si>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</si>
  <si>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</si>
  <si>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</si>
  <si>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</si>
  <si>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</si>
  <si>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</si>
  <si>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</si>
  <si>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</si>
  <si>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</si>
  <si>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</si>
  <si>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</si>
  <si>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</si>
  <si>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</si>
  <si>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</si>
  <si>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</si>
  <si>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</si>
  <si>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</si>
  <si>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</si>
  <si>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</si>
  <si>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</si>
  <si>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</si>
  <si>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</si>
  <si>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</si>
  <si>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</si>
  <si>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</si>
  <si>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</si>
  <si>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</si>
  <si>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</si>
  <si>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</si>
  <si>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</si>
  <si>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</si>
  <si>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</si>
  <si>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</si>
  <si>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</si>
  <si>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</si>
  <si>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</si>
  <si>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</si>
  <si>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</si>
  <si>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</si>
  <si>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</si>
  <si>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</si>
  <si>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</si>
  <si>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</si>
  <si>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</si>
  <si>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</si>
  <si>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</si>
  <si>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</si>
  <si>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</si>
  <si>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</si>
  <si>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</si>
  <si>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</si>
  <si>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</si>
  <si>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</si>
  <si>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</si>
  <si>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</si>
  <si>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</si>
  <si>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</si>
  <si>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</si>
  <si>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</si>
  <si>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</si>
  <si>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</si>
  <si>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</si>
  <si>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</si>
  <si>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</si>
  <si>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</si>
  <si>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</si>
  <si>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</si>
  <si>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</si>
  <si>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</si>
  <si>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</si>
  <si>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</si>
  <si>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</si>
  <si>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</si>
  <si>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</si>
  <si>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</si>
  <si>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</si>
  <si>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</si>
  <si>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</si>
  <si>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</si>
  <si>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</si>
  <si>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</si>
  <si>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</si>
  <si>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</si>
  <si>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</si>
  <si>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</si>
  <si>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</si>
  <si>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</si>
  <si>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</si>
  <si>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</si>
  <si>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</si>
  <si>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</si>
  <si>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</si>
  <si>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</si>
  <si>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</si>
  <si>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</si>
  <si>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</si>
  <si>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</si>
  <si>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</si>
  <si>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</si>
  <si>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</si>
  <si>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</si>
  <si>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</si>
  <si>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</si>
  <si>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</si>
  <si>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</si>
  <si>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</si>
  <si>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</si>
  <si>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</si>
  <si>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</si>
  <si>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</si>
  <si>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</si>
  <si>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</si>
  <si>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</si>
  <si>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</si>
  <si>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</si>
  <si>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</si>
  <si>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</si>
  <si>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</si>
  <si>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</si>
  <si>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</si>
  <si>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</si>
  <si>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</si>
  <si>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</si>
  <si>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</si>
  <si>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</si>
  <si>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</si>
  <si>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</si>
  <si>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</si>
  <si>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</si>
  <si>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</si>
  <si>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</si>
  <si>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</si>
  <si>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</si>
  <si>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</si>
  <si>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</si>
  <si>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</si>
  <si>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</si>
  <si>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</si>
  <si>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</si>
  <si>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</si>
  <si>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</si>
  <si>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</si>
  <si>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</si>
  <si>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</si>
  <si>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</si>
  <si>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</si>
  <si>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</si>
  <si>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</si>
  <si>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</si>
  <si>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</si>
  <si>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</si>
  <si>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</si>
  <si>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</si>
  <si>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</si>
  <si>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</si>
  <si>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</si>
  <si>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</si>
  <si>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</si>
  <si>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</si>
  <si>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</si>
  <si>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</si>
  <si>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</si>
  <si>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</si>
  <si>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</si>
  <si>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</si>
  <si>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</si>
  <si>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</si>
  <si>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</si>
  <si>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</si>
  <si>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</si>
  <si>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</si>
  <si>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</si>
  <si>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</si>
  <si>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</si>
  <si>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</si>
  <si>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</si>
  <si>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</si>
  <si>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</si>
  <si>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</si>
  <si>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</si>
  <si>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</si>
  <si>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</si>
  <si>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</si>
  <si>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</si>
  <si>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</si>
  <si>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</si>
  <si>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</si>
  <si>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</si>
  <si>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</si>
  <si>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</si>
  <si>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</si>
  <si>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</si>
  <si>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</si>
  <si>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</si>
  <si>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</si>
  <si>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</si>
  <si>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</si>
  <si>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</si>
  <si>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</si>
  <si>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</si>
  <si>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</si>
  <si>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</si>
  <si>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</si>
  <si>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</si>
  <si>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</si>
  <si>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</si>
  <si>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</si>
  <si>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</si>
  <si>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</si>
  <si>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</si>
  <si>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</si>
  <si>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</si>
  <si>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</si>
  <si>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</si>
  <si>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</si>
  <si>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</si>
  <si>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</si>
  <si>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</si>
  <si>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</si>
  <si>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</si>
  <si>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</si>
  <si>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</si>
  <si>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</si>
  <si>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</si>
  <si>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</si>
  <si>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</si>
  <si>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</si>
  <si>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</si>
  <si>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</si>
  <si>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</si>
  <si>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</si>
  <si>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</si>
  <si>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</si>
  <si>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</si>
  <si>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</si>
  <si>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</si>
  <si>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</si>
  <si>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</si>
  <si>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</si>
  <si>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</si>
  <si>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</si>
  <si>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</si>
  <si>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</si>
  <si>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</si>
  <si>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</si>
  <si>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</si>
  <si>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</si>
  <si>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</si>
  <si>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</si>
  <si>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</si>
  <si>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</si>
  <si>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</si>
  <si>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</si>
  <si>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</si>
  <si>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</si>
  <si>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</si>
  <si>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</si>
  <si>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</si>
  <si>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</si>
  <si>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</si>
  <si>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</si>
  <si>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</si>
  <si>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</si>
  <si>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</si>
  <si>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</si>
  <si>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</si>
  <si>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</si>
  <si>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</si>
  <si>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</si>
  <si>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</si>
  <si>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</si>
  <si>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</si>
  <si>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</si>
  <si>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</si>
  <si>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</si>
  <si>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</si>
  <si>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</si>
  <si>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</si>
  <si>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</si>
  <si>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</si>
  <si>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</si>
  <si>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</si>
  <si>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</si>
  <si>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</si>
  <si>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</si>
  <si>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</si>
  <si>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</si>
  <si>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</si>
  <si>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</si>
  <si>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</si>
  <si>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</si>
  <si>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</si>
  <si>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</si>
  <si>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</si>
  <si>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</si>
  <si>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</si>
  <si>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</si>
  <si>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</si>
  <si>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</si>
  <si>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</si>
  <si>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</si>
  <si>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</si>
  <si>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</si>
  <si>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</si>
  <si>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</si>
  <si>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</si>
  <si>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</si>
  <si>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</si>
  <si>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</si>
  <si>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</si>
  <si>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</si>
  <si>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</si>
  <si>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</si>
  <si>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</si>
  <si>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</si>
  <si>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</si>
  <si>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</si>
  <si>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</si>
  <si>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</si>
  <si>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</si>
  <si>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</si>
  <si>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</si>
  <si>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</si>
  <si>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</si>
  <si>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</si>
  <si>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</si>
  <si>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</si>
  <si>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</si>
  <si>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</si>
  <si>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</si>
  <si>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</si>
  <si>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</si>
  <si>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</si>
  <si>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</si>
  <si>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</si>
  <si>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</si>
  <si>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</si>
  <si>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</si>
  <si>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</si>
  <si>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</si>
  <si>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</si>
  <si>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</si>
  <si>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</si>
  <si>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</si>
  <si>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</si>
  <si>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</si>
  <si>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</si>
  <si>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</si>
  <si>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</si>
  <si>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</si>
  <si>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</si>
  <si>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</si>
  <si>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</si>
  <si>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</si>
  <si>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</si>
  <si>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</si>
  <si>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</si>
  <si>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</si>
  <si>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</si>
  <si>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</si>
  <si>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</si>
  <si>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</si>
  <si>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</si>
  <si>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</si>
  <si>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</si>
  <si>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</si>
  <si>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</si>
  <si>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</si>
  <si>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</si>
  <si>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</si>
  <si>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</si>
  <si>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</si>
  <si>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</si>
  <si>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</si>
  <si>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</si>
  <si>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</si>
  <si>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</si>
  <si>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</si>
  <si>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</si>
  <si>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</si>
  <si>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</si>
  <si>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</si>
  <si>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</si>
  <si>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</si>
  <si>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</si>
  <si>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</si>
  <si>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</si>
  <si>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</si>
  <si>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</si>
  <si>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</si>
  <si>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</si>
  <si>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</si>
  <si>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</si>
  <si>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</si>
  <si>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</si>
  <si>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</si>
  <si>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</si>
  <si>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</si>
  <si>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</si>
  <si>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</si>
  <si>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</si>
  <si>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</si>
  <si>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</si>
  <si>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</si>
  <si>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</si>
  <si>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</si>
  <si>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</si>
  <si>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</si>
  <si>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</si>
  <si>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</si>
  <si>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</si>
  <si>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</si>
  <si>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</si>
  <si>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</si>
  <si>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</si>
  <si>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</si>
  <si>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</si>
  <si>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</si>
  <si>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</si>
  <si>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</si>
  <si>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</si>
  <si>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</si>
  <si>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</si>
  <si>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</si>
  <si>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</si>
  <si>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</si>
  <si>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</si>
  <si>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</si>
  <si>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</si>
  <si>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</si>
  <si>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</si>
  <si>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</si>
  <si>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</si>
  <si>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</si>
  <si>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</si>
  <si>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</si>
  <si>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</si>
  <si>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</si>
  <si>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</si>
  <si>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</si>
  <si>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</si>
  <si>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</si>
  <si>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</si>
  <si>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</si>
  <si>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</si>
  <si>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</si>
  <si>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</si>
  <si>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</si>
  <si>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</si>
  <si>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</si>
  <si>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</si>
  <si>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</si>
  <si>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</si>
  <si>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</si>
  <si>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</si>
  <si>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</si>
  <si>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</si>
  <si>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</si>
  <si>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</si>
  <si>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</si>
  <si>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</si>
  <si>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</si>
  <si>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</si>
  <si>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</si>
  <si>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</si>
  <si>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</si>
  <si>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</si>
  <si>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</si>
  <si>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</si>
  <si>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</si>
  <si>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</si>
  <si>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</si>
  <si>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</si>
  <si>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</si>
  <si>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</si>
  <si>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</si>
  <si>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</si>
  <si>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</si>
  <si>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</si>
  <si>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</si>
  <si>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</si>
  <si>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</si>
  <si>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</si>
  <si>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</si>
  <si>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</si>
  <si>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</si>
  <si>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</si>
  <si>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</si>
  <si>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</si>
  <si>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</si>
  <si>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</si>
  <si>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</si>
  <si>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</si>
  <si>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</si>
  <si>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</si>
  <si>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</si>
  <si>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</si>
  <si>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</si>
  <si>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</si>
  <si>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</si>
  <si>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</si>
  <si>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</si>
  <si>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</si>
  <si>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</si>
  <si>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</si>
  <si>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</si>
  <si>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</si>
  <si>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</si>
  <si>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</si>
  <si>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</si>
  <si>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</si>
  <si>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</si>
  <si>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</si>
  <si>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</si>
  <si>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</si>
  <si>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</si>
  <si>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</si>
  <si>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</si>
  <si>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</si>
  <si>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</si>
  <si>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</si>
  <si>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</si>
  <si>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</si>
  <si>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</si>
  <si>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</si>
  <si>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</si>
  <si>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</si>
  <si>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</si>
  <si>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</si>
  <si>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</si>
  <si>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</si>
  <si>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</si>
  <si>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</si>
  <si>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</si>
  <si>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</si>
  <si>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</si>
  <si>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</si>
  <si>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</si>
  <si>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</si>
  <si>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</si>
  <si>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</si>
  <si>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</si>
  <si>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</si>
  <si>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</si>
  <si>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</si>
  <si>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</si>
  <si>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</si>
  <si>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</si>
  <si>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</si>
  <si>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</si>
  <si>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</si>
  <si>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</si>
  <si>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</si>
  <si>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</si>
  <si>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</si>
  <si>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</si>
  <si>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</si>
  <si>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</si>
  <si>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</si>
  <si>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</si>
  <si>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</si>
  <si>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</si>
  <si>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</si>
  <si>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</si>
  <si>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</si>
  <si>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</si>
  <si>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</si>
  <si>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</si>
  <si>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</si>
  <si>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</si>
  <si>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</si>
  <si>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</si>
  <si>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</si>
  <si>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</si>
  <si>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</si>
  <si>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</si>
  <si>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</si>
  <si>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</si>
  <si>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</si>
  <si>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</si>
  <si>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</si>
  <si>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</si>
  <si>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</si>
  <si>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</si>
  <si>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</si>
  <si>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</si>
  <si>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</si>
  <si>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</si>
  <si>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</si>
  <si>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</si>
  <si>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</si>
  <si>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</si>
  <si>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</si>
  <si>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</si>
  <si>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</si>
  <si>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</si>
  <si>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</si>
  <si>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</si>
  <si>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</si>
  <si>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</si>
  <si>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</si>
  <si>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</si>
  <si>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</si>
  <si>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</si>
  <si>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</si>
  <si>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</si>
  <si>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</si>
  <si>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</si>
  <si>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</si>
  <si>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</si>
  <si>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</si>
  <si>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</si>
  <si>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</si>
  <si>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</si>
  <si>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</si>
  <si>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</si>
  <si>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</si>
  <si>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</si>
  <si>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</si>
  <si>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</si>
  <si>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</si>
  <si>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</si>
  <si>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</si>
  <si>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</si>
  <si>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</si>
  <si>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</si>
  <si>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</si>
  <si>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</si>
  <si>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</si>
  <si>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</si>
  <si>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</si>
  <si>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</si>
  <si>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</si>
  <si>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</si>
  <si>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</si>
  <si>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</si>
  <si>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</si>
  <si>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</si>
  <si>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</si>
  <si>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</si>
  <si>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</si>
  <si>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</si>
  <si>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</si>
  <si>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</si>
  <si>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</si>
  <si>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</si>
  <si>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</si>
  <si>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</si>
  <si>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</si>
  <si>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</si>
  <si>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</si>
  <si>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</si>
  <si>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</si>
  <si>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</si>
  <si>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</si>
  <si>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</si>
  <si>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</si>
  <si>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</si>
  <si>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</si>
  <si>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</si>
  <si>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</si>
  <si>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</si>
  <si>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</si>
  <si>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</si>
  <si>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</si>
  <si>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</si>
  <si>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</si>
  <si>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</si>
  <si>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</si>
  <si>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</si>
  <si>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</si>
  <si>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</si>
  <si>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</si>
  <si>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</si>
  <si>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</si>
  <si>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</si>
  <si>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</si>
  <si>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</si>
  <si>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</si>
  <si>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</si>
  <si>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</si>
  <si>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</si>
  <si>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</si>
  <si>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</si>
  <si>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</si>
  <si>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</si>
  <si>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</si>
  <si>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</si>
  <si>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</si>
  <si>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</si>
  <si>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</si>
  <si>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</si>
  <si>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</si>
  <si>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</si>
  <si>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</si>
  <si>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</si>
  <si>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</si>
  <si>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</si>
  <si>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</si>
  <si>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</si>
  <si>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</si>
  <si>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</si>
  <si>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</si>
  <si>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</si>
  <si>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</si>
  <si>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</si>
  <si>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</si>
  <si>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</si>
  <si>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</si>
  <si>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</si>
  <si>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</si>
  <si>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</si>
  <si>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</si>
  <si>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</si>
  <si>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</si>
  <si>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</si>
  <si>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</si>
  <si>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</si>
  <si>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</si>
  <si>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</si>
  <si>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</si>
  <si>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</si>
  <si>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</si>
  <si>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</si>
  <si>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</si>
  <si>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</si>
  <si>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</si>
  <si>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</si>
  <si>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</si>
  <si>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</si>
  <si>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</si>
  <si>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</si>
  <si>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</si>
  <si>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</si>
  <si>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</si>
  <si>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</si>
  <si>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</si>
  <si>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</si>
  <si>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</si>
  <si>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</si>
  <si>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</si>
  <si>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</si>
  <si>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</si>
  <si>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</si>
  <si>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</si>
  <si>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</si>
  <si>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</si>
  <si>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</si>
  <si>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</si>
  <si>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</si>
  <si>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</si>
  <si>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</si>
  <si>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</si>
  <si>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</si>
  <si>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</si>
  <si>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</si>
  <si>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</si>
  <si>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</si>
  <si>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</si>
  <si>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</si>
  <si>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</si>
  <si>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</si>
  <si>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</si>
  <si>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</si>
  <si>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</si>
  <si>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</si>
  <si>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</si>
  <si>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</si>
  <si>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</si>
  <si>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</si>
  <si>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</si>
  <si>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</si>
  <si>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</si>
  <si>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</si>
  <si>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</si>
  <si>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</si>
  <si>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</si>
  <si>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</si>
  <si>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</si>
  <si>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</si>
  <si>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</si>
  <si>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</si>
  <si>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</si>
  <si>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</si>
  <si>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</si>
  <si>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</si>
  <si>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</si>
  <si>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</si>
  <si>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</si>
  <si>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</si>
  <si>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</si>
  <si>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</si>
  <si>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</si>
  <si>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</si>
  <si>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</si>
  <si>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</si>
  <si>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</si>
  <si>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</si>
  <si>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</si>
  <si>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</si>
  <si>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</si>
  <si>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</si>
  <si>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</si>
  <si>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</si>
  <si>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</si>
  <si>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</si>
  <si>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</si>
  <si>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</si>
  <si>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</si>
  <si>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</si>
  <si>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</si>
  <si>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</si>
  <si>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</si>
  <si>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</si>
  <si>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</si>
  <si>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</si>
  <si>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</si>
  <si>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</si>
  <si>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</si>
  <si>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</si>
  <si>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</si>
  <si>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</si>
  <si>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</si>
  <si>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</si>
  <si>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</si>
  <si>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</si>
  <si>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</si>
  <si>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</si>
  <si>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</si>
  <si>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</si>
  <si>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</si>
  <si>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</si>
  <si>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</si>
  <si>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</si>
  <si>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</si>
  <si>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</si>
  <si>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</si>
  <si>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</si>
  <si>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</si>
  <si>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</si>
  <si>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</si>
  <si>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</si>
  <si>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</si>
  <si>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</si>
  <si>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</si>
  <si>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</si>
  <si>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</si>
  <si>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</si>
  <si>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</si>
  <si>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</si>
  <si>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</si>
  <si>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</si>
  <si>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</si>
  <si>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</si>
  <si>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</si>
  <si>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</si>
  <si>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</si>
  <si>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</si>
  <si>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</si>
  <si>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</si>
  <si>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</si>
  <si>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</si>
  <si>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</si>
  <si>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</si>
  <si>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</si>
  <si>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</si>
  <si>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</si>
  <si>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</si>
  <si>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</si>
  <si>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</si>
  <si>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</si>
  <si>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</si>
  <si>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</si>
  <si>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</si>
  <si>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</si>
  <si>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</si>
  <si>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</si>
  <si>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</si>
  <si>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</si>
  <si>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</si>
  <si>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</si>
  <si>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</si>
  <si>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</si>
  <si>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</si>
  <si>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</si>
  <si>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</si>
  <si>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</si>
  <si>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</si>
  <si>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</si>
  <si>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</si>
  <si>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</si>
  <si>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</si>
  <si>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</si>
  <si>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</si>
  <si>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</si>
  <si>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</si>
  <si>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</si>
  <si>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</si>
  <si>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</si>
  <si>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</si>
  <si>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</si>
  <si>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</si>
  <si>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</si>
  <si>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</si>
  <si>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</si>
  <si>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</si>
  <si>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</si>
  <si>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</si>
  <si>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</si>
  <si>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</si>
  <si>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</si>
  <si>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</si>
  <si>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</si>
  <si>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</si>
  <si>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</si>
  <si>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</si>
  <si>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</si>
  <si>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</si>
  <si>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</si>
  <si>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</si>
  <si>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</si>
  <si>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</si>
  <si>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</si>
  <si>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</si>
  <si>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</si>
  <si>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</si>
  <si>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</si>
  <si>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</si>
  <si>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</si>
  <si>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</si>
  <si>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</si>
  <si>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</si>
  <si>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</si>
  <si>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</si>
  <si>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</si>
  <si>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</si>
  <si>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</si>
  <si>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</si>
  <si>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</si>
  <si>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</si>
  <si>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</si>
  <si>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</si>
  <si>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</si>
  <si>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</si>
  <si>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</si>
  <si>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</si>
  <si>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</si>
  <si>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</si>
  <si>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</si>
  <si>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</si>
  <si>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</si>
  <si>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</si>
  <si>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</si>
  <si>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</si>
  <si>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</si>
  <si>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</si>
  <si>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</si>
  <si>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</si>
  <si>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</si>
  <si>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</si>
  <si>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</si>
  <si>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</si>
  <si>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</si>
  <si>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</si>
  <si>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</si>
  <si>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</si>
  <si>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</si>
  <si>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</si>
  <si>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</si>
  <si>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</si>
  <si>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</si>
  <si>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</si>
  <si>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</si>
  <si>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</si>
  <si>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</si>
  <si>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</si>
  <si>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</si>
  <si>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</si>
  <si>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</si>
  <si>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</si>
  <si>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</si>
  <si>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</si>
  <si>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</si>
  <si>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</si>
  <si>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</si>
  <si>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</si>
  <si>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</si>
  <si>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</si>
  <si>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</si>
  <si>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</si>
  <si>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</si>
  <si>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</si>
  <si>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</si>
  <si>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</si>
  <si>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</si>
  <si>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</si>
  <si>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</si>
  <si>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</si>
  <si>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</si>
  <si>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</si>
  <si>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</si>
  <si>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</si>
  <si>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</si>
  <si>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</si>
  <si>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</si>
  <si>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</si>
  <si>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</si>
  <si>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</si>
  <si>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</si>
  <si>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</si>
  <si>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</si>
  <si>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</si>
  <si>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</si>
  <si>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</si>
  <si>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</si>
  <si>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</si>
  <si>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</si>
  <si>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</si>
  <si>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</si>
  <si>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</si>
  <si>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</si>
  <si>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</si>
  <si>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</si>
  <si>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</si>
  <si>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</si>
  <si>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</si>
  <si>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</si>
  <si>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</si>
  <si>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</si>
  <si>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</si>
  <si>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</si>
  <si>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</si>
  <si>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</si>
  <si>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</si>
  <si>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</si>
  <si>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</si>
  <si>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</si>
  <si>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</si>
  <si>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</si>
  <si>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</si>
  <si>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</si>
  <si>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</si>
  <si>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</si>
  <si>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</si>
  <si>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</si>
  <si>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</si>
  <si>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</si>
  <si>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</si>
  <si>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</si>
  <si>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</si>
  <si>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</si>
  <si>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</si>
  <si>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</si>
  <si>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</si>
  <si>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</si>
  <si>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</si>
  <si>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</si>
  <si>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</si>
  <si>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</si>
  <si>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</si>
  <si>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</si>
  <si>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</si>
  <si>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</si>
  <si>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</si>
  <si>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</si>
  <si>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</si>
  <si>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</si>
  <si>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</si>
  <si>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</si>
  <si>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</si>
  <si>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</si>
  <si>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</si>
  <si>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</si>
  <si>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</si>
  <si>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</si>
  <si>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</si>
  <si>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</si>
  <si>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</si>
  <si>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</si>
  <si>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</si>
  <si>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</si>
  <si>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</si>
  <si>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</si>
  <si>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</si>
  <si>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</si>
  <si>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</si>
  <si>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</si>
  <si>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</si>
  <si>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</si>
  <si>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</si>
  <si>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</si>
  <si>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</si>
  <si>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</si>
  <si>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</si>
  <si>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</si>
  <si>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</si>
  <si>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</si>
  <si>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</si>
  <si>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</si>
  <si>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</si>
  <si>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</si>
  <si>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</si>
  <si>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</si>
  <si>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</si>
  <si>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</si>
  <si>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</si>
  <si>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</si>
  <si>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</si>
  <si>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</si>
  <si>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</si>
  <si>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</si>
  <si>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</si>
  <si>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</si>
  <si>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</si>
  <si>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</si>
  <si>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</si>
  <si>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</si>
  <si>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</si>
  <si>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</si>
  <si>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</si>
  <si>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</si>
  <si>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</si>
  <si>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</si>
  <si>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</si>
  <si>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</si>
  <si>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</si>
  <si>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</si>
  <si>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</si>
  <si>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</si>
  <si>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</si>
  <si>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</si>
  <si>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</si>
  <si>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</si>
  <si>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</si>
  <si>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</si>
  <si>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</si>
  <si>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</si>
  <si>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</si>
  <si>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</si>
  <si>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</si>
  <si>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</si>
  <si>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</si>
  <si>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</si>
  <si>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</si>
  <si>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</si>
  <si>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</si>
  <si>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</si>
  <si>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</si>
  <si>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</si>
  <si>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</si>
  <si>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</si>
  <si>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</si>
  <si>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</si>
  <si>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</si>
  <si>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</si>
  <si>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</si>
  <si>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</si>
  <si>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</si>
  <si>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</si>
  <si>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</si>
  <si>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</si>
  <si>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</si>
  <si>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</si>
  <si>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</si>
  <si>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</si>
  <si>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</si>
  <si>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</si>
  <si>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</si>
  <si>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</si>
  <si>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</si>
  <si>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</si>
  <si>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</si>
  <si>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</si>
  <si>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</si>
  <si>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</si>
  <si>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</si>
  <si>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</si>
  <si>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</si>
  <si>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</si>
  <si>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</si>
  <si>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</si>
  <si>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</si>
  <si>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</si>
  <si>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</si>
  <si>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</si>
  <si>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</si>
  <si>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</si>
  <si>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</si>
  <si>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</si>
  <si>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</si>
  <si>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</si>
  <si>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</si>
  <si>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</si>
  <si>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</si>
  <si>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</si>
  <si>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</si>
  <si>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</si>
  <si>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</si>
  <si>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</si>
  <si>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</si>
  <si>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</si>
  <si>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</si>
  <si>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</si>
  <si>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</si>
  <si>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</si>
  <si>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</si>
  <si>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</si>
  <si>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</si>
  <si>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</si>
  <si>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</si>
  <si>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</si>
  <si>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</si>
  <si>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</si>
  <si>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</si>
  <si>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</si>
  <si>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</si>
  <si>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</si>
  <si>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</si>
  <si>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</si>
  <si>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</si>
  <si>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</si>
  <si>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</si>
  <si>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</si>
  <si>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</si>
  <si>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</si>
  <si>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</si>
  <si>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</si>
  <si>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</si>
  <si>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</si>
  <si>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</si>
  <si>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</si>
  <si>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</si>
  <si>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</si>
  <si>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</si>
  <si>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</si>
  <si>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</si>
  <si>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</si>
  <si>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</si>
  <si>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</si>
  <si>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</si>
  <si>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</si>
  <si>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</si>
  <si>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</si>
  <si>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</si>
  <si>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</si>
  <si>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</si>
  <si>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</si>
  <si>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</si>
  <si>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</si>
  <si>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</si>
  <si>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</si>
  <si>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</si>
  <si>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</si>
  <si>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</si>
  <si>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</si>
  <si>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</si>
  <si>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</si>
  <si>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</si>
  <si>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</si>
  <si>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</si>
  <si>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</si>
  <si>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</si>
  <si>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</si>
  <si>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</si>
  <si>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</si>
  <si>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</si>
  <si>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</si>
  <si>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</si>
  <si>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</si>
  <si>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</si>
  <si>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</si>
  <si>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</si>
  <si>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</si>
  <si>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</si>
  <si>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</si>
  <si>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</si>
  <si>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</si>
  <si>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</si>
  <si>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</si>
  <si>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</si>
  <si>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</si>
  <si>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</si>
  <si>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</si>
  <si>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</si>
  <si>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</si>
  <si>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</si>
  <si>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</si>
  <si>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</si>
  <si>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</si>
  <si>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</si>
  <si>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</si>
  <si>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</si>
  <si>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</si>
  <si>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</si>
  <si>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</si>
  <si>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</si>
  <si>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</si>
  <si>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</si>
  <si>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</si>
  <si>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</si>
  <si>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</si>
  <si>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</si>
  <si>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</si>
  <si>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</si>
  <si>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</si>
  <si>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</si>
  <si>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</si>
  <si>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</si>
  <si>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</si>
  <si>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</si>
  <si>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</si>
  <si>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</si>
  <si>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</si>
  <si>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</si>
  <si>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</si>
  <si>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</si>
  <si>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</si>
  <si>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</si>
  <si>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</si>
  <si>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</si>
  <si>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</si>
  <si>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</si>
  <si>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</si>
  <si>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</si>
  <si>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</si>
  <si>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</si>
  <si>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</si>
  <si>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</si>
  <si>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</si>
  <si>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</si>
  <si>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</si>
  <si>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</si>
  <si>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</si>
  <si>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</si>
  <si>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</si>
  <si>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</si>
  <si>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</si>
  <si>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</si>
  <si>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</si>
  <si>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</si>
  <si>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</si>
  <si>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</si>
  <si>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</si>
  <si>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</si>
  <si>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</si>
  <si>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</si>
  <si>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</si>
  <si>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</si>
  <si>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</si>
  <si>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</si>
  <si>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</si>
  <si>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</si>
  <si>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</si>
  <si>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</si>
  <si>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</si>
  <si>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</si>
  <si>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</si>
  <si>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</si>
  <si>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</si>
  <si>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</si>
  <si>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</si>
  <si>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</si>
  <si>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</si>
  <si>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</si>
  <si>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</si>
  <si>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</si>
  <si>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</si>
  <si>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</si>
  <si>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</si>
  <si>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</si>
  <si>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</si>
  <si>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</si>
  <si>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</si>
  <si>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</si>
  <si>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</si>
  <si>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</si>
  <si>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</si>
  <si>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</si>
  <si>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</si>
  <si>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</si>
  <si>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</si>
  <si>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</si>
  <si>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</si>
  <si>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</si>
  <si>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</si>
  <si>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</si>
  <si>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</si>
  <si>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</si>
  <si>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</si>
  <si>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</si>
  <si>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</si>
  <si>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</si>
  <si>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</si>
  <si>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</si>
  <si>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</si>
  <si>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</si>
  <si>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</si>
  <si>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</si>
  <si>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</si>
  <si>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</si>
  <si>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</si>
  <si>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</si>
  <si>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</si>
  <si>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</si>
  <si>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</si>
  <si>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</si>
  <si>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</si>
  <si>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</si>
  <si>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</si>
  <si>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</si>
  <si>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</si>
  <si>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</si>
  <si>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</si>
  <si>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</si>
  <si>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</si>
  <si>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</si>
  <si>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</si>
  <si>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</si>
  <si>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</si>
  <si>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</si>
  <si>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</si>
  <si>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</si>
  <si>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</si>
  <si>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</si>
  <si>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</si>
  <si>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</si>
  <si>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</si>
  <si>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</si>
  <si>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</si>
  <si>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</si>
  <si>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</si>
  <si>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</si>
  <si>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</si>
  <si>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</si>
  <si>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</si>
  <si>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</si>
  <si>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</si>
  <si>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</si>
  <si>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</si>
  <si>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</si>
  <si>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</si>
  <si>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</si>
  <si>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</si>
  <si>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</si>
  <si>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</si>
  <si>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</si>
  <si>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</si>
  <si>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</si>
  <si>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</si>
  <si>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</si>
  <si>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</si>
  <si>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</si>
  <si>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</si>
  <si>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</si>
  <si>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</si>
  <si>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</si>
  <si>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</si>
  <si>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</si>
  <si>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</si>
  <si>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</si>
  <si>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</si>
  <si>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</si>
  <si>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</si>
  <si>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</si>
  <si>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</si>
  <si>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</si>
  <si>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</si>
  <si>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</si>
  <si>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</si>
  <si>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</si>
  <si>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</si>
  <si>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</si>
  <si>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</si>
  <si>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</si>
  <si>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</si>
  <si>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</si>
  <si>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</si>
  <si>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</si>
  <si>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</si>
  <si>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</si>
  <si>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</si>
  <si>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</si>
  <si>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</si>
  <si>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</si>
  <si>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</si>
  <si>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</si>
  <si>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</si>
  <si>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</si>
  <si>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</si>
  <si>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</si>
  <si>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</si>
  <si>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</si>
  <si>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</si>
  <si>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</si>
  <si>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</si>
  <si>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</si>
  <si>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</si>
  <si>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</si>
  <si>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</si>
  <si>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</si>
  <si>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</si>
  <si>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</si>
  <si>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</si>
  <si>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</si>
  <si>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</si>
  <si>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</si>
  <si>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</si>
  <si>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</si>
  <si>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</si>
  <si>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</si>
  <si>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</si>
  <si>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</si>
  <si>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</si>
  <si>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</si>
  <si>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</si>
  <si>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</si>
  <si>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</si>
  <si>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</si>
  <si>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</si>
  <si>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</si>
  <si>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</si>
  <si>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</si>
  <si>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</si>
  <si>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</si>
  <si>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</si>
  <si>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</si>
  <si>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</si>
  <si>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</si>
  <si>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</si>
  <si>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</si>
  <si>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</si>
  <si>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</si>
  <si>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</si>
  <si>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</si>
  <si>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</si>
  <si>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</si>
  <si>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</si>
  <si>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</si>
  <si>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</si>
  <si>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</si>
  <si>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</si>
  <si>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</si>
  <si>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</si>
  <si>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</si>
  <si>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</si>
  <si>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</si>
  <si>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</si>
  <si>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</si>
  <si>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</si>
  <si>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</si>
  <si>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</si>
  <si>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</si>
  <si>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</si>
  <si>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</si>
  <si>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</si>
  <si>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</si>
  <si>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</si>
  <si>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</si>
  <si>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</si>
  <si>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</si>
  <si>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</si>
  <si>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</si>
  <si>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</si>
  <si>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</si>
  <si>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</si>
  <si>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</si>
  <si>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</si>
  <si>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</si>
  <si>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</si>
  <si>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</si>
  <si>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</si>
  <si>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</si>
  <si>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</si>
  <si>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</si>
  <si>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</si>
  <si>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</si>
  <si>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</si>
  <si>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</si>
  <si>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</si>
  <si>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</si>
  <si>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</si>
  <si>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</si>
  <si>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</si>
  <si>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</si>
  <si>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</si>
  <si>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</si>
  <si>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</si>
  <si>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</si>
  <si>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</si>
  <si>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</si>
  <si>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</si>
  <si>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</si>
  <si>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</si>
  <si>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</si>
  <si>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</si>
  <si>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</si>
  <si>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</si>
  <si>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</si>
  <si>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</si>
  <si>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</si>
  <si>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</si>
  <si>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</si>
  <si>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</si>
  <si>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</si>
  <si>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</si>
  <si>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</si>
  <si>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</si>
  <si>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</si>
  <si>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</si>
  <si>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</si>
  <si>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</si>
  <si>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</si>
  <si>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</si>
  <si>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</si>
  <si>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</si>
  <si>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</si>
  <si>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</si>
  <si>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</si>
  <si>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</si>
  <si>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</si>
  <si>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</si>
  <si>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</si>
  <si>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</si>
  <si>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</si>
  <si>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</si>
  <si>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</si>
  <si>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</si>
  <si>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</si>
  <si>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</si>
  <si>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</si>
  <si>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</si>
  <si>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</si>
  <si>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</si>
  <si>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</si>
  <si>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</si>
  <si>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</si>
  <si>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</si>
  <si>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</si>
  <si>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</si>
  <si>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</si>
  <si>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</si>
  <si>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</si>
  <si>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</si>
  <si>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</si>
  <si>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</si>
  <si>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</si>
  <si>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</si>
  <si>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</si>
  <si>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</si>
  <si>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</si>
  <si>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</si>
  <si>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</si>
  <si>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</si>
  <si>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</si>
  <si>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</si>
  <si>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</si>
  <si>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</si>
  <si>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</si>
  <si>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</si>
  <si>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</si>
  <si>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</si>
  <si>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</si>
  <si>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</si>
  <si>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</si>
  <si>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</si>
  <si>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</si>
  <si>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</si>
  <si>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</si>
  <si>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</si>
  <si>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</si>
  <si>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DE10N01513</t>
  </si>
  <si>
    <t/>
  </si>
  <si>
    <t>CH65GMF012</t>
  </si>
  <si>
    <t>CH65GMF011</t>
  </si>
  <si>
    <t>CH65C00056</t>
  </si>
  <si>
    <t>CH65C00057</t>
  </si>
  <si>
    <t>DE10501102</t>
  </si>
  <si>
    <t>DE10501111</t>
  </si>
  <si>
    <t>DE10502401</t>
  </si>
  <si>
    <t>DE10502404</t>
  </si>
  <si>
    <t>DE10502405</t>
  </si>
  <si>
    <t>DE10502407</t>
  </si>
  <si>
    <t>DE10502408</t>
  </si>
  <si>
    <t>DE10502409</t>
  </si>
  <si>
    <t>DE10502410</t>
  </si>
  <si>
    <t>DE10502411</t>
  </si>
  <si>
    <t>DE10502412</t>
  </si>
  <si>
    <t>DE10502415</t>
  </si>
  <si>
    <t>DE10502417</t>
  </si>
  <si>
    <t>DE10502702</t>
  </si>
  <si>
    <t>DE10502703</t>
  </si>
  <si>
    <t>DE10502704</t>
  </si>
  <si>
    <t>DE10502705</t>
  </si>
  <si>
    <t>DE10502706</t>
  </si>
  <si>
    <t>DE10502707</t>
  </si>
  <si>
    <t>DE10502708</t>
  </si>
  <si>
    <t>DE10502709</t>
  </si>
  <si>
    <t>DE10503603</t>
  </si>
  <si>
    <t>DE10503604</t>
  </si>
  <si>
    <t>DE10503605</t>
  </si>
  <si>
    <t>DE10503606</t>
  </si>
  <si>
    <t>DE10538105</t>
  </si>
  <si>
    <t>DE10538155</t>
  </si>
  <si>
    <t>DE10538336</t>
  </si>
  <si>
    <t>DE10538520</t>
  </si>
  <si>
    <t>DE10538527</t>
  </si>
  <si>
    <t>DE10588102</t>
  </si>
  <si>
    <t>DE20501102</t>
  </si>
  <si>
    <t>DE20501100</t>
  </si>
  <si>
    <t>DE20502401</t>
  </si>
  <si>
    <t>DE20502404</t>
  </si>
  <si>
    <t>DE20502405</t>
  </si>
  <si>
    <t>DE20502407</t>
  </si>
  <si>
    <t>DE20502408</t>
  </si>
  <si>
    <t>DE20502409</t>
  </si>
  <si>
    <t>DE20502410</t>
  </si>
  <si>
    <t>DE20502411</t>
  </si>
  <si>
    <t>DE20502412</t>
  </si>
  <si>
    <t>DE20502415</t>
  </si>
  <si>
    <t>DE20502417</t>
  </si>
  <si>
    <t>DE20502702</t>
  </si>
  <si>
    <t>DE20502703</t>
  </si>
  <si>
    <t>DE20502704</t>
  </si>
  <si>
    <t>DE20502705</t>
  </si>
  <si>
    <t>DE20502706</t>
  </si>
  <si>
    <t>DE20502707</t>
  </si>
  <si>
    <t>DE20502708</t>
  </si>
  <si>
    <t>DE20502709</t>
  </si>
  <si>
    <t>DE20503603</t>
  </si>
  <si>
    <t>DE20503604</t>
  </si>
  <si>
    <t>DE20503605</t>
  </si>
  <si>
    <t>DE20503606</t>
  </si>
  <si>
    <t>DE20538105</t>
  </si>
  <si>
    <t>DE20538155</t>
  </si>
  <si>
    <t>DE20538336</t>
  </si>
  <si>
    <t>DE20538520</t>
  </si>
  <si>
    <t>DE20538527</t>
  </si>
  <si>
    <t>DE20588102</t>
  </si>
  <si>
    <t>2053L44109</t>
  </si>
  <si>
    <t>CH01Z01000</t>
  </si>
  <si>
    <t>DE01Z01000</t>
  </si>
  <si>
    <t>(All)</t>
  </si>
  <si>
    <t>Count of 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</si>
</sst>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9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95.083058680553" createdVersion="7" refreshedVersion="7" minRefreshableVersion="3" recordCount="4866" xr:uid="{11839AE3-6158-4318-87AD-2C711D0BF451}">
  <cacheSource type="worksheet">
    <worksheetSource name="Proc"/>
  </cacheSource>
  <cacheFields count="19">
    <cacheField name="App" numFmtId="0">
      <sharedItems containsBlank="1" count="1634">
        <s v="FR0000000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m u="1"/>
        <s v="FR5900147" u="1"/>
        <s v="FR6280266" u="1"/>
        <s v="FR5621701" u="1"/>
        <s v="FR6520074" u="1"/>
        <s v="FR5556558" u="1"/>
        <s v="FR6948171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6956164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947443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6945251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6951651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6943059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950020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6951585" u="1"/>
        <s v="FR5826533" u="1"/>
        <s v="FR5906625" u="1"/>
        <s v="FR5600019" u="1"/>
        <s v="FR6945187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6940622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2-03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24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66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SCALA_1212$0000001160"/>
    <s v="G000001180"/>
    <s v="G000001180"/>
    <s v="Non-LFF"/>
    <s v=""/>
    <s v="Mapped for 2025. Waiting for Andreas response for action."/>
    <b v="1"/>
    <x v="0"/>
    <x v="1"/>
    <d v="2025-01-02T08:58:46"/>
    <d v="2025-01-14T00:00:00"/>
    <d v="2025-01-14T00:00:00"/>
    <x v="1"/>
    <n v="8"/>
    <s v="Jojeff Tagnong"/>
    <m/>
  </r>
  <r>
    <x v="1"/>
    <x v="0"/>
    <x v="2"/>
    <s v="CNOW_7210$$$0000051475"/>
    <s v="G000001180"/>
    <s v="G000001180"/>
    <s v="Non-LFF"/>
    <s v=""/>
    <s v="Mapped for 2025. Waiting for Andreas response for action."/>
    <b v="1"/>
    <x v="0"/>
    <x v="1"/>
    <d v="2025-01-02T08:58:46"/>
    <d v="2025-01-14T00:00:00"/>
    <d v="2025-01-14T00:00:00"/>
    <x v="1"/>
    <n v="8"/>
    <s v="Jojeff Tagnong"/>
    <m/>
  </r>
  <r>
    <x v="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1"/>
    <d v="2025-01-03T12:36:21"/>
    <d v="2025-01-14T00:00:00"/>
    <d v="2025-01-14T00:00:00"/>
    <x v="1"/>
    <n v="7"/>
    <s v="Eivy Denine Cruz"/>
    <m/>
  </r>
  <r>
    <x v="3"/>
    <x v="0"/>
    <x v="2"/>
    <s v="CEMERAL_70006502992082"/>
    <s v="G000001356"/>
    <s v="G000001356"/>
    <s v="Non-LFF"/>
    <s v=""/>
    <s v="Mapped for 2025. Waiting for Andreas response for action."/>
    <b v="1"/>
    <x v="0"/>
    <x v="1"/>
    <d v="2025-01-06T15:09:14"/>
    <d v="2025-01-14T00:00:00"/>
    <d v="2025-01-14T00:00:00"/>
    <x v="1"/>
    <n v="6"/>
    <s v="Jay-R Lizardo"/>
    <m/>
  </r>
  <r>
    <x v="3"/>
    <x v="0"/>
    <x v="2"/>
    <s v="CLFF_1000$$$DE10GIT05A"/>
    <s v="G000000727"/>
    <s v="G000000727"/>
    <s v="LFF (MDG-F)"/>
    <s v="DE10GIT05A"/>
    <m/>
    <b v="1"/>
    <x v="0"/>
    <x v="1"/>
    <d v="2025-01-06T15:09:14"/>
    <d v="2025-01-14T00:00:00"/>
    <d v="2025-01-14T00:00:00"/>
    <x v="1"/>
    <n v="6"/>
    <s v="Jay-R Lizardo"/>
    <m/>
  </r>
  <r>
    <x v="4"/>
    <x v="0"/>
    <x v="2"/>
    <s v="CSCALA_1022$ITD_IT1"/>
    <s v="G000000279"/>
    <s v="G000000279"/>
    <s v="Non-LFF"/>
    <s v=""/>
    <s v="Mapped for 2025. Waiting for Andreas response for action."/>
    <b v="1"/>
    <x v="0"/>
    <x v="1"/>
    <d v="2025-01-06T16:51:20"/>
    <d v="2025-01-14T00:00:00"/>
    <d v="2025-01-14T00:00:00"/>
    <x v="1"/>
    <n v="6"/>
    <s v="Jay-R Lizardo"/>
    <m/>
  </r>
  <r>
    <x v="4"/>
    <x v="0"/>
    <x v="2"/>
    <s v="CSCALA_1022$ITS_IT5"/>
    <s v="G000000895"/>
    <s v="G000000895"/>
    <s v="Non-LFF"/>
    <s v=""/>
    <s v="Mapped for 2025. Waiting for Andreas response for action."/>
    <b v="1"/>
    <x v="0"/>
    <x v="1"/>
    <d v="2025-01-06T16:51:20"/>
    <d v="2025-01-14T00:00:00"/>
    <d v="2025-01-14T00:00:00"/>
    <x v="1"/>
    <n v="6"/>
    <s v="Jay-R Lizardo"/>
    <m/>
  </r>
  <r>
    <x v="5"/>
    <x v="0"/>
    <x v="2"/>
    <s v="CLFF_1000$$$DE10300076"/>
    <s v="G000000390"/>
    <s v="G000000390"/>
    <s v="LFF (MDG-F)"/>
    <s v="DE10300076"/>
    <m/>
    <b v="1"/>
    <x v="0"/>
    <x v="1"/>
    <d v="2025-01-07T09:14:25"/>
    <d v="2025-01-09T00:00:00"/>
    <d v="2025-01-09T00:00:00"/>
    <x v="0"/>
    <n v="2"/>
    <s v="Francesco Ricioppo"/>
    <m/>
  </r>
  <r>
    <x v="6"/>
    <x v="0"/>
    <x v="2"/>
    <s v="CLFF_1000$$$DE10200023 "/>
    <s v="G000000397"/>
    <s v="G000000397"/>
    <s v="LFF (MDG-F)"/>
    <s v="DE10200023"/>
    <m/>
    <b v="1"/>
    <x v="0"/>
    <x v="1"/>
    <d v="2025-01-07T09:21:51"/>
    <d v="2025-01-09T00:00:00"/>
    <d v="2025-01-09T00:00:00"/>
    <x v="0"/>
    <n v="2"/>
    <s v="Francesco Ricioppo"/>
    <m/>
  </r>
  <r>
    <x v="6"/>
    <x v="0"/>
    <x v="2"/>
    <s v="CLFF_1000$$$DE10200050"/>
    <s v="G000000397"/>
    <s v="G000000397"/>
    <s v="LFF (MDG-F)"/>
    <s v="DE10200050"/>
    <m/>
    <b v="1"/>
    <x v="0"/>
    <x v="1"/>
    <d v="2025-01-07T09:21:51"/>
    <d v="2025-01-09T00:00:00"/>
    <d v="2025-01-09T00:00:00"/>
    <x v="0"/>
    <n v="2"/>
    <s v="Francesco Ricioppo"/>
    <m/>
  </r>
  <r>
    <x v="7"/>
    <x v="0"/>
    <x v="2"/>
    <s v="PTEMPNA_US201PIOFCCHXPR89"/>
    <s v="H000003682"/>
    <s v="H000003682"/>
    <s v="Non-LFF"/>
    <s v=""/>
    <s v="Mapped for 2025. Waiting for Andreas response for action."/>
    <b v="1"/>
    <x v="1"/>
    <x v="1"/>
    <d v="2025-01-07T12:58:18"/>
    <d v="2025-01-14T00:00:00"/>
    <d v="2025-01-14T00:00:00"/>
    <x v="0"/>
    <n v="5"/>
    <s v="Rizza Domingo"/>
    <m/>
  </r>
  <r>
    <x v="7"/>
    <x v="0"/>
    <x v="2"/>
    <s v="PTEMPNA_US201PIOMCCGVPR60"/>
    <s v="H000003683"/>
    <s v="H000003683"/>
    <s v="Non-LFF"/>
    <s v=""/>
    <s v="Mapped for 2025. Waiting for Andreas response for action."/>
    <b v="1"/>
    <x v="1"/>
    <x v="1"/>
    <d v="2025-01-07T12:58:18"/>
    <d v="2025-01-14T00:00:00"/>
    <d v="2025-01-14T00:00:00"/>
    <x v="0"/>
    <n v="5"/>
    <s v="Rizza Domingo"/>
    <m/>
  </r>
  <r>
    <x v="7"/>
    <x v="0"/>
    <x v="2"/>
    <s v="PTEMPNA_US201PIOMCCEXPR75"/>
    <s v="H000003680"/>
    <s v="H000003680"/>
    <s v="Non-LFF"/>
    <s v=""/>
    <s v="Mapped for 2025. Waiting for Andreas response for action."/>
    <b v="1"/>
    <x v="1"/>
    <x v="1"/>
    <d v="2025-01-07T12:58:18"/>
    <d v="2025-01-14T00:00:00"/>
    <d v="2025-01-14T00:00:00"/>
    <x v="0"/>
    <n v="5"/>
    <s v="Rizza Domingo"/>
    <m/>
  </r>
  <r>
    <x v="7"/>
    <x v="0"/>
    <x v="2"/>
    <s v="PTEMPNA_US201PIOMCCEXPR76"/>
    <s v="H000003681"/>
    <s v="H000003681"/>
    <s v="Non-LFF"/>
    <s v=""/>
    <s v="Mapped for 2025. Waiting for Andreas response for action."/>
    <b v="1"/>
    <x v="1"/>
    <x v="1"/>
    <d v="2025-01-07T12:58:18"/>
    <d v="2025-01-14T00:00:00"/>
    <d v="2025-01-14T00:00:00"/>
    <x v="0"/>
    <n v="5"/>
    <s v="Rizza Domingo"/>
    <m/>
  </r>
  <r>
    <x v="7"/>
    <x v="0"/>
    <x v="2"/>
    <s v="PTEMPNA_US201PIOMCCEXPR51"/>
    <s v="H000004360"/>
    <s v="H000004360"/>
    <s v="Non-LFF"/>
    <s v=""/>
    <s v="Mapped for 2025. Waiting for Andreas response for action."/>
    <b v="1"/>
    <x v="1"/>
    <x v="1"/>
    <d v="2025-01-07T12:58:18"/>
    <d v="2025-01-14T00:00:00"/>
    <d v="2025-01-14T00:00:00"/>
    <x v="0"/>
    <n v="5"/>
    <s v="Rizza Domingo"/>
    <m/>
  </r>
  <r>
    <x v="7"/>
    <x v="0"/>
    <x v="2"/>
    <s v="PTEMPNA_US201PIOMVPTXPR85"/>
    <s v="H000003678"/>
    <s v="H000003678"/>
    <s v="Non-LFF"/>
    <s v=""/>
    <s v="Mapped for 2025. Waiting for Andreas response for action."/>
    <b v="1"/>
    <x v="1"/>
    <x v="1"/>
    <d v="2025-01-07T12:58:18"/>
    <d v="2025-01-14T00:00:00"/>
    <d v="2025-01-14T00:00:00"/>
    <x v="0"/>
    <n v="5"/>
    <s v="Rizza Domingo"/>
    <m/>
  </r>
  <r>
    <x v="7"/>
    <x v="0"/>
    <x v="2"/>
    <s v="PTEMPNA_US201PIOMVPLXPR73"/>
    <s v="H000003675"/>
    <s v="H000003675"/>
    <s v="Non-LFF"/>
    <s v=""/>
    <s v="Mapped for 2025. Waiting for Andreas response for action."/>
    <b v="1"/>
    <x v="1"/>
    <x v="1"/>
    <d v="2025-01-07T12:58:18"/>
    <d v="2025-01-14T00:00:00"/>
    <d v="2025-01-14T00:00:00"/>
    <x v="0"/>
    <n v="5"/>
    <s v="Rizza Domingo"/>
    <m/>
  </r>
  <r>
    <x v="7"/>
    <x v="0"/>
    <x v="2"/>
    <s v="PTEMPNA_US201PIOMCCIXPR90"/>
    <s v="H000003679"/>
    <s v="H000003679"/>
    <s v="Non-LFF"/>
    <s v=""/>
    <s v="Mapped for 2025. Waiting for Andreas response for action."/>
    <b v="1"/>
    <x v="1"/>
    <x v="1"/>
    <d v="2025-01-07T12:58:18"/>
    <d v="2025-01-14T00:00:00"/>
    <d v="2025-01-14T00:00:00"/>
    <x v="0"/>
    <n v="5"/>
    <s v="Rizza Domingo"/>
    <m/>
  </r>
  <r>
    <x v="7"/>
    <x v="0"/>
    <x v="2"/>
    <s v="PTEMPNA_US201PIOMEVBXPR01"/>
    <s v="H000003674"/>
    <s v="H000003674"/>
    <s v="Non-LFF"/>
    <s v=""/>
    <s v="Mapped for 2025. Waiting for Andreas response for action."/>
    <b v="1"/>
    <x v="1"/>
    <x v="1"/>
    <d v="2025-01-07T12:58:18"/>
    <d v="2025-01-14T00:00:00"/>
    <d v="2025-01-14T00:00:00"/>
    <x v="0"/>
    <n v="5"/>
    <s v="Rizza Domingo"/>
    <m/>
  </r>
  <r>
    <x v="7"/>
    <x v="0"/>
    <x v="2"/>
    <s v="PTEMPNA_US201PIOMEVBXPR78"/>
    <s v="H000003674"/>
    <s v="H000003674"/>
    <s v="Non-LFF"/>
    <s v=""/>
    <s v="Mapped for 2025. Waiting for Andreas response for action."/>
    <b v="1"/>
    <x v="1"/>
    <x v="1"/>
    <d v="2025-01-07T12:58:18"/>
    <d v="2025-01-14T00:00:00"/>
    <d v="2025-01-14T00:00:00"/>
    <x v="0"/>
    <n v="5"/>
    <s v="Rizza Domingo"/>
    <m/>
  </r>
  <r>
    <x v="7"/>
    <x v="0"/>
    <x v="2"/>
    <s v="PTEMPNA_US201PIOMEVBXPR71"/>
    <s v="H000003674"/>
    <s v="H000003674"/>
    <s v="Non-LFF"/>
    <s v=""/>
    <s v="Mapped for 2025. Waiting for Andreas response for action."/>
    <b v="1"/>
    <x v="1"/>
    <x v="1"/>
    <d v="2025-01-07T12:58:18"/>
    <d v="2025-01-14T00:00:00"/>
    <d v="2025-01-14T00:00:00"/>
    <x v="0"/>
    <n v="5"/>
    <s v="Rizza Domingo"/>
    <m/>
  </r>
  <r>
    <x v="7"/>
    <x v="0"/>
    <x v="2"/>
    <s v="PTEMPNA_US201PIOMEVBXPR74"/>
    <s v="H000003674"/>
    <s v="H000003674"/>
    <s v="Non-LFF"/>
    <s v=""/>
    <s v="Mapped for 2025. Waiting for Andreas response for action."/>
    <b v="1"/>
    <x v="1"/>
    <x v="1"/>
    <d v="2025-01-07T12:58:18"/>
    <d v="2025-01-14T00:00:00"/>
    <d v="2025-01-14T00:00:00"/>
    <x v="0"/>
    <n v="5"/>
    <s v="Rizza Domingo"/>
    <m/>
  </r>
  <r>
    <x v="7"/>
    <x v="0"/>
    <x v="2"/>
    <s v="PTEMPNA_US201PIOMEVBXPR80"/>
    <s v="H000003674"/>
    <s v="H000003674"/>
    <s v="Non-LFF"/>
    <s v=""/>
    <s v="Mapped for 2025. Waiting for Andreas response for action."/>
    <b v="1"/>
    <x v="1"/>
    <x v="1"/>
    <d v="2025-01-07T12:58:18"/>
    <d v="2025-01-14T00:00:00"/>
    <d v="2025-01-14T00:00:00"/>
    <x v="0"/>
    <n v="5"/>
    <s v="Rizza Domingo"/>
    <m/>
  </r>
  <r>
    <x v="7"/>
    <x v="0"/>
    <x v="2"/>
    <s v="PTEMPNA_US201PIOMEVAXPR78"/>
    <s v="H000003676"/>
    <s v="H000003676"/>
    <s v="Non-LFF"/>
    <s v=""/>
    <s v="Mapped for 2025. Waiting for Andreas response for action."/>
    <b v="1"/>
    <x v="1"/>
    <x v="1"/>
    <d v="2025-01-07T12:58:18"/>
    <d v="2025-01-14T00:00:00"/>
    <d v="2025-01-14T00:00:00"/>
    <x v="0"/>
    <n v="5"/>
    <s v="Rizza Domingo"/>
    <m/>
  </r>
  <r>
    <x v="7"/>
    <x v="0"/>
    <x v="2"/>
    <s v="PTEMPNA_US201PIOMEVAXPR72"/>
    <s v="H000003676"/>
    <s v="H000003676"/>
    <s v="Non-LFF"/>
    <s v=""/>
    <s v="Mapped for 2025. Waiting for Andreas response for action."/>
    <b v="1"/>
    <x v="1"/>
    <x v="1"/>
    <d v="2025-01-07T12:58:18"/>
    <d v="2025-01-14T00:00:00"/>
    <d v="2025-01-14T00:00:00"/>
    <x v="0"/>
    <n v="5"/>
    <s v="Rizza Domingo"/>
    <m/>
  </r>
  <r>
    <x v="7"/>
    <x v="0"/>
    <x v="2"/>
    <s v="PTEMPNA_US201PIOMEVAXPR73"/>
    <s v="H000003676"/>
    <s v="H000003676"/>
    <s v="Non-LFF"/>
    <s v=""/>
    <s v="Mapped for 2025. Waiting for Andreas response for action."/>
    <b v="1"/>
    <x v="1"/>
    <x v="1"/>
    <d v="2025-01-07T12:58:18"/>
    <d v="2025-01-14T00:00:00"/>
    <d v="2025-01-14T00:00:00"/>
    <x v="0"/>
    <n v="5"/>
    <s v="Rizza Domingo"/>
    <m/>
  </r>
  <r>
    <x v="7"/>
    <x v="0"/>
    <x v="2"/>
    <s v="PTEMPNA_US201PIOMEVAXPR74"/>
    <s v="H000003676"/>
    <s v="H000003676"/>
    <s v="Non-LFF"/>
    <s v=""/>
    <s v="Mapped for 2025. Waiting for Andreas response for action."/>
    <b v="1"/>
    <x v="1"/>
    <x v="1"/>
    <d v="2025-01-07T12:58:18"/>
    <d v="2025-01-14T00:00:00"/>
    <d v="2025-01-14T00:00:00"/>
    <x v="0"/>
    <n v="5"/>
    <s v="Rizza Domingo"/>
    <m/>
  </r>
  <r>
    <x v="7"/>
    <x v="0"/>
    <x v="2"/>
    <s v="PTEMPNA_US201PIOMEVAXPR84"/>
    <s v="H000003676"/>
    <s v="H000003676"/>
    <s v="Non-LFF"/>
    <s v=""/>
    <s v="Mapped for 2025. Waiting for Andreas response for action."/>
    <b v="1"/>
    <x v="1"/>
    <x v="1"/>
    <d v="2025-01-07T12:58:18"/>
    <d v="2025-01-14T00:00:00"/>
    <d v="2025-01-14T00:00:00"/>
    <x v="0"/>
    <n v="5"/>
    <s v="Rizza Domingo"/>
    <m/>
  </r>
  <r>
    <x v="7"/>
    <x v="0"/>
    <x v="2"/>
    <s v="PTEMPNA_US201PIOMEVAXPR50"/>
    <s v="H000003676"/>
    <s v="H000003676"/>
    <s v="Non-LFF"/>
    <s v=""/>
    <s v="Mapped for 2025. Waiting for Andreas response for action."/>
    <b v="1"/>
    <x v="1"/>
    <x v="1"/>
    <d v="2025-01-07T12:58:18"/>
    <d v="2025-01-14T00:00:00"/>
    <d v="2025-01-14T00:00:00"/>
    <x v="0"/>
    <n v="5"/>
    <s v="Rizza Domingo"/>
    <m/>
  </r>
  <r>
    <x v="7"/>
    <x v="0"/>
    <x v="2"/>
    <s v="PTEMPNA_US201PIOMEVAXPR81"/>
    <s v="H000003676"/>
    <s v="H000003676"/>
    <s v="Non-LFF"/>
    <s v=""/>
    <s v="Mapped for 2025. Waiting for Andreas response for action."/>
    <b v="1"/>
    <x v="1"/>
    <x v="1"/>
    <d v="2025-01-07T12:58:18"/>
    <d v="2025-01-14T00:00:00"/>
    <d v="2025-01-14T00:00:00"/>
    <x v="0"/>
    <n v="5"/>
    <s v="Rizza Domingo"/>
    <m/>
  </r>
  <r>
    <x v="8"/>
    <x v="0"/>
    <x v="2"/>
    <s v="CNOW_ROW$$$$0000091825 "/>
    <s v="L000008315"/>
    <s v="L000008315"/>
    <s v="Non-LFF"/>
    <s v=""/>
    <s v="Mapped for 2025. Waiting for Andreas response for action."/>
    <b v="1"/>
    <x v="2"/>
    <x v="1"/>
    <d v="2025-01-07T14:26:11"/>
    <d v="2025-01-14T00:00:00"/>
    <d v="2025-01-14T00:00:00"/>
    <x v="0"/>
    <n v="5"/>
    <s v="Joan Rose Pena"/>
    <m/>
  </r>
  <r>
    <x v="8"/>
    <x v="0"/>
    <x v="2"/>
    <s v="CFLTFLE_2373COS "/>
    <s v="L000013154"/>
    <s v="L000013154"/>
    <s v="Non-LFF"/>
    <s v=""/>
    <s v="Mapped for 2025. Waiting for Andreas response for action."/>
    <b v="1"/>
    <x v="2"/>
    <x v="1"/>
    <d v="2025-01-07T14:26:11"/>
    <d v="2025-01-14T00:00:00"/>
    <d v="2025-01-14T00:00:00"/>
    <x v="0"/>
    <n v="5"/>
    <s v="Joan Rose Pena"/>
    <m/>
  </r>
  <r>
    <x v="8"/>
    <x v="0"/>
    <x v="2"/>
    <s v="CSCALA_1042$PSCE "/>
    <s v="L000011687"/>
    <s v="L000011687"/>
    <s v="Non-LFF"/>
    <s v=""/>
    <s v="Mapped for 2025. Waiting for Andreas response for action."/>
    <b v="1"/>
    <x v="2"/>
    <x v="1"/>
    <d v="2025-01-07T14:26:11"/>
    <d v="2025-01-14T00:00:00"/>
    <d v="2025-01-14T00:00:00"/>
    <x v="0"/>
    <n v="5"/>
    <s v="Joan Rose Pena"/>
    <m/>
  </r>
  <r>
    <x v="9"/>
    <x v="0"/>
    <x v="2"/>
    <s v="CPRJ-9820240021 BIONTECH SE BNT326"/>
    <s v="L000011470"/>
    <s v="L000011470"/>
    <s v="Non-LFF"/>
    <s v=""/>
    <m/>
    <b v="1"/>
    <x v="2"/>
    <x v="1"/>
    <d v="2025-01-08T09:25:01"/>
    <d v="2025-01-10T00:00:00"/>
    <d v="2025-01-10T00:00:00"/>
    <x v="0"/>
    <n v="2"/>
    <s v="Joan Rose Pena"/>
    <m/>
  </r>
  <r>
    <x v="10"/>
    <x v="0"/>
    <x v="2"/>
    <s v="CLFF_1000$$$DE10604910 "/>
    <s v="G000000397"/>
    <s v="G000000397"/>
    <s v="LFF (MDG-F)"/>
    <s v="DE10604910"/>
    <m/>
    <b v="1"/>
    <x v="0"/>
    <x v="1"/>
    <d v="2025-01-08T09:53:50"/>
    <d v="2025-01-14T00:00:00"/>
    <d v="2025-01-14T00:00:00"/>
    <x v="0"/>
    <n v="4"/>
    <s v="Francesco Ricioppo"/>
    <m/>
  </r>
  <r>
    <x v="11"/>
    <x v="0"/>
    <x v="2"/>
    <s v="CLFF_1000$$$DE10200058"/>
    <s v="G000000390"/>
    <s v="G000000390"/>
    <s v="LFF (MDG-F)"/>
    <s v="DE10200058"/>
    <m/>
    <b v="1"/>
    <x v="0"/>
    <x v="1"/>
    <d v="2025-01-08T10:13:03"/>
    <d v="2025-01-14T00:00:00"/>
    <d v="2025-01-14T00:00:00"/>
    <x v="0"/>
    <n v="4"/>
    <s v="Francesco Ricioppo"/>
    <m/>
  </r>
  <r>
    <x v="11"/>
    <x v="0"/>
    <x v="2"/>
    <s v="CLFF_1000$$$DE10200059"/>
    <s v="G000000390"/>
    <s v="G000000390"/>
    <s v="LFF (MDG-F)"/>
    <s v="DE10200059"/>
    <m/>
    <b v="1"/>
    <x v="0"/>
    <x v="1"/>
    <d v="2025-01-08T10:13:03"/>
    <d v="2025-01-14T00:00:00"/>
    <d v="2025-01-14T00:00:00"/>
    <x v="0"/>
    <n v="4"/>
    <s v="Francesco Ricioppo"/>
    <m/>
  </r>
  <r>
    <x v="11"/>
    <x v="0"/>
    <x v="2"/>
    <s v="CLFF_1000$$$DE10200060"/>
    <s v="G000000390"/>
    <s v="G000000390"/>
    <s v="LFF (MDG-F)"/>
    <s v="DE10200060"/>
    <m/>
    <b v="1"/>
    <x v="0"/>
    <x v="1"/>
    <d v="2025-01-08T10:13:03"/>
    <d v="2025-01-14T00:00:00"/>
    <d v="2025-01-14T00:00:00"/>
    <x v="0"/>
    <n v="4"/>
    <s v="Francesco Ricioppo"/>
    <m/>
  </r>
  <r>
    <x v="11"/>
    <x v="0"/>
    <x v="2"/>
    <s v="CLFF_1000$$$DE10200061"/>
    <s v="G000000390"/>
    <s v="G000000390"/>
    <s v="LFF (MDG-F)"/>
    <s v="DE10200061"/>
    <m/>
    <b v="1"/>
    <x v="0"/>
    <x v="1"/>
    <d v="2025-01-08T10:13:03"/>
    <d v="2025-01-14T00:00:00"/>
    <d v="2025-01-14T00:00:00"/>
    <x v="0"/>
    <n v="4"/>
    <s v="Francesco Ricioppo"/>
    <m/>
  </r>
  <r>
    <x v="11"/>
    <x v="0"/>
    <x v="2"/>
    <s v="CLFF_1000$$$DE10200062"/>
    <s v="G000000390"/>
    <s v="G000000390"/>
    <s v="LFF (MDG-F)"/>
    <s v="DE10200062"/>
    <m/>
    <b v="1"/>
    <x v="0"/>
    <x v="1"/>
    <d v="2025-01-08T10:13:03"/>
    <d v="2025-01-14T00:00:00"/>
    <d v="2025-01-14T00:00:00"/>
    <x v="0"/>
    <n v="4"/>
    <s v="Francesco Ricioppo"/>
    <m/>
  </r>
  <r>
    <x v="12"/>
    <x v="0"/>
    <x v="2"/>
    <s v="CSCALA_1759$PRLS"/>
    <s v="L000008966"/>
    <s v="L000008966"/>
    <s v="Non-LFF"/>
    <s v=""/>
    <m/>
    <b v="1"/>
    <x v="2"/>
    <x v="1"/>
    <d v="2025-01-08T13:00:38"/>
    <d v="2025-01-10T00:00:00"/>
    <d v="2025-01-10T00:00:00"/>
    <x v="0"/>
    <n v="2"/>
    <s v="Joan Rose Pena"/>
    <m/>
  </r>
  <r>
    <x v="12"/>
    <x v="0"/>
    <x v="2"/>
    <s v="CSCALA_1759$VOAL"/>
    <s v="L000008965"/>
    <s v="L000008965"/>
    <s v="Non-LFF"/>
    <s v=""/>
    <m/>
    <b v="1"/>
    <x v="2"/>
    <x v="1"/>
    <d v="2025-01-08T13:00:38"/>
    <d v="2025-01-10T00:00:00"/>
    <d v="2025-01-10T00:00:00"/>
    <x v="0"/>
    <n v="2"/>
    <s v="Joan Rose Pena"/>
    <m/>
  </r>
  <r>
    <x v="12"/>
    <x v="0"/>
    <x v="2"/>
    <s v="CFLTFLE_2276891080IC "/>
    <s v="L000008972"/>
    <s v="L000008972"/>
    <s v="Non-LFF"/>
    <s v=""/>
    <m/>
    <b v="1"/>
    <x v="2"/>
    <x v="1"/>
    <d v="2025-01-08T13:00:38"/>
    <d v="2025-01-10T00:00:00"/>
    <d v="2025-01-10T00:00:00"/>
    <x v="0"/>
    <n v="2"/>
    <s v="Joan Rose Pena"/>
    <m/>
  </r>
  <r>
    <x v="12"/>
    <x v="0"/>
    <x v="2"/>
    <s v="CFLTFLE_2276891082IC "/>
    <s v="L000013121"/>
    <s v="L000013121"/>
    <s v="Non-LFF"/>
    <s v=""/>
    <m/>
    <b v="1"/>
    <x v="2"/>
    <x v="1"/>
    <d v="2025-01-08T13:00:38"/>
    <d v="2025-01-10T00:00:00"/>
    <d v="2025-01-10T00:00:00"/>
    <x v="0"/>
    <n v="2"/>
    <s v="Joan Rose Pena"/>
    <m/>
  </r>
  <r>
    <x v="13"/>
    <x v="0"/>
    <x v="2"/>
    <s v="D00123500000000 AP5008"/>
    <s v="P000001013"/>
    <s v="P000001013"/>
    <s v="Non-LFF"/>
    <s v=""/>
    <s v="Loaded in 2024."/>
    <b v="1"/>
    <x v="0"/>
    <x v="1"/>
    <d v="2025-01-08T14:05:07"/>
    <d v="2025-01-30T00:00:00"/>
    <d v="2025-01-30T00:00:00"/>
    <x v="1"/>
    <n v="16"/>
    <s v="Eivy Denine Cruz"/>
    <m/>
  </r>
  <r>
    <x v="1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1"/>
    <d v="2025-01-08T14:05:07"/>
    <d v="2025-01-30T00:00:00"/>
    <d v="2025-01-30T00:00:00"/>
    <x v="1"/>
    <n v="16"/>
    <s v="Eivy Denine Cruz"/>
    <m/>
  </r>
  <r>
    <x v="14"/>
    <x v="0"/>
    <x v="2"/>
    <s v="CLFF_1000$$$NG50C1CSLS"/>
    <s v="L000008834"/>
    <s v="L000008834"/>
    <s v="LFF (MDG-F)"/>
    <s v="NG50C1CSLS"/>
    <m/>
    <b v="1"/>
    <x v="2"/>
    <x v="1"/>
    <d v="2025-01-09T07:53:54"/>
    <d v="2025-01-14T00:00:00"/>
    <d v="2025-01-14T00:00:00"/>
    <x v="0"/>
    <n v="3"/>
    <s v="Wayne Allen de Vos"/>
    <m/>
  </r>
  <r>
    <x v="15"/>
    <x v="0"/>
    <x v="2"/>
    <s v="CSCALA_1022$ITN_IT4"/>
    <s v="G000000277"/>
    <s v="G000000277"/>
    <s v="Non-LFF"/>
    <s v=""/>
    <m/>
    <b v="1"/>
    <x v="0"/>
    <x v="1"/>
    <d v="2025-01-09T15:19:50"/>
    <d v="2025-01-14T00:00:00"/>
    <d v="2025-01-14T00:00:00"/>
    <x v="0"/>
    <n v="3"/>
    <s v="Jay-R Lizardo"/>
    <m/>
  </r>
  <r>
    <x v="15"/>
    <x v="0"/>
    <x v="2"/>
    <s v="CSCALA_1022$ITS_T01"/>
    <s v="G000000895"/>
    <s v="G000000895"/>
    <s v="Non-LFF"/>
    <s v=""/>
    <m/>
    <b v="1"/>
    <x v="0"/>
    <x v="1"/>
    <d v="2025-01-09T15:19:50"/>
    <d v="2025-01-14T00:00:00"/>
    <d v="2025-01-14T00:00:00"/>
    <x v="0"/>
    <n v="3"/>
    <s v="Jay-R Lizardo"/>
    <m/>
  </r>
  <r>
    <x v="16"/>
    <x v="0"/>
    <x v="2"/>
    <s v="CFLTFLE_22450000002737"/>
    <s v="L000013461"/>
    <s v="L000013461"/>
    <s v="Non-LFF"/>
    <s v=""/>
    <s v="Mapped for 2025. Waiting for Andreas response for action."/>
    <b v="1"/>
    <x v="2"/>
    <x v="1"/>
    <d v="2025-01-10T09:35:21"/>
    <d v="2025-01-14T00:00:00"/>
    <d v="2025-01-14T00:00:00"/>
    <x v="0"/>
    <n v="2"/>
    <s v="Joan Rose Pena"/>
    <m/>
  </r>
  <r>
    <x v="16"/>
    <x v="0"/>
    <x v="2"/>
    <s v="CFLTFLE_22450000002763"/>
    <s v="L000013151"/>
    <s v="L000013151"/>
    <s v="Non-LFF"/>
    <s v=""/>
    <s v="Mapped for 2025. Waiting for Andreas response for action."/>
    <b v="1"/>
    <x v="2"/>
    <x v="1"/>
    <d v="2025-01-10T09:35:21"/>
    <d v="2025-01-14T00:00:00"/>
    <d v="2025-01-14T00:00:00"/>
    <x v="0"/>
    <n v="2"/>
    <s v="Joan Rose Pena"/>
    <m/>
  </r>
  <r>
    <x v="1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1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1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1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1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1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1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1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1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1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1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1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1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1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1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1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1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1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1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1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1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1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1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1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1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1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1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1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1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1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1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1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1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1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1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1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1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1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1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1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1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2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2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2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2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2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2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2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2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2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2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2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2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2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2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2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2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2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2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2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2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2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2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2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2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2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2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2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2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2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2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2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2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2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2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2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2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2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2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2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2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2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2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2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2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2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2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2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24"/>
    <s v="Eivy Denine Cruz"/>
    <m/>
  </r>
  <r>
    <x v="2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24"/>
    <s v="Eivy Denine Cruz"/>
    <m/>
  </r>
  <r>
    <x v="2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24"/>
    <s v="Eivy Denine Cruz"/>
    <m/>
  </r>
  <r>
    <x v="2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24"/>
    <s v="Eivy Denine Cruz"/>
    <m/>
  </r>
  <r>
    <x v="2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24"/>
    <s v="Eivy Denine Cruz"/>
    <m/>
  </r>
  <r>
    <x v="2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24"/>
    <s v="Eivy Denine Cruz"/>
    <m/>
  </r>
  <r>
    <x v="2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24"/>
    <s v="Eivy Denine Cruz"/>
    <m/>
  </r>
  <r>
    <x v="2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24"/>
    <s v="Eivy Denine Cruz"/>
    <m/>
  </r>
  <r>
    <x v="2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24"/>
    <s v="Eivy Denine Cruz"/>
    <m/>
  </r>
  <r>
    <x v="2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24"/>
    <s v="Eivy Denine Cruz"/>
    <m/>
  </r>
  <r>
    <x v="2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24"/>
    <s v="Eivy Denine Cruz"/>
    <m/>
  </r>
  <r>
    <x v="3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3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3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3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3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3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3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3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3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20"/>
    <s v="Volker Ogan"/>
    <m/>
  </r>
  <r>
    <x v="3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3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3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3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3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3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3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3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3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3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3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3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3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3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3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3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3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3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3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3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3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3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3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3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3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3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3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3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3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3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3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3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3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3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3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3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3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3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3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3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3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3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3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3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3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3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3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3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4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4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4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4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4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4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4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4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4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4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4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4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4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4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4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4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4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4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4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4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4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4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4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4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17"/>
    <s v="Francesco Ricioppo"/>
    <e v="#REF!"/>
  </r>
  <r>
    <x v="4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17"/>
    <s v="Francesco Ricioppo"/>
    <m/>
  </r>
  <r>
    <x v="4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17"/>
    <s v="Francesco Ricioppo"/>
    <m/>
  </r>
  <r>
    <x v="4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17"/>
    <s v="Francesco Ricioppo"/>
    <m/>
  </r>
  <r>
    <x v="4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17"/>
    <s v="Francesco Ricioppo"/>
    <m/>
  </r>
  <r>
    <x v="4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17"/>
    <s v="Francesco Ricioppo"/>
    <m/>
  </r>
  <r>
    <x v="4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17"/>
    <s v="Francesco Ricioppo"/>
    <m/>
  </r>
  <r>
    <x v="4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17"/>
    <s v="Francesco Ricioppo"/>
    <m/>
  </r>
  <r>
    <x v="4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17"/>
    <s v="Francesco Ricioppo"/>
    <m/>
  </r>
  <r>
    <x v="4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17"/>
    <s v="Francesco Ricioppo"/>
    <m/>
  </r>
  <r>
    <x v="4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17"/>
    <s v="Francesco Ricioppo"/>
    <m/>
  </r>
  <r>
    <x v="4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17"/>
    <s v="Francesco Ricioppo"/>
    <e v="#REF!"/>
  </r>
  <r>
    <x v="4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17"/>
    <s v="Francesco Ricioppo"/>
    <m/>
  </r>
  <r>
    <x v="4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17"/>
    <s v="Francesco Ricioppo"/>
    <m/>
  </r>
  <r>
    <x v="4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17"/>
    <s v="Francesco Ricioppo"/>
    <m/>
  </r>
  <r>
    <x v="4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17"/>
    <s v="Francesco Ricioppo"/>
    <m/>
  </r>
  <r>
    <x v="4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17"/>
    <s v="Francesco Ricioppo"/>
    <m/>
  </r>
  <r>
    <x v="4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17"/>
    <s v="Francesco Ricioppo"/>
    <e v="#REF!"/>
  </r>
  <r>
    <x v="4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17"/>
    <s v="Francesco Ricioppo"/>
    <m/>
  </r>
  <r>
    <x v="4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17"/>
    <s v="Francesco Ricioppo"/>
    <m/>
  </r>
  <r>
    <x v="4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17"/>
    <s v="Francesco Ricioppo"/>
    <m/>
  </r>
  <r>
    <x v="4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17"/>
    <s v="Francesco Ricioppo"/>
    <m/>
  </r>
  <r>
    <x v="4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17"/>
    <s v="Francesco Ricioppo"/>
    <m/>
  </r>
  <r>
    <x v="4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17"/>
    <s v="Francesco Ricioppo"/>
    <m/>
  </r>
  <r>
    <x v="4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17"/>
    <s v="Francesco Ricioppo"/>
    <m/>
  </r>
  <r>
    <x v="4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17"/>
    <s v="Francesco Ricioppo"/>
    <e v="#REF!"/>
  </r>
  <r>
    <x v="4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17"/>
    <s v="Francesco Ricioppo"/>
    <e v="#REF!"/>
  </r>
  <r>
    <x v="4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17"/>
    <s v="Francesco Ricioppo"/>
    <m/>
  </r>
  <r>
    <x v="4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17"/>
    <s v="Francesco Ricioppo"/>
    <m/>
  </r>
  <r>
    <x v="4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17"/>
    <s v="Francesco Ricioppo"/>
    <m/>
  </r>
  <r>
    <x v="4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17"/>
    <s v="Francesco Ricioppo"/>
    <m/>
  </r>
  <r>
    <x v="4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17"/>
    <s v="Francesco Ricioppo"/>
    <m/>
  </r>
  <r>
    <x v="4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17"/>
    <s v="Francesco Ricioppo"/>
    <m/>
  </r>
  <r>
    <x v="4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17"/>
    <s v="Francesco Ricioppo"/>
    <e v="#REF!"/>
  </r>
  <r>
    <x v="4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17"/>
    <s v="Francesco Ricioppo"/>
    <m/>
  </r>
  <r>
    <x v="4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17"/>
    <s v="Francesco Ricioppo"/>
    <m/>
  </r>
  <r>
    <x v="4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17"/>
    <s v="Francesco Ricioppo"/>
    <m/>
  </r>
  <r>
    <x v="4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17"/>
    <s v="Francesco Ricioppo"/>
    <m/>
  </r>
  <r>
    <x v="4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17"/>
    <s v="Francesco Ricioppo"/>
    <m/>
  </r>
  <r>
    <x v="4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17"/>
    <s v="Francesco Ricioppo"/>
    <m/>
  </r>
  <r>
    <x v="4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17"/>
    <s v="Francesco Ricioppo"/>
    <m/>
  </r>
  <r>
    <x v="4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16"/>
    <s v="Jojeff Tagnong"/>
    <m/>
  </r>
  <r>
    <x v="4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16"/>
    <s v="Jojeff Tagnong"/>
    <m/>
  </r>
  <r>
    <x v="4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16"/>
    <s v="Jojeff Tagnong"/>
    <m/>
  </r>
  <r>
    <x v="4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16"/>
    <s v="Jayson Martinez"/>
    <m/>
  </r>
  <r>
    <x v="4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15"/>
    <s v="Jay-R Lizardo"/>
    <m/>
  </r>
  <r>
    <x v="4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15"/>
    <s v="Jay-R Lizardo"/>
    <m/>
  </r>
  <r>
    <x v="4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15"/>
    <s v="Jay-R Lizardo"/>
    <m/>
  </r>
  <r>
    <x v="4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15"/>
    <s v="Jay-R Lizardo"/>
    <m/>
  </r>
  <r>
    <x v="4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15"/>
    <s v="Jay-R Lizardo"/>
    <m/>
  </r>
  <r>
    <x v="4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14"/>
    <s v="Jojeff Tagnong"/>
    <m/>
  </r>
  <r>
    <x v="4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14"/>
    <s v="Jojeff Tagnong"/>
    <e v="#REF!"/>
  </r>
  <r>
    <x v="5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5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12"/>
    <s v="Jojeff Tagnong"/>
    <m/>
  </r>
  <r>
    <x v="5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12"/>
    <s v="Jojeff Tagnong"/>
    <m/>
  </r>
  <r>
    <x v="5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11"/>
    <s v="Jay-R Lizardo"/>
    <m/>
  </r>
  <r>
    <x v="5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5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5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5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5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5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5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5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5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5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5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5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5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5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5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5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5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5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5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5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5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5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08"/>
    <s v="Eivy Denine Cruz"/>
    <e v="#REF!"/>
  </r>
  <r>
    <x v="5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08"/>
    <s v="Eivy Denine Cruz"/>
    <e v="#REF!"/>
  </r>
  <r>
    <x v="5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08"/>
    <s v="Eivy Denine Cruz"/>
    <e v="#REF!"/>
  </r>
  <r>
    <x v="5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08"/>
    <s v="Eivy Denine Cruz"/>
    <e v="#REF!"/>
  </r>
  <r>
    <x v="5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08"/>
    <s v="Eivy Denine Cruz"/>
    <e v="#REF!"/>
  </r>
  <r>
    <x v="5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08"/>
    <s v="Eivy Denine Cruz"/>
    <e v="#REF!"/>
  </r>
  <r>
    <x v="5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08"/>
    <s v="Eivy Denine Cruz"/>
    <e v="#REF!"/>
  </r>
  <r>
    <x v="5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08"/>
    <s v="Eivy Denine Cruz"/>
    <m/>
  </r>
  <r>
    <x v="5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08"/>
    <s v="Eivy Denine Cruz"/>
    <m/>
  </r>
  <r>
    <x v="5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08"/>
    <s v="Eivy Denine Cruz"/>
    <m/>
  </r>
  <r>
    <x v="5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08"/>
    <s v="Eivy Denine Cruz"/>
    <m/>
  </r>
  <r>
    <x v="5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08"/>
    <s v="Uros Jablanov"/>
    <m/>
  </r>
  <r>
    <x v="5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08"/>
    <s v="Uros Jablanov"/>
    <m/>
  </r>
  <r>
    <x v="5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08"/>
    <s v="Uros Jablanov"/>
    <m/>
  </r>
  <r>
    <x v="5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08"/>
    <s v="Uros Jablanov"/>
    <m/>
  </r>
  <r>
    <x v="5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08"/>
    <s v="Uros Jablanov"/>
    <m/>
  </r>
  <r>
    <x v="5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08"/>
    <s v="Uros Jablanov"/>
    <m/>
  </r>
  <r>
    <x v="5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08"/>
    <s v="Uros Jablanov"/>
    <m/>
  </r>
  <r>
    <x v="5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08"/>
    <s v="Uros Jablanov"/>
    <m/>
  </r>
  <r>
    <x v="5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08"/>
    <s v="Uros Jablanov"/>
    <m/>
  </r>
  <r>
    <x v="5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08"/>
    <s v="Uros Jablanov"/>
    <m/>
  </r>
  <r>
    <x v="6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6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6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07"/>
    <s v="Jayson Martinez"/>
    <m/>
  </r>
  <r>
    <x v="6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07"/>
    <s v="Jayson Martinez"/>
    <m/>
  </r>
  <r>
    <x v="6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07"/>
    <s v="Jayson Martinez"/>
    <m/>
  </r>
  <r>
    <x v="6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07"/>
    <s v="Jayson Martinez"/>
    <m/>
  </r>
  <r>
    <x v="6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07"/>
    <s v="Jayson Martinez"/>
    <m/>
  </r>
  <r>
    <x v="6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6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6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6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6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6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6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6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6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6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6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6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6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6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6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6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6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6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6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6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6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6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6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6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6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6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7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7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7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7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7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7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7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7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7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7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7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7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7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7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7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7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7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7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7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7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7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7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7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7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7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02"/>
    <s v="Natasha Hazel Aliado"/>
    <m/>
  </r>
  <r>
    <x v="7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02"/>
    <s v="Natasha Hazel Aliado"/>
    <m/>
  </r>
  <r>
    <x v="7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02"/>
    <s v="Natasha Hazel Aliado"/>
    <m/>
  </r>
  <r>
    <x v="7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7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7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7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7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7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7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7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7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7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7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7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7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7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7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7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7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7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7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7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7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7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7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8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8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8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8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8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8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8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8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8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8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8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8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8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8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8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8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8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8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8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8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8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8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8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8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8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8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8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8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8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8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8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8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8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8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8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8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8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8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8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8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8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8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8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8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8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8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8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8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8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8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8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8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8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8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8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8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8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8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8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8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8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8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8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8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8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8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8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8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8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8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8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9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9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9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9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9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9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9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9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9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9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9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9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9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9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9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9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9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9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9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9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9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9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9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9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9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9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9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9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9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97"/>
    <s v="Jay-R Lizardo"/>
    <m/>
  </r>
  <r>
    <x v="9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97"/>
    <s v="Jay-R Lizardo"/>
    <m/>
  </r>
  <r>
    <x v="9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97"/>
    <s v="Jay-R Lizardo"/>
    <m/>
  </r>
  <r>
    <x v="9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97"/>
    <s v="Jay-R Lizardo"/>
    <m/>
  </r>
  <r>
    <x v="9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97"/>
    <s v="Jay-R Lizardo"/>
    <m/>
  </r>
  <r>
    <x v="9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9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97"/>
    <s v="Jay-R Lizardo"/>
    <m/>
  </r>
  <r>
    <x v="9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97"/>
    <s v="Jay-R Lizardo"/>
    <m/>
  </r>
  <r>
    <x v="9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97"/>
    <s v="Jay-R Lizardo"/>
    <m/>
  </r>
  <r>
    <x v="9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97"/>
    <s v="Jay-R Lizardo"/>
    <m/>
  </r>
  <r>
    <x v="9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97"/>
    <s v="Jay-R Lizardo"/>
    <m/>
  </r>
  <r>
    <x v="9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97"/>
    <s v="Jay-R Lizardo"/>
    <m/>
  </r>
  <r>
    <x v="9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97"/>
    <s v="Jay-R Lizardo"/>
    <m/>
  </r>
  <r>
    <x v="9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97"/>
    <s v="Jay-R Lizardo"/>
    <m/>
  </r>
  <r>
    <x v="9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97"/>
    <s v="Jay-R Lizardo"/>
    <m/>
  </r>
  <r>
    <x v="9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97"/>
    <s v="Jay-R Lizardo"/>
    <m/>
  </r>
  <r>
    <x v="94"/>
    <x v="0"/>
    <x v="2"/>
    <s v="CSCALA_1042$PMIT"/>
    <s v="G000000277"/>
    <s v="G000000277"/>
    <s v="Non-LFF"/>
    <s v=""/>
    <m/>
    <b v="1"/>
    <x v="0"/>
    <x v="1"/>
    <d v="2025-03-04T14:35:25"/>
    <m/>
    <m/>
    <x v="1"/>
    <n v="197"/>
    <s v="Jay-R Lizardo"/>
    <m/>
  </r>
  <r>
    <x v="9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97"/>
    <s v="Jay-R Lizardo"/>
    <m/>
  </r>
  <r>
    <x v="9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97"/>
    <s v="Jay-R Lizardo"/>
    <m/>
  </r>
  <r>
    <x v="9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9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9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9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9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9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9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93"/>
    <s v="Luigia Bocola"/>
    <m/>
  </r>
  <r>
    <x v="9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93"/>
    <s v="Luigia Bocola"/>
    <m/>
  </r>
  <r>
    <x v="9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93"/>
    <s v="Luigia Bocola"/>
    <m/>
  </r>
  <r>
    <x v="9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0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0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0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0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0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0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0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0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0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0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0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0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0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0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0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0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0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0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88"/>
    <s v="Jojeff Tagnong"/>
    <m/>
  </r>
  <r>
    <x v="10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87"/>
    <s v="Rachel Liu"/>
    <m/>
  </r>
  <r>
    <x v="10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87"/>
    <s v="Jayson Martinez"/>
    <e v="#REF!"/>
  </r>
  <r>
    <x v="10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87"/>
    <s v="Jayson Martinez"/>
    <e v="#REF!"/>
  </r>
  <r>
    <x v="10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87"/>
    <s v="Jayson Martinez"/>
    <e v="#REF!"/>
  </r>
  <r>
    <x v="10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87"/>
    <s v="Jayson Martinez"/>
    <e v="#REF!"/>
  </r>
  <r>
    <x v="10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87"/>
    <s v="Jayson Martinez"/>
    <e v="#REF!"/>
  </r>
  <r>
    <x v="10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87"/>
    <s v="Jayson Martinez"/>
    <e v="#REF!"/>
  </r>
  <r>
    <x v="10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87"/>
    <s v="Jayson Martinez"/>
    <e v="#REF!"/>
  </r>
  <r>
    <x v="10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87"/>
    <s v="Jayson Martinez"/>
    <e v="#REF!"/>
  </r>
  <r>
    <x v="10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87"/>
    <s v="Jayson Martinez"/>
    <e v="#REF!"/>
  </r>
  <r>
    <x v="10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87"/>
    <s v="Jayson Martinez"/>
    <e v="#REF!"/>
  </r>
  <r>
    <x v="10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87"/>
    <s v="Jayson Martinez"/>
    <e v="#REF!"/>
  </r>
  <r>
    <x v="10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0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1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1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1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1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1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1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1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1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1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1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1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1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1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1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1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1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1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1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1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1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1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1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1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1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1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2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2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2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2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2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2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2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2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2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2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2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2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2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2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2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2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2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2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2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2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2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2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2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2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2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3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3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3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3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3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3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3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3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3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3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3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3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3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3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3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3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3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3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3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3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3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3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4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4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4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4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4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4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4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4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4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4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4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4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4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73"/>
    <s v="Joan Rose Pena"/>
    <m/>
  </r>
  <r>
    <x v="14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73"/>
    <s v="Joan Rose Pena"/>
    <m/>
  </r>
  <r>
    <x v="14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4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4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4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4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4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5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72"/>
    <s v="Ruby Grace Garcia"/>
    <m/>
  </r>
  <r>
    <x v="15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72"/>
    <s v="Ruby Grace Garcia"/>
    <m/>
  </r>
  <r>
    <x v="15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72"/>
    <s v="Ruby Grace Garcia"/>
    <m/>
  </r>
  <r>
    <x v="15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5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5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5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5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5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5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5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5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5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5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5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5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5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5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5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5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5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5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5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5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5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5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5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5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5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5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5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5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5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5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5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5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5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5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5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5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5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5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5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5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5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5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5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5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5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5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5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5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5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5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5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5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6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6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6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6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6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6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6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6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6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6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6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6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6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6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6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6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6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6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6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6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6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6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6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6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6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6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6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6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6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62"/>
    <s v="Jojeff Tagnong"/>
    <m/>
  </r>
  <r>
    <x v="16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6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7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7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7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7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7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7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7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7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7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7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7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7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7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7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7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7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7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7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7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7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7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7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7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7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7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7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7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7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7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8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8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8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8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8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8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8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8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8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8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8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8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8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8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8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19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19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19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19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19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19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19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19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19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19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19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19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19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19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19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19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19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19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19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19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19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19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19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47"/>
    <s v="Ruby Grace Garcia"/>
    <m/>
  </r>
  <r>
    <x v="19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47"/>
    <s v="Ruby Grace Garcia"/>
    <m/>
  </r>
  <r>
    <x v="19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47"/>
    <s v="Ruby Grace Garcia"/>
    <m/>
  </r>
  <r>
    <x v="19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47"/>
    <s v="Ruby Grace Garcia"/>
    <m/>
  </r>
  <r>
    <x v="19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47"/>
    <s v="Ruby Grace Garcia"/>
    <m/>
  </r>
  <r>
    <x v="19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47"/>
    <s v="Ruby Grace Garcia"/>
    <m/>
  </r>
  <r>
    <x v="19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47"/>
    <s v="Ruby Grace Garcia"/>
    <m/>
  </r>
  <r>
    <x v="19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47"/>
    <s v="Ruby Grace Garcia"/>
    <m/>
  </r>
  <r>
    <x v="19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47"/>
    <s v="Ruby Grace Garcia"/>
    <m/>
  </r>
  <r>
    <x v="19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47"/>
    <s v="Ruby Grace Garcia"/>
    <m/>
  </r>
  <r>
    <x v="19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47"/>
    <s v="Ruby Grace Garcia"/>
    <m/>
  </r>
  <r>
    <x v="19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47"/>
    <s v="Ruby Grace Garcia"/>
    <m/>
  </r>
  <r>
    <x v="19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47"/>
    <s v="Ruby Grace Garcia"/>
    <m/>
  </r>
  <r>
    <x v="19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47"/>
    <s v="Ruby Grace Garcia"/>
    <m/>
  </r>
  <r>
    <x v="19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47"/>
    <s v="Ruby Grace Garcia"/>
    <m/>
  </r>
  <r>
    <x v="19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47"/>
    <s v="Ruby Grace Garcia"/>
    <m/>
  </r>
  <r>
    <x v="19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47"/>
    <s v="Ruby Grace Garcia"/>
    <m/>
  </r>
  <r>
    <x v="19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47"/>
    <s v="Ruby Grace Garcia"/>
    <m/>
  </r>
  <r>
    <x v="19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47"/>
    <s v="Ruby Grace Garcia"/>
    <m/>
  </r>
  <r>
    <x v="19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47"/>
    <s v="Ruby Grace Garcia"/>
    <m/>
  </r>
  <r>
    <x v="19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19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19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19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19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19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19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19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19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19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19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19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19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19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19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19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19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19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19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19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19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19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19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19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19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19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19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19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19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19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19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19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19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19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19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19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19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19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19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19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19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19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19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19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19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19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19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0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0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0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0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0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0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0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0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0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0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0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0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44"/>
    <s v="Jojeff Tagnong"/>
    <m/>
  </r>
  <r>
    <x v="20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44"/>
    <s v="Jojeff Tagnong"/>
    <m/>
  </r>
  <r>
    <x v="20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0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0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44"/>
    <s v="Florian Sonntag"/>
    <m/>
  </r>
  <r>
    <x v="20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44"/>
    <s v="Florian Sonntag"/>
    <m/>
  </r>
  <r>
    <x v="20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0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0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0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0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0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0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0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0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0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0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0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0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0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0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0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0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0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0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0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0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0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0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0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0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0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0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0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43"/>
    <s v="Carlo Umali"/>
    <m/>
  </r>
  <r>
    <x v="20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43"/>
    <s v="Carlo Umali"/>
    <m/>
  </r>
  <r>
    <x v="20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43"/>
    <s v="Dan John Magada"/>
    <m/>
  </r>
  <r>
    <x v="20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42"/>
    <s v="Joan Rose Pena"/>
    <m/>
  </r>
  <r>
    <x v="20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42"/>
    <s v="Joan Rose Pena"/>
    <m/>
  </r>
  <r>
    <x v="20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42"/>
    <s v="Joan Rose Pena"/>
    <m/>
  </r>
  <r>
    <x v="20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42"/>
    <s v="Joan Rose Pena"/>
    <m/>
  </r>
  <r>
    <x v="20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42"/>
    <s v="Joan Rose Pena"/>
    <m/>
  </r>
  <r>
    <x v="20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42"/>
    <s v="Joan Rose Pena"/>
    <m/>
  </r>
  <r>
    <x v="20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42"/>
    <s v="Joan Rose Pena"/>
    <m/>
  </r>
  <r>
    <x v="208"/>
    <x v="0"/>
    <x v="2"/>
    <s v="CFLTFLE_2373TTR "/>
    <s v="L000013154"/>
    <s v="L000013154"/>
    <s v="Non-LFF"/>
    <s v=""/>
    <m/>
    <b v="1"/>
    <x v="2"/>
    <x v="2"/>
    <d v="2025-05-20T03:40:20"/>
    <m/>
    <m/>
    <x v="1"/>
    <n v="142"/>
    <s v="Joan Rose Pena"/>
    <m/>
  </r>
  <r>
    <x v="20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42"/>
    <s v="Joan Rose Pena"/>
    <m/>
  </r>
  <r>
    <x v="20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42"/>
    <s v="Joan Rose Pena"/>
    <m/>
  </r>
  <r>
    <x v="20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42"/>
    <s v="Marcus Avemarie"/>
    <m/>
  </r>
  <r>
    <x v="20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42"/>
    <s v="Marcus Avemarie"/>
    <m/>
  </r>
  <r>
    <x v="20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42"/>
    <s v="Marcus Avemarie"/>
    <m/>
  </r>
  <r>
    <x v="21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1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1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1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1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1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1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42"/>
    <s v="Marcus Avemarie"/>
    <m/>
  </r>
  <r>
    <x v="21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42"/>
    <s v="Marcus Avemarie"/>
    <m/>
  </r>
  <r>
    <x v="21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42"/>
    <s v="Marcus Avemarie"/>
    <m/>
  </r>
  <r>
    <x v="21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42"/>
    <s v="Marcus Avemarie"/>
    <m/>
  </r>
  <r>
    <x v="21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42"/>
    <s v="Marcus Avemarie"/>
    <m/>
  </r>
  <r>
    <x v="21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1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1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1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1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1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1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1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1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1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1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1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1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1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1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1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1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2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FLTFLE_1044LSTC"/>
    <s v="L000013862"/>
    <s v="L000013862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FLTFLE_1798C15"/>
    <s v="L000013862"/>
    <s v="L000013862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2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2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2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2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2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2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2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2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2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2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2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2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2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2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2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2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2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2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2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2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2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2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2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2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SCALA_1042$LSRG"/>
    <s v="L000013862"/>
    <s v="L000013862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38"/>
    <s v="Ruby Grace Garcia"/>
    <m/>
  </r>
  <r>
    <x v="22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38"/>
    <s v="Ruby Grace Garcia"/>
    <m/>
  </r>
  <r>
    <x v="22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2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2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2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38"/>
    <s v="Ruby Grace Garcia"/>
    <m/>
  </r>
  <r>
    <x v="22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38"/>
    <s v="Ruby Grace Garcia"/>
    <m/>
  </r>
  <r>
    <x v="22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38"/>
    <s v="Ruby Grace Garcia"/>
    <m/>
  </r>
  <r>
    <x v="22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38"/>
    <s v="Ruby Grace Garcia"/>
    <m/>
  </r>
  <r>
    <x v="22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2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2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2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2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2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2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2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2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2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2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2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2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2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2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2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2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2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2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2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2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2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2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2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2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2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2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2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2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2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2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2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2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2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2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2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2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2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2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2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2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2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2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3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3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3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3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3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3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3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3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3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3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3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3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3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3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3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3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3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3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3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3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3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3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3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3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3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3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32"/>
    <s v="Gay Geanuza del Mundo"/>
    <m/>
  </r>
  <r>
    <x v="23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32"/>
    <s v="Jojeff Tagnong"/>
    <m/>
  </r>
  <r>
    <x v="24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4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4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4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4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4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4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4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4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4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4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4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4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27"/>
    <s v="Jojeff Tagnong"/>
    <m/>
  </r>
  <r>
    <x v="24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27"/>
    <s v="Jojeff Tagnong"/>
    <m/>
  </r>
  <r>
    <x v="24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4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4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4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4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4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4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4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4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4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22"/>
    <s v="Henry Ifurung Jr."/>
    <m/>
  </r>
  <r>
    <x v="24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22"/>
    <s v="Henry Ifurung Jr."/>
    <m/>
  </r>
  <r>
    <x v="24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22"/>
    <s v="Yusuke Hasegawa"/>
    <m/>
  </r>
  <r>
    <x v="24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22"/>
    <s v="Joan Rose Pena"/>
    <m/>
  </r>
  <r>
    <x v="24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22"/>
    <s v="Joan Rose Pena"/>
    <m/>
  </r>
  <r>
    <x v="24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22"/>
    <s v="Joan Rose Pena"/>
    <m/>
  </r>
  <r>
    <x v="24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22"/>
    <s v="Joan Rose Pena"/>
    <m/>
  </r>
  <r>
    <x v="24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22"/>
    <s v="Joan Rose Pena"/>
    <m/>
  </r>
  <r>
    <x v="25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22"/>
    <s v="Roselle Delos Angeles"/>
    <m/>
  </r>
  <r>
    <x v="25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22"/>
    <s v="Roselle Delos Angeles"/>
    <m/>
  </r>
  <r>
    <x v="25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22"/>
    <s v="Roselle Delos Angeles"/>
    <m/>
  </r>
  <r>
    <x v="25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22"/>
    <s v="Roselle Delos Angeles"/>
    <m/>
  </r>
  <r>
    <x v="25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22"/>
    <s v="Roselle Delos Angeles"/>
    <m/>
  </r>
  <r>
    <x v="25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22"/>
    <s v="Roselle Delos Angeles"/>
    <m/>
  </r>
  <r>
    <x v="25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22"/>
    <s v="Roselle Delos Angeles"/>
    <m/>
  </r>
  <r>
    <x v="25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22"/>
    <s v="Roselle Delos Angeles"/>
    <m/>
  </r>
  <r>
    <x v="25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22"/>
    <s v="Roselle Delos Angeles"/>
    <m/>
  </r>
  <r>
    <x v="25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22"/>
    <s v="Roselle Delos Angeles"/>
    <m/>
  </r>
  <r>
    <x v="25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22"/>
    <s v="Roselle Delos Angeles"/>
    <m/>
  </r>
  <r>
    <x v="25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22"/>
    <s v="Roselle Delos Angeles"/>
    <m/>
  </r>
  <r>
    <x v="25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22"/>
    <s v="Roselle Delos Angeles"/>
    <m/>
  </r>
  <r>
    <x v="25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22"/>
    <s v="Roselle Delos Angeles"/>
    <m/>
  </r>
  <r>
    <x v="25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22"/>
    <s v="Roselle Delos Angeles"/>
    <m/>
  </r>
  <r>
    <x v="25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22"/>
    <s v="Roselle Delos Angeles"/>
    <m/>
  </r>
  <r>
    <x v="25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22"/>
    <s v="Roselle Delos Angeles"/>
    <m/>
  </r>
  <r>
    <x v="25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22"/>
    <s v="Roselle Delos Angeles"/>
    <m/>
  </r>
  <r>
    <x v="25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22"/>
    <s v="Roselle Delos Angeles"/>
    <m/>
  </r>
  <r>
    <x v="25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22"/>
    <s v="Roselle Delos Angeles"/>
    <m/>
  </r>
  <r>
    <x v="25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22"/>
    <s v="Roselle Delos Angeles"/>
    <m/>
  </r>
  <r>
    <x v="25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22"/>
    <s v="Roselle Delos Angeles"/>
    <m/>
  </r>
  <r>
    <x v="25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22"/>
    <s v="Roselle Delos Angeles"/>
    <m/>
  </r>
  <r>
    <x v="25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22"/>
    <s v="Roselle Delos Angeles"/>
    <m/>
  </r>
  <r>
    <x v="25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22"/>
    <s v="Roselle Delos Angeles"/>
    <m/>
  </r>
  <r>
    <x v="25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22"/>
    <s v="Roselle Delos Angeles"/>
    <m/>
  </r>
  <r>
    <x v="25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22"/>
    <s v="Roselle Delos Angeles"/>
    <m/>
  </r>
  <r>
    <x v="25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22"/>
    <s v="Roselle Delos Angeles"/>
    <m/>
  </r>
  <r>
    <x v="25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22"/>
    <s v="Roselle Delos Angeles"/>
    <m/>
  </r>
  <r>
    <x v="25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22"/>
    <s v="Roselle Delos Angeles"/>
    <m/>
  </r>
  <r>
    <x v="25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22"/>
    <s v="Roselle Delos Angeles"/>
    <m/>
  </r>
  <r>
    <x v="25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22"/>
    <s v="Roselle Delos Angeles"/>
    <m/>
  </r>
  <r>
    <x v="25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22"/>
    <s v="Roselle Delos Angeles"/>
    <m/>
  </r>
  <r>
    <x v="25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22"/>
    <s v="Roselle Delos Angeles"/>
    <m/>
  </r>
  <r>
    <x v="25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22"/>
    <s v="Roselle Delos Angeles"/>
    <m/>
  </r>
  <r>
    <x v="25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22"/>
    <s v="Roselle Delos Angeles"/>
    <m/>
  </r>
  <r>
    <x v="25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22"/>
    <s v="Roselle Delos Angeles"/>
    <m/>
  </r>
  <r>
    <x v="25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22"/>
    <s v="Roselle Delos Angeles"/>
    <m/>
  </r>
  <r>
    <x v="25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22"/>
    <s v="Roselle Delos Angeles"/>
    <m/>
  </r>
  <r>
    <x v="25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22"/>
    <s v="Roselle Delos Angeles"/>
    <m/>
  </r>
  <r>
    <x v="25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22"/>
    <s v="Roselle Delos Angeles"/>
    <m/>
  </r>
  <r>
    <x v="25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22"/>
    <s v="Rizza Tolentino"/>
    <m/>
  </r>
  <r>
    <x v="25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5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5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19"/>
    <s v="Erjo Miguel Tagle"/>
    <m/>
  </r>
  <r>
    <x v="25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19"/>
    <s v="Erjo Miguel Tagle"/>
    <m/>
  </r>
  <r>
    <x v="25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19"/>
    <s v="Erjo Miguel Tagle"/>
    <m/>
  </r>
  <r>
    <x v="25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19"/>
    <s v="Erjo Miguel Tagle"/>
    <m/>
  </r>
  <r>
    <x v="25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20"/>
    <s v="Joan Rose Pena"/>
    <m/>
  </r>
  <r>
    <x v="25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5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5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17"/>
    <s v="Jojeff Tagnong"/>
    <m/>
  </r>
  <r>
    <x v="25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17"/>
    <s v="Jojeff Tagnong"/>
    <m/>
  </r>
  <r>
    <x v="25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5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5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5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5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5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5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5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5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5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5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6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6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12"/>
    <s v="Jay-R Lizardo"/>
    <m/>
  </r>
  <r>
    <x v="26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12"/>
    <s v="Jay-R Lizardo"/>
    <m/>
  </r>
  <r>
    <x v="26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12"/>
    <s v="Jay-R Lizardo"/>
    <m/>
  </r>
  <r>
    <x v="26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12"/>
    <s v="Jay-R Lizardo"/>
    <m/>
  </r>
  <r>
    <x v="26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12"/>
    <s v="Jay-R Lizardo"/>
    <m/>
  </r>
  <r>
    <x v="26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12"/>
    <s v="Jay-R Lizardo"/>
    <m/>
  </r>
  <r>
    <x v="26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12"/>
    <s v="Jay-R Lizardo"/>
    <m/>
  </r>
  <r>
    <x v="26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12"/>
    <s v="Jay-R Lizardo"/>
    <m/>
  </r>
  <r>
    <x v="26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12"/>
    <s v="Jay-R Lizardo"/>
    <m/>
  </r>
  <r>
    <x v="26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12"/>
    <s v="Jay-R Lizardo"/>
    <m/>
  </r>
  <r>
    <x v="26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12"/>
    <s v="Jay-R Lizardo"/>
    <m/>
  </r>
  <r>
    <x v="26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6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10"/>
    <s v="Ruby Grace Garcia"/>
    <m/>
  </r>
  <r>
    <x v="26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10"/>
    <s v="Ruby Grace Garcia"/>
    <m/>
  </r>
  <r>
    <x v="26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10"/>
    <s v="Manuel Walther"/>
    <m/>
  </r>
  <r>
    <x v="26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10"/>
    <s v="Manuel Walther"/>
    <m/>
  </r>
  <r>
    <x v="26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10"/>
    <s v="Manuel Walther"/>
    <m/>
  </r>
  <r>
    <x v="26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10"/>
    <s v="Henry Ifurung Jr."/>
    <m/>
  </r>
  <r>
    <x v="26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10"/>
    <s v="Henry Ifurung Jr."/>
    <m/>
  </r>
  <r>
    <x v="26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10"/>
    <s v="Henry Ifurung Jr."/>
    <m/>
  </r>
  <r>
    <x v="26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10"/>
    <s v="Henry Ifurung Jr."/>
    <m/>
  </r>
  <r>
    <x v="26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10"/>
    <s v="Henry Ifurung Jr."/>
    <m/>
  </r>
  <r>
    <x v="26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10"/>
    <s v="Henry Ifurung Jr."/>
    <m/>
  </r>
  <r>
    <x v="26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10"/>
    <s v="Henry Ifurung Jr."/>
    <m/>
  </r>
  <r>
    <x v="26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10"/>
    <s v="Henry Ifurung Jr."/>
    <m/>
  </r>
  <r>
    <x v="26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10"/>
    <s v="Jojeff Tagnong"/>
    <m/>
  </r>
  <r>
    <x v="26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10"/>
    <s v="Jojeff Tagnong"/>
    <m/>
  </r>
  <r>
    <x v="26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10"/>
    <s v="Jojeff Tagnong"/>
    <m/>
  </r>
  <r>
    <x v="26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10"/>
    <s v="Jojeff Tagnong"/>
    <m/>
  </r>
  <r>
    <x v="26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10"/>
    <s v="Jojeff Tagnong"/>
    <m/>
  </r>
  <r>
    <x v="26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10"/>
    <s v="Jojeff Tagnong"/>
    <m/>
  </r>
  <r>
    <x v="26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10"/>
    <s v="Jojeff Tagnong"/>
    <m/>
  </r>
  <r>
    <x v="26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10"/>
    <s v="Jojeff Tagnong"/>
    <m/>
  </r>
  <r>
    <x v="26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10"/>
    <s v="Jojeff Tagnong"/>
    <m/>
  </r>
  <r>
    <x v="26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10"/>
    <s v="Jojeff Tagnong"/>
    <m/>
  </r>
  <r>
    <x v="26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10"/>
    <s v="Jojeff Tagnong"/>
    <m/>
  </r>
  <r>
    <x v="26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10"/>
    <s v="Jojeff Tagnong"/>
    <m/>
  </r>
  <r>
    <x v="26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10"/>
    <s v="Roselle Delos Angeles"/>
    <m/>
  </r>
  <r>
    <x v="26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10"/>
    <s v="Roselle Delos Angeles"/>
    <m/>
  </r>
  <r>
    <x v="27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08"/>
    <s v="Jay-R Lizardo"/>
    <m/>
  </r>
  <r>
    <x v="27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08"/>
    <s v="Ruby Grace Garcia"/>
    <m/>
  </r>
  <r>
    <x v="27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08"/>
    <s v="Ruby Grace Garcia"/>
    <m/>
  </r>
  <r>
    <x v="27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08"/>
    <s v="Ruby Grace Garcia"/>
    <m/>
  </r>
  <r>
    <x v="27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08"/>
    <s v="Ruby Grace Garcia"/>
    <m/>
  </r>
  <r>
    <x v="27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08"/>
    <s v="Ruby Grace Garcia"/>
    <m/>
  </r>
  <r>
    <x v="27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08"/>
    <s v="Ruby Grace Garcia"/>
    <m/>
  </r>
  <r>
    <x v="27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08"/>
    <s v="Ruby Grace Garcia"/>
    <m/>
  </r>
  <r>
    <x v="27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08"/>
    <s v="Ruby Grace Garcia"/>
    <m/>
  </r>
  <r>
    <x v="27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08"/>
    <s v="Jojeff Tagnong"/>
    <m/>
  </r>
  <r>
    <x v="274"/>
    <x v="0"/>
    <x v="2"/>
    <s v="CPRJ-9820250001 "/>
    <s v="L000011470"/>
    <s v="L000011470"/>
    <s v="Non-LFF"/>
    <s v=""/>
    <m/>
    <b v="1"/>
    <x v="2"/>
    <x v="3"/>
    <d v="2025-07-08T21:50:37"/>
    <m/>
    <m/>
    <x v="1"/>
    <n v="107"/>
    <s v="Ruby Grace Garcia"/>
    <m/>
  </r>
  <r>
    <x v="274"/>
    <x v="0"/>
    <x v="2"/>
    <s v="CPRJ-9820250002 "/>
    <s v="L000011470"/>
    <s v="L000011470"/>
    <s v="Non-LFF"/>
    <s v=""/>
    <m/>
    <b v="1"/>
    <x v="2"/>
    <x v="3"/>
    <d v="2025-07-08T21:50:37"/>
    <m/>
    <m/>
    <x v="1"/>
    <n v="107"/>
    <s v="Ruby Grace Garcia"/>
    <m/>
  </r>
  <r>
    <x v="274"/>
    <x v="0"/>
    <x v="2"/>
    <s v="CPRJ-9820250004 "/>
    <s v="L000011470"/>
    <s v="L000011470"/>
    <s v="Non-LFF"/>
    <s v=""/>
    <m/>
    <b v="1"/>
    <x v="2"/>
    <x v="3"/>
    <d v="2025-07-08T21:50:37"/>
    <m/>
    <m/>
    <x v="1"/>
    <n v="107"/>
    <s v="Ruby Grace Garcia"/>
    <m/>
  </r>
  <r>
    <x v="27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06"/>
    <s v="Anna Wojciechowska-Pacyna"/>
    <m/>
  </r>
  <r>
    <x v="27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06"/>
    <s v="Thomas Mervoyer"/>
    <m/>
  </r>
  <r>
    <x v="27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06"/>
    <s v="Thomas Mervoyer"/>
    <m/>
  </r>
  <r>
    <x v="27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06"/>
    <s v="Thomas Mervoyer"/>
    <m/>
  </r>
  <r>
    <x v="27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06"/>
    <s v="Nadine Anic"/>
    <m/>
  </r>
  <r>
    <x v="27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06"/>
    <s v="Nadine Anic"/>
    <m/>
  </r>
  <r>
    <x v="27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05"/>
    <s v="Henry Ifurung Jr."/>
    <m/>
  </r>
  <r>
    <x v="27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05"/>
    <s v="Thomas Mervoyer"/>
    <m/>
  </r>
  <r>
    <x v="28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03"/>
    <s v="Henry Ifurung Jr."/>
    <m/>
  </r>
  <r>
    <x v="28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02"/>
    <s v="Henry Ifurung Jr."/>
    <m/>
  </r>
  <r>
    <x v="282"/>
    <x v="0"/>
    <x v="2"/>
    <s v="D00120000000000"/>
    <s v="P000001232"/>
    <s v="P000001232"/>
    <s v="Non-LFF"/>
    <s v=""/>
    <m/>
    <b v="1"/>
    <x v="3"/>
    <x v="3"/>
    <d v="2025-07-15T21:50:37"/>
    <m/>
    <m/>
    <x v="1"/>
    <n v="102"/>
    <s v="Roselle Delos Angeles"/>
    <m/>
  </r>
  <r>
    <x v="282"/>
    <x v="0"/>
    <x v="2"/>
    <s v="D00128200000000"/>
    <s v="P000000698"/>
    <s v="P000000698"/>
    <s v="Non-LFF"/>
    <s v=""/>
    <m/>
    <b v="1"/>
    <x v="3"/>
    <x v="3"/>
    <d v="2025-07-15T21:50:37"/>
    <m/>
    <m/>
    <x v="1"/>
    <n v="102"/>
    <s v="Roselle Delos Angeles"/>
    <m/>
  </r>
  <r>
    <x v="28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01"/>
    <s v="Diana William"/>
    <m/>
  </r>
  <r>
    <x v="284"/>
    <x v="0"/>
    <x v="2"/>
    <s v="CSCALA_1248$LSQR"/>
    <s v="L000011363"/>
    <s v="L000011363"/>
    <s v="Non-LFF"/>
    <s v=""/>
    <m/>
    <b v="1"/>
    <x v="0"/>
    <x v="3"/>
    <d v="2025-07-16T21:50:37"/>
    <m/>
    <m/>
    <x v="1"/>
    <n v="101"/>
    <s v="Diana William"/>
    <m/>
  </r>
  <r>
    <x v="28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01"/>
    <s v="Ruby Grace Garcia"/>
    <m/>
  </r>
  <r>
    <x v="28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8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99"/>
    <s v="Jojeff Tagnong"/>
    <m/>
  </r>
  <r>
    <x v="28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99"/>
    <s v="Jojeff Tagnong"/>
    <m/>
  </r>
  <r>
    <x v="28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99"/>
    <s v="Jojeff Tagnong"/>
    <m/>
  </r>
  <r>
    <x v="28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99"/>
    <s v="Jojeff Tagnong"/>
    <m/>
  </r>
  <r>
    <x v="28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99"/>
    <s v="Erjo Miguel Tagle"/>
    <m/>
  </r>
  <r>
    <x v="28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99"/>
    <s v="Henry Ifurung Jr."/>
    <m/>
  </r>
  <r>
    <x v="29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99"/>
    <s v="Diana William"/>
    <m/>
  </r>
  <r>
    <x v="29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96"/>
    <s v="Erjo Miguel Tagle"/>
    <m/>
  </r>
  <r>
    <x v="29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96"/>
    <s v="Jojeff Tagnong"/>
    <m/>
  </r>
  <r>
    <x v="29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96"/>
    <s v="Jojeff Tagnong"/>
    <m/>
  </r>
  <r>
    <x v="29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96"/>
    <s v="Jojeff Tagnong"/>
    <m/>
  </r>
  <r>
    <x v="29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96"/>
    <s v="Jojeff Tagnong"/>
    <m/>
  </r>
  <r>
    <x v="29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96"/>
    <s v="Jojeff Tagnong"/>
    <m/>
  </r>
  <r>
    <x v="29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96"/>
    <s v="Jojeff Tagnong"/>
    <m/>
  </r>
  <r>
    <x v="29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96"/>
    <s v="Jojeff Tagnong"/>
    <m/>
  </r>
  <r>
    <x v="29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96"/>
    <s v="Jojeff Tagnong"/>
    <m/>
  </r>
  <r>
    <x v="29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96"/>
    <s v="Jojeff Tagnong"/>
    <m/>
  </r>
  <r>
    <x v="29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96"/>
    <s v="Jojeff Tagnong"/>
    <m/>
  </r>
  <r>
    <x v="29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96"/>
    <s v="Jojeff Tagnong"/>
    <m/>
  </r>
  <r>
    <x v="29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96"/>
    <s v="Jojeff Tagnong"/>
    <m/>
  </r>
  <r>
    <x v="29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96"/>
    <s v="Jojeff Tagnong"/>
    <m/>
  </r>
  <r>
    <x v="29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96"/>
    <s v="Jojeff Tagnong"/>
    <m/>
  </r>
  <r>
    <x v="29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96"/>
    <s v="Jojeff Tagnong"/>
    <m/>
  </r>
  <r>
    <x v="29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96"/>
    <s v="Jojeff Tagnong"/>
    <m/>
  </r>
  <r>
    <x v="29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96"/>
    <s v="Jojeff Tagnong"/>
    <m/>
  </r>
  <r>
    <x v="29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96"/>
    <s v="Jojeff Tagnong"/>
    <m/>
  </r>
  <r>
    <x v="29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96"/>
    <s v="Ruby Grace Garcia"/>
    <m/>
  </r>
  <r>
    <x v="29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96"/>
    <s v="Ruby Grace Garcia"/>
    <m/>
  </r>
  <r>
    <x v="29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96"/>
    <s v="Ruby Grace Garcia"/>
    <m/>
  </r>
  <r>
    <x v="29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96"/>
    <s v="Ruby Grace Garcia"/>
    <m/>
  </r>
  <r>
    <x v="29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96"/>
    <s v="Ruby Grace Garcia"/>
    <m/>
  </r>
  <r>
    <x v="29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96"/>
    <s v="Ruby Grace Garcia"/>
    <m/>
  </r>
  <r>
    <x v="29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96"/>
    <s v="Ruby Grace Garcia"/>
    <m/>
  </r>
  <r>
    <x v="29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96"/>
    <s v="Joan Rose Pena"/>
    <m/>
  </r>
  <r>
    <x v="29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96"/>
    <s v="Joan Rose Pena"/>
    <m/>
  </r>
  <r>
    <x v="29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96"/>
    <s v="Joan Rose Pena"/>
    <m/>
  </r>
  <r>
    <x v="29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95"/>
    <s v="Jojeff Tagnong"/>
    <m/>
  </r>
  <r>
    <x v="29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95"/>
    <s v="Jojeff Tagnong"/>
    <m/>
  </r>
  <r>
    <x v="29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93"/>
    <s v="Jojeff Tagnong"/>
    <m/>
  </r>
  <r>
    <x v="29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93"/>
    <s v="Jojeff Tagnong"/>
    <m/>
  </r>
  <r>
    <x v="29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93"/>
    <s v="Jojeff Tagnong"/>
    <m/>
  </r>
  <r>
    <x v="29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93"/>
    <s v="Ruby Grace Garcia"/>
    <m/>
  </r>
  <r>
    <x v="29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93"/>
    <s v="Ruby Grace Garcia"/>
    <m/>
  </r>
  <r>
    <x v="29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93"/>
    <s v="Joan Rose Pena"/>
    <m/>
  </r>
  <r>
    <x v="29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93"/>
    <s v="Gay Geanuza del Mundo"/>
    <m/>
  </r>
  <r>
    <x v="29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93"/>
    <s v="Gay Geanuza del Mundo"/>
    <m/>
  </r>
  <r>
    <x v="29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93"/>
    <s v="Gay Geanuza del Mundo"/>
    <m/>
  </r>
  <r>
    <x v="30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93"/>
    <s v="Henry Ifurung Jr."/>
    <m/>
  </r>
  <r>
    <x v="30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91"/>
    <s v="Joan Rose Pena"/>
    <m/>
  </r>
  <r>
    <x v="30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91"/>
    <s v="Joan Rose Pena"/>
    <m/>
  </r>
  <r>
    <x v="30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91"/>
    <s v="Joan Rose Pena"/>
    <m/>
  </r>
  <r>
    <x v="30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91"/>
    <s v="Joan Rose Pena"/>
    <m/>
  </r>
  <r>
    <x v="30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91"/>
    <s v="Joan Rose Pena"/>
    <m/>
  </r>
  <r>
    <x v="30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91"/>
    <s v="Joan Rose Pena"/>
    <m/>
  </r>
  <r>
    <x v="30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91"/>
    <s v="Joan Rose Pena"/>
    <m/>
  </r>
  <r>
    <x v="30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91"/>
    <s v="Jojeff Tagnong"/>
    <m/>
  </r>
  <r>
    <x v="302"/>
    <x v="0"/>
    <x v="2"/>
    <s v="CSCALA_1022$RDO"/>
    <s v="H000004398"/>
    <s v="H000004398"/>
    <s v="Non-LFF"/>
    <s v=""/>
    <m/>
    <b v="1"/>
    <x v="1"/>
    <x v="3"/>
    <d v="2025-07-31T00:00:00"/>
    <m/>
    <m/>
    <x v="1"/>
    <n v="90"/>
    <s v="Erjo Miguel Tagle"/>
    <m/>
  </r>
  <r>
    <x v="30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90"/>
    <s v="Erjo Miguel Tagle"/>
    <m/>
  </r>
  <r>
    <x v="30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90"/>
    <s v="Erjo Miguel Tagle"/>
    <m/>
  </r>
  <r>
    <x v="30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90"/>
    <s v="Erjo Miguel Tagle"/>
    <m/>
  </r>
  <r>
    <x v="30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90"/>
    <s v="Erjo Miguel Tagle"/>
    <m/>
  </r>
  <r>
    <x v="30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90"/>
    <s v="Erjo Miguel Tagle"/>
    <m/>
  </r>
  <r>
    <x v="30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90"/>
    <s v="Erjo Miguel Tagle"/>
    <m/>
  </r>
  <r>
    <x v="30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90"/>
    <s v="Erjo Miguel Tagle"/>
    <m/>
  </r>
  <r>
    <x v="30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90"/>
    <s v="Erjo Miguel Tagle"/>
    <m/>
  </r>
  <r>
    <x v="302"/>
    <x v="0"/>
    <x v="2"/>
    <s v="CSCALA_1820$Q326"/>
    <s v="H000004400"/>
    <s v="H000004400"/>
    <s v="Non-LFF"/>
    <s v=""/>
    <m/>
    <b v="1"/>
    <x v="1"/>
    <x v="3"/>
    <d v="2025-07-31T00:00:00"/>
    <m/>
    <m/>
    <x v="1"/>
    <n v="90"/>
    <s v="Erjo Miguel Tagle"/>
    <m/>
  </r>
  <r>
    <x v="30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90"/>
    <s v="Erjo Miguel Tagle"/>
    <m/>
  </r>
  <r>
    <x v="30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90"/>
    <s v="Erjo Miguel Tagle"/>
    <m/>
  </r>
  <r>
    <x v="302"/>
    <x v="0"/>
    <x v="2"/>
    <s v="CSCALA_1248$VR00"/>
    <s v="H000004401"/>
    <s v="H000004401"/>
    <s v="Non-LFF"/>
    <s v=""/>
    <m/>
    <b v="1"/>
    <x v="1"/>
    <x v="3"/>
    <d v="2025-07-31T00:00:00"/>
    <m/>
    <m/>
    <x v="1"/>
    <n v="90"/>
    <s v="Erjo Miguel Tagle"/>
    <m/>
  </r>
  <r>
    <x v="30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90"/>
    <s v="Erjo Miguel Tagle"/>
    <m/>
  </r>
  <r>
    <x v="302"/>
    <x v="0"/>
    <x v="2"/>
    <s v="CSCALA_1820$Q319"/>
    <s v="H000004399"/>
    <s v="H000004399"/>
    <s v="Non-LFF"/>
    <s v=""/>
    <m/>
    <b v="1"/>
    <x v="1"/>
    <x v="3"/>
    <d v="2025-07-31T00:00:00"/>
    <m/>
    <m/>
    <x v="1"/>
    <n v="90"/>
    <s v="Erjo Miguel Tagle"/>
    <m/>
  </r>
  <r>
    <x v="30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90"/>
    <s v="Erjo Miguel Tagle"/>
    <m/>
  </r>
  <r>
    <x v="30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90"/>
    <s v="Erjo Miguel Tagle"/>
    <m/>
  </r>
  <r>
    <x v="30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8$PSE"/>
    <s v="H000000237"/>
    <s v="H000000237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8$GFERP"/>
    <s v="H000000237"/>
    <s v="H000000237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G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6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6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9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9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6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6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6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6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6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6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7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7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7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7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7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7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7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7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7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7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8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8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8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8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8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8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8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8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8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8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9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9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9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9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9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9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9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19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0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0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0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0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0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0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0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0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0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0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1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1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1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1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1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1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1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1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1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2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2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2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2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2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2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2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2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2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2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3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3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3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3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3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3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3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3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3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3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4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4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4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4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4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4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4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4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4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4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5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5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5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5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5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5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5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5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5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O34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O44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O90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F28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F90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F90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F90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C20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C20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C20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C20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C20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ABFL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C21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C21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C21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R09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R09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R09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G26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G30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O61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6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6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6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4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5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6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6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6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6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6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6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6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7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7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7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7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7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7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7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7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7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7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8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8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8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8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8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8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8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8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8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8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9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9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9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9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9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9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9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9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9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29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0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0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0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0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0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0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0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0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0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0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1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1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1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1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1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1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1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1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1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2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2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2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2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2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2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2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2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2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2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3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3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3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3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3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3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3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3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3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3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4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4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4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E34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O347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F90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F90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F91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F91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F912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F91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F91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C213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C214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C215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C216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ALEL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CIRA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R098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R099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R100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R101"/>
    <s v="H000003613"/>
    <s v="H00000361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R102"/>
    <s v="H000000236"/>
    <s v="H000000236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R103"/>
    <s v="H000000236"/>
    <s v="H000000236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R104"/>
    <s v="H000000236"/>
    <s v="H000000236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759$G306"/>
    <s v="H000000236"/>
    <s v="H000000236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88"/>
    <s v="Rayneil Reas"/>
    <m/>
  </r>
  <r>
    <x v="30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88"/>
    <s v="Rayneil Reas"/>
    <m/>
  </r>
  <r>
    <x v="30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87"/>
    <s v="Ruby Grace Garcia"/>
    <m/>
  </r>
  <r>
    <x v="30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87"/>
    <s v="Ruby Grace Garcia"/>
    <m/>
  </r>
  <r>
    <x v="30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87"/>
    <s v="Ruby Grace Garcia"/>
    <m/>
  </r>
  <r>
    <x v="30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87"/>
    <s v="Ruby Grace Garcia"/>
    <m/>
  </r>
  <r>
    <x v="30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87"/>
    <s v="Ruby Grace Garcia"/>
    <m/>
  </r>
  <r>
    <x v="30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87"/>
    <s v="Ruby Grace Garcia"/>
    <m/>
  </r>
  <r>
    <x v="30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87"/>
    <s v="Ruby Grace Garcia"/>
    <m/>
  </r>
  <r>
    <x v="30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87"/>
    <s v="Ruby Grace Garcia"/>
    <m/>
  </r>
  <r>
    <x v="30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87"/>
    <s v="Ruby Grace Garcia"/>
    <m/>
  </r>
  <r>
    <x v="30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87"/>
    <s v="Ruby Grace Garcia"/>
    <m/>
  </r>
  <r>
    <x v="30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87"/>
    <s v="Ruby Grace Garcia"/>
    <m/>
  </r>
  <r>
    <x v="30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87"/>
    <s v="Jay-R Lizardo"/>
    <m/>
  </r>
  <r>
    <x v="30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87"/>
    <s v="Jay-R Lizardo"/>
    <m/>
  </r>
  <r>
    <x v="30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87"/>
    <s v="Jay-R Lizardo"/>
    <m/>
  </r>
  <r>
    <x v="30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87"/>
    <s v="Jay-R Lizardo"/>
    <m/>
  </r>
  <r>
    <x v="30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87"/>
    <s v="Jay-R Lizardo"/>
    <m/>
  </r>
  <r>
    <x v="30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87"/>
    <s v="Jay-R Lizardo"/>
    <m/>
  </r>
  <r>
    <x v="30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87"/>
    <s v="Jay-R Lizardo"/>
    <m/>
  </r>
  <r>
    <x v="30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87"/>
    <s v="Jay-R Lizardo"/>
    <m/>
  </r>
  <r>
    <x v="30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87"/>
    <s v="Jay-R Lizardo"/>
    <m/>
  </r>
  <r>
    <x v="30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87"/>
    <s v="Jay-R Lizardo"/>
    <m/>
  </r>
  <r>
    <x v="30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87"/>
    <s v="Jay-R Lizardo"/>
    <m/>
  </r>
  <r>
    <x v="30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87"/>
    <s v="Jay-R Lizardo"/>
    <m/>
  </r>
  <r>
    <x v="30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87"/>
    <s v="Jay-R Lizardo"/>
    <m/>
  </r>
  <r>
    <x v="30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87"/>
    <s v="Jay-R Lizardo"/>
    <m/>
  </r>
  <r>
    <x v="30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87"/>
    <s v="Jay-R Lizardo"/>
    <m/>
  </r>
  <r>
    <x v="30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87"/>
    <s v="Jay-R Lizardo"/>
    <m/>
  </r>
  <r>
    <x v="30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87"/>
    <s v="Jay-R Lizardo"/>
    <m/>
  </r>
  <r>
    <x v="30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87"/>
    <s v="Jay-R Lizardo"/>
    <m/>
  </r>
  <r>
    <x v="30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87"/>
    <s v="Jay-R Lizardo"/>
    <m/>
  </r>
  <r>
    <x v="30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87"/>
    <s v="Jay-R Lizardo"/>
    <m/>
  </r>
  <r>
    <x v="30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87"/>
    <s v="Jay-R Lizardo"/>
    <m/>
  </r>
  <r>
    <x v="30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87"/>
    <s v="Jay-R Lizardo"/>
    <m/>
  </r>
  <r>
    <x v="30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87"/>
    <s v="Jay-R Lizardo"/>
    <m/>
  </r>
  <r>
    <x v="30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87"/>
    <s v="Jay-R Lizardo"/>
    <m/>
  </r>
  <r>
    <x v="30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87"/>
    <s v="Jay-R Lizardo"/>
    <m/>
  </r>
  <r>
    <x v="30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87"/>
    <s v="Jay-R Lizardo"/>
    <m/>
  </r>
  <r>
    <x v="30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87"/>
    <s v="Jay-R Lizardo"/>
    <m/>
  </r>
  <r>
    <x v="30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87"/>
    <s v="Jay-R Lizardo"/>
    <m/>
  </r>
  <r>
    <x v="30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87"/>
    <s v="Jay-R Lizardo"/>
    <m/>
  </r>
  <r>
    <x v="30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87"/>
    <s v="Jay-R Lizardo"/>
    <m/>
  </r>
  <r>
    <x v="30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87"/>
    <s v="Jay-R Lizardo"/>
    <m/>
  </r>
  <r>
    <x v="30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87"/>
    <s v="Jay-R Lizardo"/>
    <m/>
  </r>
  <r>
    <x v="30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87"/>
    <s v="Jay-R Lizardo"/>
    <m/>
  </r>
  <r>
    <x v="30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87"/>
    <s v="Jay-R Lizardo"/>
    <m/>
  </r>
  <r>
    <x v="30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87"/>
    <s v="Jay-R Lizardo"/>
    <m/>
  </r>
  <r>
    <x v="30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87"/>
    <s v="Jay-R Lizardo"/>
    <m/>
  </r>
  <r>
    <x v="30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87"/>
    <s v="Jay-R Lizardo"/>
    <m/>
  </r>
  <r>
    <x v="30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87"/>
    <s v="Jay-R Lizardo"/>
    <m/>
  </r>
  <r>
    <x v="30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87"/>
    <s v="Jay-R Lizardo"/>
    <m/>
  </r>
  <r>
    <x v="30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87"/>
    <s v="Jay-R Lizardo"/>
    <m/>
  </r>
  <r>
    <x v="30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87"/>
    <s v="Jay-R Lizardo"/>
    <m/>
  </r>
  <r>
    <x v="30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87"/>
    <s v="Jay-R Lizardo"/>
    <m/>
  </r>
  <r>
    <x v="30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87"/>
    <s v="Jay-R Lizardo"/>
    <m/>
  </r>
  <r>
    <x v="30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87"/>
    <s v="Jay-R Lizardo"/>
    <m/>
  </r>
  <r>
    <x v="30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87"/>
    <s v="Jay-R Lizardo"/>
    <m/>
  </r>
  <r>
    <x v="30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87"/>
    <s v="Jay-R Lizardo"/>
    <m/>
  </r>
  <r>
    <x v="30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87"/>
    <s v="Jay-R Lizardo"/>
    <m/>
  </r>
  <r>
    <x v="30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87"/>
    <s v="Jay-R Lizardo"/>
    <m/>
  </r>
  <r>
    <x v="30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87"/>
    <s v="Jay-R Lizardo"/>
    <m/>
  </r>
  <r>
    <x v="30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87"/>
    <s v="Jay-R Lizardo"/>
    <m/>
  </r>
  <r>
    <x v="30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87"/>
    <s v="Jay-R Lizardo"/>
    <m/>
  </r>
  <r>
    <x v="30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87"/>
    <s v="Jay-R Lizardo"/>
    <m/>
  </r>
  <r>
    <x v="30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87"/>
    <s v="Jay-R Lizardo"/>
    <m/>
  </r>
  <r>
    <x v="30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87"/>
    <s v="Jay-R Lizardo"/>
    <m/>
  </r>
  <r>
    <x v="30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87"/>
    <s v="Jay-R Lizardo"/>
    <m/>
  </r>
  <r>
    <x v="30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87"/>
    <s v="Jay-R Lizardo"/>
    <m/>
  </r>
  <r>
    <x v="30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87"/>
    <s v="Jay-R Lizardo"/>
    <m/>
  </r>
  <r>
    <x v="30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87"/>
    <s v="Jay-R Lizardo"/>
    <m/>
  </r>
  <r>
    <x v="30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87"/>
    <s v="Jay-R Lizardo"/>
    <m/>
  </r>
  <r>
    <x v="30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87"/>
    <s v="Jay-R Lizardo"/>
    <m/>
  </r>
  <r>
    <x v="30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87"/>
    <s v="Jay-R Lizardo"/>
    <m/>
  </r>
  <r>
    <x v="30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87"/>
    <s v="Jay-R Lizardo"/>
    <m/>
  </r>
  <r>
    <x v="30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87"/>
    <s v="Jay-R Lizardo"/>
    <m/>
  </r>
  <r>
    <x v="30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87"/>
    <s v="Jay-R Lizardo"/>
    <m/>
  </r>
  <r>
    <x v="30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87"/>
    <s v="Jay-R Lizardo"/>
    <m/>
  </r>
  <r>
    <x v="30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87"/>
    <s v="Jay-R Lizardo"/>
    <m/>
  </r>
  <r>
    <x v="30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87"/>
    <s v="Jay-R Lizardo"/>
    <m/>
  </r>
  <r>
    <x v="30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87"/>
    <s v="Jay-R Lizardo"/>
    <m/>
  </r>
  <r>
    <x v="30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87"/>
    <s v="Jay-R Lizardo"/>
    <m/>
  </r>
  <r>
    <x v="30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87"/>
    <s v="Jay-R Lizardo"/>
    <m/>
  </r>
  <r>
    <x v="30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87"/>
    <s v="Jay-R Lizardo"/>
    <m/>
  </r>
  <r>
    <x v="30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87"/>
    <s v="Jay-R Lizardo"/>
    <m/>
  </r>
  <r>
    <x v="30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87"/>
    <s v="Jay-R Lizardo"/>
    <m/>
  </r>
  <r>
    <x v="30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87"/>
    <s v="Jay-R Lizardo"/>
    <m/>
  </r>
  <r>
    <x v="30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87"/>
    <s v="Jay-R Lizardo"/>
    <m/>
  </r>
  <r>
    <x v="30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87"/>
    <s v="Jay-R Lizardo"/>
    <m/>
  </r>
  <r>
    <x v="30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87"/>
    <s v="Jay-R Lizardo"/>
    <m/>
  </r>
  <r>
    <x v="30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87"/>
    <s v="Jay-R Lizardo"/>
    <m/>
  </r>
  <r>
    <x v="30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87"/>
    <s v="Jay-R Lizardo"/>
    <m/>
  </r>
  <r>
    <x v="30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87"/>
    <s v="Jay-R Lizardo"/>
    <m/>
  </r>
  <r>
    <x v="30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87"/>
    <s v="Jay-R Lizardo"/>
    <m/>
  </r>
  <r>
    <x v="30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87"/>
    <s v="Jay-R Lizardo"/>
    <m/>
  </r>
  <r>
    <x v="30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87"/>
    <s v="Jay-R Lizardo"/>
    <m/>
  </r>
  <r>
    <x v="30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87"/>
    <s v="Jay-R Lizardo"/>
    <m/>
  </r>
  <r>
    <x v="30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87"/>
    <s v="Jay-R Lizardo"/>
    <m/>
  </r>
  <r>
    <x v="30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87"/>
    <s v="Jay-R Lizardo"/>
    <m/>
  </r>
  <r>
    <x v="30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87"/>
    <s v="Jay-R Lizardo"/>
    <m/>
  </r>
  <r>
    <x v="30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87"/>
    <s v="Jay-R Lizardo"/>
    <m/>
  </r>
  <r>
    <x v="30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87"/>
    <s v="Jay-R Lizardo"/>
    <m/>
  </r>
  <r>
    <x v="30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87"/>
    <s v="Jay-R Lizardo"/>
    <m/>
  </r>
  <r>
    <x v="30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87"/>
    <s v="Jay-R Lizardo"/>
    <m/>
  </r>
  <r>
    <x v="30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87"/>
    <s v="Jay-R Lizardo"/>
    <m/>
  </r>
  <r>
    <x v="30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87"/>
    <s v="Jay-R Lizardo"/>
    <m/>
  </r>
  <r>
    <x v="30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87"/>
    <s v="Jay-R Lizardo"/>
    <m/>
  </r>
  <r>
    <x v="30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87"/>
    <s v="Jay-R Lizardo"/>
    <m/>
  </r>
  <r>
    <x v="30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87"/>
    <s v="Jay-R Lizardo"/>
    <m/>
  </r>
  <r>
    <x v="30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87"/>
    <s v="Jay-R Lizardo"/>
    <m/>
  </r>
  <r>
    <x v="30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87"/>
    <s v="Jay-R Lizardo"/>
    <m/>
  </r>
  <r>
    <x v="30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87"/>
    <s v="Jay-R Lizardo"/>
    <m/>
  </r>
  <r>
    <x v="30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87"/>
    <s v="Jay-R Lizardo"/>
    <m/>
  </r>
  <r>
    <x v="30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87"/>
    <s v="Jay-R Lizardo"/>
    <m/>
  </r>
  <r>
    <x v="30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87"/>
    <s v="Jay-R Lizardo"/>
    <m/>
  </r>
  <r>
    <x v="30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87"/>
    <s v="Jay-R Lizardo"/>
    <m/>
  </r>
  <r>
    <x v="30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87"/>
    <s v="Jay-R Lizardo"/>
    <m/>
  </r>
  <r>
    <x v="30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87"/>
    <s v="Jay-R Lizardo"/>
    <m/>
  </r>
  <r>
    <x v="30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87"/>
    <s v="Jay-R Lizardo"/>
    <m/>
  </r>
  <r>
    <x v="30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87"/>
    <s v="Jay-R Lizardo"/>
    <m/>
  </r>
  <r>
    <x v="30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87"/>
    <s v="Rayneil Reas"/>
    <m/>
  </r>
  <r>
    <x v="30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87"/>
    <s v="Rayneil Reas"/>
    <m/>
  </r>
  <r>
    <x v="30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87"/>
    <s v="Rayneil Reas"/>
    <m/>
  </r>
  <r>
    <x v="30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87"/>
    <s v="Rayneil Reas"/>
    <m/>
  </r>
  <r>
    <x v="30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87"/>
    <s v="Rayneil Reas"/>
    <m/>
  </r>
  <r>
    <x v="30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87"/>
    <s v="Rayneil Reas"/>
    <m/>
  </r>
  <r>
    <x v="30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87"/>
    <s v="Rayneil Reas"/>
    <m/>
  </r>
  <r>
    <x v="30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87"/>
    <s v="Rayneil Reas"/>
    <m/>
  </r>
  <r>
    <x v="30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87"/>
    <s v="Rayneil Reas"/>
    <m/>
  </r>
  <r>
    <x v="30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87"/>
    <s v="Rayneil Reas"/>
    <m/>
  </r>
  <r>
    <x v="30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87"/>
    <s v="Rayneil Reas"/>
    <m/>
  </r>
  <r>
    <x v="30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87"/>
    <s v="Rayneil Reas"/>
    <m/>
  </r>
  <r>
    <x v="30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87"/>
    <s v="Rayneil Reas"/>
    <m/>
  </r>
  <r>
    <x v="30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84"/>
    <s v="Tetyana Kimmel"/>
    <m/>
  </r>
  <r>
    <x v="30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84"/>
    <s v="Tetyana Kimmel"/>
    <m/>
  </r>
  <r>
    <x v="30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0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0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0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0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0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0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0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0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0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0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0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0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0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0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0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0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0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0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84"/>
    <s v="Ruby Grace Garcia"/>
    <m/>
  </r>
  <r>
    <x v="30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84"/>
    <s v="Jay-R Lizardo"/>
    <m/>
  </r>
  <r>
    <x v="31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84"/>
    <s v="Ruby Grace Garcia"/>
    <m/>
  </r>
  <r>
    <x v="31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84"/>
    <s v="Ruby Grace Garcia"/>
    <m/>
  </r>
  <r>
    <x v="31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84"/>
    <s v="Ruby Grace Garcia"/>
    <m/>
  </r>
  <r>
    <x v="31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84"/>
    <s v="Ruby Grace Garcia"/>
    <m/>
  </r>
  <r>
    <x v="31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84"/>
    <s v="Ruby Grace Garcia"/>
    <m/>
  </r>
  <r>
    <x v="31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84"/>
    <s v="Ruby Grace Garcia"/>
    <m/>
  </r>
  <r>
    <x v="31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84"/>
    <s v="Ruby Grace Garcia"/>
    <m/>
  </r>
  <r>
    <x v="31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84"/>
    <s v="Ruby Grace Garcia"/>
    <m/>
  </r>
  <r>
    <x v="31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84"/>
    <s v="Ruby Grace Garcia"/>
    <m/>
  </r>
  <r>
    <x v="31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84"/>
    <s v="Ruby Grace Garcia"/>
    <m/>
  </r>
  <r>
    <x v="31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84"/>
    <s v="Ruby Grace Garcia"/>
    <m/>
  </r>
  <r>
    <x v="31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84"/>
    <s v="Erjo Miguel Tagle"/>
    <m/>
  </r>
  <r>
    <x v="31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84"/>
    <s v="Erjo Miguel Tagle"/>
    <m/>
  </r>
  <r>
    <x v="31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84"/>
    <s v="Erjo Miguel Tagle"/>
    <m/>
  </r>
  <r>
    <x v="31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84"/>
    <s v="Erjo Miguel Tagle"/>
    <m/>
  </r>
  <r>
    <x v="31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84"/>
    <s v="Erjo Miguel Tagle"/>
    <m/>
  </r>
  <r>
    <x v="31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84"/>
    <s v="Erjo Miguel Tagle"/>
    <m/>
  </r>
  <r>
    <x v="31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84"/>
    <s v="Erjo Miguel Tagle"/>
    <m/>
  </r>
  <r>
    <x v="31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84"/>
    <s v="Erjo Miguel Tagle"/>
    <m/>
  </r>
  <r>
    <x v="31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84"/>
    <s v="Erjo Miguel Tagle"/>
    <m/>
  </r>
  <r>
    <x v="31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84"/>
    <s v="Erjo Miguel Tagle"/>
    <m/>
  </r>
  <r>
    <x v="31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83"/>
    <s v="Henry Ifurung Jr."/>
    <m/>
  </r>
  <r>
    <x v="31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83"/>
    <s v="Jojeff Tagnong"/>
    <m/>
  </r>
  <r>
    <x v="31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82"/>
    <s v="Henry Ifurung Jr."/>
    <m/>
  </r>
  <r>
    <x v="31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82"/>
    <s v="Henry Ifurung Jr."/>
    <m/>
  </r>
  <r>
    <x v="31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82"/>
    <s v="Henry Ifurung Jr."/>
    <m/>
  </r>
  <r>
    <x v="31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82"/>
    <s v="Henry Ifurung Jr."/>
    <m/>
  </r>
  <r>
    <x v="31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82"/>
    <s v="Henry Ifurung Jr."/>
    <m/>
  </r>
  <r>
    <x v="31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82"/>
    <s v="Henry Ifurung Jr."/>
    <m/>
  </r>
  <r>
    <x v="31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82"/>
    <s v="Henry Ifurung Jr."/>
    <m/>
  </r>
  <r>
    <x v="31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81"/>
    <s v="Lakshmi Shree"/>
    <m/>
  </r>
  <r>
    <x v="31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81"/>
    <s v="Jojeff Tagnong"/>
    <m/>
  </r>
  <r>
    <x v="31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81"/>
    <s v="Jojeff Tagnong"/>
    <m/>
  </r>
  <r>
    <x v="31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80"/>
    <s v="Jojeff Tagnong"/>
    <m/>
  </r>
  <r>
    <x v="31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80"/>
    <s v="Jojeff Tagnong"/>
    <m/>
  </r>
  <r>
    <x v="31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80"/>
    <s v="Jojeff Tagnong"/>
    <m/>
  </r>
  <r>
    <x v="31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80"/>
    <s v="Jojeff Tagnong"/>
    <m/>
  </r>
  <r>
    <x v="31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80"/>
    <s v="Jojeff Tagnong"/>
    <m/>
  </r>
  <r>
    <x v="31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80"/>
    <s v="Jojeff Tagnong"/>
    <m/>
  </r>
  <r>
    <x v="31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80"/>
    <s v="Jojeff Tagnong"/>
    <m/>
  </r>
  <r>
    <x v="31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80"/>
    <s v="Jojeff Tagnong"/>
    <m/>
  </r>
  <r>
    <x v="31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80"/>
    <s v="Jojeff Tagnong"/>
    <m/>
  </r>
  <r>
    <x v="31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80"/>
    <s v="Jojeff Tagnong"/>
    <m/>
  </r>
  <r>
    <x v="31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80"/>
    <s v="Jojeff Tagnong"/>
    <m/>
  </r>
  <r>
    <x v="31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80"/>
    <s v="Jojeff Tagnong"/>
    <m/>
  </r>
  <r>
    <x v="31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80"/>
    <s v="Jojeff Tagnong"/>
    <m/>
  </r>
  <r>
    <x v="31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80"/>
    <s v="Jojeff Tagnong"/>
    <m/>
  </r>
  <r>
    <x v="31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80"/>
    <s v="Jojeff Tagnong"/>
    <m/>
  </r>
  <r>
    <x v="31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80"/>
    <s v="Jojeff Tagnong"/>
    <m/>
  </r>
  <r>
    <x v="31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80"/>
    <s v="Jojeff Tagnong"/>
    <m/>
  </r>
  <r>
    <x v="31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80"/>
    <s v="Jojeff Tagnong"/>
    <m/>
  </r>
  <r>
    <x v="31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80"/>
    <s v="Jojeff Tagnong"/>
    <m/>
  </r>
  <r>
    <x v="31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80"/>
    <s v="Jojeff Tagnong"/>
    <m/>
  </r>
  <r>
    <x v="31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80"/>
    <s v="Jojeff Tagnong"/>
    <m/>
  </r>
  <r>
    <x v="31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80"/>
    <s v="Jojeff Tagnong"/>
    <m/>
  </r>
  <r>
    <x v="31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80"/>
    <s v="Jojeff Tagnong"/>
    <m/>
  </r>
  <r>
    <x v="31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80"/>
    <s v="Jojeff Tagnong"/>
    <m/>
  </r>
  <r>
    <x v="31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80"/>
    <s v="Jojeff Tagnong"/>
    <m/>
  </r>
  <r>
    <x v="31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80"/>
    <s v="Jojeff Tagnong"/>
    <m/>
  </r>
  <r>
    <x v="31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80"/>
    <s v="Jojeff Tagnong"/>
    <m/>
  </r>
  <r>
    <x v="31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80"/>
    <s v="Jojeff Tagnong"/>
    <m/>
  </r>
  <r>
    <x v="31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80"/>
    <s v="Jojeff Tagnong"/>
    <m/>
  </r>
  <r>
    <x v="31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80"/>
    <s v="Jojeff Tagnong"/>
    <m/>
  </r>
  <r>
    <x v="31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80"/>
    <s v="Jojeff Tagnong"/>
    <m/>
  </r>
  <r>
    <x v="31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80"/>
    <s v="Jojeff Tagnong"/>
    <m/>
  </r>
  <r>
    <x v="31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80"/>
    <s v="Jojeff Tagnong"/>
    <m/>
  </r>
  <r>
    <x v="31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80"/>
    <s v="Jojeff Tagnong"/>
    <m/>
  </r>
  <r>
    <x v="31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80"/>
    <s v="Jojeff Tagnong"/>
    <m/>
  </r>
  <r>
    <x v="31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80"/>
    <s v="Jojeff Tagnong"/>
    <m/>
  </r>
  <r>
    <x v="31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1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80"/>
    <s v="Jojeff Tagnong"/>
    <m/>
  </r>
  <r>
    <x v="32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80"/>
    <s v="Lakshmi Shree"/>
    <m/>
  </r>
  <r>
    <x v="32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79"/>
    <s v="Maria Rosario Go"/>
    <m/>
  </r>
  <r>
    <x v="32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79"/>
    <s v="Maria Rosario Go"/>
    <m/>
  </r>
  <r>
    <x v="32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79"/>
    <s v="Maria Rosario Go"/>
    <m/>
  </r>
  <r>
    <x v="32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79"/>
    <s v="Maria Rosario Go"/>
    <m/>
  </r>
  <r>
    <x v="32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79"/>
    <s v="Maria Rosario Go"/>
    <m/>
  </r>
  <r>
    <x v="32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79"/>
    <s v="Maria Rosario Go"/>
    <m/>
  </r>
  <r>
    <x v="32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79"/>
    <s v="Maria Rosario Go"/>
    <m/>
  </r>
  <r>
    <x v="32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79"/>
    <s v="Maria Rosario Go"/>
    <m/>
  </r>
  <r>
    <x v="32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79"/>
    <s v="Maria Rosario Go"/>
    <m/>
  </r>
  <r>
    <x v="32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79"/>
    <s v="Maria Rosario Go"/>
    <m/>
  </r>
  <r>
    <x v="32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79"/>
    <s v="Maria Rosario Go"/>
    <m/>
  </r>
  <r>
    <x v="32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79"/>
    <s v="Maria Rosario Go"/>
    <m/>
  </r>
  <r>
    <x v="32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79"/>
    <s v="Maria Rosario Go"/>
    <m/>
  </r>
  <r>
    <x v="32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79"/>
    <s v="Maria Rosario Go"/>
    <m/>
  </r>
  <r>
    <x v="32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79"/>
    <s v="Maria Rosario Go"/>
    <m/>
  </r>
  <r>
    <x v="32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79"/>
    <s v="Maria Rosario Go"/>
    <m/>
  </r>
  <r>
    <x v="32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79"/>
    <s v="Maria Rosario Go"/>
    <m/>
  </r>
  <r>
    <x v="32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79"/>
    <s v="Maria Rosario Go"/>
    <m/>
  </r>
  <r>
    <x v="32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79"/>
    <s v="Maria Rosario Go"/>
    <m/>
  </r>
  <r>
    <x v="324"/>
    <x v="0"/>
    <x v="2"/>
    <s v="D00123100000000"/>
    <s v="P000001013"/>
    <s v="P000001013"/>
    <s v="Non-LFF"/>
    <s v=""/>
    <m/>
    <b v="1"/>
    <x v="3"/>
    <x v="3"/>
    <d v="2025-08-18T00:00:00"/>
    <m/>
    <m/>
    <x v="1"/>
    <n v="78"/>
    <s v="Roselle Delos Angeles"/>
    <m/>
  </r>
  <r>
    <x v="324"/>
    <x v="0"/>
    <x v="2"/>
    <s v="DP000016000000"/>
    <s v="P000001016"/>
    <s v="P000001016"/>
    <s v="Non-LFF"/>
    <s v=""/>
    <m/>
    <b v="1"/>
    <x v="3"/>
    <x v="3"/>
    <d v="2025-08-18T00:00:00"/>
    <m/>
    <m/>
    <x v="1"/>
    <n v="78"/>
    <s v="Roselle Delos Angeles"/>
    <m/>
  </r>
  <r>
    <x v="324"/>
    <x v="0"/>
    <x v="2"/>
    <s v="DP000013000000"/>
    <s v="P000001016"/>
    <s v="P000001016"/>
    <s v="Non-LFF"/>
    <s v=""/>
    <m/>
    <b v="1"/>
    <x v="3"/>
    <x v="3"/>
    <d v="2025-08-18T00:00:00"/>
    <m/>
    <m/>
    <x v="1"/>
    <n v="78"/>
    <s v="Roselle Delos Angeles"/>
    <m/>
  </r>
  <r>
    <x v="324"/>
    <x v="0"/>
    <x v="2"/>
    <s v="DP000023000000"/>
    <s v="P000001010"/>
    <s v="P000001010"/>
    <s v="Non-LFF"/>
    <s v=""/>
    <m/>
    <b v="1"/>
    <x v="3"/>
    <x v="3"/>
    <d v="2025-08-18T00:00:00"/>
    <m/>
    <m/>
    <x v="1"/>
    <n v="78"/>
    <s v="Roselle Delos Angeles"/>
    <m/>
  </r>
  <r>
    <x v="32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78"/>
    <s v="Roselle Delos Angeles"/>
    <m/>
  </r>
  <r>
    <x v="32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78"/>
    <s v="John Rowie Del Rosario"/>
    <m/>
  </r>
  <r>
    <x v="32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78"/>
    <s v="John Poulie Borromeo"/>
    <m/>
  </r>
  <r>
    <x v="32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78"/>
    <s v="John Poulie Borromeo"/>
    <m/>
  </r>
  <r>
    <x v="32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78"/>
    <s v="John Poulie Borromeo"/>
    <m/>
  </r>
  <r>
    <x v="32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78"/>
    <s v="John Poulie Borromeo"/>
    <m/>
  </r>
  <r>
    <x v="32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78"/>
    <s v="John Poulie Borromeo"/>
    <m/>
  </r>
  <r>
    <x v="32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78"/>
    <s v="John Poulie Borromeo"/>
    <m/>
  </r>
  <r>
    <x v="32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78"/>
    <s v="John Poulie Borromeo"/>
    <m/>
  </r>
  <r>
    <x v="32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78"/>
    <s v="John Poulie Borromeo"/>
    <m/>
  </r>
  <r>
    <x v="32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78"/>
    <s v="John Poulie Borromeo"/>
    <m/>
  </r>
  <r>
    <x v="32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78"/>
    <s v="John Poulie Borromeo"/>
    <m/>
  </r>
  <r>
    <x v="32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78"/>
    <s v="John Poulie Borromeo"/>
    <m/>
  </r>
  <r>
    <x v="32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78"/>
    <s v="John Poulie Borromeo"/>
    <m/>
  </r>
  <r>
    <x v="32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77"/>
    <s v="John Poulie Borromeo"/>
    <m/>
  </r>
  <r>
    <x v="32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77"/>
    <s v="John Poulie Borromeo"/>
    <m/>
  </r>
  <r>
    <x v="32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77"/>
    <s v="John Poulie Borromeo"/>
    <m/>
  </r>
  <r>
    <x v="32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77"/>
    <s v="John Poulie Borromeo"/>
    <m/>
  </r>
  <r>
    <x v="32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77"/>
    <s v="John Poulie Borromeo"/>
    <m/>
  </r>
  <r>
    <x v="32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77"/>
    <s v="John Poulie Borromeo"/>
    <m/>
  </r>
  <r>
    <x v="32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77"/>
    <s v="John Poulie Borromeo"/>
    <m/>
  </r>
  <r>
    <x v="32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77"/>
    <s v="John Poulie Borromeo"/>
    <m/>
  </r>
  <r>
    <x v="32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77"/>
    <s v="Ruby Grace Garcia"/>
    <m/>
  </r>
  <r>
    <x v="32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77"/>
    <s v="Ruby Grace Garcia"/>
    <m/>
  </r>
  <r>
    <x v="32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77"/>
    <s v="Lakshmi Shree"/>
    <m/>
  </r>
  <r>
    <x v="330"/>
    <x v="0"/>
    <x v="2"/>
    <s v="CSCALA_1248$PSDO "/>
    <s v="L000013858"/>
    <s v="L000013858"/>
    <s v="Non-LFF"/>
    <s v=""/>
    <m/>
    <b v="1"/>
    <x v="2"/>
    <x v="3"/>
    <d v="2025-08-19T00:00:00"/>
    <m/>
    <m/>
    <x v="1"/>
    <n v="77"/>
    <s v="Joan Rose Pena"/>
    <m/>
  </r>
  <r>
    <x v="33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3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3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3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3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3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3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3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3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3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3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3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3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3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3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74"/>
    <s v="Ruby Grace Garcia"/>
    <m/>
  </r>
  <r>
    <x v="33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3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74"/>
    <s v="Ruby Grace Garcia"/>
    <m/>
  </r>
  <r>
    <x v="33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74"/>
    <s v="Ruby Grace Garcia"/>
    <m/>
  </r>
  <r>
    <x v="33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74"/>
    <s v="Lawrence Olsheski"/>
    <m/>
  </r>
  <r>
    <x v="33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74"/>
    <s v="Lawrence Olsheski"/>
    <m/>
  </r>
  <r>
    <x v="33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74"/>
    <s v="Lawrence Olsheski"/>
    <m/>
  </r>
  <r>
    <x v="33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74"/>
    <s v="Lawrence Olsheski"/>
    <m/>
  </r>
  <r>
    <x v="33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74"/>
    <s v="Lawrence Olsheski"/>
    <m/>
  </r>
  <r>
    <x v="33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74"/>
    <s v="Lawrence Olsheski"/>
    <m/>
  </r>
  <r>
    <x v="33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74"/>
    <s v="Lawrence Olsheski"/>
    <m/>
  </r>
  <r>
    <x v="33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74"/>
    <s v="Lawrence Olsheski"/>
    <m/>
  </r>
  <r>
    <x v="33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74"/>
    <s v="Lawrence Olsheski"/>
    <m/>
  </r>
  <r>
    <x v="33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74"/>
    <s v="Lawrence Olsheski"/>
    <m/>
  </r>
  <r>
    <x v="33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74"/>
    <s v="Lawrence Olsheski"/>
    <m/>
  </r>
  <r>
    <x v="33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73"/>
    <s v="Ruby Grace Garcia"/>
    <m/>
  </r>
  <r>
    <x v="33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73"/>
    <s v="Ruby Grace Garcia"/>
    <m/>
  </r>
  <r>
    <x v="33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73"/>
    <s v="Ruby Grace Garcia"/>
    <m/>
  </r>
  <r>
    <x v="33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73"/>
    <s v="Ruby Grace Garcia"/>
    <m/>
  </r>
  <r>
    <x v="33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73"/>
    <s v="Ruby Grace Garcia"/>
    <m/>
  </r>
  <r>
    <x v="33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72"/>
    <s v="Ruby Grace Garcia"/>
    <m/>
  </r>
  <r>
    <x v="33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72"/>
    <s v="Ruby Grace Garcia"/>
    <m/>
  </r>
  <r>
    <x v="33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72"/>
    <s v="Ruby Grace Garcia"/>
    <m/>
  </r>
  <r>
    <x v="33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72"/>
    <s v="Ruby Grace Garcia"/>
    <m/>
  </r>
  <r>
    <x v="33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72"/>
    <s v="Ruby Grace Garcia"/>
    <m/>
  </r>
  <r>
    <x v="33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72"/>
    <s v="Ruby Grace Garcia"/>
    <m/>
  </r>
  <r>
    <x v="33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CSCALA_1759$E346"/>
    <s v="H000003613"/>
    <s v="H000003613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CSCALA_1759$E345"/>
    <s v="H000003613"/>
    <s v="H000003613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CSCALA_1759$E347"/>
    <s v="H000003613"/>
    <s v="H000003613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CSCALA_1759$E348"/>
    <s v="H000003613"/>
    <s v="H000003613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CSCALA_1759$E349"/>
    <s v="H000003613"/>
    <s v="H000003613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CSCALA_1759$E350"/>
    <s v="H000003613"/>
    <s v="H000003613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CSCALA_1759$C217"/>
    <s v="H000003613"/>
    <s v="H000003613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CSCALA_1759$R105"/>
    <s v="H000003613"/>
    <s v="H000003613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CSCALA_1759$R106"/>
    <s v="H000003613"/>
    <s v="H000003613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CSCALA_1759$R108"/>
    <s v="H000003613"/>
    <s v="H000003613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CSCALA_1759$TEAN"/>
    <s v="H000003613"/>
    <s v="H000003613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3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3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72"/>
    <s v="Marcus Morowski"/>
    <m/>
  </r>
  <r>
    <x v="33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72"/>
    <s v="Marcus Morowski"/>
    <m/>
  </r>
  <r>
    <x v="33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72"/>
    <s v="Marcus Morowski"/>
    <m/>
  </r>
  <r>
    <x v="33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72"/>
    <s v="Marcus Morowski"/>
    <m/>
  </r>
  <r>
    <x v="33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72"/>
    <s v="Marcus Morowski"/>
    <m/>
  </r>
  <r>
    <x v="33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3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3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3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3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3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3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3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3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3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3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3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3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3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3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3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3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72"/>
    <s v="Rayneil Reas"/>
    <m/>
  </r>
  <r>
    <x v="33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72"/>
    <s v="Rayneil Reas"/>
    <m/>
  </r>
  <r>
    <x v="33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72"/>
    <s v="Rayneil Reas"/>
    <m/>
  </r>
  <r>
    <x v="33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72"/>
    <s v="Robert Coman"/>
    <m/>
  </r>
  <r>
    <x v="33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72"/>
    <s v="Robert Coman"/>
    <m/>
  </r>
  <r>
    <x v="33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72"/>
    <s v="Robert Coman"/>
    <m/>
  </r>
  <r>
    <x v="33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72"/>
    <s v="Robert Coman"/>
    <m/>
  </r>
  <r>
    <x v="33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72"/>
    <s v="Robert Coman"/>
    <m/>
  </r>
  <r>
    <x v="33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72"/>
    <s v="Robert Coman"/>
    <m/>
  </r>
  <r>
    <x v="33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72"/>
    <s v="Robert Coman"/>
    <m/>
  </r>
  <r>
    <x v="33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72"/>
    <s v="Robert Coman"/>
    <m/>
  </r>
  <r>
    <x v="33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72"/>
    <s v="Robert Coman"/>
    <m/>
  </r>
  <r>
    <x v="33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72"/>
    <s v="Robert Coman"/>
    <m/>
  </r>
  <r>
    <x v="33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72"/>
    <s v="Robert Coman"/>
    <m/>
  </r>
  <r>
    <x v="33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72"/>
    <s v="Robert Coman"/>
    <m/>
  </r>
  <r>
    <x v="33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72"/>
    <s v="Robert Coman"/>
    <m/>
  </r>
  <r>
    <x v="33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72"/>
    <s v="Robert Coman"/>
    <m/>
  </r>
  <r>
    <x v="33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72"/>
    <s v="Robert Coman"/>
    <m/>
  </r>
  <r>
    <x v="33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72"/>
    <s v="Robert Coman"/>
    <m/>
  </r>
  <r>
    <x v="33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72"/>
    <s v="Robert Coman"/>
    <m/>
  </r>
  <r>
    <x v="33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72"/>
    <s v="Robert Coman"/>
    <m/>
  </r>
  <r>
    <x v="33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72"/>
    <s v="Robert Coman"/>
    <m/>
  </r>
  <r>
    <x v="33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72"/>
    <s v="Robert Coman"/>
    <m/>
  </r>
  <r>
    <x v="33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72"/>
    <s v="Robert Coman"/>
    <m/>
  </r>
  <r>
    <x v="33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72"/>
    <s v="Robert Coman"/>
    <m/>
  </r>
  <r>
    <x v="33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72"/>
    <s v="Robert Coman"/>
    <m/>
  </r>
  <r>
    <x v="33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72"/>
    <s v="Robert Coman"/>
    <m/>
  </r>
  <r>
    <x v="33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72"/>
    <s v="Robert Coman"/>
    <m/>
  </r>
  <r>
    <x v="33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72"/>
    <s v="Robert Coman"/>
    <m/>
  </r>
  <r>
    <x v="33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72"/>
    <s v="Robert Coman"/>
    <m/>
  </r>
  <r>
    <x v="33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72"/>
    <s v="Robert Coman"/>
    <m/>
  </r>
  <r>
    <x v="33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72"/>
    <s v="Robert Coman"/>
    <m/>
  </r>
  <r>
    <x v="33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72"/>
    <s v="Robert Coman"/>
    <m/>
  </r>
  <r>
    <x v="33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72"/>
    <s v="Robert Coman"/>
    <m/>
  </r>
  <r>
    <x v="33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72"/>
    <s v="Robert Coman"/>
    <m/>
  </r>
  <r>
    <x v="33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72"/>
    <s v="Robert Coman"/>
    <m/>
  </r>
  <r>
    <x v="33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72"/>
    <s v="Robert Coman"/>
    <m/>
  </r>
  <r>
    <x v="33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72"/>
    <s v="Robert Coman"/>
    <m/>
  </r>
  <r>
    <x v="33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72"/>
    <s v="Robert Coman"/>
    <m/>
  </r>
  <r>
    <x v="33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72"/>
    <s v="Robert Coman"/>
    <m/>
  </r>
  <r>
    <x v="33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72"/>
    <s v="Robert Coman"/>
    <m/>
  </r>
  <r>
    <x v="33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72"/>
    <s v="Robert Coman"/>
    <m/>
  </r>
  <r>
    <x v="33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72"/>
    <s v="Robert Coman"/>
    <m/>
  </r>
  <r>
    <x v="33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72"/>
    <s v="Robert Coman"/>
    <m/>
  </r>
  <r>
    <x v="33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72"/>
    <s v="Robert Coman"/>
    <m/>
  </r>
  <r>
    <x v="33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72"/>
    <s v="Robert Coman"/>
    <m/>
  </r>
  <r>
    <x v="33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72"/>
    <s v="Robert Coman"/>
    <m/>
  </r>
  <r>
    <x v="33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72"/>
    <s v="Robert Coman"/>
    <m/>
  </r>
  <r>
    <x v="33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72"/>
    <s v="Robert Coman"/>
    <m/>
  </r>
  <r>
    <x v="33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72"/>
    <s v="Robert Coman"/>
    <m/>
  </r>
  <r>
    <x v="33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72"/>
    <s v="Robert Coman"/>
    <m/>
  </r>
  <r>
    <x v="33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72"/>
    <s v="Robert Coman"/>
    <m/>
  </r>
  <r>
    <x v="33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72"/>
    <s v="Robert Coman"/>
    <m/>
  </r>
  <r>
    <x v="33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72"/>
    <s v="Robert Coman"/>
    <m/>
  </r>
  <r>
    <x v="33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72"/>
    <s v="Robert Coman"/>
    <m/>
  </r>
  <r>
    <x v="33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72"/>
    <s v="Robert Coman"/>
    <m/>
  </r>
  <r>
    <x v="33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72"/>
    <s v="Robert Coman"/>
    <m/>
  </r>
  <r>
    <x v="33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72"/>
    <s v="Robert Coman"/>
    <m/>
  </r>
  <r>
    <x v="33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72"/>
    <s v="Robert Coman"/>
    <m/>
  </r>
  <r>
    <x v="33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72"/>
    <s v="Robert Coman"/>
    <m/>
  </r>
  <r>
    <x v="33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72"/>
    <s v="Robert Coman"/>
    <m/>
  </r>
  <r>
    <x v="33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72"/>
    <s v="Robert Coman"/>
    <m/>
  </r>
  <r>
    <x v="33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72"/>
    <s v="Robert Coman"/>
    <m/>
  </r>
  <r>
    <x v="33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72"/>
    <s v="Robert Coman"/>
    <m/>
  </r>
  <r>
    <x v="33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72"/>
    <s v="Robert Coman"/>
    <m/>
  </r>
  <r>
    <x v="33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72"/>
    <s v="Robert Coman"/>
    <m/>
  </r>
  <r>
    <x v="33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72"/>
    <s v="Robert Coman"/>
    <m/>
  </r>
  <r>
    <x v="33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72"/>
    <s v="Robert Coman"/>
    <m/>
  </r>
  <r>
    <x v="33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72"/>
    <s v="Robert Coman"/>
    <m/>
  </r>
  <r>
    <x v="33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72"/>
    <s v="Robert Coman"/>
    <m/>
  </r>
  <r>
    <x v="33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72"/>
    <s v="Robert Coman"/>
    <m/>
  </r>
  <r>
    <x v="33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72"/>
    <s v="Robert Coman"/>
    <m/>
  </r>
  <r>
    <x v="33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72"/>
    <s v="Robert Coman"/>
    <m/>
  </r>
  <r>
    <x v="33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72"/>
    <s v="Robert Coman"/>
    <m/>
  </r>
  <r>
    <x v="33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72"/>
    <s v="Robert Coman"/>
    <m/>
  </r>
  <r>
    <x v="33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72"/>
    <s v="Robert Coman"/>
    <m/>
  </r>
  <r>
    <x v="33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72"/>
    <s v="Robert Coman"/>
    <m/>
  </r>
  <r>
    <x v="33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72"/>
    <s v="Robert Coman"/>
    <m/>
  </r>
  <r>
    <x v="33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72"/>
    <s v="Robert Coman"/>
    <m/>
  </r>
  <r>
    <x v="33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72"/>
    <s v="Robert Coman"/>
    <m/>
  </r>
  <r>
    <x v="33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72"/>
    <s v="Robert Coman"/>
    <m/>
  </r>
  <r>
    <x v="33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72"/>
    <s v="Robert Coman"/>
    <m/>
  </r>
  <r>
    <x v="33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72"/>
    <s v="Robert Coman"/>
    <m/>
  </r>
  <r>
    <x v="33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72"/>
    <s v="Robert Coman"/>
    <m/>
  </r>
  <r>
    <x v="33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72"/>
    <s v="Robert Coman"/>
    <m/>
  </r>
  <r>
    <x v="33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72"/>
    <s v="Robert Coman"/>
    <m/>
  </r>
  <r>
    <x v="33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72"/>
    <s v="Robert Coman"/>
    <m/>
  </r>
  <r>
    <x v="33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72"/>
    <s v="Robert Coman"/>
    <m/>
  </r>
  <r>
    <x v="33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72"/>
    <s v="Robert Coman"/>
    <m/>
  </r>
  <r>
    <x v="33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72"/>
    <s v="Robert Coman"/>
    <m/>
  </r>
  <r>
    <x v="33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72"/>
    <s v="Robert Coman"/>
    <m/>
  </r>
  <r>
    <x v="33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72"/>
    <s v="Robert Coman"/>
    <m/>
  </r>
  <r>
    <x v="33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72"/>
    <s v="Robert Coman"/>
    <m/>
  </r>
  <r>
    <x v="33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72"/>
    <s v="Robert Coman"/>
    <m/>
  </r>
  <r>
    <x v="33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72"/>
    <s v="Robert Coman"/>
    <m/>
  </r>
  <r>
    <x v="33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72"/>
    <s v="Robert Coman"/>
    <m/>
  </r>
  <r>
    <x v="33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72"/>
    <s v="Robert Coman"/>
    <m/>
  </r>
  <r>
    <x v="33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72"/>
    <s v="Robert Coman"/>
    <m/>
  </r>
  <r>
    <x v="33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72"/>
    <s v="Robert Coman"/>
    <m/>
  </r>
  <r>
    <x v="33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72"/>
    <s v="Robert Coman"/>
    <m/>
  </r>
  <r>
    <x v="33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72"/>
    <s v="Robert Coman"/>
    <m/>
  </r>
  <r>
    <x v="33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72"/>
    <s v="Robert Coman"/>
    <m/>
  </r>
  <r>
    <x v="33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72"/>
    <s v="Robert Coman"/>
    <m/>
  </r>
  <r>
    <x v="33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72"/>
    <s v="Robert Coman"/>
    <m/>
  </r>
  <r>
    <x v="33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72"/>
    <s v="Robert Coman"/>
    <m/>
  </r>
  <r>
    <x v="33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72"/>
    <s v="Robert Coman"/>
    <m/>
  </r>
  <r>
    <x v="33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72"/>
    <s v="Robert Coman"/>
    <m/>
  </r>
  <r>
    <x v="33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72"/>
    <s v="Robert Coman"/>
    <m/>
  </r>
  <r>
    <x v="33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72"/>
    <s v="Robert Coman"/>
    <m/>
  </r>
  <r>
    <x v="33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72"/>
    <s v="Robert Coman"/>
    <m/>
  </r>
  <r>
    <x v="33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72"/>
    <s v="Robert Coman"/>
    <m/>
  </r>
  <r>
    <x v="33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72"/>
    <s v="Robert Coman"/>
    <m/>
  </r>
  <r>
    <x v="33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72"/>
    <s v="Robert Coman"/>
    <m/>
  </r>
  <r>
    <x v="33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72"/>
    <s v="Robert Coman"/>
    <m/>
  </r>
  <r>
    <x v="33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72"/>
    <s v="Robert Coman"/>
    <m/>
  </r>
  <r>
    <x v="33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72"/>
    <s v="Robert Coman"/>
    <m/>
  </r>
  <r>
    <x v="33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72"/>
    <s v="Robert Coman"/>
    <m/>
  </r>
  <r>
    <x v="34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70"/>
    <s v="Jay-R Lizardo"/>
    <m/>
  </r>
  <r>
    <x v="34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70"/>
    <s v="Jay-R Lizardo"/>
    <m/>
  </r>
  <r>
    <x v="34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70"/>
    <s v="Jay-R Lizardo"/>
    <m/>
  </r>
  <r>
    <x v="34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70"/>
    <s v="Jay-R Lizardo"/>
    <m/>
  </r>
  <r>
    <x v="34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70"/>
    <s v="Jay-R Lizardo"/>
    <m/>
  </r>
  <r>
    <x v="34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70"/>
    <s v="Joan Rose Pena"/>
    <m/>
  </r>
  <r>
    <x v="34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70"/>
    <s v="Joan Rose Pena"/>
    <m/>
  </r>
  <r>
    <x v="34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70"/>
    <s v="Joan Rose Pena"/>
    <m/>
  </r>
  <r>
    <x v="34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70"/>
    <s v="Joan Rose Pena"/>
    <m/>
  </r>
  <r>
    <x v="34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70"/>
    <s v="Joan Rose Pena"/>
    <m/>
  </r>
  <r>
    <x v="34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70"/>
    <s v="Joan Rose Pena"/>
    <m/>
  </r>
  <r>
    <x v="34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70"/>
    <s v="Joan Rose Pena"/>
    <m/>
  </r>
  <r>
    <x v="34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70"/>
    <s v="Jojeff Tagnong"/>
    <m/>
  </r>
  <r>
    <x v="34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70"/>
    <s v="Jojeff Tagnong"/>
    <m/>
  </r>
  <r>
    <x v="34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70"/>
    <s v="Jojeff Tagnong"/>
    <m/>
  </r>
  <r>
    <x v="34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70"/>
    <s v="Robert Coman"/>
    <m/>
  </r>
  <r>
    <x v="34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69"/>
    <s v="Rayneil Reas"/>
    <m/>
  </r>
  <r>
    <x v="34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69"/>
    <s v="Rayneil Reas"/>
    <m/>
  </r>
  <r>
    <x v="34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68"/>
    <s v="Lakshmi Shree"/>
    <m/>
  </r>
  <r>
    <x v="34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68"/>
    <s v="Jay-R Lizardo"/>
    <m/>
  </r>
  <r>
    <x v="34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68"/>
    <s v="Jay-R Lizardo"/>
    <m/>
  </r>
  <r>
    <x v="34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68"/>
    <s v="Jay-R Lizardo"/>
    <m/>
  </r>
  <r>
    <x v="34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68"/>
    <s v="Jay-R Lizardo"/>
    <m/>
  </r>
  <r>
    <x v="34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68"/>
    <s v="Jay-R Lizardo"/>
    <m/>
  </r>
  <r>
    <x v="34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68"/>
    <s v="Jay-R Lizardo"/>
    <m/>
  </r>
  <r>
    <x v="34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68"/>
    <s v="Jay-R Lizardo"/>
    <m/>
  </r>
  <r>
    <x v="34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68"/>
    <s v="Jay-R Lizardo"/>
    <m/>
  </r>
  <r>
    <x v="34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68"/>
    <s v="Jay-R Lizardo"/>
    <m/>
  </r>
  <r>
    <x v="34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68"/>
    <s v="Jay-R Lizardo"/>
    <m/>
  </r>
  <r>
    <x v="34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68"/>
    <s v="Jay-R Lizardo"/>
    <m/>
  </r>
  <r>
    <x v="34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68"/>
    <s v="Jay-R Lizardo"/>
    <m/>
  </r>
  <r>
    <x v="34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68"/>
    <s v="Jay-R Lizardo"/>
    <m/>
  </r>
  <r>
    <x v="34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68"/>
    <s v="Jay-R Lizardo"/>
    <m/>
  </r>
  <r>
    <x v="34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68"/>
    <s v="Jay-R Lizardo"/>
    <m/>
  </r>
  <r>
    <x v="34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68"/>
    <s v="Jay-R Lizardo"/>
    <m/>
  </r>
  <r>
    <x v="34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68"/>
    <s v="Jay-R Lizardo"/>
    <m/>
  </r>
  <r>
    <x v="34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67"/>
    <s v="Joan Rose Pena"/>
    <m/>
  </r>
  <r>
    <x v="34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67"/>
    <s v="Robert Coman"/>
    <m/>
  </r>
  <r>
    <x v="34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67"/>
    <s v="Robert Coman"/>
    <m/>
  </r>
  <r>
    <x v="34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67"/>
    <s v="Robert Coman"/>
    <m/>
  </r>
  <r>
    <x v="34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67"/>
    <s v="Robert Coman"/>
    <m/>
  </r>
  <r>
    <x v="34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67"/>
    <s v="Robert Coman"/>
    <m/>
  </r>
  <r>
    <x v="34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67"/>
    <s v="Robert Coman"/>
    <m/>
  </r>
  <r>
    <x v="34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67"/>
    <s v="Robert Coman"/>
    <m/>
  </r>
  <r>
    <x v="34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67"/>
    <s v="Robert Coman"/>
    <m/>
  </r>
  <r>
    <x v="34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67"/>
    <s v="Robert Coman"/>
    <m/>
  </r>
  <r>
    <x v="34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67"/>
    <s v="Robert Coman"/>
    <m/>
  </r>
  <r>
    <x v="34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67"/>
    <s v="Robert Coman"/>
    <m/>
  </r>
  <r>
    <x v="34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67"/>
    <s v="Robert Coman"/>
    <m/>
  </r>
  <r>
    <x v="34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67"/>
    <s v="Robert Coman"/>
    <m/>
  </r>
  <r>
    <x v="34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67"/>
    <s v="Robert Coman"/>
    <m/>
  </r>
  <r>
    <x v="34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67"/>
    <s v="Robert Coman"/>
    <m/>
  </r>
  <r>
    <x v="34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67"/>
    <s v="Robert Coman"/>
    <m/>
  </r>
  <r>
    <x v="34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67"/>
    <s v="Robert Coman"/>
    <m/>
  </r>
  <r>
    <x v="34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67"/>
    <s v="Robert Coman"/>
    <m/>
  </r>
  <r>
    <x v="34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67"/>
    <s v="Robert Coman"/>
    <m/>
  </r>
  <r>
    <x v="34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67"/>
    <s v="Robert Coman"/>
    <m/>
  </r>
  <r>
    <x v="34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67"/>
    <s v="Robert Coman"/>
    <m/>
  </r>
  <r>
    <x v="34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67"/>
    <s v="Robert Coman"/>
    <m/>
  </r>
  <r>
    <x v="34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67"/>
    <s v="Robert Coman"/>
    <m/>
  </r>
  <r>
    <x v="34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67"/>
    <s v="Robert Coman"/>
    <m/>
  </r>
  <r>
    <x v="34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67"/>
    <s v="Robert Coman"/>
    <m/>
  </r>
  <r>
    <x v="34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67"/>
    <s v="Robert Coman"/>
    <m/>
  </r>
  <r>
    <x v="34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67"/>
    <s v="Robert Coman"/>
    <m/>
  </r>
  <r>
    <x v="34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67"/>
    <s v="Robert Coman"/>
    <m/>
  </r>
  <r>
    <x v="34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67"/>
    <s v="Robert Coman"/>
    <m/>
  </r>
  <r>
    <x v="34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67"/>
    <s v="Robert Coman"/>
    <m/>
  </r>
  <r>
    <x v="34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67"/>
    <s v="Robert Coman"/>
    <m/>
  </r>
  <r>
    <x v="34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67"/>
    <s v="Robert Coman"/>
    <m/>
  </r>
  <r>
    <x v="34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67"/>
    <s v="Robert Coman"/>
    <m/>
  </r>
  <r>
    <x v="34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67"/>
    <s v="Robert Coman"/>
    <m/>
  </r>
  <r>
    <x v="34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67"/>
    <s v="Robert Coman"/>
    <m/>
  </r>
  <r>
    <x v="34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67"/>
    <s v="Robert Coman"/>
    <m/>
  </r>
  <r>
    <x v="34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67"/>
    <s v="Robert Coman"/>
    <m/>
  </r>
  <r>
    <x v="34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67"/>
    <s v="Robert Coman"/>
    <m/>
  </r>
  <r>
    <x v="34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67"/>
    <s v="Robert Coman"/>
    <m/>
  </r>
  <r>
    <x v="34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67"/>
    <s v="Robert Coman"/>
    <m/>
  </r>
  <r>
    <x v="34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67"/>
    <s v="Robert Coman"/>
    <m/>
  </r>
  <r>
    <x v="34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67"/>
    <s v="Robert Coman"/>
    <m/>
  </r>
  <r>
    <x v="34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67"/>
    <s v="Robert Coman"/>
    <m/>
  </r>
  <r>
    <x v="34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67"/>
    <s v="Robert Coman"/>
    <m/>
  </r>
  <r>
    <x v="34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67"/>
    <s v="Robert Coman"/>
    <m/>
  </r>
  <r>
    <x v="34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67"/>
    <s v="Robert Coman"/>
    <m/>
  </r>
  <r>
    <x v="34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67"/>
    <s v="Robert Coman"/>
    <m/>
  </r>
  <r>
    <x v="34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67"/>
    <s v="Robert Coman"/>
    <m/>
  </r>
  <r>
    <x v="34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67"/>
    <s v="Robert Coman"/>
    <m/>
  </r>
  <r>
    <x v="34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67"/>
    <s v="Robert Coman"/>
    <m/>
  </r>
  <r>
    <x v="34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67"/>
    <s v="Robert Coman"/>
    <m/>
  </r>
  <r>
    <x v="34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67"/>
    <s v="Robert Coman"/>
    <m/>
  </r>
  <r>
    <x v="34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67"/>
    <s v="Robert Coman"/>
    <m/>
  </r>
  <r>
    <x v="34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67"/>
    <s v="Robert Coman"/>
    <m/>
  </r>
  <r>
    <x v="34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67"/>
    <s v="Robert Coman"/>
    <m/>
  </r>
  <r>
    <x v="34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67"/>
    <s v="Robert Coman"/>
    <m/>
  </r>
  <r>
    <x v="34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67"/>
    <s v="Robert Coman"/>
    <m/>
  </r>
  <r>
    <x v="34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67"/>
    <s v="Robert Coman"/>
    <m/>
  </r>
  <r>
    <x v="34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67"/>
    <s v="Robert Coman"/>
    <m/>
  </r>
  <r>
    <x v="34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67"/>
    <s v="Robert Coman"/>
    <m/>
  </r>
  <r>
    <x v="34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67"/>
    <s v="Robert Coman"/>
    <m/>
  </r>
  <r>
    <x v="34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67"/>
    <s v="Robert Coman"/>
    <m/>
  </r>
  <r>
    <x v="34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67"/>
    <s v="Robert Coman"/>
    <m/>
  </r>
  <r>
    <x v="34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67"/>
    <s v="Robert Coman"/>
    <m/>
  </r>
  <r>
    <x v="34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67"/>
    <s v="Robert Coman"/>
    <m/>
  </r>
  <r>
    <x v="34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67"/>
    <s v="Robert Coman"/>
    <m/>
  </r>
  <r>
    <x v="34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67"/>
    <s v="Robert Coman"/>
    <m/>
  </r>
  <r>
    <x v="34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67"/>
    <s v="Robert Coman"/>
    <m/>
  </r>
  <r>
    <x v="34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67"/>
    <s v="Robert Coman"/>
    <m/>
  </r>
  <r>
    <x v="34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67"/>
    <s v="Robert Coman"/>
    <m/>
  </r>
  <r>
    <x v="34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67"/>
    <s v="Robert Coman"/>
    <m/>
  </r>
  <r>
    <x v="34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67"/>
    <s v="Robert Coman"/>
    <m/>
  </r>
  <r>
    <x v="34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67"/>
    <s v="Robert Coman"/>
    <m/>
  </r>
  <r>
    <x v="34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67"/>
    <s v="Robert Coman"/>
    <m/>
  </r>
  <r>
    <x v="34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67"/>
    <s v="Robert Coman"/>
    <m/>
  </r>
  <r>
    <x v="34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67"/>
    <s v="Robert Coman"/>
    <m/>
  </r>
  <r>
    <x v="34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67"/>
    <s v="Robert Coman"/>
    <m/>
  </r>
  <r>
    <x v="34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67"/>
    <s v="Robert Coman"/>
    <m/>
  </r>
  <r>
    <x v="34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67"/>
    <s v="Robert Coman"/>
    <m/>
  </r>
  <r>
    <x v="34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67"/>
    <s v="Robert Coman"/>
    <m/>
  </r>
  <r>
    <x v="34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67"/>
    <s v="Robert Coman"/>
    <m/>
  </r>
  <r>
    <x v="34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67"/>
    <s v="Robert Coman"/>
    <m/>
  </r>
  <r>
    <x v="34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67"/>
    <s v="Robert Coman"/>
    <m/>
  </r>
  <r>
    <x v="34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67"/>
    <s v="Robert Coman"/>
    <m/>
  </r>
  <r>
    <x v="34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67"/>
    <s v="Robert Coman"/>
    <m/>
  </r>
  <r>
    <x v="34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67"/>
    <s v="Robert Coman"/>
    <m/>
  </r>
  <r>
    <x v="34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67"/>
    <s v="Robert Coman"/>
    <m/>
  </r>
  <r>
    <x v="34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67"/>
    <s v="Robert Coman"/>
    <m/>
  </r>
  <r>
    <x v="34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67"/>
    <s v="Robert Coman"/>
    <m/>
  </r>
  <r>
    <x v="34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67"/>
    <s v="Robert Coman"/>
    <m/>
  </r>
  <r>
    <x v="34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67"/>
    <s v="Robert Coman"/>
    <m/>
  </r>
  <r>
    <x v="34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67"/>
    <s v="Robert Coman"/>
    <m/>
  </r>
  <r>
    <x v="34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67"/>
    <s v="Robert Coman"/>
    <m/>
  </r>
  <r>
    <x v="34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67"/>
    <s v="Robert Coman"/>
    <m/>
  </r>
  <r>
    <x v="34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67"/>
    <s v="Robert Coman"/>
    <m/>
  </r>
  <r>
    <x v="34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67"/>
    <s v="Robert Coman"/>
    <m/>
  </r>
  <r>
    <x v="34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67"/>
    <s v="Robert Coman"/>
    <m/>
  </r>
  <r>
    <x v="34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67"/>
    <s v="Robert Coman"/>
    <m/>
  </r>
  <r>
    <x v="34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67"/>
    <s v="Robert Coman"/>
    <m/>
  </r>
  <r>
    <x v="34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67"/>
    <s v="Robert Coman"/>
    <m/>
  </r>
  <r>
    <x v="34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67"/>
    <s v="Robert Coman"/>
    <m/>
  </r>
  <r>
    <x v="34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67"/>
    <s v="Robert Coman"/>
    <m/>
  </r>
  <r>
    <x v="34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67"/>
    <s v="Robert Coman"/>
    <m/>
  </r>
  <r>
    <x v="34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67"/>
    <s v="Robert Coman"/>
    <m/>
  </r>
  <r>
    <x v="34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67"/>
    <s v="Robert Coman"/>
    <m/>
  </r>
  <r>
    <x v="34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67"/>
    <s v="Robert Coman"/>
    <m/>
  </r>
  <r>
    <x v="34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67"/>
    <s v="Robert Coman"/>
    <m/>
  </r>
  <r>
    <x v="34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67"/>
    <s v="Robert Coman"/>
    <m/>
  </r>
  <r>
    <x v="34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67"/>
    <s v="Robert Coman"/>
    <m/>
  </r>
  <r>
    <x v="34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67"/>
    <s v="Robert Coman"/>
    <m/>
  </r>
  <r>
    <x v="34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67"/>
    <s v="Robert Coman"/>
    <m/>
  </r>
  <r>
    <x v="34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67"/>
    <s v="Robert Coman"/>
    <m/>
  </r>
  <r>
    <x v="34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67"/>
    <s v="Robert Coman"/>
    <m/>
  </r>
  <r>
    <x v="34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67"/>
    <s v="Lakshmi Shree"/>
    <m/>
  </r>
  <r>
    <x v="35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63"/>
    <s v="Robert Coman"/>
    <m/>
  </r>
  <r>
    <x v="35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63"/>
    <s v="Robert Coman"/>
    <m/>
  </r>
  <r>
    <x v="35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63"/>
    <s v="Robert Coman"/>
    <m/>
  </r>
  <r>
    <x v="35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63"/>
    <s v="Robert Coman"/>
    <m/>
  </r>
  <r>
    <x v="35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63"/>
    <s v="Robert Coman"/>
    <m/>
  </r>
  <r>
    <x v="35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63"/>
    <s v="Robert Coman"/>
    <m/>
  </r>
  <r>
    <x v="35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63"/>
    <s v="Robert Coman"/>
    <m/>
  </r>
  <r>
    <x v="35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63"/>
    <s v="Robert Coman"/>
    <m/>
  </r>
  <r>
    <x v="35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63"/>
    <s v="Robert Coman"/>
    <m/>
  </r>
  <r>
    <x v="35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63"/>
    <s v="Robert Coman"/>
    <m/>
  </r>
  <r>
    <x v="35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63"/>
    <s v="Robert Coman"/>
    <m/>
  </r>
  <r>
    <x v="35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63"/>
    <s v="Jojeff Tagnong"/>
    <m/>
  </r>
  <r>
    <x v="35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62"/>
    <s v="Jojeff Tagnong"/>
    <m/>
  </r>
  <r>
    <x v="35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62"/>
    <s v="Jojeff Tagnong"/>
    <m/>
  </r>
  <r>
    <x v="35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62"/>
    <s v="Jojeff Tagnong"/>
    <m/>
  </r>
  <r>
    <x v="35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62"/>
    <s v="Jojeff Tagnong"/>
    <m/>
  </r>
  <r>
    <x v="35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62"/>
    <s v="Jojeff Tagnong"/>
    <m/>
  </r>
  <r>
    <x v="35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62"/>
    <s v="Jojeff Tagnong"/>
    <m/>
  </r>
  <r>
    <x v="35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62"/>
    <s v="Jojeff Tagnong"/>
    <m/>
  </r>
  <r>
    <x v="35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62"/>
    <s v="Jojeff Tagnong"/>
    <m/>
  </r>
  <r>
    <x v="35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62"/>
    <s v="Jojeff Tagnong"/>
    <m/>
  </r>
  <r>
    <x v="35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62"/>
    <s v="Jojeff Tagnong"/>
    <m/>
  </r>
  <r>
    <x v="35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62"/>
    <s v="Jojeff Tagnong"/>
    <m/>
  </r>
  <r>
    <x v="35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62"/>
    <s v="Jojeff Tagnong"/>
    <m/>
  </r>
  <r>
    <x v="35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62"/>
    <s v="Jojeff Tagnong"/>
    <m/>
  </r>
  <r>
    <x v="35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62"/>
    <s v="Jojeff Tagnong"/>
    <m/>
  </r>
  <r>
    <x v="352"/>
    <x v="0"/>
    <x v="2"/>
    <s v="CSCALA_1820$A806"/>
    <s v="G000001103"/>
    <s v="G000001103"/>
    <s v="Non-LFF"/>
    <s v=""/>
    <m/>
    <b v="1"/>
    <x v="0"/>
    <x v="3"/>
    <d v="2025-09-09T00:00:00"/>
    <m/>
    <m/>
    <x v="1"/>
    <n v="62"/>
    <s v="Jojeff Tagnong"/>
    <m/>
  </r>
  <r>
    <x v="35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62"/>
    <s v="Jojeff Tagnong"/>
    <m/>
  </r>
  <r>
    <x v="35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62"/>
    <s v="Jojeff Tagnong"/>
    <m/>
  </r>
  <r>
    <x v="35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62"/>
    <s v="Marcus Morowski"/>
    <m/>
  </r>
  <r>
    <x v="354"/>
    <x v="0"/>
    <x v="2"/>
    <s v="CSCALA_1022$ITX"/>
    <s v="G000001356"/>
    <s v="G000001356"/>
    <s v="Non-LFF"/>
    <s v=""/>
    <m/>
    <b v="1"/>
    <x v="0"/>
    <x v="3"/>
    <d v="2025-09-09T00:00:00"/>
    <m/>
    <m/>
    <x v="1"/>
    <n v="62"/>
    <s v="Jay-R Lizardo"/>
    <m/>
  </r>
  <r>
    <x v="35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62"/>
    <s v="Robert Coman"/>
    <m/>
  </r>
  <r>
    <x v="35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2"/>
    <s v="Robert Coman"/>
    <m/>
  </r>
  <r>
    <x v="35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62"/>
    <s v="Robert Coman"/>
    <m/>
  </r>
  <r>
    <x v="35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2"/>
    <s v="Robert Coman"/>
    <m/>
  </r>
  <r>
    <x v="35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62"/>
    <s v="Julistair Malto"/>
    <m/>
  </r>
  <r>
    <x v="35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62"/>
    <s v="Julistair Malto"/>
    <m/>
  </r>
  <r>
    <x v="35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62"/>
    <s v="Julistair Malto"/>
    <m/>
  </r>
  <r>
    <x v="35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62"/>
    <s v="Julistair Malto"/>
    <m/>
  </r>
  <r>
    <x v="35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62"/>
    <s v="Julistair Malto"/>
    <m/>
  </r>
  <r>
    <x v="35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62"/>
    <s v="John Rowie Del Rosario"/>
    <m/>
  </r>
  <r>
    <x v="35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62"/>
    <s v="John Rowie Del Rosario"/>
    <m/>
  </r>
  <r>
    <x v="35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62"/>
    <s v="John Rowie Del Rosario"/>
    <m/>
  </r>
  <r>
    <x v="35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59"/>
    <s v="Roselle Delos Angeles"/>
    <m/>
  </r>
  <r>
    <x v="35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59"/>
    <s v="Roselle Delos Angeles"/>
    <m/>
  </r>
  <r>
    <x v="35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59"/>
    <s v="Roselle Delos Angeles"/>
    <m/>
  </r>
  <r>
    <x v="35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59"/>
    <s v="Roselle Delos Angeles"/>
    <m/>
  </r>
  <r>
    <x v="35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59"/>
    <s v="Roselle Delos Angeles"/>
    <m/>
  </r>
  <r>
    <x v="35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59"/>
    <s v="Roselle Delos Angeles"/>
    <m/>
  </r>
  <r>
    <x v="35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59"/>
    <s v="Roselle Delos Angeles"/>
    <m/>
  </r>
  <r>
    <x v="35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59"/>
    <s v="Roselle Delos Angeles"/>
    <m/>
  </r>
  <r>
    <x v="35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59"/>
    <s v="Roselle Delos Angeles"/>
    <m/>
  </r>
  <r>
    <x v="35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58"/>
    <s v="Yanhua Sha"/>
    <m/>
  </r>
  <r>
    <x v="36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57"/>
    <s v="Ruby Grace Garcia"/>
    <m/>
  </r>
  <r>
    <x v="36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57"/>
    <s v="Ruby Grace Garcia"/>
    <m/>
  </r>
  <r>
    <x v="36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57"/>
    <s v="Ruby Grace Garcia"/>
    <m/>
  </r>
  <r>
    <x v="36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57"/>
    <s v="Ruby Grace Garcia"/>
    <m/>
  </r>
  <r>
    <x v="36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57"/>
    <s v="Ruby Grace Garcia"/>
    <m/>
  </r>
  <r>
    <x v="36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57"/>
    <s v="Ruby Grace Garcia"/>
    <m/>
  </r>
  <r>
    <x v="36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56"/>
    <s v="Henry Ifurung Jr."/>
    <m/>
  </r>
  <r>
    <x v="36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56"/>
    <s v="Henry Ifurung Jr."/>
    <m/>
  </r>
  <r>
    <x v="36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56"/>
    <s v="Henry Ifurung Jr."/>
    <m/>
  </r>
  <r>
    <x v="36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56"/>
    <s v="Henry Ifurung Jr."/>
    <m/>
  </r>
  <r>
    <x v="36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56"/>
    <s v="Henry Ifurung Jr."/>
    <m/>
  </r>
  <r>
    <x v="36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56"/>
    <s v="Henry Ifurung Jr."/>
    <m/>
  </r>
  <r>
    <x v="36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56"/>
    <s v="Henry Ifurung Jr."/>
    <m/>
  </r>
  <r>
    <x v="36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56"/>
    <s v="Henry Ifurung Jr."/>
    <m/>
  </r>
  <r>
    <x v="36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56"/>
    <s v="Henry Ifurung Jr."/>
    <m/>
  </r>
  <r>
    <x v="36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56"/>
    <s v="Henry Ifurung Jr."/>
    <m/>
  </r>
  <r>
    <x v="36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56"/>
    <s v="Henry Ifurung Jr."/>
    <m/>
  </r>
  <r>
    <x v="36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56"/>
    <s v="Henry Ifurung Jr."/>
    <m/>
  </r>
  <r>
    <x v="36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56"/>
    <s v="Henry Ifurung Jr."/>
    <m/>
  </r>
  <r>
    <x v="36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56"/>
    <s v="Henry Ifurung Jr."/>
    <m/>
  </r>
  <r>
    <x v="36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56"/>
    <s v="Henry Ifurung Jr."/>
    <m/>
  </r>
  <r>
    <x v="36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6"/>
    <s v="Henry Ifurung Jr."/>
    <m/>
  </r>
  <r>
    <x v="36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6"/>
    <s v="Henry Ifurung Jr."/>
    <m/>
  </r>
  <r>
    <x v="36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56"/>
    <s v="Michelle Xu"/>
    <m/>
  </r>
  <r>
    <x v="36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56"/>
    <s v="Michelle Xu"/>
    <m/>
  </r>
  <r>
    <x v="36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56"/>
    <s v="Michelle Xu"/>
    <m/>
  </r>
  <r>
    <x v="36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55"/>
    <s v="Roselle Delos Angeles"/>
    <m/>
  </r>
  <r>
    <x v="36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55"/>
    <s v="Roselle Delos Angeles"/>
    <m/>
  </r>
  <r>
    <x v="36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55"/>
    <s v="Roselle Delos Angeles"/>
    <m/>
  </r>
  <r>
    <x v="363"/>
    <x v="0"/>
    <x v="2"/>
    <s v="T00028600000"/>
    <s v="P000001321"/>
    <s v="P000001321"/>
    <s v="Non-LFF"/>
    <s v=""/>
    <m/>
    <b v="1"/>
    <x v="3"/>
    <x v="3"/>
    <d v="2025-09-18T00:00:00"/>
    <m/>
    <m/>
    <x v="1"/>
    <n v="55"/>
    <s v="Roselle Delos Angeles"/>
    <m/>
  </r>
  <r>
    <x v="36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55"/>
    <s v="Roselle Delos Angeles"/>
    <m/>
  </r>
  <r>
    <x v="36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55"/>
    <s v="Roselle Delos Angeles"/>
    <m/>
  </r>
  <r>
    <x v="36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55"/>
    <s v="Roselle Delos Angeles"/>
    <m/>
  </r>
  <r>
    <x v="36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55"/>
    <s v="Roselle Delos Angeles"/>
    <m/>
  </r>
  <r>
    <x v="36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55"/>
    <s v="Roselle Delos Angeles"/>
    <m/>
  </r>
  <r>
    <x v="36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55"/>
    <s v="Roselle Delos Angeles"/>
    <m/>
  </r>
  <r>
    <x v="36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55"/>
    <s v="Roselle Delos Angeles"/>
    <m/>
  </r>
  <r>
    <x v="36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55"/>
    <s v="Roselle Delos Angeles"/>
    <m/>
  </r>
  <r>
    <x v="36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54"/>
    <s v="Roselle Delos Angeles"/>
    <m/>
  </r>
  <r>
    <x v="36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54"/>
    <s v="Roselle Delos Angeles"/>
    <m/>
  </r>
  <r>
    <x v="36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54"/>
    <s v="Roselle Delos Angeles"/>
    <m/>
  </r>
  <r>
    <x v="36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54"/>
    <s v="Roselle Delos Angeles"/>
    <m/>
  </r>
  <r>
    <x v="36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54"/>
    <s v="Roselle Delos Angeles"/>
    <m/>
  </r>
  <r>
    <x v="36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54"/>
    <s v="Roselle Delos Angeles"/>
    <m/>
  </r>
  <r>
    <x v="36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54"/>
    <s v="Roselle Delos Angeles"/>
    <m/>
  </r>
  <r>
    <x v="36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54"/>
    <s v="Roselle Delos Angeles"/>
    <m/>
  </r>
  <r>
    <x v="36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54"/>
    <s v="Roselle Delos Angeles"/>
    <m/>
  </r>
  <r>
    <x v="36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54"/>
    <s v="Roselle Delos Angeles"/>
    <m/>
  </r>
  <r>
    <x v="36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54"/>
    <s v="Roselle Delos Angeles"/>
    <m/>
  </r>
  <r>
    <x v="36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54"/>
    <s v="Roselle Delos Angeles"/>
    <m/>
  </r>
  <r>
    <x v="36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51"/>
    <s v="Ruby Grace Garcia"/>
    <m/>
  </r>
  <r>
    <x v="366"/>
    <x v="0"/>
    <x v="2"/>
    <s v="D30013500000000"/>
    <s v="L000006623"/>
    <s v="L000006623"/>
    <s v="Non-LFF"/>
    <s v=""/>
    <m/>
    <b v="1"/>
    <x v="2"/>
    <x v="3"/>
    <d v="2025-09-24T00:00:00"/>
    <m/>
    <m/>
    <x v="1"/>
    <n v="51"/>
    <s v="Ruby Grace Garcia"/>
    <m/>
  </r>
  <r>
    <x v="36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51"/>
    <s v="Henry Ifurung Jr."/>
    <m/>
  </r>
  <r>
    <x v="36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51"/>
    <s v="Henry Ifurung Jr."/>
    <m/>
  </r>
  <r>
    <x v="36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51"/>
    <s v="Henry Ifurung Jr."/>
    <m/>
  </r>
  <r>
    <x v="36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51"/>
    <s v="Henry Ifurung Jr."/>
    <m/>
  </r>
  <r>
    <x v="36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51"/>
    <s v="Henry Ifurung Jr."/>
    <m/>
  </r>
  <r>
    <x v="36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51"/>
    <s v="Henry Ifurung Jr."/>
    <m/>
  </r>
  <r>
    <x v="36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51"/>
    <s v="Henry Ifurung Jr."/>
    <m/>
  </r>
  <r>
    <x v="36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51"/>
    <s v="Henry Ifurung Jr."/>
    <m/>
  </r>
  <r>
    <x v="36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51"/>
    <s v="Henry Ifurung Jr."/>
    <m/>
  </r>
  <r>
    <x v="36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51"/>
    <s v="Henry Ifurung Jr."/>
    <m/>
  </r>
  <r>
    <x v="36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51"/>
    <s v="Henry Ifurung Jr."/>
    <m/>
  </r>
  <r>
    <x v="36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51"/>
    <s v="Henry Ifurung Jr."/>
    <m/>
  </r>
  <r>
    <x v="36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51"/>
    <s v="Henry Ifurung Jr."/>
    <m/>
  </r>
  <r>
    <x v="36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51"/>
    <s v="Henry Ifurung Jr."/>
    <m/>
  </r>
  <r>
    <x v="36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51"/>
    <s v="Henry Ifurung Jr."/>
    <m/>
  </r>
  <r>
    <x v="36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51"/>
    <s v="Henry Ifurung Jr."/>
    <m/>
  </r>
  <r>
    <x v="36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51"/>
    <s v="Henry Ifurung Jr."/>
    <m/>
  </r>
  <r>
    <x v="36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51"/>
    <s v="Henry Ifurung Jr."/>
    <m/>
  </r>
  <r>
    <x v="36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51"/>
    <s v="Henry Ifurung Jr."/>
    <m/>
  </r>
  <r>
    <x v="36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51"/>
    <s v="Henry Ifurung Jr."/>
    <m/>
  </r>
  <r>
    <x v="36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51"/>
    <s v="Henry Ifurung Jr."/>
    <m/>
  </r>
  <r>
    <x v="36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51"/>
    <s v="Henry Ifurung Jr."/>
    <m/>
  </r>
  <r>
    <x v="36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51"/>
    <s v="Henry Ifurung Jr."/>
    <m/>
  </r>
  <r>
    <x v="36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51"/>
    <s v="Henry Ifurung Jr."/>
    <m/>
  </r>
  <r>
    <x v="36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51"/>
    <s v="Henry Ifurung Jr."/>
    <m/>
  </r>
  <r>
    <x v="36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51"/>
    <s v="Henry Ifurung Jr."/>
    <m/>
  </r>
  <r>
    <x v="36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51"/>
    <s v="Henry Ifurung Jr."/>
    <m/>
  </r>
  <r>
    <x v="36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51"/>
    <s v="Henry Ifurung Jr."/>
    <m/>
  </r>
  <r>
    <x v="36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51"/>
    <s v="Henry Ifurung Jr."/>
    <m/>
  </r>
  <r>
    <x v="36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51"/>
    <s v="Henry Ifurung Jr."/>
    <m/>
  </r>
  <r>
    <x v="36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51"/>
    <s v="Henry Ifurung Jr."/>
    <m/>
  </r>
  <r>
    <x v="36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51"/>
    <s v="Henry Ifurung Jr."/>
    <m/>
  </r>
  <r>
    <x v="36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51"/>
    <s v="Henry Ifurung Jr."/>
    <m/>
  </r>
  <r>
    <x v="36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51"/>
    <s v="Henry Ifurung Jr."/>
    <m/>
  </r>
  <r>
    <x v="36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51"/>
    <s v="Henry Ifurung Jr."/>
    <m/>
  </r>
  <r>
    <x v="36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51"/>
    <s v="Henry Ifurung Jr."/>
    <m/>
  </r>
  <r>
    <x v="36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51"/>
    <s v="Henry Ifurung Jr."/>
    <m/>
  </r>
  <r>
    <x v="36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51"/>
    <s v="Henry Ifurung Jr."/>
    <m/>
  </r>
  <r>
    <x v="36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51"/>
    <s v="Henry Ifurung Jr."/>
    <m/>
  </r>
  <r>
    <x v="36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51"/>
    <s v="Henry Ifurung Jr."/>
    <m/>
  </r>
  <r>
    <x v="36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51"/>
    <s v="Henry Ifurung Jr."/>
    <m/>
  </r>
  <r>
    <x v="36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51"/>
    <s v="Henry Ifurung Jr."/>
    <m/>
  </r>
  <r>
    <x v="36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51"/>
    <s v="Henry Ifurung Jr."/>
    <m/>
  </r>
  <r>
    <x v="36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51"/>
    <s v="Henry Ifurung Jr."/>
    <m/>
  </r>
  <r>
    <x v="36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51"/>
    <s v="Henry Ifurung Jr."/>
    <m/>
  </r>
  <r>
    <x v="36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51"/>
    <s v="Henry Ifurung Jr."/>
    <m/>
  </r>
  <r>
    <x v="36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51"/>
    <s v="Henry Ifurung Jr."/>
    <m/>
  </r>
  <r>
    <x v="36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51"/>
    <s v="Henry Ifurung Jr."/>
    <m/>
  </r>
  <r>
    <x v="36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50"/>
    <s v="Ruby Grace Garcia"/>
    <m/>
  </r>
  <r>
    <x v="36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50"/>
    <s v="Ruby Grace Garcia"/>
    <m/>
  </r>
  <r>
    <x v="36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50"/>
    <s v="Roselle Delos Angeles"/>
    <m/>
  </r>
  <r>
    <x v="36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50"/>
    <s v="Roselle Delos Angeles"/>
    <m/>
  </r>
  <r>
    <x v="36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50"/>
    <s v="Roselle Delos Angeles"/>
    <m/>
  </r>
  <r>
    <x v="36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50"/>
    <s v="Roselle Delos Angeles"/>
    <m/>
  </r>
  <r>
    <x v="36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50"/>
    <s v="Roselle Delos Angeles"/>
    <m/>
  </r>
  <r>
    <x v="36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50"/>
    <s v="Roselle Delos Angeles"/>
    <m/>
  </r>
  <r>
    <x v="36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50"/>
    <s v="Roselle Delos Angeles"/>
    <m/>
  </r>
  <r>
    <x v="36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50"/>
    <s v="Roselle Delos Angeles"/>
    <m/>
  </r>
  <r>
    <x v="36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50"/>
    <s v="Roselle Delos Angeles"/>
    <m/>
  </r>
  <r>
    <x v="36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50"/>
    <s v="Roselle Delos Angeles"/>
    <m/>
  </r>
  <r>
    <x v="36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50"/>
    <s v="Roselle Delos Angeles"/>
    <m/>
  </r>
  <r>
    <x v="36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50"/>
    <s v="Roselle Delos Angeles"/>
    <m/>
  </r>
  <r>
    <x v="36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50"/>
    <s v="Roselle Delos Angeles"/>
    <m/>
  </r>
  <r>
    <x v="36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50"/>
    <s v="Roselle Delos Angeles"/>
    <m/>
  </r>
  <r>
    <x v="37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47"/>
    <s v="Jojeff Tagnong"/>
    <m/>
  </r>
  <r>
    <x v="37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46"/>
    <s v="Roselle Delos Angeles"/>
    <m/>
  </r>
  <r>
    <x v="37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46"/>
    <s v="Roselle Delos Angeles"/>
    <m/>
  </r>
  <r>
    <x v="37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46"/>
    <s v="Roselle Delos Angeles"/>
    <m/>
  </r>
  <r>
    <x v="37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46"/>
    <s v="Roselle Delos Angeles"/>
    <m/>
  </r>
  <r>
    <x v="37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46"/>
    <s v="Henry Ifurung Jr."/>
    <m/>
  </r>
  <r>
    <x v="37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46"/>
    <s v="Henry Ifurung Jr."/>
    <m/>
  </r>
  <r>
    <x v="373"/>
    <x v="0"/>
    <x v="2"/>
    <s v="CSCALA_1022$ITX"/>
    <s v="G000001356"/>
    <s v="G000001356"/>
    <s v="Non-LFF"/>
    <s v=""/>
    <m/>
    <b v="1"/>
    <x v="0"/>
    <x v="0"/>
    <d v="2025-10-03T00:00:00"/>
    <m/>
    <m/>
    <x v="1"/>
    <n v="44"/>
    <s v="Jay-R Lizardo"/>
    <m/>
  </r>
  <r>
    <x v="373"/>
    <x v="0"/>
    <x v="2"/>
    <s v="CSCALA_1042$PMIT"/>
    <s v="G000000277"/>
    <s v="G000000277"/>
    <s v="Non-LFF"/>
    <s v=""/>
    <m/>
    <b v="1"/>
    <x v="0"/>
    <x v="0"/>
    <d v="2025-10-03T00:00:00"/>
    <m/>
    <m/>
    <x v="1"/>
    <n v="44"/>
    <s v="Jay-R Lizardo"/>
    <m/>
  </r>
  <r>
    <x v="373"/>
    <x v="0"/>
    <x v="2"/>
    <s v="CSCALA_1042$ITIW"/>
    <s v="G000000282"/>
    <s v="G000000282"/>
    <s v="Non-LFF"/>
    <s v=""/>
    <m/>
    <b v="1"/>
    <x v="0"/>
    <x v="0"/>
    <d v="2025-10-03T00:00:00"/>
    <m/>
    <m/>
    <x v="1"/>
    <n v="44"/>
    <s v="Jay-R Lizardo"/>
    <m/>
  </r>
  <r>
    <x v="37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44"/>
    <s v="Jay-R Lizardo"/>
    <m/>
  </r>
  <r>
    <x v="37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44"/>
    <s v="Jay-R Lizardo"/>
    <m/>
  </r>
  <r>
    <x v="37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44"/>
    <s v="Jay-R Lizardo"/>
    <m/>
  </r>
  <r>
    <x v="37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44"/>
    <s v="Jay-R Lizardo"/>
    <m/>
  </r>
  <r>
    <x v="37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44"/>
    <s v="Jay-R Lizardo"/>
    <m/>
  </r>
  <r>
    <x v="37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44"/>
    <s v="Jay-R Lizardo"/>
    <m/>
  </r>
  <r>
    <x v="37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44"/>
    <s v="Jay-R Lizardo"/>
    <m/>
  </r>
  <r>
    <x v="37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44"/>
    <s v="Jay-R Lizardo"/>
    <m/>
  </r>
  <r>
    <x v="37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44"/>
    <s v="Jay-R Lizardo"/>
    <m/>
  </r>
  <r>
    <x v="37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44"/>
    <s v="Jay-R Lizardo"/>
    <m/>
  </r>
  <r>
    <x v="37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44"/>
    <s v="Jay-R Lizardo"/>
    <m/>
  </r>
  <r>
    <x v="37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44"/>
    <s v="Jay-R Lizardo"/>
    <m/>
  </r>
  <r>
    <x v="37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44"/>
    <s v="Jay-R Lizardo"/>
    <m/>
  </r>
  <r>
    <x v="37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44"/>
    <s v="Jay-R Lizardo"/>
    <m/>
  </r>
  <r>
    <x v="37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44"/>
    <s v="Jay-R Lizardo"/>
    <m/>
  </r>
  <r>
    <x v="37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44"/>
    <s v="Jay-R Lizardo"/>
    <m/>
  </r>
  <r>
    <x v="37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44"/>
    <s v="Jay-R Lizardo"/>
    <m/>
  </r>
  <r>
    <x v="37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44"/>
    <s v="Jay-R Lizardo"/>
    <m/>
  </r>
  <r>
    <x v="37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44"/>
    <s v="Ruby Grace Garcia"/>
    <m/>
  </r>
  <r>
    <x v="37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44"/>
    <s v="Ruby Grace Garcia"/>
    <m/>
  </r>
  <r>
    <x v="37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44"/>
    <s v="Ruby Grace Garcia"/>
    <m/>
  </r>
  <r>
    <x v="37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44"/>
    <s v="Ruby Grace Garcia"/>
    <m/>
  </r>
  <r>
    <x v="37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44"/>
    <s v="Ruby Grace Garcia"/>
    <m/>
  </r>
  <r>
    <x v="37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44"/>
    <s v="Ruby Grace Garcia"/>
    <m/>
  </r>
  <r>
    <x v="37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44"/>
    <s v="Ruby Grace Garcia"/>
    <m/>
  </r>
  <r>
    <x v="37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4"/>
    <s v="Ruby Grace Garcia"/>
    <m/>
  </r>
  <r>
    <x v="37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44"/>
    <s v="Ruby Grace Garcia"/>
    <m/>
  </r>
  <r>
    <x v="37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44"/>
    <s v="Ruby Grace Garcia"/>
    <m/>
  </r>
  <r>
    <x v="37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44"/>
    <s v="Ruby Grace Garcia"/>
    <m/>
  </r>
  <r>
    <x v="37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44"/>
    <s v="Ruby Grace Garcia"/>
    <m/>
  </r>
  <r>
    <x v="37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44"/>
    <s v="Ruby Grace Garcia"/>
    <m/>
  </r>
  <r>
    <x v="37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4"/>
    <s v="Ruby Grace Garcia"/>
    <m/>
  </r>
  <r>
    <x v="37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44"/>
    <s v="Ruby Grace Garcia"/>
    <m/>
  </r>
  <r>
    <x v="37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44"/>
    <s v="Ruby Grace Garcia"/>
    <m/>
  </r>
  <r>
    <x v="37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44"/>
    <s v="Ruby Grace Garcia"/>
    <m/>
  </r>
  <r>
    <x v="37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44"/>
    <s v="Ruby Grace Garcia"/>
    <m/>
  </r>
  <r>
    <x v="37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44"/>
    <s v="Ruby Grace Garcia"/>
    <m/>
  </r>
  <r>
    <x v="37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44"/>
    <s v="Ruby Grace Garcia"/>
    <m/>
  </r>
  <r>
    <x v="37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44"/>
    <s v="Ruby Grace Garcia"/>
    <m/>
  </r>
  <r>
    <x v="37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44"/>
    <s v="Ruby Grace Garcia"/>
    <m/>
  </r>
  <r>
    <x v="37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44"/>
    <s v="Ruby Grace Garcia"/>
    <m/>
  </r>
  <r>
    <x v="37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44"/>
    <s v="Ruby Grace Garcia"/>
    <m/>
  </r>
  <r>
    <x v="37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44"/>
    <s v="Jay-R Lizardo"/>
    <m/>
  </r>
  <r>
    <x v="37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44"/>
    <s v="Jay-R Lizardo"/>
    <m/>
  </r>
  <r>
    <x v="37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42"/>
    <s v="Henry Ifurung Jr."/>
    <m/>
  </r>
  <r>
    <x v="37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42"/>
    <s v="Henry Ifurung Jr."/>
    <m/>
  </r>
  <r>
    <x v="37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42"/>
    <s v="Ruby Grace Garcia"/>
    <m/>
  </r>
  <r>
    <x v="37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42"/>
    <s v="Ruby Grace Garcia"/>
    <m/>
  </r>
  <r>
    <x v="37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42"/>
    <s v="Ruby Grace Garcia"/>
    <m/>
  </r>
  <r>
    <x v="37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42"/>
    <s v="Ruby Grace Garcia"/>
    <m/>
  </r>
  <r>
    <x v="37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42"/>
    <s v="Ruby Grace Garcia"/>
    <m/>
  </r>
  <r>
    <x v="37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42"/>
    <s v="Ruby Grace Garcia"/>
    <m/>
  </r>
  <r>
    <x v="37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42"/>
    <s v="Ruby Grace Garcia"/>
    <m/>
  </r>
  <r>
    <x v="37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42"/>
    <s v="Ruby Grace Garcia"/>
    <m/>
  </r>
  <r>
    <x v="37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42"/>
    <s v="Ruby Grace Garcia"/>
    <m/>
  </r>
  <r>
    <x v="37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42"/>
    <s v="Ruby Grace Garcia"/>
    <m/>
  </r>
  <r>
    <x v="37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42"/>
    <s v="Ruby Grace Garcia"/>
    <m/>
  </r>
  <r>
    <x v="37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42"/>
    <s v="Ruby Grace Garcia"/>
    <m/>
  </r>
  <r>
    <x v="37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42"/>
    <s v="Ruby Grace Garcia"/>
    <m/>
  </r>
  <r>
    <x v="37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42"/>
    <s v="Ruby Grace Garcia"/>
    <m/>
  </r>
  <r>
    <x v="36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42"/>
    <s v="Roselle Delos Angeles"/>
    <m/>
  </r>
  <r>
    <x v="36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42"/>
    <s v="Roselle Delos Angeles"/>
    <m/>
  </r>
  <r>
    <x v="36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42"/>
    <s v="Roselle Delos Angeles"/>
    <m/>
  </r>
  <r>
    <x v="36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42"/>
    <s v="Roselle Delos Angeles"/>
    <m/>
  </r>
  <r>
    <x v="36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42"/>
    <s v="Roselle Delos Angeles"/>
    <m/>
  </r>
  <r>
    <x v="36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42"/>
    <s v="Roselle Delos Angeles"/>
    <m/>
  </r>
  <r>
    <x v="36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42"/>
    <s v="Roselle Delos Angeles"/>
    <m/>
  </r>
  <r>
    <x v="36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42"/>
    <s v="Roselle Delos Angeles"/>
    <m/>
  </r>
  <r>
    <x v="36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42"/>
    <s v="Roselle Delos Angeles"/>
    <m/>
  </r>
  <r>
    <x v="36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42"/>
    <s v="Roselle Delos Angeles"/>
    <m/>
  </r>
  <r>
    <x v="36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42"/>
    <s v="Roselle Delos Angeles"/>
    <m/>
  </r>
  <r>
    <x v="36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42"/>
    <s v="Roselle Delos Angeles"/>
    <m/>
  </r>
  <r>
    <x v="38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40"/>
    <s v="Ruby Grace Garcia"/>
    <m/>
  </r>
  <r>
    <x v="38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40"/>
    <s v="Ruby Grace Garcia"/>
    <m/>
  </r>
  <r>
    <x v="38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40"/>
    <s v="Ruby Grace Garcia"/>
    <m/>
  </r>
  <r>
    <x v="38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40"/>
    <s v="Ruby Grace Garcia"/>
    <m/>
  </r>
  <r>
    <x v="38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35"/>
    <s v="Ruby Grace Garcia"/>
    <m/>
  </r>
  <r>
    <x v="38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35"/>
    <s v="Erjo Miguel Tagle"/>
    <m/>
  </r>
  <r>
    <x v="38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35"/>
    <s v="Erjo Miguel Tagle"/>
    <m/>
  </r>
  <r>
    <x v="38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35"/>
    <s v="Diana William"/>
    <m/>
  </r>
  <r>
    <x v="38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35"/>
    <s v="Diana William"/>
    <m/>
  </r>
  <r>
    <x v="38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34"/>
    <s v="John Rowie Del Rosario"/>
    <m/>
  </r>
  <r>
    <x v="38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34"/>
    <s v="John Rowie Del Rosario"/>
    <m/>
  </r>
  <r>
    <x v="38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34"/>
    <s v="John Rowie Del Rosario"/>
    <m/>
  </r>
  <r>
    <x v="38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34"/>
    <s v="John Rowie Del Rosario"/>
    <m/>
  </r>
  <r>
    <x v="38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34"/>
    <s v="John Rowie Del Rosario"/>
    <m/>
  </r>
  <r>
    <x v="38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34"/>
    <s v="John Rowie Del Rosario"/>
    <m/>
  </r>
  <r>
    <x v="38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34"/>
    <s v="John Rowie Del Rosario"/>
    <m/>
  </r>
  <r>
    <x v="38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34"/>
    <s v="John Rowie Del Rosario"/>
    <m/>
  </r>
  <r>
    <x v="38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34"/>
    <s v="John Rowie Del Rosario"/>
    <m/>
  </r>
  <r>
    <x v="38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34"/>
    <s v="John Rowie Del Rosario"/>
    <m/>
  </r>
  <r>
    <x v="38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34"/>
    <s v="John Rowie Del Rosario"/>
    <m/>
  </r>
  <r>
    <x v="38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34"/>
    <s v="John Rowie Del Rosario"/>
    <m/>
  </r>
  <r>
    <x v="38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31"/>
    <s v="Ruby Grace Garcia"/>
    <m/>
  </r>
  <r>
    <x v="38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31"/>
    <s v="Ruby Grace Garcia"/>
    <m/>
  </r>
  <r>
    <x v="38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31"/>
    <s v="Ruby Grace Garcia"/>
    <m/>
  </r>
  <r>
    <x v="38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31"/>
    <s v="Ruby Grace Garcia"/>
    <m/>
  </r>
  <r>
    <x v="38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31"/>
    <s v="Ruby Grace Garcia"/>
    <m/>
  </r>
  <r>
    <x v="38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31"/>
    <s v="Ruby Grace Garcia"/>
    <m/>
  </r>
  <r>
    <x v="38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31"/>
    <s v="Paulina Ciepluch"/>
    <m/>
  </r>
  <r>
    <x v="38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31"/>
    <s v="Paulina Ciepluch"/>
    <m/>
  </r>
  <r>
    <x v="38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31"/>
    <s v="Paulina Ciepluch"/>
    <m/>
  </r>
  <r>
    <x v="38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31"/>
    <s v="Paulina Ciepluch"/>
    <m/>
  </r>
  <r>
    <x v="38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31"/>
    <s v="Paulina Ciepluch"/>
    <m/>
  </r>
  <r>
    <x v="38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31"/>
    <s v="Paulina Ciepluch"/>
    <m/>
  </r>
  <r>
    <x v="38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31"/>
    <s v="Paulina Ciepluch"/>
    <m/>
  </r>
  <r>
    <x v="38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31"/>
    <s v="Paulina Ciepluch"/>
    <m/>
  </r>
  <r>
    <x v="38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31"/>
    <s v="Paulina Ciepluch"/>
    <m/>
  </r>
  <r>
    <x v="38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31"/>
    <s v="Paulina Ciepluch"/>
    <m/>
  </r>
  <r>
    <x v="38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31"/>
    <s v="Paulina Ciepluch"/>
    <m/>
  </r>
  <r>
    <x v="38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31"/>
    <s v="Paulina Ciepluch"/>
    <m/>
  </r>
  <r>
    <x v="38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31"/>
    <s v="Paulina Ciepluch"/>
    <m/>
  </r>
  <r>
    <x v="38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31"/>
    <s v="Paulina Ciepluch"/>
    <m/>
  </r>
  <r>
    <x v="38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31"/>
    <s v="Paulina Ciepluch"/>
    <m/>
  </r>
  <r>
    <x v="38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31"/>
    <s v="Paulina Ciepluch"/>
    <m/>
  </r>
  <r>
    <x v="38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31"/>
    <s v="Paulina Ciepluch"/>
    <m/>
  </r>
  <r>
    <x v="38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31"/>
    <s v="Paulina Ciepluch"/>
    <m/>
  </r>
  <r>
    <x v="38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31"/>
    <s v="Paulina Ciepluch"/>
    <m/>
  </r>
  <r>
    <x v="38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31"/>
    <s v="Paulina Ciepluch"/>
    <m/>
  </r>
  <r>
    <x v="38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31"/>
    <s v="Anna Glab"/>
    <m/>
  </r>
  <r>
    <x v="38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31"/>
    <s v="Anna Glab"/>
    <m/>
  </r>
  <r>
    <x v="38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31"/>
    <s v="Anna Glab"/>
    <m/>
  </r>
  <r>
    <x v="39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30"/>
    <s v="Michiko Nakatani"/>
    <m/>
  </r>
  <r>
    <x v="39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29"/>
    <s v="Gay Geanuza del Mundo"/>
    <m/>
  </r>
  <r>
    <x v="39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28"/>
    <s v="John Rowie Del Rosario"/>
    <m/>
  </r>
  <r>
    <x v="39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28"/>
    <s v="John Rowie Del Rosario"/>
    <m/>
  </r>
  <r>
    <x v="39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28"/>
    <s v="John Rowie Del Rosario"/>
    <m/>
  </r>
  <r>
    <x v="39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28"/>
    <s v="John Rowie Del Rosario"/>
    <m/>
  </r>
  <r>
    <x v="39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28"/>
    <s v="John Rowie Del Rosario"/>
    <m/>
  </r>
  <r>
    <x v="39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28"/>
    <s v="John Rowie Del Rosario"/>
    <m/>
  </r>
  <r>
    <x v="39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28"/>
    <s v="John Rowie Del Rosario"/>
    <m/>
  </r>
  <r>
    <x v="39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28"/>
    <s v="John Rowie Del Rosario"/>
    <m/>
  </r>
  <r>
    <x v="39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28"/>
    <s v="John Rowie Del Rosario"/>
    <m/>
  </r>
  <r>
    <x v="39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28"/>
    <s v="John Rowie Del Rosario"/>
    <m/>
  </r>
  <r>
    <x v="39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28"/>
    <s v="John Rowie Del Rosario"/>
    <m/>
  </r>
  <r>
    <x v="39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28"/>
    <s v="John Rowie Del Rosario"/>
    <m/>
  </r>
  <r>
    <x v="39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28"/>
    <s v="John Rowie Del Rosario"/>
    <m/>
  </r>
  <r>
    <x v="39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28"/>
    <s v="John Rowie Del Rosario"/>
    <m/>
  </r>
  <r>
    <x v="39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28"/>
    <s v="John Rowie Del Rosario"/>
    <m/>
  </r>
  <r>
    <x v="39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28"/>
    <s v="John Rowie Del Rosario"/>
    <m/>
  </r>
  <r>
    <x v="39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28"/>
    <s v="John Rowie Del Rosario"/>
    <m/>
  </r>
  <r>
    <x v="39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28"/>
    <s v="John Rowie Del Rosario"/>
    <m/>
  </r>
  <r>
    <x v="39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28"/>
    <s v="John Rowie Del Rosario"/>
    <m/>
  </r>
  <r>
    <x v="39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28"/>
    <s v="John Rowie Del Rosario"/>
    <m/>
  </r>
  <r>
    <x v="39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28"/>
    <s v="John Rowie Del Rosario"/>
    <m/>
  </r>
  <r>
    <x v="39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28"/>
    <s v="John Rowie Del Rosario"/>
    <m/>
  </r>
  <r>
    <x v="39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28"/>
    <s v="John Rowie Del Rosario"/>
    <m/>
  </r>
  <r>
    <x v="39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28"/>
    <s v="John Rowie Del Rosario"/>
    <m/>
  </r>
  <r>
    <x v="39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28"/>
    <s v="Roselle Delos Angeles"/>
    <m/>
  </r>
  <r>
    <x v="39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28"/>
    <s v="Yulia Glazyrina"/>
    <m/>
  </r>
  <r>
    <x v="39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28"/>
    <s v="Yulia Glazyrina"/>
    <m/>
  </r>
  <r>
    <x v="39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27"/>
    <s v="Jay-R Lizardo"/>
    <m/>
  </r>
  <r>
    <x v="39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27"/>
    <s v="Jay-R Lizardo"/>
    <m/>
  </r>
  <r>
    <x v="39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27"/>
    <s v="Jay-R Lizardo"/>
    <m/>
  </r>
  <r>
    <x v="39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27"/>
    <s v="Jay-R Lizardo"/>
    <m/>
  </r>
  <r>
    <x v="39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27"/>
    <s v="Jay-R Lizardo"/>
    <m/>
  </r>
  <r>
    <x v="39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27"/>
    <s v="Jay-R Lizardo"/>
    <m/>
  </r>
  <r>
    <x v="39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27"/>
    <s v="Jay-R Lizardo"/>
    <m/>
  </r>
  <r>
    <x v="39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27"/>
    <s v="Jay-R Lizardo"/>
    <m/>
  </r>
  <r>
    <x v="39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27"/>
    <s v="Jay-R Lizardo"/>
    <m/>
  </r>
  <r>
    <x v="39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27"/>
    <s v="Jay-R Lizardo"/>
    <m/>
  </r>
  <r>
    <x v="39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27"/>
    <s v="Jay-R Lizardo"/>
    <m/>
  </r>
  <r>
    <x v="39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27"/>
    <s v="Jay-R Lizardo"/>
    <m/>
  </r>
  <r>
    <x v="39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27"/>
    <s v="Jay-R Lizardo"/>
    <m/>
  </r>
  <r>
    <x v="39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27"/>
    <s v="Jay-R Lizardo"/>
    <m/>
  </r>
  <r>
    <x v="39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27"/>
    <s v="Jay-R Lizardo"/>
    <m/>
  </r>
  <r>
    <x v="39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27"/>
    <s v="Jay-R Lizardo"/>
    <m/>
  </r>
  <r>
    <x v="39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27"/>
    <s v="Jay-R Lizardo"/>
    <m/>
  </r>
  <r>
    <x v="39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27"/>
    <s v="Jay-R Lizardo"/>
    <m/>
  </r>
  <r>
    <x v="39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27"/>
    <s v="Jay-R Lizardo"/>
    <m/>
  </r>
  <r>
    <x v="39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27"/>
    <s v="Jay-R Lizardo"/>
    <m/>
  </r>
  <r>
    <x v="39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27"/>
    <s v="Jay-R Lizardo"/>
    <m/>
  </r>
  <r>
    <x v="39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27"/>
    <s v="Jay-R Lizardo"/>
    <m/>
  </r>
  <r>
    <x v="39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27"/>
    <s v="Jay-R Lizardo"/>
    <m/>
  </r>
  <r>
    <x v="39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27"/>
    <s v="Jay-R Lizardo"/>
    <m/>
  </r>
  <r>
    <x v="39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27"/>
    <s v="Jay-R Lizardo"/>
    <m/>
  </r>
  <r>
    <x v="39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27"/>
    <s v="Jay-R Lizardo"/>
    <m/>
  </r>
  <r>
    <x v="39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27"/>
    <s v="Jay-R Lizardo"/>
    <m/>
  </r>
  <r>
    <x v="39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27"/>
    <s v="Jay-R Lizardo"/>
    <m/>
  </r>
  <r>
    <x v="39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27"/>
    <s v="Jay-R Lizardo"/>
    <m/>
  </r>
  <r>
    <x v="39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27"/>
    <s v="Jay-R Lizardo"/>
    <m/>
  </r>
  <r>
    <x v="39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27"/>
    <s v="Jay-R Lizardo"/>
    <m/>
  </r>
  <r>
    <x v="39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27"/>
    <s v="Jay-R Lizardo"/>
    <m/>
  </r>
  <r>
    <x v="39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27"/>
    <s v="Jay-R Lizardo"/>
    <m/>
  </r>
  <r>
    <x v="39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27"/>
    <s v="Jay-R Lizardo"/>
    <m/>
  </r>
  <r>
    <x v="39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27"/>
    <s v="Jay-R Lizardo"/>
    <m/>
  </r>
  <r>
    <x v="39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27"/>
    <s v="Ruby Grace Garcia"/>
    <m/>
  </r>
  <r>
    <x v="39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27"/>
    <s v="Ruby Grace Garcia"/>
    <m/>
  </r>
  <r>
    <x v="39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27"/>
    <s v="Ruby Grace Garcia"/>
    <m/>
  </r>
  <r>
    <x v="39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27"/>
    <s v="Ruby Grace Garcia"/>
    <m/>
  </r>
  <r>
    <x v="39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26"/>
    <s v="Ruby Grace Garcia"/>
    <m/>
  </r>
  <r>
    <x v="398"/>
    <x v="1"/>
    <x v="8"/>
    <s v="ITEMPEU_001700006137"/>
    <s v="H000004596"/>
    <n v="0"/>
    <s v="Non-LFF"/>
    <s v=""/>
    <m/>
    <b v="0"/>
    <x v="1"/>
    <x v="0"/>
    <d v="2025-10-24T00:00:00"/>
    <m/>
    <m/>
    <x v="1"/>
    <n v="29"/>
    <s v="Anna Glab"/>
    <m/>
  </r>
  <r>
    <x v="398"/>
    <x v="1"/>
    <x v="8"/>
    <s v="ITEMPEU_001700006138"/>
    <s v="H000004597"/>
    <n v="0"/>
    <s v="Non-LFF"/>
    <s v=""/>
    <m/>
    <b v="0"/>
    <x v="1"/>
    <x v="0"/>
    <d v="2025-10-24T00:00:00"/>
    <m/>
    <m/>
    <x v="1"/>
    <n v="29"/>
    <s v="Anna Glab"/>
    <m/>
  </r>
  <r>
    <x v="39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24"/>
    <s v="Niel Esto"/>
    <m/>
  </r>
  <r>
    <x v="39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24"/>
    <s v="Niel Esto"/>
    <m/>
  </r>
  <r>
    <x v="39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24"/>
    <s v="Niel Esto"/>
    <m/>
  </r>
  <r>
    <x v="39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24"/>
    <s v="Niel Esto"/>
    <m/>
  </r>
  <r>
    <x v="39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24"/>
    <s v="Niel Esto"/>
    <m/>
  </r>
  <r>
    <x v="39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24"/>
    <s v="Niel Esto"/>
    <m/>
  </r>
  <r>
    <x v="39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24"/>
    <s v="Niel Esto"/>
    <m/>
  </r>
  <r>
    <x v="39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24"/>
    <s v="Niel Esto"/>
    <m/>
  </r>
  <r>
    <x v="39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24"/>
    <s v="Niel Esto"/>
    <m/>
  </r>
  <r>
    <x v="39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24"/>
    <s v="Niel Esto"/>
    <m/>
  </r>
  <r>
    <x v="39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24"/>
    <s v="Niel Esto"/>
    <m/>
  </r>
  <r>
    <x v="39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24"/>
    <s v="Niel Esto"/>
    <m/>
  </r>
  <r>
    <x v="39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24"/>
    <s v="Niel Esto"/>
    <m/>
  </r>
  <r>
    <x v="39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24"/>
    <s v="Niel Esto"/>
    <m/>
  </r>
  <r>
    <x v="39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24"/>
    <s v="Niel Esto"/>
    <m/>
  </r>
  <r>
    <x v="39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24"/>
    <s v="Niel Esto"/>
    <m/>
  </r>
  <r>
    <x v="39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24"/>
    <s v="Niel Esto"/>
    <m/>
  </r>
  <r>
    <x v="39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24"/>
    <s v="Niel Esto"/>
    <m/>
  </r>
  <r>
    <x v="39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24"/>
    <s v="Niel Esto"/>
    <m/>
  </r>
  <r>
    <x v="39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24"/>
    <s v="Niel Esto"/>
    <m/>
  </r>
  <r>
    <x v="39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24"/>
    <s v="Niel Esto"/>
    <m/>
  </r>
  <r>
    <x v="40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759$GHTE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759$E352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759$E353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759$E354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759$E355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759$E356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759$E357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759$E358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759$E359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759$E360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759$E361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759$E362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759$E363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759$E364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759$E365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759$E366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759$O454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759$O633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759$R111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759$R112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759$R113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759$E351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759$F916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759$C218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759$HACH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759$RADI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759$R109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CSCALA_1759$R110"/>
    <s v="H000003613"/>
    <s v="H000003613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24"/>
    <s v="Rayneil Reas"/>
    <m/>
  </r>
  <r>
    <x v="40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24"/>
    <s v="Rayneil Reas"/>
    <m/>
  </r>
  <r>
    <x v="40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24"/>
    <s v="Jojeff Tagnong"/>
    <m/>
  </r>
  <r>
    <x v="40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24"/>
    <s v="Jojeff Tagnong"/>
    <m/>
  </r>
  <r>
    <x v="40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24"/>
    <s v="Jojeff Tagnong"/>
    <m/>
  </r>
  <r>
    <x v="40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24"/>
    <s v="Jojeff Tagnong"/>
    <m/>
  </r>
  <r>
    <x v="40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24"/>
    <s v="Jojeff Tagnong"/>
    <m/>
  </r>
  <r>
    <x v="40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24"/>
    <s v="Jojeff Tagnong"/>
    <m/>
  </r>
  <r>
    <x v="40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24"/>
    <s v="Jojeff Tagnong"/>
    <m/>
  </r>
  <r>
    <x v="40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24"/>
    <s v="Jojeff Tagnong"/>
    <m/>
  </r>
  <r>
    <x v="40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24"/>
    <s v="Jojeff Tagnong"/>
    <m/>
  </r>
  <r>
    <x v="40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24"/>
    <s v="Jojeff Tagnong"/>
    <m/>
  </r>
  <r>
    <x v="40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24"/>
    <s v="Jojeff Tagnong"/>
    <m/>
  </r>
  <r>
    <x v="40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24"/>
    <s v="Jojeff Tagnong"/>
    <m/>
  </r>
  <r>
    <x v="40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24"/>
    <s v="Jojeff Tagnong"/>
    <m/>
  </r>
  <r>
    <x v="40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24"/>
    <s v="Jojeff Tagnong"/>
    <m/>
  </r>
  <r>
    <x v="40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24"/>
    <s v="Jojeff Tagnong"/>
    <m/>
  </r>
  <r>
    <x v="40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24"/>
    <s v="Jojeff Tagnong"/>
    <m/>
  </r>
  <r>
    <x v="40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24"/>
    <s v="Jojeff Tagnong"/>
    <m/>
  </r>
  <r>
    <x v="40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24"/>
    <s v="Jojeff Tagnong"/>
    <m/>
  </r>
  <r>
    <x v="40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24"/>
    <s v="Jojeff Tagnong"/>
    <m/>
  </r>
  <r>
    <x v="40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24"/>
    <s v="Jojeff Tagnong"/>
    <m/>
  </r>
  <r>
    <x v="40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24"/>
    <s v="Jojeff Tagnong"/>
    <m/>
  </r>
  <r>
    <x v="40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24"/>
    <s v="Jojeff Tagnong"/>
    <m/>
  </r>
  <r>
    <x v="40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24"/>
    <s v="Jojeff Tagnong"/>
    <m/>
  </r>
  <r>
    <x v="40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24"/>
    <s v="Jojeff Tagnong"/>
    <m/>
  </r>
  <r>
    <x v="40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24"/>
    <s v="Jojeff Tagnong"/>
    <m/>
  </r>
  <r>
    <x v="40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24"/>
    <s v="Jojeff Tagnong"/>
    <m/>
  </r>
  <r>
    <x v="40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22"/>
    <s v="Jay-R Lizardo"/>
    <m/>
  </r>
  <r>
    <x v="40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22"/>
    <s v="Jay-R Lizardo"/>
    <m/>
  </r>
  <r>
    <x v="40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22"/>
    <s v="Jay-R Lizardo"/>
    <m/>
  </r>
  <r>
    <x v="40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22"/>
    <s v="Jay-R Lizardo"/>
    <m/>
  </r>
  <r>
    <x v="40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22"/>
    <s v="John Rowie Del Rosario"/>
    <m/>
  </r>
  <r>
    <x v="40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22"/>
    <s v="John Rowie Del Rosario"/>
    <m/>
  </r>
  <r>
    <x v="40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22"/>
    <s v="John Rowie Del Rosario"/>
    <m/>
  </r>
  <r>
    <x v="40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22"/>
    <s v="John Rowie Del Rosario"/>
    <m/>
  </r>
  <r>
    <x v="40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22"/>
    <s v="John Rowie Del Rosario"/>
    <m/>
  </r>
  <r>
    <x v="40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22"/>
    <s v="John Rowie Del Rosario"/>
    <m/>
  </r>
  <r>
    <x v="40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22"/>
    <s v="John Rowie Del Rosario"/>
    <m/>
  </r>
  <r>
    <x v="40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22"/>
    <s v="John Rowie Del Rosario"/>
    <m/>
  </r>
  <r>
    <x v="40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22"/>
    <s v="John Rowie Del Rosario"/>
    <m/>
  </r>
  <r>
    <x v="40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22"/>
    <s v="John Rowie Del Rosario"/>
    <m/>
  </r>
  <r>
    <x v="40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22"/>
    <s v="John Rowie Del Rosario"/>
    <m/>
  </r>
  <r>
    <x v="40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22"/>
    <s v="John Rowie Del Rosario"/>
    <m/>
  </r>
  <r>
    <x v="40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22"/>
    <s v="John Rowie Del Rosario"/>
    <m/>
  </r>
  <r>
    <x v="40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22"/>
    <s v="John Rowie Del Rosario"/>
    <m/>
  </r>
  <r>
    <x v="40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22"/>
    <s v="John Rowie Del Rosario"/>
    <m/>
  </r>
  <r>
    <x v="40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22"/>
    <s v="John Rowie Del Rosario"/>
    <m/>
  </r>
  <r>
    <x v="40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22"/>
    <s v="John Rowie Del Rosario"/>
    <m/>
  </r>
  <r>
    <x v="40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22"/>
    <s v="John Rowie Del Rosario"/>
    <m/>
  </r>
  <r>
    <x v="40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22"/>
    <s v="John Rowie Del Rosario"/>
    <m/>
  </r>
  <r>
    <x v="40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22"/>
    <s v="John Rowie Del Rosario"/>
    <m/>
  </r>
  <r>
    <x v="40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22"/>
    <s v="John Rowie Del Rosario"/>
    <m/>
  </r>
  <r>
    <x v="40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22"/>
    <s v="John Rowie Del Rosario"/>
    <m/>
  </r>
  <r>
    <x v="40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22"/>
    <s v="John Rowie Del Rosario"/>
    <m/>
  </r>
  <r>
    <x v="40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22"/>
    <s v="John Rowie Del Rosario"/>
    <m/>
  </r>
  <r>
    <x v="40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22"/>
    <s v="John Rowie Del Rosario"/>
    <m/>
  </r>
  <r>
    <x v="40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21"/>
    <s v="Rayneil Reas"/>
    <m/>
  </r>
  <r>
    <x v="405"/>
    <x v="0"/>
    <x v="2"/>
    <s v="CSCALA_1022$SQR "/>
    <s v="G000001272"/>
    <s v="G000001272"/>
    <s v="Non-LFF"/>
    <s v=""/>
    <m/>
    <b v="1"/>
    <x v="0"/>
    <x v="0"/>
    <d v="2025-11-07T00:00:00"/>
    <m/>
    <m/>
    <x v="1"/>
    <n v="19"/>
    <s v="Jojeff Tagnong"/>
    <m/>
  </r>
  <r>
    <x v="406"/>
    <x v="0"/>
    <x v="2"/>
    <s v="CSCALA_1022$ITR"/>
    <s v="G000001238"/>
    <s v="G000001238"/>
    <s v="Non-LFF"/>
    <s v=""/>
    <m/>
    <b v="1"/>
    <x v="0"/>
    <x v="0"/>
    <d v="2025-11-07T00:00:00"/>
    <m/>
    <m/>
    <x v="1"/>
    <n v="19"/>
    <s v="Jay-R Lizardo"/>
    <m/>
  </r>
  <r>
    <x v="40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19"/>
    <s v="Henry Ifurung Jr."/>
    <m/>
  </r>
  <r>
    <x v="40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16"/>
    <s v="John Rowie Del Rosario"/>
    <m/>
  </r>
  <r>
    <x v="40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16"/>
    <s v="John Rowie Del Rosario"/>
    <m/>
  </r>
  <r>
    <x v="40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16"/>
    <s v="John Rowie Del Rosario"/>
    <m/>
  </r>
  <r>
    <x v="40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16"/>
    <s v="John Rowie Del Rosario"/>
    <m/>
  </r>
  <r>
    <x v="40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16"/>
    <s v="John Rowie Del Rosario"/>
    <m/>
  </r>
  <r>
    <x v="40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16"/>
    <s v="John Rowie Del Rosario"/>
    <m/>
  </r>
  <r>
    <x v="40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16"/>
    <s v="John Rowie Del Rosario"/>
    <m/>
  </r>
  <r>
    <x v="40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16"/>
    <s v="John Rowie Del Rosario"/>
    <m/>
  </r>
  <r>
    <x v="40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16"/>
    <s v="John Rowie Del Rosario"/>
    <m/>
  </r>
  <r>
    <x v="40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16"/>
    <s v="John Rowie Del Rosario"/>
    <m/>
  </r>
  <r>
    <x v="40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16"/>
    <s v="Ruby Grace Garcia"/>
    <m/>
  </r>
  <r>
    <x v="40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16"/>
    <s v="Ruby Grace Garcia"/>
    <m/>
  </r>
  <r>
    <x v="40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6"/>
    <s v="Ruby Grace Garcia"/>
    <m/>
  </r>
  <r>
    <x v="40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6"/>
    <s v="Ruby Grace Garcia"/>
    <m/>
  </r>
  <r>
    <x v="40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16"/>
    <s v="Ruby Grace Garcia"/>
    <m/>
  </r>
  <r>
    <x v="40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16"/>
    <s v="Ruby Grace Garcia"/>
    <m/>
  </r>
  <r>
    <x v="40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16"/>
    <s v="Ruby Grace Garcia"/>
    <m/>
  </r>
  <r>
    <x v="40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16"/>
    <s v="Ruby Grace Garcia"/>
    <m/>
  </r>
  <r>
    <x v="40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16"/>
    <s v="Ruby Grace Garcia"/>
    <m/>
  </r>
  <r>
    <x v="40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16"/>
    <s v="Ruby Grace Garcia"/>
    <m/>
  </r>
  <r>
    <x v="40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16"/>
    <s v="Ruby Grace Garcia"/>
    <m/>
  </r>
  <r>
    <x v="40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16"/>
    <s v="Ruby Grace Garcia"/>
    <m/>
  </r>
  <r>
    <x v="40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16"/>
    <s v="Ruby Grace Garcia"/>
    <m/>
  </r>
  <r>
    <x v="40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16"/>
    <s v="Ruby Grace Garcia"/>
    <m/>
  </r>
  <r>
    <x v="40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16"/>
    <s v="Ruby Grace Garcia"/>
    <m/>
  </r>
  <r>
    <x v="40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16"/>
    <s v="Ruby Grace Garcia"/>
    <m/>
  </r>
  <r>
    <x v="40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16"/>
    <s v="Ruby Grace Garcia"/>
    <m/>
  </r>
  <r>
    <x v="40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16"/>
    <s v="Ruby Grace Garcia"/>
    <m/>
  </r>
  <r>
    <x v="40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16"/>
    <s v="Ruby Grace Garcia"/>
    <m/>
  </r>
  <r>
    <x v="40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6"/>
    <s v="Ruby Grace Garcia"/>
    <m/>
  </r>
  <r>
    <x v="40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6"/>
    <s v="Ruby Grace Garcia"/>
    <m/>
  </r>
  <r>
    <x v="41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13"/>
    <s v="Estela Belda Menendez"/>
    <m/>
  </r>
  <r>
    <x v="41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13"/>
    <s v="Estela Belda Menendez"/>
    <m/>
  </r>
  <r>
    <x v="41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13"/>
    <s v="Estela Belda Menendez"/>
    <m/>
  </r>
  <r>
    <x v="41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13"/>
    <s v="Estela Belda Menendez"/>
    <m/>
  </r>
  <r>
    <x v="41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13"/>
    <s v="Estela Belda Menendez"/>
    <m/>
  </r>
  <r>
    <x v="41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13"/>
    <s v="Estela Belda Menendez"/>
    <m/>
  </r>
  <r>
    <x v="41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13"/>
    <s v="Estela Belda Menendez"/>
    <m/>
  </r>
  <r>
    <x v="41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13"/>
    <s v="Jojeff Tagnong"/>
    <m/>
  </r>
  <r>
    <x v="41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13"/>
    <s v="Maria Rosario Go"/>
    <m/>
  </r>
  <r>
    <x v="41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13"/>
    <s v="Carlo Umali"/>
    <m/>
  </r>
  <r>
    <x v="41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13"/>
    <s v="Maria Rosario Go"/>
    <m/>
  </r>
  <r>
    <x v="41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13"/>
    <s v="John Poulie Borromeo"/>
    <m/>
  </r>
  <r>
    <x v="41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13"/>
    <s v="John Poulie Borromeo"/>
    <m/>
  </r>
  <r>
    <x v="41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13"/>
    <s v="John Poulie Borromeo"/>
    <m/>
  </r>
  <r>
    <x v="41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13"/>
    <s v="John Poulie Borromeo"/>
    <m/>
  </r>
  <r>
    <x v="41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13"/>
    <s v="John Poulie Borromeo"/>
    <m/>
  </r>
  <r>
    <x v="41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13"/>
    <s v="John Poulie Borromeo"/>
    <m/>
  </r>
  <r>
    <x v="41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13"/>
    <s v="John Poulie Borromeo"/>
    <m/>
  </r>
  <r>
    <x v="41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13"/>
    <s v="John Poulie Borromeo"/>
    <m/>
  </r>
  <r>
    <x v="41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13"/>
    <s v="John Poulie Borromeo"/>
    <m/>
  </r>
  <r>
    <x v="41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13"/>
    <s v="John Poulie Borromeo"/>
    <m/>
  </r>
  <r>
    <x v="41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13"/>
    <s v="John Poulie Borromeo"/>
    <m/>
  </r>
  <r>
    <x v="41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13"/>
    <s v="John Poulie Borromeo"/>
    <m/>
  </r>
  <r>
    <x v="41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13"/>
    <s v="Natasha Hazel Aliado"/>
    <m/>
  </r>
  <r>
    <x v="41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12"/>
    <s v="Natasha Hazel Aliado"/>
    <m/>
  </r>
  <r>
    <x v="41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12"/>
    <s v="Natasha Hazel Aliado"/>
    <m/>
  </r>
  <r>
    <x v="41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12"/>
    <s v="Carlo Umali"/>
    <m/>
  </r>
  <r>
    <x v="41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12"/>
    <s v="Carlo Umali"/>
    <m/>
  </r>
  <r>
    <x v="42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12"/>
    <s v="Carlo Umali"/>
    <m/>
  </r>
  <r>
    <x v="42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12"/>
    <s v="Carlo Umali"/>
    <m/>
  </r>
  <r>
    <x v="42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12"/>
    <s v="Carlo Umali"/>
    <m/>
  </r>
  <r>
    <x v="42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12"/>
    <s v="Carlo Umali"/>
    <m/>
  </r>
  <r>
    <x v="42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12"/>
    <s v="Carlo Umali"/>
    <m/>
  </r>
  <r>
    <x v="42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12"/>
    <s v="Carlo Umali"/>
    <m/>
  </r>
  <r>
    <x v="42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12"/>
    <s v="Carlo Umali"/>
    <m/>
  </r>
  <r>
    <x v="42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12"/>
    <s v="Carlo Umali"/>
    <m/>
  </r>
  <r>
    <x v="42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12"/>
    <s v="Carlo Umali"/>
    <m/>
  </r>
  <r>
    <x v="41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12"/>
    <s v="Carlo Umali"/>
    <m/>
  </r>
  <r>
    <x v="42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10"/>
    <s v="Jojeff Tagnong"/>
    <m/>
  </r>
  <r>
    <x v="42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10"/>
    <s v="Jojeff Tagnong"/>
    <m/>
  </r>
  <r>
    <x v="42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10"/>
    <s v="Jojeff Tagnong"/>
    <m/>
  </r>
  <r>
    <x v="42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10"/>
    <s v="Jojeff Tagnong"/>
    <m/>
  </r>
  <r>
    <x v="42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10"/>
    <s v="Jojeff Tagnong"/>
    <m/>
  </r>
  <r>
    <x v="42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10"/>
    <s v="Jojeff Tagnong"/>
    <m/>
  </r>
  <r>
    <x v="42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10"/>
    <s v="Jojeff Tagnong"/>
    <m/>
  </r>
  <r>
    <x v="43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8"/>
    <s v="Ruby Grace Garcia"/>
    <m/>
  </r>
  <r>
    <x v="43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8"/>
    <s v="Ruby Grace Garcia"/>
    <m/>
  </r>
  <r>
    <x v="43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8"/>
    <s v="Ruby Grace Garcia"/>
    <m/>
  </r>
  <r>
    <x v="43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8"/>
    <s v="Ruby Grace Garcia"/>
    <m/>
  </r>
  <r>
    <x v="430"/>
    <x v="0"/>
    <x v="2"/>
    <s v="D30013700000000"/>
    <s v="L000011403"/>
    <s v="L000011403"/>
    <s v="Non-LFF"/>
    <s v=""/>
    <m/>
    <b v="1"/>
    <x v="2"/>
    <x v="0"/>
    <d v="2025-11-22T00:00:00"/>
    <m/>
    <m/>
    <x v="1"/>
    <n v="8"/>
    <s v="Ruby Grace Garcia"/>
    <m/>
  </r>
  <r>
    <x v="43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8"/>
    <s v="Ruby Grace Garcia"/>
    <m/>
  </r>
  <r>
    <x v="43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8"/>
    <s v="Ruby Grace Garcia"/>
    <m/>
  </r>
  <r>
    <x v="43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8"/>
    <s v="Ruby Grace Garcia"/>
    <m/>
  </r>
  <r>
    <x v="43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8"/>
    <s v="Ruby Grace Garcia"/>
    <m/>
  </r>
  <r>
    <x v="43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8"/>
    <s v="Ruby Grace Garcia"/>
    <m/>
  </r>
  <r>
    <x v="43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8"/>
    <s v="Ruby Grace Garcia"/>
    <m/>
  </r>
  <r>
    <x v="43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8"/>
    <s v="Ruby Grace Garcia"/>
    <m/>
  </r>
  <r>
    <x v="43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8"/>
    <s v="Ruby Grace Garcia"/>
    <m/>
  </r>
  <r>
    <x v="43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8"/>
    <s v="Ruby Grace Garcia"/>
    <m/>
  </r>
  <r>
    <x v="43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8"/>
    <s v="Ruby Grace Garcia"/>
    <m/>
  </r>
  <r>
    <x v="43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8"/>
    <s v="Ruby Grace Garcia"/>
    <m/>
  </r>
  <r>
    <x v="43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8"/>
    <s v="Ruby Grace Garcia"/>
    <m/>
  </r>
  <r>
    <x v="43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8"/>
    <s v="Ruby Grace Garcia"/>
    <m/>
  </r>
  <r>
    <x v="43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8"/>
    <s v="Ruby Grace Garcia"/>
    <m/>
  </r>
  <r>
    <x v="43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8"/>
    <s v="Ruby Grace Garcia"/>
    <m/>
  </r>
  <r>
    <x v="43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8"/>
    <s v="Ruby Grace Garcia"/>
    <m/>
  </r>
  <r>
    <x v="43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8"/>
    <s v="Ruby Grace Garcia"/>
    <m/>
  </r>
  <r>
    <x v="43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8"/>
    <s v="Ruby Grace Garcia"/>
    <m/>
  </r>
  <r>
    <x v="43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8"/>
    <s v="Ruby Grace Garcia"/>
    <m/>
  </r>
  <r>
    <x v="43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8"/>
    <s v="Ruby Grace Garcia"/>
    <m/>
  </r>
  <r>
    <x v="43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8"/>
    <s v="Ruby Grace Garcia"/>
    <m/>
  </r>
  <r>
    <x v="43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8"/>
    <s v="Ruby Grace Garcia"/>
    <m/>
  </r>
  <r>
    <x v="43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8"/>
    <s v="Ruby Grace Garcia"/>
    <m/>
  </r>
  <r>
    <x v="43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8"/>
    <s v="Ruby Grace Garcia"/>
    <m/>
  </r>
  <r>
    <x v="43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8"/>
    <s v="Ruby Grace Garcia"/>
    <m/>
  </r>
  <r>
    <x v="43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8"/>
    <s v="Jojeff Tagnong"/>
    <m/>
  </r>
  <r>
    <x v="43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8"/>
    <s v="Jojeff Tagnong"/>
    <m/>
  </r>
  <r>
    <x v="43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8"/>
    <s v="Jojeff Tagnong"/>
    <m/>
  </r>
  <r>
    <x v="43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8"/>
    <s v="John Rowie Del Rosario"/>
    <m/>
  </r>
  <r>
    <x v="43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8"/>
    <s v="John Rowie Del Rosario"/>
    <m/>
  </r>
  <r>
    <x v="43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8"/>
    <s v="John Rowie Del Rosario"/>
    <m/>
  </r>
  <r>
    <x v="43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8"/>
    <s v="John Rowie Del Rosario"/>
    <m/>
  </r>
  <r>
    <x v="43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8"/>
    <s v="John Rowie Del Rosario"/>
    <m/>
  </r>
  <r>
    <x v="43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8"/>
    <s v="John Rowie Del Rosario"/>
    <m/>
  </r>
  <r>
    <x v="43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8"/>
    <s v="John Rowie Del Rosario"/>
    <m/>
  </r>
  <r>
    <x v="43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8"/>
    <s v="John Rowie Del Rosario"/>
    <m/>
  </r>
  <r>
    <x v="43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8"/>
    <s v="John Rowie Del Rosario"/>
    <m/>
  </r>
  <r>
    <x v="43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8"/>
    <s v="John Rowie Del Rosario"/>
    <m/>
  </r>
  <r>
    <x v="43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8"/>
    <s v="John Rowie Del Rosario"/>
    <m/>
  </r>
  <r>
    <x v="43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8"/>
    <s v="John Rowie Del Rosario"/>
    <m/>
  </r>
  <r>
    <x v="43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8"/>
    <s v="John Rowie Del Rosario"/>
    <m/>
  </r>
  <r>
    <x v="43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8"/>
    <s v="John Rowie Del Rosario"/>
    <m/>
  </r>
  <r>
    <x v="43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8"/>
    <s v="John Rowie Del Rosario"/>
    <m/>
  </r>
  <r>
    <x v="43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8"/>
    <s v="John Rowie Del Rosario"/>
    <m/>
  </r>
  <r>
    <x v="43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8"/>
    <s v="John Rowie Del Rosario"/>
    <m/>
  </r>
  <r>
    <x v="43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8"/>
    <s v="John Rowie Del Rosario"/>
    <m/>
  </r>
  <r>
    <x v="43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8"/>
    <s v="John Rowie Del Rosario"/>
    <m/>
  </r>
  <r>
    <x v="43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8"/>
    <s v="John Rowie Del Rosario"/>
    <m/>
  </r>
  <r>
    <x v="43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8"/>
    <s v="John Rowie Del Rosario"/>
    <m/>
  </r>
  <r>
    <x v="43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8"/>
    <s v="John Rowie Del Rosario"/>
    <m/>
  </r>
  <r>
    <x v="43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8"/>
    <s v="John Rowie Del Rosario"/>
    <m/>
  </r>
  <r>
    <x v="43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8"/>
    <s v="John Rowie Del Rosario"/>
    <m/>
  </r>
  <r>
    <x v="43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8"/>
    <s v="John Rowie Del Rosario"/>
    <m/>
  </r>
  <r>
    <x v="43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8"/>
    <s v="Daniella Sasa"/>
    <m/>
  </r>
  <r>
    <x v="43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8"/>
    <s v="Daniella Sasa"/>
    <m/>
  </r>
  <r>
    <x v="43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8"/>
    <s v="Daniella Sasa"/>
    <m/>
  </r>
  <r>
    <x v="43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8"/>
    <s v="Daniella Sasa"/>
    <m/>
  </r>
  <r>
    <x v="43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8"/>
    <s v="Daniella Sasa"/>
    <m/>
  </r>
  <r>
    <x v="43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8"/>
    <s v="Daniella Sasa"/>
    <m/>
  </r>
  <r>
    <x v="43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7"/>
    <s v="Kristel Joyce Manalese"/>
    <m/>
  </r>
  <r>
    <x v="43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7"/>
    <s v="Kristel Joyce Manalese"/>
    <m/>
  </r>
  <r>
    <x v="43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7"/>
    <s v="Kristel Joyce Manalese"/>
    <m/>
  </r>
  <r>
    <x v="43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7"/>
    <s v="Kristel Joyce Manalese"/>
    <m/>
  </r>
  <r>
    <x v="43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7"/>
    <s v="Jojeff Tagnong"/>
    <m/>
  </r>
  <r>
    <x v="43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7"/>
    <s v="Jojeff Tagnong"/>
    <m/>
  </r>
  <r>
    <x v="43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7"/>
    <s v="Jojeff Tagnong"/>
    <m/>
  </r>
  <r>
    <x v="43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7"/>
    <s v="Jojeff Tagnong"/>
    <m/>
  </r>
  <r>
    <x v="43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7"/>
    <s v="Jojeff Tagnong"/>
    <m/>
  </r>
  <r>
    <x v="43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7"/>
    <s v="Ruby Grace Garcia"/>
    <m/>
  </r>
  <r>
    <x v="43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0"/>
    <n v="5"/>
    <s v="Manuel Walther"/>
    <m/>
  </r>
  <r>
    <x v="43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0"/>
    <n v="5"/>
    <s v="Manuel Walther"/>
    <m/>
  </r>
  <r>
    <x v="43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0"/>
    <n v="5"/>
    <s v="Manuel Walther"/>
    <m/>
  </r>
  <r>
    <x v="43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0"/>
    <n v="5"/>
    <s v="Manuel Walther"/>
    <m/>
  </r>
  <r>
    <x v="43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0"/>
    <n v="5"/>
    <s v="Manuel Walther"/>
    <m/>
  </r>
  <r>
    <x v="43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0"/>
    <n v="5"/>
    <s v="Manuel Walther"/>
    <m/>
  </r>
  <r>
    <x v="43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0"/>
    <n v="5"/>
    <s v="Manuel Walther"/>
    <m/>
  </r>
  <r>
    <x v="43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0"/>
    <n v="5"/>
    <s v="Manuel Walther"/>
    <m/>
  </r>
  <r>
    <x v="43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0"/>
    <n v="5"/>
    <s v="Manuel Walther"/>
    <m/>
  </r>
  <r>
    <x v="43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0"/>
    <n v="5"/>
    <s v="Manuel Walther"/>
    <m/>
  </r>
  <r>
    <x v="43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0"/>
    <n v="5"/>
    <s v="Manuel Walther"/>
    <m/>
  </r>
  <r>
    <x v="43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0"/>
    <n v="5"/>
    <s v="Manuel Walther"/>
    <m/>
  </r>
  <r>
    <x v="43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0"/>
    <n v="5"/>
    <s v="Manuel Walther"/>
    <m/>
  </r>
  <r>
    <x v="43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0"/>
    <n v="5"/>
    <s v="Manuel Walther"/>
    <m/>
  </r>
  <r>
    <x v="43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0"/>
    <n v="5"/>
    <s v="Manuel Walther"/>
    <m/>
  </r>
  <r>
    <x v="43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0"/>
    <n v="5"/>
    <s v="Manuel Walther"/>
    <m/>
  </r>
  <r>
    <x v="43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0"/>
    <n v="5"/>
    <s v="Manuel Walther"/>
    <m/>
  </r>
  <r>
    <x v="43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0"/>
    <n v="5"/>
    <s v="Manuel Walther"/>
    <m/>
  </r>
  <r>
    <x v="43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0"/>
    <n v="5"/>
    <s v="Manuel Walther"/>
    <m/>
  </r>
  <r>
    <x v="43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0"/>
    <n v="5"/>
    <s v="Manuel Walther"/>
    <m/>
  </r>
  <r>
    <x v="43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0"/>
    <n v="5"/>
    <s v="Manuel Walther"/>
    <m/>
  </r>
  <r>
    <x v="43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0"/>
    <n v="5"/>
    <s v="Manuel Walther"/>
    <m/>
  </r>
  <r>
    <x v="43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0"/>
    <n v="5"/>
    <s v="Manuel Walther"/>
    <m/>
  </r>
  <r>
    <x v="43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0"/>
    <n v="5"/>
    <s v="Manuel Walther"/>
    <m/>
  </r>
  <r>
    <x v="43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0"/>
    <n v="5"/>
    <s v="Manuel Walther"/>
    <m/>
  </r>
  <r>
    <x v="43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0"/>
    <n v="5"/>
    <s v="Manuel Walther"/>
    <m/>
  </r>
  <r>
    <x v="43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0"/>
    <n v="5"/>
    <s v="Manuel Walther"/>
    <m/>
  </r>
  <r>
    <x v="43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0"/>
    <n v="5"/>
    <s v="Manuel Walther"/>
    <m/>
  </r>
  <r>
    <x v="43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0"/>
    <n v="5"/>
    <s v="Manuel Walther"/>
    <m/>
  </r>
  <r>
    <x v="43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0"/>
    <n v="5"/>
    <s v="Manuel Walther"/>
    <m/>
  </r>
  <r>
    <x v="43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0"/>
    <n v="5"/>
    <s v="Manuel Walther"/>
    <m/>
  </r>
  <r>
    <x v="43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0"/>
    <n v="5"/>
    <s v="Manuel Walther"/>
    <m/>
  </r>
  <r>
    <x v="43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0"/>
    <n v="5"/>
    <s v="Manuel Walther"/>
    <m/>
  </r>
  <r>
    <x v="43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0"/>
    <n v="5"/>
    <s v="Manuel Walther"/>
    <m/>
  </r>
  <r>
    <x v="43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0"/>
    <n v="4"/>
    <s v="John Rowie Del Rosario"/>
    <m/>
  </r>
  <r>
    <x v="43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0"/>
    <n v="4"/>
    <s v="John Rowie Del Rosario"/>
    <m/>
  </r>
  <r>
    <x v="43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0"/>
    <n v="4"/>
    <s v="John Rowie Del Rosario"/>
    <m/>
  </r>
  <r>
    <x v="43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0"/>
    <n v="4"/>
    <s v="John Rowie Del Rosario"/>
    <m/>
  </r>
  <r>
    <x v="43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0"/>
    <n v="4"/>
    <s v="John Rowie Del Rosario"/>
    <m/>
  </r>
  <r>
    <x v="43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0"/>
    <n v="4"/>
    <s v="John Rowie Del Rosario"/>
    <m/>
  </r>
  <r>
    <x v="43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0"/>
    <n v="4"/>
    <s v="John Rowie Del Rosario"/>
    <m/>
  </r>
  <r>
    <x v="43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0"/>
    <n v="4"/>
    <s v="John Rowie Del Rosario"/>
    <m/>
  </r>
  <r>
    <x v="43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0"/>
    <n v="4"/>
    <s v="John Rowie Del Rosario"/>
    <m/>
  </r>
  <r>
    <x v="43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0"/>
    <n v="4"/>
    <s v="John Rowie Del Rosario"/>
    <m/>
  </r>
  <r>
    <x v="43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0"/>
    <n v="4"/>
    <s v="John Rowie Del Rosario"/>
    <m/>
  </r>
  <r>
    <x v="43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0"/>
    <n v="4"/>
    <s v="John Rowie Del Rosario"/>
    <m/>
  </r>
  <r>
    <x v="43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0"/>
    <n v="4"/>
    <s v="John Rowie Del Rosario"/>
    <m/>
  </r>
  <r>
    <x v="43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0"/>
    <n v="4"/>
    <s v="John Rowie Del Rosario"/>
    <m/>
  </r>
  <r>
    <x v="43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0"/>
    <n v="4"/>
    <s v="John Rowie Del Rosario"/>
    <m/>
  </r>
  <r>
    <x v="43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0"/>
    <n v="4"/>
    <s v="John Rowie Del Rosario"/>
    <m/>
  </r>
  <r>
    <x v="43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0"/>
    <n v="4"/>
    <s v="John Rowie Del Rosario"/>
    <m/>
  </r>
  <r>
    <x v="43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0"/>
    <n v="4"/>
    <s v="John Rowie Del Rosario"/>
    <m/>
  </r>
  <r>
    <x v="43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0"/>
    <n v="4"/>
    <s v="John Rowie Del Rosario"/>
    <m/>
  </r>
  <r>
    <x v="43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0"/>
    <n v="4"/>
    <s v="John Rowie Del Rosario"/>
    <m/>
  </r>
  <r>
    <x v="43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0"/>
    <n v="4"/>
    <s v="John Rowie Del Rosario"/>
    <m/>
  </r>
  <r>
    <x v="43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0"/>
    <n v="4"/>
    <s v="John Rowie Del Rosario"/>
    <m/>
  </r>
  <r>
    <x v="43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0"/>
    <n v="4"/>
    <s v="John Rowie Del Rosario"/>
    <m/>
  </r>
  <r>
    <x v="43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0"/>
    <n v="4"/>
    <s v="John Rowie Del Rosario"/>
    <m/>
  </r>
  <r>
    <x v="43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0"/>
    <n v="4"/>
    <s v="John Rowie Del Rosario"/>
    <m/>
  </r>
  <r>
    <x v="43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0"/>
    <n v="4"/>
    <s v="John Rowie Del Rosario"/>
    <m/>
  </r>
  <r>
    <x v="43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0"/>
    <n v="4"/>
    <s v="John Rowie Del Rosario"/>
    <m/>
  </r>
  <r>
    <x v="43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0"/>
    <n v="4"/>
    <s v="John Rowie Del Rosario"/>
    <m/>
  </r>
  <r>
    <x v="43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0"/>
    <n v="4"/>
    <s v="John Rowie Del Rosario"/>
    <m/>
  </r>
  <r>
    <x v="43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0"/>
    <n v="4"/>
    <s v="John Rowie Del Rosario"/>
    <m/>
  </r>
  <r>
    <x v="43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0"/>
    <n v="4"/>
    <s v="John Rowie Del Rosario"/>
    <m/>
  </r>
  <r>
    <x v="43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0"/>
    <n v="4"/>
    <s v="John Rowie Del Rosario"/>
    <m/>
  </r>
  <r>
    <x v="43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0"/>
    <n v="4"/>
    <s v="John Rowie Del Rosario"/>
    <m/>
  </r>
  <r>
    <x v="43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0"/>
    <n v="4"/>
    <s v="John Rowie Del Rosario"/>
    <m/>
  </r>
  <r>
    <x v="43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0"/>
    <n v="4"/>
    <s v="John Rowie Del Rosario"/>
    <m/>
  </r>
  <r>
    <x v="43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0"/>
    <n v="4"/>
    <s v="John Rowie Del Rosario"/>
    <m/>
  </r>
  <r>
    <x v="43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0"/>
    <n v="4"/>
    <s v="John Rowie Del Rosario"/>
    <m/>
  </r>
  <r>
    <x v="43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0"/>
    <n v="4"/>
    <s v="John Rowie Del Rosario"/>
    <m/>
  </r>
  <r>
    <x v="43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0"/>
    <n v="4"/>
    <s v="John Rowie Del Rosario"/>
    <m/>
  </r>
  <r>
    <x v="43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0"/>
    <n v="4"/>
    <s v="John Rowie Del Rosario"/>
    <m/>
  </r>
  <r>
    <x v="43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0"/>
    <n v="4"/>
    <s v="John Rowie Del Rosario"/>
    <m/>
  </r>
  <r>
    <x v="43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0"/>
    <n v="4"/>
    <s v="John Rowie Del Rosario"/>
    <m/>
  </r>
  <r>
    <x v="43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0"/>
    <n v="4"/>
    <s v="John Rowie Del Rosario"/>
    <m/>
  </r>
  <r>
    <x v="43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0"/>
    <n v="4"/>
    <s v="John Rowie Del Rosario"/>
    <m/>
  </r>
  <r>
    <x v="43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0"/>
    <n v="4"/>
    <s v="John Rowie Del Rosario"/>
    <m/>
  </r>
  <r>
    <x v="43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0"/>
    <n v="4"/>
    <s v="John Rowie Del Rosario"/>
    <m/>
  </r>
  <r>
    <x v="43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0"/>
    <n v="4"/>
    <s v="John Rowie Del Rosario"/>
    <m/>
  </r>
  <r>
    <x v="43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0"/>
    <n v="4"/>
    <s v="John Rowie Del Rosario"/>
    <m/>
  </r>
  <r>
    <x v="43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0"/>
    <n v="4"/>
    <s v="John Rowie Del Rosario"/>
    <m/>
  </r>
  <r>
    <x v="43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0"/>
    <n v="4"/>
    <s v="John Rowie Del Rosario"/>
    <m/>
  </r>
  <r>
    <x v="43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0"/>
    <n v="4"/>
    <s v="John Rowie Del Rosario"/>
    <m/>
  </r>
  <r>
    <x v="43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0"/>
    <n v="4"/>
    <s v="John Rowie Del Rosario"/>
    <m/>
  </r>
  <r>
    <x v="43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0"/>
    <n v="4"/>
    <s v="John Rowie Del Rosario"/>
    <m/>
  </r>
  <r>
    <x v="43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0"/>
    <n v="4"/>
    <s v="John Rowie Del Rosario"/>
    <m/>
  </r>
  <r>
    <x v="43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0"/>
    <n v="4"/>
    <s v="John Rowie Del Rosario"/>
    <m/>
  </r>
  <r>
    <x v="43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0"/>
    <n v="4"/>
    <s v="John Rowie Del Rosario"/>
    <m/>
  </r>
  <r>
    <x v="43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0"/>
    <n v="4"/>
    <s v="John Rowie Del Rosario"/>
    <m/>
  </r>
  <r>
    <x v="43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0"/>
    <n v="4"/>
    <s v="John Rowie Del Rosario"/>
    <m/>
  </r>
  <r>
    <x v="43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0"/>
    <n v="4"/>
    <s v="John Rowie Del Rosario"/>
    <m/>
  </r>
  <r>
    <x v="43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0"/>
    <n v="4"/>
    <s v="John Rowie Del Rosario"/>
    <m/>
  </r>
  <r>
    <x v="43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0"/>
    <n v="4"/>
    <s v="John Rowie Del Rosario"/>
    <m/>
  </r>
  <r>
    <x v="43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0"/>
    <n v="4"/>
    <s v="John Rowie Del Rosario"/>
    <m/>
  </r>
  <r>
    <x v="43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0"/>
    <n v="4"/>
    <s v="John Rowie Del Rosario"/>
    <m/>
  </r>
  <r>
    <x v="43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0"/>
    <n v="4"/>
    <s v="John Rowie Del Rosario"/>
    <m/>
  </r>
  <r>
    <x v="43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0"/>
    <n v="4"/>
    <s v="John Rowie Del Rosario"/>
    <m/>
  </r>
  <r>
    <x v="43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0"/>
    <n v="4"/>
    <s v="John Rowie Del Rosario"/>
    <m/>
  </r>
  <r>
    <x v="43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0"/>
    <n v="4"/>
    <s v="John Rowie Del Rosario"/>
    <m/>
  </r>
  <r>
    <x v="43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0"/>
    <n v="4"/>
    <s v="John Rowie Del Rosario"/>
    <m/>
  </r>
  <r>
    <x v="43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0"/>
    <n v="4"/>
    <s v="John Rowie Del Rosario"/>
    <m/>
  </r>
  <r>
    <x v="43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0"/>
    <n v="4"/>
    <s v="John Rowie Del Rosario"/>
    <m/>
  </r>
  <r>
    <x v="43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0"/>
    <n v="4"/>
    <s v="John Rowie Del Rosario"/>
    <m/>
  </r>
  <r>
    <x v="43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0"/>
    <n v="4"/>
    <s v="John Rowie Del Rosario"/>
    <m/>
  </r>
  <r>
    <x v="43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0"/>
    <n v="4"/>
    <s v="John Rowie Del Rosario"/>
    <m/>
  </r>
  <r>
    <x v="43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0"/>
    <n v="4"/>
    <s v="John Rowie Del Rosario"/>
    <m/>
  </r>
  <r>
    <x v="43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0"/>
    <n v="4"/>
    <s v="John Rowie Del Rosario"/>
    <m/>
  </r>
  <r>
    <x v="43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0"/>
    <n v="4"/>
    <s v="John Rowie Del Rosario"/>
    <m/>
  </r>
  <r>
    <x v="43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0"/>
    <n v="4"/>
    <s v="John Rowie Del Rosario"/>
    <m/>
  </r>
  <r>
    <x v="43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0"/>
    <n v="4"/>
    <s v="John Rowie Del Rosario"/>
    <m/>
  </r>
  <r>
    <x v="43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0"/>
    <n v="4"/>
    <s v="John Rowie Del Rosario"/>
    <m/>
  </r>
  <r>
    <x v="43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0"/>
    <n v="4"/>
    <s v="John Rowie Del Rosario"/>
    <m/>
  </r>
  <r>
    <x v="43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0"/>
    <n v="4"/>
    <s v="John Rowie Del Rosario"/>
    <m/>
  </r>
  <r>
    <x v="43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0"/>
    <n v="4"/>
    <s v="John Rowie Del Rosario"/>
    <m/>
  </r>
  <r>
    <x v="43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0"/>
    <n v="4"/>
    <s v="John Rowie Del Rosario"/>
    <m/>
  </r>
  <r>
    <x v="43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0"/>
    <n v="4"/>
    <s v="John Rowie Del Rosario"/>
    <m/>
  </r>
  <r>
    <x v="43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0"/>
    <n v="4"/>
    <s v="John Rowie Del Rosario"/>
    <m/>
  </r>
  <r>
    <x v="43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0"/>
    <n v="4"/>
    <s v="John Rowie Del Rosario"/>
    <m/>
  </r>
  <r>
    <x v="43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0"/>
    <n v="4"/>
    <s v="John Rowie Del Rosario"/>
    <m/>
  </r>
  <r>
    <x v="43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0"/>
    <n v="4"/>
    <s v="John Rowie Del Rosario"/>
    <m/>
  </r>
  <r>
    <x v="43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0"/>
    <n v="4"/>
    <s v="John Rowie Del Rosario"/>
    <m/>
  </r>
  <r>
    <x v="43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0"/>
    <n v="4"/>
    <s v="John Rowie Del Rosario"/>
    <m/>
  </r>
  <r>
    <x v="43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0"/>
    <n v="4"/>
    <s v="John Rowie Del Rosario"/>
    <m/>
  </r>
  <r>
    <x v="43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0"/>
    <n v="4"/>
    <s v="John Rowie Del Rosario"/>
    <m/>
  </r>
  <r>
    <x v="43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0"/>
    <n v="4"/>
    <s v="John Rowie Del Rosario"/>
    <m/>
  </r>
  <r>
    <x v="43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0"/>
    <n v="4"/>
    <s v="John Rowie Del Rosario"/>
    <m/>
  </r>
  <r>
    <x v="43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0"/>
    <n v="4"/>
    <s v="John Rowie Del Rosario"/>
    <m/>
  </r>
  <r>
    <x v="43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0"/>
    <n v="4"/>
    <s v="John Rowie Del Rosario"/>
    <m/>
  </r>
  <r>
    <x v="43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0"/>
    <n v="4"/>
    <s v="John Rowie Del Rosario"/>
    <m/>
  </r>
  <r>
    <x v="43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0"/>
    <n v="4"/>
    <s v="John Rowie Del Rosario"/>
    <m/>
  </r>
  <r>
    <x v="43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0"/>
    <n v="4"/>
    <s v="John Rowie Del Rosario"/>
    <m/>
  </r>
  <r>
    <x v="43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0"/>
    <n v="4"/>
    <s v="John Rowie Del Rosario"/>
    <m/>
  </r>
  <r>
    <x v="43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0"/>
    <n v="4"/>
    <s v="John Rowie Del Rosario"/>
    <m/>
  </r>
  <r>
    <x v="43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0"/>
    <n v="4"/>
    <s v="John Rowie Del Rosario"/>
    <m/>
  </r>
  <r>
    <x v="43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0"/>
    <n v="4"/>
    <s v="John Rowie Del Rosario"/>
    <m/>
  </r>
  <r>
    <x v="43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0"/>
    <n v="4"/>
    <s v="John Rowie Del Rosario"/>
    <m/>
  </r>
  <r>
    <x v="43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0"/>
    <n v="4"/>
    <s v="John Rowie Del Rosario"/>
    <m/>
  </r>
  <r>
    <x v="43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0"/>
    <n v="4"/>
    <s v="John Rowie Del Rosario"/>
    <m/>
  </r>
  <r>
    <x v="43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0"/>
    <n v="4"/>
    <s v="John Rowie Del Rosario"/>
    <m/>
  </r>
  <r>
    <x v="43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0"/>
    <n v="4"/>
    <s v="John Rowie Del Rosario"/>
    <m/>
  </r>
  <r>
    <x v="43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0"/>
    <n v="4"/>
    <s v="John Rowie Del Rosario"/>
    <m/>
  </r>
  <r>
    <x v="43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0"/>
    <n v="4"/>
    <s v="John Rowie Del Rosario"/>
    <m/>
  </r>
  <r>
    <x v="43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0"/>
    <n v="4"/>
    <s v="John Rowie Del Rosario"/>
    <m/>
  </r>
  <r>
    <x v="43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0"/>
    <n v="4"/>
    <s v="John Rowie Del Rosario"/>
    <m/>
  </r>
  <r>
    <x v="43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0"/>
    <n v="4"/>
    <s v="John Rowie Del Rosario"/>
    <m/>
  </r>
  <r>
    <x v="43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0"/>
    <n v="4"/>
    <s v="John Rowie Del Rosario"/>
    <m/>
  </r>
  <r>
    <x v="43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0"/>
    <n v="4"/>
    <s v="John Rowie Del Rosario"/>
    <m/>
  </r>
  <r>
    <x v="43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0"/>
    <n v="4"/>
    <s v="John Rowie Del Rosario"/>
    <m/>
  </r>
  <r>
    <x v="43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0"/>
    <n v="4"/>
    <s v="John Rowie Del Rosario"/>
    <m/>
  </r>
  <r>
    <x v="43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0"/>
    <n v="4"/>
    <s v="John Rowie Del Rosario"/>
    <m/>
  </r>
  <r>
    <x v="43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0"/>
    <n v="4"/>
    <s v="John Rowie Del Rosario"/>
    <m/>
  </r>
  <r>
    <x v="43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0"/>
    <n v="4"/>
    <s v="John Rowie Del Rosario"/>
    <m/>
  </r>
  <r>
    <x v="43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0"/>
    <n v="4"/>
    <s v="John Rowie Del Rosario"/>
    <m/>
  </r>
  <r>
    <x v="43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0"/>
    <n v="4"/>
    <s v="John Rowie Del Rosario"/>
    <m/>
  </r>
  <r>
    <x v="43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0"/>
    <n v="4"/>
    <s v="John Rowie Del Rosario"/>
    <m/>
  </r>
  <r>
    <x v="43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0"/>
    <n v="4"/>
    <s v="John Rowie Del Rosario"/>
    <m/>
  </r>
  <r>
    <x v="43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0"/>
    <n v="4"/>
    <s v="John Rowie Del Rosario"/>
    <m/>
  </r>
  <r>
    <x v="43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0"/>
    <n v="4"/>
    <s v="John Rowie Del Rosario"/>
    <m/>
  </r>
  <r>
    <x v="43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0"/>
    <n v="4"/>
    <s v="John Rowie Del Rosario"/>
    <m/>
  </r>
  <r>
    <x v="43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0"/>
    <n v="4"/>
    <s v="John Rowie Del Rosario"/>
    <m/>
  </r>
  <r>
    <x v="43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0"/>
    <n v="4"/>
    <s v="John Rowie Del Rosario"/>
    <m/>
  </r>
  <r>
    <x v="43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0"/>
    <n v="4"/>
    <s v="John Rowie Del Rosario"/>
    <m/>
  </r>
  <r>
    <x v="43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0"/>
    <n v="4"/>
    <s v="John Rowie Del Rosario"/>
    <m/>
  </r>
  <r>
    <x v="43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0"/>
    <n v="4"/>
    <s v="John Rowie Del Rosario"/>
    <m/>
  </r>
  <r>
    <x v="43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0"/>
    <n v="4"/>
    <s v="John Rowie Del Rosario"/>
    <m/>
  </r>
  <r>
    <x v="43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0"/>
    <n v="4"/>
    <s v="John Rowie Del Rosario"/>
    <m/>
  </r>
  <r>
    <x v="43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0"/>
    <n v="4"/>
    <s v="John Rowie Del Rosario"/>
    <m/>
  </r>
  <r>
    <x v="43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0"/>
    <n v="4"/>
    <s v="John Rowie Del Rosario"/>
    <m/>
  </r>
  <r>
    <x v="43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0"/>
    <n v="4"/>
    <s v="John Rowie Del Rosario"/>
    <m/>
  </r>
  <r>
    <x v="43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0"/>
    <n v="4"/>
    <s v="John Rowie Del Rosario"/>
    <m/>
  </r>
  <r>
    <x v="43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0"/>
    <n v="4"/>
    <s v="John Rowie Del Rosario"/>
    <m/>
  </r>
  <r>
    <x v="43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0"/>
    <n v="4"/>
    <s v="John Rowie Del Rosario"/>
    <m/>
  </r>
  <r>
    <x v="43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0"/>
    <n v="4"/>
    <s v="John Rowie Del Rosario"/>
    <m/>
  </r>
  <r>
    <x v="43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0"/>
    <n v="4"/>
    <s v="John Rowie Del Rosario"/>
    <m/>
  </r>
  <r>
    <x v="43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0"/>
    <n v="4"/>
    <s v="John Rowie Del Rosario"/>
    <m/>
  </r>
  <r>
    <x v="43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0"/>
    <n v="4"/>
    <s v="John Rowie Del Rosario"/>
    <m/>
  </r>
  <r>
    <x v="43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0"/>
    <n v="4"/>
    <s v="John Rowie Del Rosario"/>
    <m/>
  </r>
  <r>
    <x v="44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0"/>
    <n v="3"/>
    <s v="Analyn Ayson"/>
    <m/>
  </r>
  <r>
    <x v="44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0"/>
    <n v="3"/>
    <s v="Analyn Ayson"/>
    <m/>
  </r>
  <r>
    <x v="44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0"/>
    <n v="3"/>
    <s v="Analyn Ayson"/>
    <m/>
  </r>
  <r>
    <x v="44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0"/>
    <n v="3"/>
    <s v="Analyn Ayson"/>
    <m/>
  </r>
  <r>
    <x v="44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0"/>
    <n v="3"/>
    <s v="Analyn Ayson"/>
    <m/>
  </r>
  <r>
    <x v="44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0"/>
    <n v="3"/>
    <s v="Rayneil Reas"/>
    <m/>
  </r>
  <r>
    <x v="44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0"/>
    <n v="3"/>
    <s v="Rayneil Reas"/>
    <m/>
  </r>
  <r>
    <x v="44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0"/>
    <n v="3"/>
    <s v="Rayneil Reas"/>
    <m/>
  </r>
  <r>
    <x v="44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0"/>
    <n v="3"/>
    <s v="Rayneil Reas"/>
    <m/>
  </r>
  <r>
    <x v="44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0"/>
    <n v="3"/>
    <s v="Rayneil Reas"/>
    <m/>
  </r>
  <r>
    <x v="44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0"/>
    <n v="3"/>
    <s v="Rayneil Reas"/>
    <m/>
  </r>
  <r>
    <x v="44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0"/>
    <n v="3"/>
    <s v="Rayneil Reas"/>
    <m/>
  </r>
  <r>
    <x v="441"/>
    <x v="0"/>
    <x v="2"/>
    <s v="CSCALA_1759$E375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41"/>
    <x v="0"/>
    <x v="2"/>
    <s v="CSCALA_1759$E376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41"/>
    <x v="0"/>
    <x v="2"/>
    <s v="CSCALA_1759$O209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41"/>
    <x v="0"/>
    <x v="2"/>
    <s v="CSCALA_1759$C229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41"/>
    <x v="0"/>
    <x v="2"/>
    <s v="CSCALA_1759$C219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41"/>
    <x v="0"/>
    <x v="2"/>
    <s v="CSCALA_1759$C220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41"/>
    <x v="0"/>
    <x v="2"/>
    <s v="CSCALA_1759$C221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41"/>
    <x v="0"/>
    <x v="2"/>
    <s v="CSCALA_1759$C222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41"/>
    <x v="0"/>
    <x v="2"/>
    <s v="CSCALA_1759$C223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41"/>
    <x v="0"/>
    <x v="2"/>
    <s v="CSCALA_1759$C224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41"/>
    <x v="0"/>
    <x v="2"/>
    <s v="CSCALA_1759$C225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41"/>
    <x v="0"/>
    <x v="2"/>
    <s v="CSCALA_1759$C226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41"/>
    <x v="0"/>
    <x v="2"/>
    <s v="CSCALA_1759$C227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41"/>
    <x v="0"/>
    <x v="2"/>
    <s v="CSCALA_1759$C228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41"/>
    <x v="0"/>
    <x v="2"/>
    <s v="CSCALA_1759$C231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41"/>
    <x v="0"/>
    <x v="2"/>
    <s v="CSCALA_1759$G233"/>
    <s v="H000003613"/>
    <s v="H000003613"/>
    <s v="Non-LFF"/>
    <s v=""/>
    <m/>
    <b v="1"/>
    <x v="1"/>
    <x v="0"/>
    <d v="2025-12-01T00:00:00"/>
    <m/>
    <m/>
    <x v="0"/>
    <n v="3"/>
    <s v="Rayneil Reas"/>
    <m/>
  </r>
  <r>
    <x v="442"/>
    <x v="0"/>
    <x v="2"/>
    <s v="CSCALA_1022$ITR"/>
    <s v="G000001238"/>
    <s v="G000001238"/>
    <s v="Non-LFF"/>
    <s v=""/>
    <m/>
    <b v="1"/>
    <x v="0"/>
    <x v="0"/>
    <d v="2025-12-02T00:00:00"/>
    <m/>
    <m/>
    <x v="0"/>
    <n v="2"/>
    <s v="Jay-R Lizardo"/>
    <m/>
  </r>
  <r>
    <x v="44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0"/>
    <n v="2"/>
    <s v="Jay-R Lizardo"/>
    <m/>
  </r>
  <r>
    <x v="44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0"/>
    <n v="2"/>
    <s v="Jay-R Lizardo"/>
    <m/>
  </r>
  <r>
    <x v="44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0"/>
    <n v="2"/>
    <s v="Jay-R Lizardo"/>
    <m/>
  </r>
  <r>
    <x v="44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0"/>
    <n v="2"/>
    <s v="Jay-R Lizardo"/>
    <m/>
  </r>
  <r>
    <x v="44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0"/>
    <n v="2"/>
    <s v="Jay-R Lizardo"/>
    <m/>
  </r>
  <r>
    <x v="44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0"/>
    <n v="2"/>
    <s v="Jay-R Lizardo"/>
    <m/>
  </r>
  <r>
    <x v="44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0"/>
    <n v="2"/>
    <s v="Jay-R Lizardo"/>
    <m/>
  </r>
  <r>
    <x v="44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0"/>
    <n v="2"/>
    <s v="Jay-R Lizardo"/>
    <m/>
  </r>
  <r>
    <x v="44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0"/>
    <n v="2"/>
    <s v="Jay-R Lizardo"/>
    <m/>
  </r>
  <r>
    <x v="44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0"/>
    <n v="2"/>
    <s v="Jay-R Lizard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C19" firstHeaderRow="0" firstDataRow="1" firstDataCol="1" rowPageCount="1" colPageCount="1"/>
  <pivotFields count="19">
    <pivotField dataField="1"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sd="0" x="2"/>
        <item sd="0" x="1"/>
        <item sd="0" x="3"/>
        <item sd="0" x="4"/>
        <item sd="0" x="5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pageFields count="1">
    <pageField fld="11" hier="-1"/>
  </pageFields>
  <dataFields count="2">
    <dataField name="Count of Obj" fld="3" subtotal="count" baseField="0" baseItem="0"/>
    <dataField name="Count of App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8" firstHeaderRow="1" firstDataRow="1" firstDataCol="1" rowPageCount="1" colPageCount="1"/>
  <pivotFields count="19">
    <pivotField axis="axisRow" showAll="0" sortType="ascending">
      <items count="1635">
        <item m="1" x="1014"/>
        <item x="0"/>
        <item m="1" x="1084"/>
        <item m="1" x="1510"/>
        <item m="1" x="664"/>
        <item m="1" x="1527"/>
        <item m="1" x="1044"/>
        <item m="1" x="1134"/>
        <item m="1" x="1560"/>
        <item m="1" x="1351"/>
        <item m="1" x="1037"/>
        <item m="1" x="1626"/>
        <item m="1" x="1371"/>
        <item m="1" x="1616"/>
        <item m="1" x="984"/>
        <item m="1" x="883"/>
        <item m="1" x="587"/>
        <item m="1" x="848"/>
        <item m="1" x="1580"/>
        <item m="1" x="640"/>
        <item m="1" x="950"/>
        <item m="1" x="1320"/>
        <item m="1" x="1034"/>
        <item m="1" x="1127"/>
        <item m="1" x="1428"/>
        <item m="1" x="1613"/>
        <item m="1" x="1069"/>
        <item m="1" x="1091"/>
        <item m="1" x="853"/>
        <item m="1" x="1258"/>
        <item m="1" x="1016"/>
        <item m="1" x="1567"/>
        <item m="1" x="1219"/>
        <item m="1" x="649"/>
        <item m="1" x="757"/>
        <item m="1" x="1552"/>
        <item m="1" x="1312"/>
        <item m="1" x="562"/>
        <item m="1" x="1402"/>
        <item m="1" x="1063"/>
        <item m="1" x="1360"/>
        <item m="1" x="943"/>
        <item m="1" x="1297"/>
        <item m="1" x="552"/>
        <item m="1" x="582"/>
        <item m="1" x="1629"/>
        <item m="1" x="1304"/>
        <item m="1" x="1375"/>
        <item m="1" x="1483"/>
        <item m="1" x="1248"/>
        <item m="1" x="1347"/>
        <item m="1" x="1184"/>
        <item m="1" x="636"/>
        <item m="1" x="827"/>
        <item m="1" x="1611"/>
        <item m="1" x="1174"/>
        <item m="1" x="1315"/>
        <item m="1" x="839"/>
        <item m="1" x="800"/>
        <item m="1" x="1095"/>
        <item m="1" x="986"/>
        <item m="1" x="1020"/>
        <item m="1" x="576"/>
        <item m="1" x="715"/>
        <item m="1" x="1384"/>
        <item m="1" x="1602"/>
        <item m="1" x="780"/>
        <item m="1" x="1188"/>
        <item m="1" x="1198"/>
        <item m="1" x="1379"/>
        <item m="1" x="1490"/>
        <item m="1" x="1365"/>
        <item m="1" x="655"/>
        <item m="1" x="1511"/>
        <item m="1" x="1237"/>
        <item m="1" x="1223"/>
        <item m="1" x="755"/>
        <item m="1" x="1111"/>
        <item m="1" x="1463"/>
        <item m="1" x="573"/>
        <item m="1" x="1155"/>
        <item m="1" x="1513"/>
        <item m="1" x="1348"/>
        <item m="1" x="1081"/>
        <item m="1" x="1123"/>
        <item m="1" x="1004"/>
        <item m="1" x="1240"/>
        <item m="1" x="1051"/>
        <item m="1" x="1284"/>
        <item m="1" x="764"/>
        <item m="1" x="1601"/>
        <item m="1" x="1121"/>
        <item m="1" x="1412"/>
        <item m="1" x="480"/>
        <item m="1" x="1617"/>
        <item m="1" x="1148"/>
        <item m="1" x="1442"/>
        <item m="1" x="1352"/>
        <item m="1" x="1128"/>
        <item m="1" x="635"/>
        <item m="1" x="642"/>
        <item m="1" x="682"/>
        <item m="1" x="864"/>
        <item m="1" x="1292"/>
        <item m="1" x="1052"/>
        <item m="1" x="1168"/>
        <item m="1" x="1231"/>
        <item m="1" x="1382"/>
        <item m="1" x="1466"/>
        <item m="1" x="1023"/>
        <item m="1" x="741"/>
        <item m="1" x="584"/>
        <item m="1" x="727"/>
        <item m="1" x="1610"/>
        <item m="1" x="759"/>
        <item m="1" x="1448"/>
        <item m="1" x="1376"/>
        <item m="1" x="989"/>
        <item m="1" x="1062"/>
        <item m="1" x="927"/>
        <item m="1" x="1185"/>
        <item m="1" x="1565"/>
        <item m="1" x="733"/>
        <item m="1" x="681"/>
        <item m="1" x="616"/>
        <item m="1" x="1286"/>
        <item m="1" x="1550"/>
        <item m="1" x="1478"/>
        <item m="1" x="1130"/>
        <item m="1" x="651"/>
        <item m="1" x="1383"/>
        <item m="1" x="828"/>
        <item m="1" x="1085"/>
        <item m="1" x="1261"/>
        <item m="1" x="1372"/>
        <item m="1" x="484"/>
        <item m="1" x="1318"/>
        <item m="1" x="1281"/>
        <item m="1" x="718"/>
        <item m="1" x="1169"/>
        <item m="1" x="1057"/>
        <item m="1" x="1010"/>
        <item m="1" x="740"/>
        <item m="1" x="676"/>
        <item m="1" x="917"/>
        <item m="1" x="1106"/>
        <item m="1" x="509"/>
        <item m="1" x="849"/>
        <item m="1" x="708"/>
        <item m="1" x="448"/>
        <item m="1" x="962"/>
        <item m="1" x="1164"/>
        <item m="1" x="1046"/>
        <item m="1" x="1092"/>
        <item m="1" x="1416"/>
        <item m="1" x="993"/>
        <item m="1" x="1524"/>
        <item m="1" x="1244"/>
        <item m="1" x="1182"/>
        <item m="1" x="693"/>
        <item m="1" x="1331"/>
        <item m="1" x="1612"/>
        <item m="1" x="1296"/>
        <item m="1" x="1280"/>
        <item m="1" x="563"/>
        <item m="1" x="611"/>
        <item m="1" x="1149"/>
        <item m="1" x="652"/>
        <item m="1" x="1597"/>
        <item m="1" x="1259"/>
        <item m="1" x="1183"/>
        <item m="1" x="1135"/>
        <item m="1" x="935"/>
        <item m="1" x="561"/>
        <item m="1" x="661"/>
        <item m="1" x="767"/>
        <item m="1" x="1508"/>
        <item m="1" x="1540"/>
        <item m="1" x="1234"/>
        <item m="1" x="960"/>
        <item m="1" x="1049"/>
        <item m="1" x="556"/>
        <item m="1" x="596"/>
        <item m="1" x="937"/>
        <item m="1" x="1163"/>
        <item m="1" x="1076"/>
        <item m="1" x="731"/>
        <item m="1" x="966"/>
        <item m="1" x="678"/>
        <item m="1" x="873"/>
        <item m="1" x="795"/>
        <item m="1" x="630"/>
        <item m="1" x="766"/>
        <item m="1" x="1139"/>
        <item m="1" x="546"/>
        <item m="1" x="785"/>
        <item m="1" x="577"/>
        <item m="1" x="1274"/>
        <item m="1" x="1467"/>
        <item m="1" x="1072"/>
        <item m="1" x="713"/>
        <item m="1" x="1369"/>
        <item m="1" x="1211"/>
        <item m="1" x="725"/>
        <item m="1" x="726"/>
        <item m="1" x="912"/>
        <item m="1" x="601"/>
        <item m="1" x="790"/>
        <item m="1" x="585"/>
        <item m="1" x="771"/>
        <item m="1" x="1344"/>
        <item m="1" x="850"/>
        <item m="1" x="1220"/>
        <item m="1" x="1271"/>
        <item m="1" x="1409"/>
        <item m="1" x="1413"/>
        <item m="1" x="1125"/>
        <item m="1" x="965"/>
        <item m="1" x="1005"/>
        <item m="1" x="1577"/>
        <item m="1" x="862"/>
        <item m="1" x="674"/>
        <item m="1" x="1055"/>
        <item m="1" x="508"/>
        <item m="1" x="1581"/>
        <item m="1" x="1039"/>
        <item m="1" x="469"/>
        <item m="1" x="1499"/>
        <item m="1" x="1542"/>
        <item m="1" x="1378"/>
        <item m="1" x="748"/>
        <item m="1" x="486"/>
        <item m="1" x="1429"/>
        <item m="1" x="812"/>
        <item m="1" x="446"/>
        <item m="1" x="1600"/>
        <item m="1" x="836"/>
        <item m="1" x="994"/>
        <item m="1" x="1444"/>
        <item m="1" x="523"/>
        <item m="1" x="1353"/>
        <item m="1" x="1159"/>
        <item m="1" x="1024"/>
        <item m="1" x="891"/>
        <item m="1" x="638"/>
        <item m="1" x="1142"/>
        <item m="1" x="841"/>
        <item m="1" x="1386"/>
        <item m="1" x="701"/>
        <item m="1" x="1457"/>
        <item m="1" x="1464"/>
        <item m="1" x="1143"/>
        <item m="1" x="1335"/>
        <item m="1" x="747"/>
        <item m="1" x="1047"/>
        <item m="1" x="1338"/>
        <item m="1" x="918"/>
        <item m="1" x="1210"/>
        <item m="1" x="846"/>
        <item m="1" x="631"/>
        <item m="1" x="835"/>
        <item m="1" x="1609"/>
        <item m="1" x="1551"/>
        <item m="1" x="688"/>
        <item m="1" x="1497"/>
        <item m="1" x="494"/>
        <item m="1" x="1519"/>
        <item m="1" x="530"/>
        <item m="1" x="832"/>
        <item m="1" x="932"/>
        <item m="1" x="877"/>
        <item m="1" x="1492"/>
        <item m="1" x="1395"/>
        <item m="1" x="628"/>
        <item m="1" x="1201"/>
        <item m="1" x="1414"/>
        <item m="1" x="1548"/>
        <item m="1" x="1455"/>
        <item m="1" x="533"/>
        <item m="1" x="1621"/>
        <item m="1" x="684"/>
        <item m="1" x="967"/>
        <item m="1" x="1417"/>
        <item m="1" x="532"/>
        <item m="1" x="1476"/>
        <item m="1" x="697"/>
        <item m="1" x="1346"/>
        <item m="1" x="1208"/>
        <item m="1" x="1186"/>
        <item m="1" x="762"/>
        <item m="1" x="724"/>
        <item m="1" x="1544"/>
        <item m="1" x="476"/>
        <item m="1" x="659"/>
        <item m="1" x="1322"/>
        <item m="1" x="1437"/>
        <item m="1" x="1361"/>
        <item m="1" x="1568"/>
        <item m="1" x="1067"/>
        <item m="1" x="691"/>
        <item m="1" x="811"/>
        <item m="1" x="1133"/>
        <item m="1" x="872"/>
        <item m="1" x="1203"/>
        <item m="1" x="813"/>
        <item m="1" x="615"/>
        <item m="1" x="1272"/>
        <item m="1" x="670"/>
        <item m="1" x="550"/>
        <item m="1" x="1410"/>
        <item m="1" x="1557"/>
        <item m="1" x="1254"/>
        <item m="1" x="514"/>
        <item m="1" x="1449"/>
        <item m="1" x="1243"/>
        <item m="1" x="1354"/>
        <item m="1" x="1496"/>
        <item m="1" x="716"/>
        <item m="1" x="909"/>
        <item m="1" x="746"/>
        <item m="1" x="1017"/>
        <item m="1" x="940"/>
        <item m="1" x="970"/>
        <item m="1" x="1512"/>
        <item m="1" x="952"/>
        <item m="1" x="1156"/>
        <item m="1" x="685"/>
        <item m="1" x="884"/>
        <item m="1" x="858"/>
        <item m="1" x="1204"/>
        <item m="1" x="1107"/>
        <item m="1" x="1337"/>
        <item m="1" x="854"/>
        <item m="1" x="1498"/>
        <item m="1" x="692"/>
        <item m="1" x="618"/>
        <item m="1" x="874"/>
        <item m="1" x="1423"/>
        <item m="1" x="525"/>
        <item m="1" x="526"/>
        <item m="1" x="822"/>
        <item m="1" x="1503"/>
        <item m="1" x="889"/>
        <item m="1" x="534"/>
        <item m="1" x="694"/>
        <item m="1" x="938"/>
        <item m="1" x="1251"/>
        <item m="1" x="1222"/>
        <item m="1" x="890"/>
        <item m="1" x="470"/>
        <item m="1" x="609"/>
        <item m="1" x="821"/>
        <item m="1" x="709"/>
        <item m="1" x="465"/>
        <item m="1" x="1427"/>
        <item m="1" x="1556"/>
        <item m="1" x="1021"/>
        <item m="1" x="1456"/>
        <item m="1" x="1516"/>
        <item m="1" x="531"/>
        <item m="1" x="1554"/>
        <item m="1" x="1288"/>
        <item m="1" x="707"/>
        <item m="1" x="893"/>
        <item m="1" x="797"/>
        <item m="1" x="1162"/>
        <item m="1" x="730"/>
        <item m="1" x="948"/>
        <item m="1" x="1245"/>
        <item m="1" x="1373"/>
        <item m="1" x="869"/>
        <item m="1" x="1000"/>
        <item m="1" x="809"/>
        <item m="1" x="735"/>
        <item m="1" x="1250"/>
        <item m="1" x="1367"/>
        <item m="1" x="1531"/>
        <item m="1" x="565"/>
        <item m="1" x="769"/>
        <item m="1" x="1212"/>
        <item m="1" x="610"/>
        <item m="1" x="897"/>
        <item m="1" x="1282"/>
        <item m="1" x="543"/>
        <item m="1" x="753"/>
        <item m="1" x="863"/>
        <item m="1" x="1477"/>
        <item m="1" x="702"/>
        <item m="1" x="974"/>
        <item m="1" x="1533"/>
        <item m="1" x="653"/>
        <item m="1" x="842"/>
        <item m="1" x="1033"/>
        <item m="1" x="1374"/>
        <item m="1" x="665"/>
        <item m="1" x="922"/>
        <item m="1" x="763"/>
        <item m="1" x="1263"/>
        <item m="1" x="1453"/>
        <item m="1" x="571"/>
        <item m="1" x="791"/>
        <item m="1" x="1535"/>
        <item m="1" x="1500"/>
        <item m="1" x="592"/>
        <item m="1" x="910"/>
        <item m="1" x="1441"/>
        <item m="1" x="1572"/>
        <item m="1" x="1443"/>
        <item m="1" x="1418"/>
        <item m="1" x="541"/>
        <item m="1" x="717"/>
        <item m="1" x="799"/>
        <item m="1" x="788"/>
        <item m="1" x="1018"/>
        <item m="1" x="502"/>
        <item m="1" x="1205"/>
        <item m="1" x="1277"/>
        <item m="1" x="454"/>
        <item m="1" x="1541"/>
        <item m="1" x="1403"/>
        <item m="1" x="1532"/>
        <item m="1" x="1562"/>
        <item m="1" x="1598"/>
        <item m="1" x="1536"/>
        <item m="1" x="892"/>
        <item m="1" x="1256"/>
        <item m="1" x="859"/>
        <item m="1" x="1269"/>
        <item m="1" x="1233"/>
        <item m="1" x="668"/>
        <item m="1" x="706"/>
        <item m="1" x="844"/>
        <item m="1" x="1313"/>
        <item m="1" x="829"/>
        <item m="1" x="575"/>
        <item m="1" x="1582"/>
        <item m="1" x="1329"/>
        <item m="1" x="1160"/>
        <item m="1" x="1192"/>
        <item m="1" x="1242"/>
        <item m="1" x="663"/>
        <item m="1" x="1008"/>
        <item m="1" x="1355"/>
        <item m="1" x="500"/>
        <item m="1" x="744"/>
        <item m="1" x="644"/>
        <item m="1" x="641"/>
        <item m="1" x="645"/>
        <item m="1" x="444"/>
        <item m="1" x="667"/>
        <item m="1" x="1472"/>
        <item m="1" x="467"/>
        <item m="1" x="1117"/>
        <item m="1" x="1559"/>
        <item m="1" x="1368"/>
        <item m="1" x="622"/>
        <item m="1" x="1630"/>
        <item m="1" x="551"/>
        <item m="1" x="919"/>
        <item m="1" x="1144"/>
        <item m="1" x="597"/>
        <item m="1" x="1053"/>
        <item m="1" x="1213"/>
        <item m="1" x="1486"/>
        <item m="1" x="1388"/>
        <item m="1" x="458"/>
        <item m="1" x="1145"/>
        <item m="1" x="542"/>
        <item m="1" x="778"/>
        <item m="1" x="750"/>
        <item m="1" x="511"/>
        <item m="1" x="1108"/>
        <item m="1" x="1115"/>
        <item m="1" x="1215"/>
        <item m="1" x="963"/>
        <item m="1" x="1469"/>
        <item m="1" x="870"/>
        <item m="1" x="1588"/>
        <item m="1" x="1218"/>
        <item m="1" x="1109"/>
        <item m="1" x="770"/>
        <item m="1" x="1181"/>
        <item m="1" x="1484"/>
        <item m="1" x="1549"/>
        <item m="1" x="1528"/>
        <item m="1" x="1458"/>
        <item m="1" x="1202"/>
        <item m="1" x="1316"/>
        <item m="1" x="825"/>
        <item m="1" x="1278"/>
        <item m="1" x="1102"/>
        <item m="1" x="1061"/>
        <item m="1" x="1059"/>
        <item m="1" x="1060"/>
        <item m="1" x="754"/>
        <item m="1" x="798"/>
        <item m="1" x="1419"/>
        <item m="1" x="978"/>
        <item m="1" x="818"/>
        <item m="1" x="860"/>
        <item m="1" x="907"/>
        <item m="1" x="1161"/>
        <item m="1" x="1504"/>
        <item m="1" x="1593"/>
        <item m="1" x="703"/>
        <item m="1" x="654"/>
        <item m="1" x="490"/>
        <item m="1" x="512"/>
        <item m="1" x="810"/>
        <item m="1" x="598"/>
        <item m="1" x="928"/>
        <item m="1" x="1470"/>
        <item m="1" x="803"/>
        <item m="1" x="595"/>
        <item m="1" x="1359"/>
        <item m="1" x="471"/>
        <item m="1" x="1488"/>
        <item m="1" x="1563"/>
        <item m="1" x="1627"/>
        <item m="1" x="1502"/>
        <item m="1" x="737"/>
        <item m="1" x="513"/>
        <item m="1" x="980"/>
        <item m="1" x="1065"/>
        <item m="1" x="1262"/>
        <item m="1" x="1229"/>
        <item m="1" x="1266"/>
        <item m="1" x="1042"/>
        <item m="1" x="1080"/>
        <item m="1" x="1526"/>
        <item m="1" x="1285"/>
        <item m="1" x="1255"/>
        <item m="1" x="1193"/>
        <item m="1" x="1267"/>
        <item m="1" x="463"/>
        <item m="1" x="468"/>
        <item m="1" x="1075"/>
        <item m="1" x="1465"/>
        <item m="1" x="1030"/>
        <item m="1" x="1605"/>
        <item m="1" x="999"/>
        <item m="1" x="1175"/>
        <item m="1" x="1247"/>
        <item m="1" x="857"/>
        <item m="1" x="689"/>
        <item m="1" x="1068"/>
        <item m="1" x="751"/>
        <item m="1" x="1614"/>
        <item m="1" x="1529"/>
        <item m="1" x="1339"/>
        <item m="1" x="591"/>
        <item m="1" x="517"/>
        <item m="1" x="1094"/>
        <item m="1" x="1340"/>
        <item m="1" x="1632"/>
        <item m="1" x="972"/>
        <item m="1" x="1579"/>
        <item m="1" x="504"/>
        <item m="1" x="619"/>
        <item m="1" x="933"/>
        <item m="1" x="1025"/>
        <item m="1" x="1459"/>
        <item m="1" x="775"/>
        <item m="1" x="1462"/>
        <item m="1" x="871"/>
        <item m="1" x="1451"/>
        <item m="1" x="1615"/>
        <item m="1" x="535"/>
        <item m="1" x="1599"/>
        <item m="1" x="481"/>
        <item m="1" x="1349"/>
        <item m="1" x="964"/>
        <item m="1" x="793"/>
        <item m="1" x="756"/>
        <item m="1" x="900"/>
        <item m="1" x="498"/>
        <item m="1" x="1592"/>
        <item m="1" x="583"/>
        <item m="1" x="604"/>
        <item m="1" x="1485"/>
        <item m="1" x="1564"/>
        <item m="1" x="1073"/>
        <item m="1" x="1214"/>
        <item m="1" x="913"/>
        <item m="1" x="1028"/>
        <item m="1" x="1177"/>
        <item m="1" x="1295"/>
        <item m="1" x="878"/>
        <item m="1" x="1157"/>
        <item m="1" x="975"/>
        <item m="1" x="1618"/>
        <item m="1" x="462"/>
        <item m="1" x="902"/>
        <item m="1" x="843"/>
        <item m="1" x="804"/>
        <item m="1" x="1606"/>
        <item m="1" x="1424"/>
        <item m="1" x="1555"/>
        <item m="1" x="560"/>
        <item m="1" x="1566"/>
        <item m="1" x="1553"/>
        <item m="1" x="1430"/>
        <item m="1" x="657"/>
        <item m="1" x="1029"/>
        <item m="1" x="1122"/>
        <item m="1" x="865"/>
        <item m="1" x="1471"/>
        <item m="1" x="1253"/>
        <item m="1" x="1273"/>
        <item m="1" x="1166"/>
        <item m="1" x="505"/>
        <item m="1" x="1341"/>
        <item m="1" x="1506"/>
        <item m="1" x="903"/>
        <item m="1" x="1625"/>
        <item m="1" x="1114"/>
        <item m="1" x="698"/>
        <item m="1" x="831"/>
        <item m="1" x="867"/>
        <item m="1" x="1534"/>
        <item m="1" x="1518"/>
        <item m="1" x="570"/>
        <item m="1" x="572"/>
        <item m="1" x="485"/>
        <item m="1" x="1454"/>
        <item m="1" x="487"/>
        <item m="1" x="906"/>
        <item m="1" x="805"/>
        <item m="1" x="1265"/>
        <item m="1" x="1207"/>
        <item m="1" x="1561"/>
        <item m="1" x="1493"/>
        <item m="1" x="979"/>
        <item m="1" x="1194"/>
        <item m="1" x="1434"/>
        <item m="1" x="539"/>
        <item m="1" x="973"/>
        <item m="1" x="901"/>
        <item m="1" x="1603"/>
        <item m="1" x="1570"/>
        <item m="1" x="996"/>
        <item m="1" x="599"/>
        <item m="1" x="894"/>
        <item m="1" x="1070"/>
        <item m="1" x="520"/>
        <item m="1" x="1362"/>
        <item m="1" x="953"/>
        <item m="1" x="761"/>
        <item m="1" x="855"/>
        <item m="1" x="1305"/>
        <item m="1" x="1608"/>
        <item m="1" x="679"/>
        <item m="1" x="1460"/>
        <item m="1" x="673"/>
        <item m="1" x="1241"/>
        <item m="1" x="1012"/>
        <item m="1" x="942"/>
        <item m="1" x="662"/>
        <item m="1" x="729"/>
        <item m="1" x="516"/>
        <item m="1" x="1321"/>
        <item m="1" x="830"/>
        <item m="1" x="554"/>
        <item m="1" x="1171"/>
        <item m="1" x="1491"/>
        <item m="1" x="1026"/>
        <item m="1" x="983"/>
        <item m="1" x="451"/>
        <item m="1" x="1596"/>
        <item m="1" x="838"/>
        <item m="1" x="898"/>
        <item m="1" x="1309"/>
        <item m="1" x="1590"/>
        <item m="1" x="1515"/>
        <item m="1" x="1363"/>
        <item m="1" x="1481"/>
        <item m="1" x="634"/>
        <item m="1" x="833"/>
        <item m="1" x="666"/>
        <item m="1" x="457"/>
        <item m="1" x="1074"/>
        <item m="1" x="519"/>
        <item m="1" x="742"/>
        <item m="1" x="686"/>
        <item m="1" x="632"/>
        <item m="1" x="1595"/>
        <item m="1" x="683"/>
        <item m="1" x="1289"/>
        <item m="1" x="1505"/>
        <item m="1" x="623"/>
        <item m="1" x="527"/>
        <item m="1" x="1324"/>
        <item m="1" x="1300"/>
        <item m="1" x="1342"/>
        <item m="1" x="1260"/>
        <item m="1" x="600"/>
        <item m="1" x="958"/>
        <item m="1" x="1227"/>
        <item m="1" x="1482"/>
        <item m="1" x="1071"/>
        <item m="1" x="1189"/>
        <item m="1" x="1538"/>
        <item m="1" x="944"/>
        <item m="1" x="786"/>
        <item m="1" x="1022"/>
        <item m="1" x="968"/>
        <item m="1" x="896"/>
        <item m="1" x="1421"/>
        <item m="1" x="1103"/>
        <item m="1" x="1199"/>
        <item m="1" x="445"/>
        <item m="1" x="995"/>
        <item m="1" x="594"/>
        <item m="1" x="861"/>
        <item m="1" x="1002"/>
        <item m="1" x="529"/>
        <item m="1" x="646"/>
        <item m="1" x="1104"/>
        <item m="1" x="1302"/>
        <item m="1" x="1576"/>
        <item m="1" x="1619"/>
        <item m="1" x="1224"/>
        <item m="1" x="569"/>
        <item m="1" x="496"/>
        <item m="1" x="1086"/>
        <item m="1" x="705"/>
        <item m="1" x="981"/>
        <item m="1" x="607"/>
        <item m="1" x="710"/>
        <item m="1" x="1140"/>
        <item m="1" x="1501"/>
        <item m="1" x="1432"/>
        <item m="1" x="840"/>
        <item m="1" x="875"/>
        <item m="1" x="1154"/>
        <item m="1" x="1589"/>
        <item m="1" x="1311"/>
        <item m="1" x="472"/>
        <item m="1" x="1543"/>
        <item m="1" x="581"/>
        <item m="1" x="1230"/>
        <item m="1" x="1276"/>
        <item m="1" x="1279"/>
        <item m="1" x="1623"/>
        <item m="1" x="507"/>
        <item m="1" x="1290"/>
        <item m="1" x="1391"/>
        <item m="1" x="1158"/>
        <item m="1" x="1330"/>
        <item m="1" x="567"/>
        <item m="1" x="961"/>
        <item m="1" x="806"/>
        <item m="1" x="1426"/>
        <item m="1" x="1521"/>
        <item m="1" x="1045"/>
        <item m="1" x="1489"/>
        <item m="1" x="1537"/>
        <item m="1" x="882"/>
        <item m="1" x="1393"/>
        <item m="1" x="1252"/>
        <item m="1" x="1539"/>
        <item m="1" x="1583"/>
        <item m="1" x="1317"/>
        <item m="1" x="924"/>
        <item m="1" x="728"/>
        <item m="1" x="1571"/>
        <item m="1" x="1113"/>
        <item m="1" x="1087"/>
        <item m="1" x="1096"/>
        <item m="1" x="1622"/>
        <item m="1" x="1343"/>
        <item m="1" x="1036"/>
        <item m="1" x="1306"/>
        <item m="1" x="1283"/>
        <item m="1" x="895"/>
        <item m="1" x="796"/>
        <item m="1" x="1299"/>
        <item m="1" x="690"/>
        <item m="1" x="647"/>
        <item m="1" x="589"/>
        <item m="1" x="1584"/>
        <item m="1" x="1195"/>
        <item m="1" x="929"/>
        <item m="1" x="1011"/>
        <item m="1" x="488"/>
        <item m="1" x="1573"/>
        <item m="1" x="1119"/>
        <item m="1" x="1268"/>
        <item m="1" x="712"/>
        <item m="1" x="1404"/>
        <item m="1" x="899"/>
        <item m="1" x="792"/>
        <item m="1" x="1628"/>
        <item m="1" x="923"/>
        <item m="1" x="1569"/>
        <item m="1" x="1150"/>
        <item m="1" x="823"/>
        <item m="1" x="614"/>
        <item m="1" x="557"/>
        <item m="1" x="851"/>
        <item m="1" x="548"/>
        <item m="1" x="518"/>
        <item m="1" x="536"/>
        <item m="1" x="815"/>
        <item m="1" x="660"/>
        <item m="1" x="969"/>
        <item m="1" x="1027"/>
        <item m="1" x="1126"/>
        <item m="1" x="997"/>
        <item m="1" x="1332"/>
        <item m="1" x="1399"/>
        <item m="1" x="603"/>
        <item m="1" x="613"/>
        <item m="1" x="802"/>
        <item m="1" x="946"/>
        <item m="1" x="734"/>
        <item m="1" x="1291"/>
        <item m="1" x="1040"/>
        <item m="1" x="956"/>
        <item m="1" x="1090"/>
        <item m="1" x="1401"/>
        <item m="1" x="1336"/>
        <item m="1" x="1425"/>
        <item m="1" x="1176"/>
        <item m="1" x="593"/>
        <item m="1" x="1607"/>
        <item m="1" x="1015"/>
        <item m="1" x="627"/>
        <item m="1" x="450"/>
        <item m="1" x="1604"/>
        <item m="1" x="1083"/>
        <item m="1" x="1050"/>
        <item m="1" x="819"/>
        <item m="1" x="699"/>
        <item m="1" x="783"/>
        <item m="1" x="939"/>
        <item m="1" x="1520"/>
        <item m="1" x="1439"/>
        <item m="1" x="807"/>
        <item m="1" x="880"/>
        <item m="1" x="887"/>
        <item m="1" x="1433"/>
        <item m="1" x="1031"/>
        <item m="1" x="499"/>
        <item m="1" x="1064"/>
        <item m="1" x="1345"/>
        <item m="1" x="1474"/>
        <item m="1" x="1364"/>
        <item m="1" x="1170"/>
        <item m="1" x="1473"/>
        <item m="1" x="478"/>
        <item m="1" x="1390"/>
        <item m="1" x="460"/>
        <item m="1" x="801"/>
        <item m="1" x="464"/>
        <item m="1" x="624"/>
        <item m="1" x="714"/>
        <item m="1" x="720"/>
        <item m="1" x="1141"/>
        <item m="1" x="1400"/>
        <item m="1" x="920"/>
        <item m="1" x="489"/>
        <item m="1" x="696"/>
        <item m="1" x="483"/>
        <item m="1" x="1487"/>
        <item m="1" x="704"/>
        <item m="1" x="1043"/>
        <item m="1" x="1507"/>
        <item m="1" x="826"/>
        <item m="1" x="768"/>
        <item m="1" x="1167"/>
        <item m="1" x="721"/>
        <item m="1" x="1032"/>
        <item m="1" x="1328"/>
        <item m="1" x="461"/>
        <item m="1" x="977"/>
        <item m="1" x="1097"/>
        <item m="1" x="586"/>
        <item m="1" x="930"/>
        <item m="1" x="1066"/>
        <item m="1" x="814"/>
        <item m="1" x="852"/>
        <item m="1" x="579"/>
        <item m="1" x="987"/>
        <item m="1" x="447"/>
        <item m="1" x="1124"/>
        <item m="1" x="1522"/>
        <item m="1" x="1239"/>
        <item m="1" x="1232"/>
        <item m="1" x="1131"/>
        <item m="1" x="453"/>
        <item m="1" x="1264"/>
        <item m="1" x="1307"/>
        <item m="1" x="1112"/>
        <item m="1" x="452"/>
        <item m="1" x="1468"/>
        <item m="1" x="1435"/>
        <item m="1" x="456"/>
        <item m="1" x="736"/>
        <item m="1" x="1129"/>
        <item m="1" x="1389"/>
        <item m="1" x="578"/>
        <item m="1" x="473"/>
        <item m="1" x="633"/>
        <item m="1" x="524"/>
        <item m="1" x="934"/>
        <item m="1" x="745"/>
        <item m="1" x="743"/>
        <item m="1" x="915"/>
        <item m="1" x="1019"/>
        <item m="1" x="921"/>
        <item m="1" x="1120"/>
        <item m="1" x="971"/>
        <item m="1" x="834"/>
        <item m="1" x="951"/>
        <item m="1" x="1450"/>
        <item m="1" x="1545"/>
        <item m="1" x="794"/>
        <item m="1" x="1525"/>
        <item m="1" x="559"/>
        <item m="1" x="1514"/>
        <item m="1" x="1206"/>
        <item m="1" x="1381"/>
        <item m="1" x="1461"/>
        <item m="1" x="1136"/>
        <item m="1" x="1350"/>
        <item m="1" x="637"/>
        <item m="1" x="620"/>
        <item m="1" x="1246"/>
        <item m="1" x="1217"/>
        <item m="1" x="776"/>
        <item m="1" x="1620"/>
        <item m="1" x="1187"/>
        <item m="1" x="925"/>
        <item m="1" x="1001"/>
        <item m="1" x="959"/>
        <item m="1" x="1475"/>
        <item m="1" x="1479"/>
        <item m="1" x="466"/>
        <item m="1" x="1356"/>
        <item m="1" x="1405"/>
        <item m="1" x="515"/>
        <item m="1" x="888"/>
        <item m="1" x="879"/>
        <item m="1" x="1394"/>
        <item m="1" x="1088"/>
        <item m="1" x="1293"/>
        <item m="1" x="957"/>
        <item m="1" x="1310"/>
        <item m="1" x="493"/>
        <item m="1" x="617"/>
        <item m="1" x="1594"/>
        <item m="1" x="1209"/>
        <item m="1" x="1586"/>
        <item m="1" x="497"/>
        <item m="1" x="758"/>
        <item m="1" x="574"/>
        <item m="1" x="506"/>
        <item m="1" x="521"/>
        <item m="1" x="1077"/>
        <item m="1" x="1110"/>
        <item m="1" x="779"/>
        <item m="1" x="1200"/>
        <item m="1" x="1523"/>
        <item m="1" x="866"/>
        <item m="1" x="947"/>
        <item m="1" x="1098"/>
        <item m="1" x="1591"/>
        <item m="1" x="760"/>
        <item m="1" x="772"/>
        <item m="1" x="782"/>
        <item m="1" x="1411"/>
        <item m="1" x="1547"/>
        <item m="1" x="455"/>
        <item m="1" x="1287"/>
        <item m="1" x="1587"/>
        <item m="1" x="680"/>
        <item m="1" x="998"/>
        <item m="1" x="1624"/>
        <item m="1" x="1530"/>
        <item m="1" x="669"/>
        <item m="1" x="781"/>
        <item m="1" x="868"/>
        <item m="1" x="1196"/>
        <item m="1" x="1398"/>
        <item m="1" x="625"/>
        <item m="1" x="1099"/>
        <item m="1" x="621"/>
        <item m="1" x="590"/>
        <item m="1" x="538"/>
        <item m="1" x="1517"/>
        <item m="1" x="1105"/>
        <item m="1" x="1558"/>
        <item m="1" x="945"/>
        <item m="1" x="1575"/>
        <item m="1" x="1323"/>
        <item m="1" x="608"/>
        <item m="1" x="1431"/>
        <item m="1" x="1445"/>
        <item m="1" x="1100"/>
        <item m="1" x="1480"/>
        <item m="1" x="1314"/>
        <item m="1" x="1178"/>
        <item m="1" x="491"/>
        <item m="1" x="1325"/>
        <item m="1" x="1056"/>
        <item m="1" x="988"/>
        <item m="1" x="1334"/>
        <item m="1" x="914"/>
        <item m="1" x="547"/>
        <item m="1" x="719"/>
        <item m="1" x="495"/>
        <item m="1" x="845"/>
        <item m="1" x="1226"/>
        <item m="1" x="808"/>
        <item m="1" x="671"/>
        <item m="1" x="886"/>
        <item m="1" x="564"/>
        <item m="1" x="816"/>
        <item m="1" x="687"/>
        <item m="1" x="1041"/>
        <item m="1" x="1633"/>
        <item m="1" x="1082"/>
        <item m="1" x="675"/>
        <item m="1" x="954"/>
        <item m="1" x="658"/>
        <item m="1" x="711"/>
        <item m="1" x="1006"/>
        <item m="1" x="1275"/>
        <item m="1" x="990"/>
        <item m="1" x="1446"/>
        <item m="1" x="1003"/>
        <item m="1" x="1238"/>
        <item m="1" x="549"/>
        <item m="1" x="1035"/>
        <item m="1" x="672"/>
        <item m="1" x="602"/>
        <item m="1" x="1333"/>
        <item m="1" x="643"/>
        <item m="1" x="1357"/>
        <item m="1" x="544"/>
        <item m="1" x="1172"/>
        <item m="1" x="1179"/>
        <item m="1" x="580"/>
        <item m="1" x="1101"/>
        <item m="1" x="475"/>
        <item m="1" x="1303"/>
        <item m="1" x="1007"/>
        <item m="1" x="1228"/>
        <item m="1" x="1197"/>
        <item m="1" x="1422"/>
        <item m="1" x="1190"/>
        <item m="1" x="765"/>
        <item m="1" x="1270"/>
        <item m="1" x="1408"/>
        <item m="1" x="1093"/>
        <item m="1" x="1225"/>
        <item m="1" x="555"/>
        <item m="1" x="1396"/>
        <item m="1" x="1048"/>
        <item m="1" x="911"/>
        <item m="1" x="1298"/>
        <item m="1" x="820"/>
        <item m="1" x="1146"/>
        <item m="1" x="677"/>
        <item m="1" x="773"/>
        <item m="1" x="1173"/>
        <item m="1" x="941"/>
        <item m="1" x="482"/>
        <item m="1" x="817"/>
        <item m="1" x="1301"/>
        <item m="1" x="1407"/>
        <item m="1" x="501"/>
        <item m="1" x="787"/>
        <item m="1" x="722"/>
        <item m="1" x="1058"/>
        <item m="1" x="1151"/>
        <item m="1" x="588"/>
        <item m="1" x="1578"/>
        <item m="1" x="553"/>
        <item m="1" x="626"/>
        <item m="1" x="1415"/>
        <item m="1" x="916"/>
        <item m="1" x="931"/>
        <item m="1" x="985"/>
        <item m="1" x="558"/>
        <item m="1" x="837"/>
        <item m="1" x="1235"/>
        <item m="1" x="1147"/>
        <item m="1" x="936"/>
        <item m="1" x="881"/>
        <item m="1" x="510"/>
        <item m="1" x="749"/>
        <item m="1" x="1216"/>
        <item m="1" x="847"/>
        <item m="1" x="1013"/>
        <item m="1" x="949"/>
        <item m="1" x="1132"/>
        <item m="1" x="492"/>
        <item m="1" x="976"/>
        <item m="1" x="648"/>
        <item m="1" x="1054"/>
        <item m="1" x="1180"/>
        <item m="1" x="1257"/>
        <item m="1" x="1191"/>
        <item m="1" x="1152"/>
        <item m="1" x="1078"/>
        <item m="1" x="1494"/>
        <item m="1" x="1385"/>
        <item m="1" x="629"/>
        <item m="1" x="1377"/>
        <item m="1" x="824"/>
        <item m="1" x="1137"/>
        <item m="1" x="540"/>
        <item m="1" x="1116"/>
        <item m="1" x="982"/>
        <item m="1" x="1420"/>
        <item m="1" x="566"/>
        <item m="1" x="1631"/>
        <item m="1" x="605"/>
        <item m="1" x="545"/>
        <item m="1" x="1118"/>
        <item m="1" x="1319"/>
        <item m="1" x="1221"/>
        <item m="1" x="503"/>
        <item m="1" x="656"/>
        <item m="1" x="1452"/>
        <item m="1" x="1392"/>
        <item m="1" x="639"/>
        <item m="1" x="612"/>
        <item m="1" x="908"/>
        <item m="1" x="528"/>
        <item m="1" x="1138"/>
        <item m="1" x="568"/>
        <item m="1" x="738"/>
        <item m="1" x="1038"/>
        <item m="1" x="1574"/>
        <item m="1" x="606"/>
        <item m="1" x="876"/>
        <item m="1" x="723"/>
        <item m="1" x="885"/>
        <item m="1" x="1447"/>
        <item m="1" x="1327"/>
        <item m="1" x="784"/>
        <item m="1" x="537"/>
        <item m="1" x="1495"/>
        <item m="1" x="650"/>
        <item m="1" x="1440"/>
        <item m="1" x="991"/>
        <item m="1" x="1380"/>
        <item m="1" x="732"/>
        <item m="1" x="904"/>
        <item m="1" x="1397"/>
        <item m="1" x="1585"/>
        <item m="1" x="1358"/>
        <item m="1" x="752"/>
        <item m="1" x="695"/>
        <item m="1" x="1406"/>
        <item m="1" x="1165"/>
        <item m="1" x="1009"/>
        <item m="1" x="1438"/>
        <item m="1" x="477"/>
        <item m="1" x="474"/>
        <item m="1" x="1153"/>
        <item m="1" x="1294"/>
        <item m="1" x="1249"/>
        <item m="1" x="1436"/>
        <item m="1" x="955"/>
        <item m="1" x="700"/>
        <item m="1" x="774"/>
        <item m="1" x="1308"/>
        <item m="1" x="856"/>
        <item m="1" x="1089"/>
        <item m="1" x="1509"/>
        <item m="1" x="739"/>
        <item m="1" x="1079"/>
        <item m="1" x="459"/>
        <item m="1" x="789"/>
        <item m="1" x="1387"/>
        <item m="1" x="1236"/>
        <item m="1" x="1370"/>
        <item m="1" x="926"/>
        <item m="1" x="905"/>
        <item m="1" x="449"/>
        <item m="1" x="1326"/>
        <item m="1" x="1366"/>
        <item m="1" x="992"/>
        <item m="1" x="52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9"/>
        <item x="158"/>
        <item x="157"/>
        <item x="165"/>
        <item x="164"/>
        <item x="163"/>
        <item x="162"/>
        <item x="161"/>
        <item x="160"/>
        <item x="166"/>
        <item x="167"/>
        <item x="169"/>
        <item x="168"/>
        <item x="173"/>
        <item x="172"/>
        <item x="171"/>
        <item x="170"/>
        <item x="174"/>
        <item x="175"/>
        <item x="176"/>
        <item x="177"/>
        <item x="179"/>
        <item x="178"/>
        <item x="180"/>
        <item x="181"/>
        <item x="182"/>
        <item x="183"/>
        <item x="184"/>
        <item x="185"/>
        <item x="188"/>
        <item x="187"/>
        <item x="186"/>
        <item x="210"/>
        <item x="190"/>
        <item x="189"/>
        <item x="196"/>
        <item x="191"/>
        <item x="192"/>
        <item x="193"/>
        <item x="194"/>
        <item x="195"/>
        <item x="198"/>
        <item x="197"/>
        <item x="200"/>
        <item x="199"/>
        <item x="201"/>
        <item x="202"/>
        <item x="203"/>
        <item x="204"/>
        <item x="205"/>
        <item x="206"/>
        <item x="209"/>
        <item x="211"/>
        <item x="212"/>
        <item x="207"/>
        <item x="208"/>
        <item x="213"/>
        <item x="214"/>
        <item x="216"/>
        <item x="217"/>
        <item x="215"/>
        <item x="218"/>
        <item x="219"/>
        <item x="220"/>
        <item x="221"/>
        <item x="222"/>
        <item x="223"/>
        <item x="224"/>
        <item x="229"/>
        <item x="225"/>
        <item x="226"/>
        <item x="230"/>
        <item x="227"/>
        <item x="228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9"/>
        <item x="258"/>
        <item x="261"/>
        <item x="270"/>
        <item x="260"/>
        <item x="262"/>
        <item x="263"/>
        <item x="265"/>
        <item x="264"/>
        <item x="266"/>
        <item x="267"/>
        <item x="268"/>
        <item x="269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9"/>
        <item x="308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2"/>
        <item x="331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2"/>
        <item x="381"/>
        <item x="384"/>
        <item x="383"/>
        <item x="385"/>
        <item x="389"/>
        <item x="388"/>
        <item x="387"/>
        <item x="386"/>
        <item x="390"/>
        <item x="391"/>
        <item x="392"/>
        <item x="398"/>
        <item x="393"/>
        <item x="394"/>
        <item x="395"/>
        <item x="396"/>
        <item x="397"/>
        <item x="401"/>
        <item x="400"/>
        <item x="399"/>
        <item x="403"/>
        <item x="402"/>
        <item x="404"/>
        <item x="405"/>
        <item x="406"/>
        <item x="407"/>
        <item x="409"/>
        <item x="408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1"/>
        <item x="430"/>
        <item x="432"/>
        <item x="433"/>
        <item x="434"/>
        <item x="436"/>
        <item x="435"/>
        <item x="437"/>
        <item x="438"/>
        <item x="439"/>
        <item x="440"/>
        <item x="441"/>
        <item x="442"/>
        <item m="1" x="777"/>
        <item m="1" x="1546"/>
        <item m="1" x="479"/>
        <item m="1" x="44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4">
    <i>
      <x v="1"/>
    </i>
    <i r="1">
      <x v="1580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78" totalsRowShown="0" totalsRowDxfId="31">
  <autoFilter ref="A1:C1378" xr:uid="{43456A03-EFD4-416A-B021-C441A7C21E4E}"/>
  <tableColumns count="3">
    <tableColumn id="1" xr3:uid="{96F9219D-1D74-4611-A7AA-8AB4E044352A}" name="Ticket" totalsRowDxfId="30"/>
    <tableColumn id="2" xr3:uid="{D6F02EDE-42BA-4EF9-A278-EA070340E315}" name="Number" totalsRowDxfId="29"/>
    <tableColumn id="3" xr3:uid="{F6A90E5F-0E5C-41D7-A40C-1CC9A86DC194}" name="Status" totalsRowDxf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867" totalsRowShown="0">
  <autoFilter ref="A1:S4867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5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4"/>
    <tableColumn id="7" xr3:uid="{D69C8A00-2CB4-4F31-920A-C1D332375D40}" name="type"/>
    <tableColumn id="9" xr3:uid="{3D246B09-CC89-411A-9E7E-B79496797F29}" name="LFF_ID" dataDxfId="23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2">
      <calculatedColumnFormula>Proc[[#This Row],[Requested]]=Proc[[#This Row],[CurrentParent]]</calculatedColumnFormula>
    </tableColumn>
    <tableColumn id="24" xr3:uid="{9DAA192A-7AAB-4460-A9EA-787D5AF7E069}" name="Sector" dataDxfId="21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0"/>
    <tableColumn id="15" xr3:uid="{F0BFEDC5-AB85-4752-8DBE-1E2D2A86C38C}" name="DateOpened" dataDxfId="19"/>
    <tableColumn id="17" xr3:uid="{78B7D816-31FE-4F8F-8018-91CE8D5DE9A2}" name="DateMapped" dataDxfId="18"/>
    <tableColumn id="16" xr3:uid="{37F76675-DAA7-497A-B0C3-D5ADC87396FC}" name="DateClosed" dataDxfId="17"/>
    <tableColumn id="23" xr3:uid="{77371810-6F86-4EEF-85D0-5FCFC20B88DC}" name="Delayed?" dataDxfId="16">
      <calculatedColumnFormula>IF(Proc[[#This Row],[DaysAgeing]]&gt;5,"yep","on track")</calculatedColumnFormula>
    </tableColumn>
    <tableColumn id="18" xr3:uid="{6AC4A96E-CE6C-49CA-A4F1-794160BB5940}" name="DaysAgeing" dataDxfId="15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4"/>
    <tableColumn id="22" xr3:uid="{87389AE1-9ECE-4C7F-80F9-48A35BE78A62}" name="Prognosis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5" totalsRowShown="0">
  <autoFilter ref="A1:B14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2"/>
    <tableColumn id="6" xr3:uid="{73647D57-303F-4AF5-983C-1CCB32EBD08D}" name="Forecast Period" dataDxfId="11"/>
    <tableColumn id="4" xr3:uid="{FA11B267-B5E3-452C-A4E3-1668B4A12A28}" name="Number of Tickets Raised" dataDxfId="10"/>
    <tableColumn id="1" xr3:uid="{441BC59C-A1EA-4CA8-B944-D602CD57D89D}" name="Delayed Tickets"/>
    <tableColumn id="5" xr3:uid="{29680677-3B0F-4EC4-81FF-46A6FDD4C5F7}" name="Number of Total Objects" dataDxfId="9"/>
    <tableColumn id="2" xr3:uid="{3D96D299-AEA2-4D9C-9BE6-F98ADF0CDB84}" name="Commentary for delayed tickets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19"/>
  <sheetViews>
    <sheetView workbookViewId="0">
      <selection activeCell="A4" sqref="A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12.5703125" bestFit="1" customWidth="1"/>
    <col min="4" max="16384" width="9.140625" hidden="1"/>
  </cols>
  <sheetData>
    <row r="1" spans="1:3">
      <c r="A1" s="66" t="s">
        <v>390</v>
      </c>
      <c r="B1" s="149" t="s">
        <v>7318</v>
      </c>
    </row>
    <row r="3" spans="1:3">
      <c r="A3" s="66" t="s">
        <v>366</v>
      </c>
      <c r="B3" s="149" t="s">
        <v>698</v>
      </c>
      <c r="C3" s="149" t="s">
        <v>7319</v>
      </c>
    </row>
    <row r="4" spans="1:3">
      <c r="A4" s="17" t="s">
        <v>567</v>
      </c>
      <c r="B4" s="150">
        <v>1431</v>
      </c>
      <c r="C4" s="150">
        <v>1440</v>
      </c>
    </row>
    <row r="5" spans="1:3">
      <c r="A5" s="111" t="s">
        <v>369</v>
      </c>
      <c r="B5" s="150">
        <v>1387</v>
      </c>
      <c r="C5" s="150">
        <v>1388</v>
      </c>
    </row>
    <row r="6" spans="1:3">
      <c r="A6" s="111" t="s">
        <v>404</v>
      </c>
      <c r="B6" s="150"/>
      <c r="C6" s="150">
        <v>1</v>
      </c>
    </row>
    <row r="7" spans="1:3">
      <c r="A7" s="111" t="s">
        <v>370</v>
      </c>
      <c r="B7" s="150"/>
      <c r="C7" s="150">
        <v>1</v>
      </c>
    </row>
    <row r="8" spans="1:3">
      <c r="A8" s="111" t="s">
        <v>403</v>
      </c>
      <c r="B8" s="150"/>
      <c r="C8" s="150">
        <v>1</v>
      </c>
    </row>
    <row r="9" spans="1:3">
      <c r="A9" s="111" t="s">
        <v>398</v>
      </c>
      <c r="B9" s="150"/>
      <c r="C9" s="150">
        <v>1</v>
      </c>
    </row>
    <row r="10" spans="1:3">
      <c r="A10" s="111" t="s">
        <v>377</v>
      </c>
      <c r="B10" s="150">
        <v>41</v>
      </c>
      <c r="C10" s="150">
        <v>42</v>
      </c>
    </row>
    <row r="11" spans="1:3">
      <c r="A11" s="111" t="s">
        <v>375</v>
      </c>
      <c r="B11" s="150"/>
      <c r="C11" s="150">
        <v>1</v>
      </c>
    </row>
    <row r="12" spans="1:3">
      <c r="A12" s="111" t="s">
        <v>405</v>
      </c>
      <c r="B12" s="150"/>
      <c r="C12" s="150">
        <v>1</v>
      </c>
    </row>
    <row r="13" spans="1:3">
      <c r="A13" s="111" t="s">
        <v>692</v>
      </c>
      <c r="B13" s="150">
        <v>3</v>
      </c>
      <c r="C13" s="150">
        <v>4</v>
      </c>
    </row>
    <row r="14" spans="1:3">
      <c r="A14" s="17" t="s">
        <v>568</v>
      </c>
      <c r="B14" s="150">
        <v>1030</v>
      </c>
      <c r="C14" s="150">
        <v>1030</v>
      </c>
    </row>
    <row r="15" spans="1:3">
      <c r="A15" s="17" t="s">
        <v>569</v>
      </c>
      <c r="B15" s="150">
        <v>1642</v>
      </c>
      <c r="C15" s="150">
        <v>1642</v>
      </c>
    </row>
    <row r="16" spans="1:3">
      <c r="A16" s="17" t="s">
        <v>570</v>
      </c>
      <c r="B16" s="150">
        <v>745</v>
      </c>
      <c r="C16" s="150">
        <v>745</v>
      </c>
    </row>
    <row r="17" spans="1:3">
      <c r="A17" s="17" t="s">
        <v>6998</v>
      </c>
      <c r="B17" s="150">
        <v>4</v>
      </c>
      <c r="C17" s="150">
        <v>4</v>
      </c>
    </row>
    <row r="18" spans="1:3">
      <c r="A18" s="17" t="s">
        <v>7194</v>
      </c>
      <c r="B18" s="150">
        <v>5</v>
      </c>
      <c r="C18" s="150">
        <v>5</v>
      </c>
    </row>
    <row r="19" spans="1:3">
      <c r="A19" s="17" t="s">
        <v>381</v>
      </c>
      <c r="B19" s="150">
        <v>4857</v>
      </c>
      <c r="C19" s="150">
        <v>4866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A7" sqref="A7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4326</v>
      </c>
      <c r="B5" s="150">
        <v>2</v>
      </c>
      <c r="C5"/>
      <c r="D5"/>
      <c r="E5"/>
    </row>
    <row r="6" spans="1:6">
      <c r="A6" s="111" t="s">
        <v>6639</v>
      </c>
      <c r="B6" s="150">
        <v>2</v>
      </c>
      <c r="C6" s="126"/>
      <c r="D6" s="124"/>
      <c r="E6" s="124"/>
    </row>
    <row r="7" spans="1:6">
      <c r="A7" s="112" t="s">
        <v>692</v>
      </c>
      <c r="B7" s="150">
        <v>2</v>
      </c>
      <c r="C7"/>
      <c r="D7"/>
      <c r="E7"/>
    </row>
    <row r="8" spans="1:6">
      <c r="A8" s="17" t="s">
        <v>381</v>
      </c>
      <c r="B8" s="150">
        <v>2</v>
      </c>
      <c r="C8" s="56"/>
      <c r="D8" s="124"/>
      <c r="E8" s="124"/>
    </row>
    <row r="9" spans="1:6">
      <c r="C9"/>
      <c r="D9"/>
    </row>
    <row r="10" spans="1:6">
      <c r="C10" s="53"/>
      <c r="D10" s="124"/>
      <c r="E10" s="124"/>
    </row>
    <row r="11" spans="1:6">
      <c r="C11"/>
      <c r="D11"/>
    </row>
    <row r="12" spans="1:6">
      <c r="C12" s="126"/>
      <c r="D12"/>
    </row>
    <row r="13" spans="1:6">
      <c r="C13"/>
      <c r="D13"/>
    </row>
    <row r="14" spans="1:6">
      <c r="C14" s="126"/>
      <c r="D14"/>
    </row>
    <row r="15" spans="1:6">
      <c r="C15"/>
      <c r="D15" s="124"/>
      <c r="E15" s="124"/>
    </row>
    <row r="16" spans="1:6">
      <c r="C16"/>
      <c r="D16"/>
    </row>
    <row r="17" spans="3:5">
      <c r="C17"/>
      <c r="D17" s="124"/>
      <c r="E17" s="124"/>
    </row>
    <row r="18" spans="3:5">
      <c r="C18" s="126"/>
      <c r="D18"/>
    </row>
    <row r="19" spans="3:5">
      <c r="C19" s="47"/>
      <c r="D19"/>
    </row>
    <row r="20" spans="3:5">
      <c r="C20" s="126"/>
    </row>
    <row r="21" spans="3:5" ht="17.25" customHeight="1"/>
    <row r="25" spans="3:5">
      <c r="D25" s="124"/>
      <c r="E25" s="124"/>
    </row>
    <row r="26" spans="3:5">
      <c r="C26" s="126"/>
    </row>
    <row r="31" spans="3:5">
      <c r="C31" s="30"/>
    </row>
    <row r="32" spans="3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78"/>
  <sheetViews>
    <sheetView topLeftCell="A1341" workbookViewId="0">
      <selection activeCell="C1375" sqref="C1375:C1378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7001</v>
      </c>
      <c r="B1376">
        <v>34</v>
      </c>
      <c r="C1376" s="149" t="s">
        <v>4</v>
      </c>
    </row>
    <row r="1377" spans="1:3">
      <c r="A1377" t="s">
        <v>7039</v>
      </c>
      <c r="B1377">
        <v>145</v>
      </c>
      <c r="C1377" s="149" t="s">
        <v>4</v>
      </c>
    </row>
    <row r="1378" spans="1:3">
      <c r="A1378" t="s">
        <v>7221</v>
      </c>
      <c r="B1378">
        <v>11</v>
      </c>
      <c r="C1378" s="149" t="s">
        <v>4</v>
      </c>
    </row>
  </sheetData>
  <conditionalFormatting sqref="A2:A545 A548:A568 A570:A1036 A1038:A1232 A1238:A1272 A1274:A1283 A1286:A1291 A1293:A1048576">
    <cfRule type="duplicateValues" dxfId="34" priority="4"/>
  </conditionalFormatting>
  <conditionalFormatting sqref="A1284">
    <cfRule type="duplicateValues" dxfId="33" priority="2"/>
  </conditionalFormatting>
  <conditionalFormatting sqref="A1292">
    <cfRule type="duplicateValues" dxfId="3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867"/>
  <sheetViews>
    <sheetView tabSelected="1" zoomScale="105" zoomScaleNormal="105" workbookViewId="0">
      <selection activeCell="D4885" sqref="D4885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27.85546875" bestFit="1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s="62" t="s">
        <v>1454</v>
      </c>
      <c r="B11" s="149" t="str">
        <f>IFERROR(VLOOKUP(Proc[[#This Row],[App]],Table2[],3,0),"open")</f>
        <v>ok</v>
      </c>
      <c r="C11" s="62" t="s">
        <v>369</v>
      </c>
      <c r="D11" t="s">
        <v>1452</v>
      </c>
      <c r="E11" t="s">
        <v>531</v>
      </c>
      <c r="F11" s="117" t="s">
        <v>531</v>
      </c>
      <c r="G11" t="s">
        <v>400</v>
      </c>
      <c r="H11" s="60" t="str">
        <f>IF(Proc[[#This Row],[type]]="LFF (MDG-F)",MID(Proc[[#This Row],[Obj]],13,10),"")</f>
        <v/>
      </c>
      <c r="I11" t="s">
        <v>1493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509</v>
      </c>
      <c r="M11" s="71">
        <v>45659.374143518522</v>
      </c>
      <c r="N11" s="71">
        <v>45671</v>
      </c>
      <c r="O11" s="71">
        <v>45671</v>
      </c>
      <c r="P11" s="64" t="str">
        <f ca="1">IF(Proc[[#This Row],[DaysAgeing]]&gt;5,"yep","on track")</f>
        <v>yep</v>
      </c>
      <c r="Q11" s="3">
        <f ca="1">IF(Proc[[#This Row],[DateClosed]]="",ABS(NETWORKDAYS(Proc[[#This Row],[DateOpened]],TODAY()))-1,ABS(NETWORKDAYS(Proc[[#This Row],[DateOpened]],Proc[[#This Row],[DateClosed]]))-1)</f>
        <v>8</v>
      </c>
      <c r="R11" s="64" t="s">
        <v>515</v>
      </c>
      <c r="S11" s="60"/>
    </row>
    <row r="12" spans="1:19" hidden="1">
      <c r="A12" s="62" t="s">
        <v>1454</v>
      </c>
      <c r="B12" s="149" t="str">
        <f>IFERROR(VLOOKUP(Proc[[#This Row],[App]],Table2[],3,0),"open")</f>
        <v>ok</v>
      </c>
      <c r="C12" s="62" t="s">
        <v>369</v>
      </c>
      <c r="D12" t="s">
        <v>1453</v>
      </c>
      <c r="E12" t="s">
        <v>531</v>
      </c>
      <c r="F12" s="117" t="s">
        <v>531</v>
      </c>
      <c r="G12" s="62" t="s">
        <v>400</v>
      </c>
      <c r="H12" s="60" t="str">
        <f>IF(Proc[[#This Row],[type]]="LFF (MDG-F)",MID(Proc[[#This Row],[Obj]],13,10),"")</f>
        <v/>
      </c>
      <c r="I12" s="62" t="s">
        <v>1493</v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150" t="s">
        <v>509</v>
      </c>
      <c r="M12" s="71">
        <v>45659.374143518522</v>
      </c>
      <c r="N12" s="71">
        <v>45671</v>
      </c>
      <c r="O12" s="71">
        <v>45671</v>
      </c>
      <c r="P12" s="64" t="str">
        <f ca="1">IF(Proc[[#This Row],[DaysAgeing]]&gt;5,"yep","on track")</f>
        <v>yep</v>
      </c>
      <c r="Q12" s="3">
        <f ca="1">IF(Proc[[#This Row],[DateClosed]]="",ABS(NETWORKDAYS(Proc[[#This Row],[DateOpened]],TODAY()))-1,ABS(NETWORKDAYS(Proc[[#This Row],[DateOpened]],Proc[[#This Row],[DateClosed]]))-1)</f>
        <v>8</v>
      </c>
      <c r="R12" s="64" t="s">
        <v>515</v>
      </c>
      <c r="S12" s="60"/>
    </row>
    <row r="13" spans="1:19" hidden="1">
      <c r="A13" t="s">
        <v>1455</v>
      </c>
      <c r="B13" s="149" t="str">
        <f>IFERROR(VLOOKUP(Proc[[#This Row],[App]],Table2[],3,0),"open")</f>
        <v>ok</v>
      </c>
      <c r="C13" s="62" t="s">
        <v>369</v>
      </c>
      <c r="D13" t="s">
        <v>1387</v>
      </c>
      <c r="E13" t="s">
        <v>850</v>
      </c>
      <c r="F13" s="117" t="s">
        <v>850</v>
      </c>
      <c r="G13" s="62" t="s">
        <v>400</v>
      </c>
      <c r="H13" s="60" t="str">
        <f>IF(Proc[[#This Row],[type]]="LFF (MDG-F)",MID(Proc[[#This Row],[Obj]],13,10),"")</f>
        <v/>
      </c>
      <c r="I13" s="62" t="s">
        <v>1493</v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150" t="s">
        <v>509</v>
      </c>
      <c r="M13" s="71">
        <v>45660.525243055556</v>
      </c>
      <c r="N13" s="71">
        <v>45671</v>
      </c>
      <c r="O13" s="71">
        <v>45671</v>
      </c>
      <c r="P13" s="64" t="str">
        <f ca="1">IF(Proc[[#This Row],[DaysAgeing]]&gt;5,"yep","on track")</f>
        <v>yep</v>
      </c>
      <c r="Q13" s="3">
        <f ca="1">IF(Proc[[#This Row],[DateClosed]]="",ABS(NETWORKDAYS(Proc[[#This Row],[DateOpened]],TODAY()))-1,ABS(NETWORKDAYS(Proc[[#This Row],[DateOpened]],Proc[[#This Row],[DateClosed]]))-1)</f>
        <v>7</v>
      </c>
      <c r="R13" s="64" t="s">
        <v>1076</v>
      </c>
      <c r="S13" s="60"/>
    </row>
    <row r="14" spans="1:19" hidden="1">
      <c r="A14" t="s">
        <v>1460</v>
      </c>
      <c r="B14" s="149" t="str">
        <f>IFERROR(VLOOKUP(Proc[[#This Row],[App]],Table2[],3,0),"open")</f>
        <v>ok</v>
      </c>
      <c r="C14" s="62" t="s">
        <v>369</v>
      </c>
      <c r="D14" t="s">
        <v>1456</v>
      </c>
      <c r="E14" t="s">
        <v>1458</v>
      </c>
      <c r="F14" s="117" t="s">
        <v>1458</v>
      </c>
      <c r="G14" s="62" t="s">
        <v>400</v>
      </c>
      <c r="H14" s="60" t="str">
        <f>IF(Proc[[#This Row],[type]]="LFF (MDG-F)",MID(Proc[[#This Row],[Obj]],13,10),"")</f>
        <v/>
      </c>
      <c r="I14" s="62" t="s">
        <v>1493</v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150" t="s">
        <v>509</v>
      </c>
      <c r="M14" s="71">
        <v>45663.631412037037</v>
      </c>
      <c r="N14" s="71">
        <v>45671</v>
      </c>
      <c r="O14" s="71">
        <v>45671</v>
      </c>
      <c r="P14" s="64" t="str">
        <f ca="1">IF(Proc[[#This Row],[DaysAgeing]]&gt;5,"yep","on track")</f>
        <v>yep</v>
      </c>
      <c r="Q14" s="3">
        <f ca="1">IF(Proc[[#This Row],[DateClosed]]="",ABS(NETWORKDAYS(Proc[[#This Row],[DateOpened]],TODAY()))-1,ABS(NETWORKDAYS(Proc[[#This Row],[DateOpened]],Proc[[#This Row],[DateClosed]]))-1)</f>
        <v>6</v>
      </c>
      <c r="R14" s="64" t="s">
        <v>1459</v>
      </c>
      <c r="S14" s="60"/>
    </row>
    <row r="15" spans="1:19" hidden="1">
      <c r="A15" s="62" t="s">
        <v>1460</v>
      </c>
      <c r="B15" s="149" t="str">
        <f>IFERROR(VLOOKUP(Proc[[#This Row],[App]],Table2[],3,0),"open")</f>
        <v>ok</v>
      </c>
      <c r="C15" s="62" t="s">
        <v>369</v>
      </c>
      <c r="D15" t="s">
        <v>1457</v>
      </c>
      <c r="E15" t="s">
        <v>859</v>
      </c>
      <c r="F15" s="117" t="s">
        <v>859</v>
      </c>
      <c r="G15" t="s">
        <v>406</v>
      </c>
      <c r="H15" s="60" t="str">
        <f>IF(Proc[[#This Row],[type]]="LFF (MDG-F)",MID(Proc[[#This Row],[Obj]],13,10),"")</f>
        <v>DE10GIT05A</v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150" t="s">
        <v>509</v>
      </c>
      <c r="M15" s="71">
        <v>45663.631412037037</v>
      </c>
      <c r="N15" s="71">
        <v>45671</v>
      </c>
      <c r="O15" s="71">
        <v>45671</v>
      </c>
      <c r="P15" s="64" t="str">
        <f ca="1">IF(Proc[[#This Row],[DaysAgeing]]&gt;5,"yep","on track")</f>
        <v>yep</v>
      </c>
      <c r="Q15" s="3">
        <f ca="1">IF(Proc[[#This Row],[DateClosed]]="",ABS(NETWORKDAYS(Proc[[#This Row],[DateOpened]],TODAY()))-1,ABS(NETWORKDAYS(Proc[[#This Row],[DateOpened]],Proc[[#This Row],[DateClosed]]))-1)</f>
        <v>6</v>
      </c>
      <c r="R15" s="64" t="s">
        <v>1459</v>
      </c>
      <c r="S15" s="60"/>
    </row>
    <row r="16" spans="1:19" hidden="1">
      <c r="A16" t="s">
        <v>1461</v>
      </c>
      <c r="B16" s="149" t="str">
        <f>IFERROR(VLOOKUP(Proc[[#This Row],[App]],Table2[],3,0),"open")</f>
        <v>ok</v>
      </c>
      <c r="C16" s="62" t="s">
        <v>369</v>
      </c>
      <c r="D16" t="s">
        <v>1462</v>
      </c>
      <c r="E16" t="s">
        <v>427</v>
      </c>
      <c r="F16" s="117" t="s">
        <v>427</v>
      </c>
      <c r="G16" s="62" t="s">
        <v>400</v>
      </c>
      <c r="H16" s="60" t="str">
        <f>IF(Proc[[#This Row],[type]]="LFF (MDG-F)",MID(Proc[[#This Row],[Obj]],13,10),"")</f>
        <v/>
      </c>
      <c r="I16" t="s">
        <v>1493</v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150" t="s">
        <v>509</v>
      </c>
      <c r="M16" s="71">
        <v>45663.702314814815</v>
      </c>
      <c r="N16" s="71">
        <v>45671</v>
      </c>
      <c r="O16" s="71">
        <v>45671</v>
      </c>
      <c r="P16" s="64" t="str">
        <f ca="1">IF(Proc[[#This Row],[DaysAgeing]]&gt;5,"yep","on track")</f>
        <v>yep</v>
      </c>
      <c r="Q16" s="3">
        <f ca="1">IF(Proc[[#This Row],[DateClosed]]="",ABS(NETWORKDAYS(Proc[[#This Row],[DateOpened]],TODAY()))-1,ABS(NETWORKDAYS(Proc[[#This Row],[DateOpened]],Proc[[#This Row],[DateClosed]]))-1)</f>
        <v>6</v>
      </c>
      <c r="R16" s="64" t="s">
        <v>1459</v>
      </c>
      <c r="S16" s="60"/>
    </row>
    <row r="17" spans="1:19" hidden="1">
      <c r="A17" s="62" t="s">
        <v>1461</v>
      </c>
      <c r="B17" s="149" t="str">
        <f>IFERROR(VLOOKUP(Proc[[#This Row],[App]],Table2[],3,0),"open")</f>
        <v>ok</v>
      </c>
      <c r="C17" s="62" t="s">
        <v>369</v>
      </c>
      <c r="D17" t="s">
        <v>1463</v>
      </c>
      <c r="E17" t="s">
        <v>425</v>
      </c>
      <c r="F17" s="117" t="s">
        <v>425</v>
      </c>
      <c r="G17" s="62" t="s">
        <v>400</v>
      </c>
      <c r="H17" s="60" t="str">
        <f>IF(Proc[[#This Row],[type]]="LFF (MDG-F)",MID(Proc[[#This Row],[Obj]],13,10),"")</f>
        <v/>
      </c>
      <c r="I17" t="s">
        <v>1493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MGF</v>
      </c>
      <c r="L17" s="150" t="s">
        <v>509</v>
      </c>
      <c r="M17" s="71">
        <v>45663.702314814815</v>
      </c>
      <c r="N17" s="71">
        <v>45671</v>
      </c>
      <c r="O17" s="71">
        <v>45671</v>
      </c>
      <c r="P17" s="64" t="str">
        <f ca="1">IF(Proc[[#This Row],[DaysAgeing]]&gt;5,"yep","on track")</f>
        <v>yep</v>
      </c>
      <c r="Q17" s="3">
        <f ca="1">IF(Proc[[#This Row],[DateClosed]]="",ABS(NETWORKDAYS(Proc[[#This Row],[DateOpened]],TODAY()))-1,ABS(NETWORKDAYS(Proc[[#This Row],[DateOpened]],Proc[[#This Row],[DateClosed]]))-1)</f>
        <v>6</v>
      </c>
      <c r="R17" s="64" t="s">
        <v>1459</v>
      </c>
      <c r="S17" s="60"/>
    </row>
    <row r="18" spans="1:19" hidden="1">
      <c r="A18" t="s">
        <v>1488</v>
      </c>
      <c r="B18" s="149" t="str">
        <f>IFERROR(VLOOKUP(Proc[[#This Row],[App]],Table2[],3,0),"open")</f>
        <v>ok</v>
      </c>
      <c r="C18" s="62" t="s">
        <v>369</v>
      </c>
      <c r="D18" s="65" t="s">
        <v>1487</v>
      </c>
      <c r="E18" s="65" t="s">
        <v>626</v>
      </c>
      <c r="F18" s="117" t="s">
        <v>626</v>
      </c>
      <c r="G18" s="62" t="s">
        <v>406</v>
      </c>
      <c r="H18" s="60" t="str">
        <f>IF(Proc[[#This Row],[type]]="LFF (MDG-F)",MID(Proc[[#This Row],[Obj]],13,10),"")</f>
        <v>DE10300076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MGF</v>
      </c>
      <c r="L18" s="150" t="s">
        <v>509</v>
      </c>
      <c r="M18" s="71">
        <v>45664.385011574072</v>
      </c>
      <c r="N18" s="71">
        <v>45666</v>
      </c>
      <c r="O18" s="71">
        <v>45666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549</v>
      </c>
      <c r="S18" s="60"/>
    </row>
    <row r="19" spans="1:19" hidden="1">
      <c r="A19" s="62" t="s">
        <v>1486</v>
      </c>
      <c r="B19" s="149" t="str">
        <f>IFERROR(VLOOKUP(Proc[[#This Row],[App]],Table2[],3,0),"open")</f>
        <v>ok</v>
      </c>
      <c r="C19" s="62" t="s">
        <v>369</v>
      </c>
      <c r="D19" t="s">
        <v>1485</v>
      </c>
      <c r="E19" t="s">
        <v>631</v>
      </c>
      <c r="F19" s="117" t="s">
        <v>631</v>
      </c>
      <c r="G19" s="62" t="s">
        <v>406</v>
      </c>
      <c r="H19" s="60" t="str">
        <f>IF(Proc[[#This Row],[type]]="LFF (MDG-F)",MID(Proc[[#This Row],[Obj]],13,10),"")</f>
        <v>DE10200023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MGF</v>
      </c>
      <c r="L19" s="150" t="s">
        <v>509</v>
      </c>
      <c r="M19" s="71">
        <v>45664.390173611115</v>
      </c>
      <c r="N19" s="71">
        <v>45666</v>
      </c>
      <c r="O19" s="71">
        <v>45666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549</v>
      </c>
      <c r="S19" s="60"/>
    </row>
    <row r="20" spans="1:19" hidden="1">
      <c r="A20" s="62" t="s">
        <v>1486</v>
      </c>
      <c r="B20" s="149" t="str">
        <f>IFERROR(VLOOKUP(Proc[[#This Row],[App]],Table2[],3,0),"open")</f>
        <v>ok</v>
      </c>
      <c r="C20" s="62" t="s">
        <v>369</v>
      </c>
      <c r="D20" t="s">
        <v>625</v>
      </c>
      <c r="E20" t="s">
        <v>631</v>
      </c>
      <c r="F20" s="117" t="s">
        <v>631</v>
      </c>
      <c r="G20" s="62" t="s">
        <v>406</v>
      </c>
      <c r="H20" s="60" t="str">
        <f>IF(Proc[[#This Row],[type]]="LFF (MDG-F)",MID(Proc[[#This Row],[Obj]],13,10),"")</f>
        <v>DE10200050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MGF</v>
      </c>
      <c r="L20" s="150" t="s">
        <v>509</v>
      </c>
      <c r="M20" s="71">
        <v>45664.390173611115</v>
      </c>
      <c r="N20" s="71">
        <v>45666</v>
      </c>
      <c r="O20" s="71">
        <v>45666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549</v>
      </c>
      <c r="S20" s="60"/>
    </row>
    <row r="21" spans="1:19" hidden="1">
      <c r="A21" s="62" t="s">
        <v>1484</v>
      </c>
      <c r="B21" s="149" t="str">
        <f>IFERROR(VLOOKUP(Proc[[#This Row],[App]],Table2[],3,0),"open")</f>
        <v>ok</v>
      </c>
      <c r="C21" s="62" t="s">
        <v>369</v>
      </c>
      <c r="D21" t="s">
        <v>1464</v>
      </c>
      <c r="E21" t="s">
        <v>1020</v>
      </c>
      <c r="F21" s="117" t="s">
        <v>1020</v>
      </c>
      <c r="G21" s="62" t="s">
        <v>400</v>
      </c>
      <c r="H21" s="60" t="str">
        <f>IF(Proc[[#This Row],[type]]="LFF (MDG-F)",MID(Proc[[#This Row],[Obj]],13,10),"")</f>
        <v/>
      </c>
      <c r="I21" t="s">
        <v>1493</v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HC</v>
      </c>
      <c r="L21" s="150" t="s">
        <v>509</v>
      </c>
      <c r="M21" s="71">
        <v>45664.540486111109</v>
      </c>
      <c r="N21" s="71">
        <v>45671</v>
      </c>
      <c r="O21" s="71">
        <v>45671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5</v>
      </c>
      <c r="R21" s="64" t="s">
        <v>494</v>
      </c>
      <c r="S21" s="60"/>
    </row>
    <row r="22" spans="1:19" hidden="1">
      <c r="A22" s="62" t="s">
        <v>1484</v>
      </c>
      <c r="B22" s="149" t="str">
        <f>IFERROR(VLOOKUP(Proc[[#This Row],[App]],Table2[],3,0),"open")</f>
        <v>ok</v>
      </c>
      <c r="C22" s="62" t="s">
        <v>369</v>
      </c>
      <c r="D22" t="s">
        <v>1465</v>
      </c>
      <c r="E22" t="s">
        <v>1021</v>
      </c>
      <c r="F22" s="117" t="s">
        <v>1021</v>
      </c>
      <c r="G22" s="62" t="s">
        <v>400</v>
      </c>
      <c r="H22" s="60" t="str">
        <f>IF(Proc[[#This Row],[type]]="LFF (MDG-F)",MID(Proc[[#This Row],[Obj]],13,10),"")</f>
        <v/>
      </c>
      <c r="I22" t="s">
        <v>1493</v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HC</v>
      </c>
      <c r="L22" s="150" t="s">
        <v>509</v>
      </c>
      <c r="M22" s="71">
        <v>45664.540486111109</v>
      </c>
      <c r="N22" s="71">
        <v>45671</v>
      </c>
      <c r="O22" s="71">
        <v>45671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5</v>
      </c>
      <c r="R22" s="64" t="s">
        <v>494</v>
      </c>
      <c r="S22" s="60"/>
    </row>
    <row r="23" spans="1:19" hidden="1">
      <c r="A23" s="62" t="s">
        <v>1484</v>
      </c>
      <c r="B23" s="149" t="str">
        <f>IFERROR(VLOOKUP(Proc[[#This Row],[App]],Table2[],3,0),"open")</f>
        <v>ok</v>
      </c>
      <c r="C23" s="62" t="s">
        <v>369</v>
      </c>
      <c r="D23" t="s">
        <v>1466</v>
      </c>
      <c r="E23" t="s">
        <v>1022</v>
      </c>
      <c r="F23" s="117" t="s">
        <v>1022</v>
      </c>
      <c r="G23" s="62" t="s">
        <v>400</v>
      </c>
      <c r="H23" s="60" t="str">
        <f>IF(Proc[[#This Row],[type]]="LFF (MDG-F)",MID(Proc[[#This Row],[Obj]],13,10),"")</f>
        <v/>
      </c>
      <c r="I23" t="s">
        <v>1493</v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HC</v>
      </c>
      <c r="L23" s="150" t="s">
        <v>509</v>
      </c>
      <c r="M23" s="71">
        <v>45664.540486111109</v>
      </c>
      <c r="N23" s="71">
        <v>45671</v>
      </c>
      <c r="O23" s="71">
        <v>45671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5</v>
      </c>
      <c r="R23" s="64" t="s">
        <v>494</v>
      </c>
      <c r="S23" s="60"/>
    </row>
    <row r="24" spans="1:19" hidden="1">
      <c r="A24" s="62" t="s">
        <v>1484</v>
      </c>
      <c r="B24" s="149" t="str">
        <f>IFERROR(VLOOKUP(Proc[[#This Row],[App]],Table2[],3,0),"open")</f>
        <v>ok</v>
      </c>
      <c r="C24" s="62" t="s">
        <v>369</v>
      </c>
      <c r="D24" t="s">
        <v>1467</v>
      </c>
      <c r="E24" t="s">
        <v>508</v>
      </c>
      <c r="F24" s="117" t="s">
        <v>508</v>
      </c>
      <c r="G24" s="62" t="s">
        <v>400</v>
      </c>
      <c r="H24" s="60" t="str">
        <f>IF(Proc[[#This Row],[type]]="LFF (MDG-F)",MID(Proc[[#This Row],[Obj]],13,10),"")</f>
        <v/>
      </c>
      <c r="I24" t="s">
        <v>1493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HC</v>
      </c>
      <c r="L24" s="150" t="s">
        <v>509</v>
      </c>
      <c r="M24" s="71">
        <v>45664.540486111109</v>
      </c>
      <c r="N24" s="71">
        <v>45671</v>
      </c>
      <c r="O24" s="71">
        <v>45671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5</v>
      </c>
      <c r="R24" s="64" t="s">
        <v>494</v>
      </c>
      <c r="S24" s="60"/>
    </row>
    <row r="25" spans="1:19" hidden="1">
      <c r="A25" s="62" t="s">
        <v>1484</v>
      </c>
      <c r="B25" s="149" t="str">
        <f>IFERROR(VLOOKUP(Proc[[#This Row],[App]],Table2[],3,0),"open")</f>
        <v>ok</v>
      </c>
      <c r="C25" s="62" t="s">
        <v>369</v>
      </c>
      <c r="D25" t="s">
        <v>1468</v>
      </c>
      <c r="E25" t="s">
        <v>495</v>
      </c>
      <c r="F25" s="117" t="s">
        <v>495</v>
      </c>
      <c r="G25" s="62" t="s">
        <v>400</v>
      </c>
      <c r="H25" s="60" t="str">
        <f>IF(Proc[[#This Row],[type]]="LFF (MDG-F)",MID(Proc[[#This Row],[Obj]],13,10),"")</f>
        <v/>
      </c>
      <c r="I25" t="s">
        <v>1493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HC</v>
      </c>
      <c r="L25" s="150" t="s">
        <v>509</v>
      </c>
      <c r="M25" s="71">
        <v>45664.540486111109</v>
      </c>
      <c r="N25" s="71">
        <v>45671</v>
      </c>
      <c r="O25" s="71">
        <v>45671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5</v>
      </c>
      <c r="R25" s="64" t="s">
        <v>494</v>
      </c>
      <c r="S25" s="60"/>
    </row>
    <row r="26" spans="1:19" hidden="1">
      <c r="A26" s="62" t="s">
        <v>1484</v>
      </c>
      <c r="B26" s="149" t="str">
        <f>IFERROR(VLOOKUP(Proc[[#This Row],[App]],Table2[],3,0),"open")</f>
        <v>ok</v>
      </c>
      <c r="C26" s="62" t="s">
        <v>369</v>
      </c>
      <c r="D26" t="s">
        <v>1469</v>
      </c>
      <c r="E26" t="s">
        <v>1023</v>
      </c>
      <c r="F26" s="117" t="s">
        <v>1023</v>
      </c>
      <c r="G26" s="62" t="s">
        <v>400</v>
      </c>
      <c r="H26" s="60" t="str">
        <f>IF(Proc[[#This Row],[type]]="LFF (MDG-F)",MID(Proc[[#This Row],[Obj]],13,10),"")</f>
        <v/>
      </c>
      <c r="I26" t="s">
        <v>1493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HC</v>
      </c>
      <c r="L26" s="150" t="s">
        <v>509</v>
      </c>
      <c r="M26" s="71">
        <v>45664.540486111109</v>
      </c>
      <c r="N26" s="71">
        <v>45671</v>
      </c>
      <c r="O26" s="71">
        <v>45671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5</v>
      </c>
      <c r="R26" s="64" t="s">
        <v>494</v>
      </c>
      <c r="S26" s="60"/>
    </row>
    <row r="27" spans="1:19" hidden="1">
      <c r="A27" s="62" t="s">
        <v>1484</v>
      </c>
      <c r="B27" s="149" t="str">
        <f>IFERROR(VLOOKUP(Proc[[#This Row],[App]],Table2[],3,0),"open")</f>
        <v>ok</v>
      </c>
      <c r="C27" s="62" t="s">
        <v>369</v>
      </c>
      <c r="D27" t="s">
        <v>1470</v>
      </c>
      <c r="E27" t="s">
        <v>538</v>
      </c>
      <c r="F27" s="117" t="s">
        <v>538</v>
      </c>
      <c r="G27" s="62" t="s">
        <v>400</v>
      </c>
      <c r="H27" s="60" t="str">
        <f>IF(Proc[[#This Row],[type]]="LFF (MDG-F)",MID(Proc[[#This Row],[Obj]],13,10),"")</f>
        <v/>
      </c>
      <c r="I27" t="s">
        <v>1493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HC</v>
      </c>
      <c r="L27" s="150" t="s">
        <v>509</v>
      </c>
      <c r="M27" s="71">
        <v>45664.540486111109</v>
      </c>
      <c r="N27" s="71">
        <v>45671</v>
      </c>
      <c r="O27" s="71">
        <v>45671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5</v>
      </c>
      <c r="R27" s="64" t="s">
        <v>494</v>
      </c>
      <c r="S27" s="60"/>
    </row>
    <row r="28" spans="1:19" hidden="1">
      <c r="A28" s="62" t="s">
        <v>1484</v>
      </c>
      <c r="B28" s="149" t="str">
        <f>IFERROR(VLOOKUP(Proc[[#This Row],[App]],Table2[],3,0),"open")</f>
        <v>ok</v>
      </c>
      <c r="C28" s="62" t="s">
        <v>369</v>
      </c>
      <c r="D28" t="s">
        <v>1471</v>
      </c>
      <c r="E28" t="s">
        <v>1024</v>
      </c>
      <c r="F28" s="117" t="s">
        <v>1024</v>
      </c>
      <c r="G28" s="62" t="s">
        <v>400</v>
      </c>
      <c r="H28" s="60" t="str">
        <f>IF(Proc[[#This Row],[type]]="LFF (MDG-F)",MID(Proc[[#This Row],[Obj]],13,10),"")</f>
        <v/>
      </c>
      <c r="I28" t="s">
        <v>1493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HC</v>
      </c>
      <c r="L28" s="150" t="s">
        <v>509</v>
      </c>
      <c r="M28" s="71">
        <v>45664.540486111109</v>
      </c>
      <c r="N28" s="71">
        <v>45671</v>
      </c>
      <c r="O28" s="71">
        <v>45671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5</v>
      </c>
      <c r="R28" s="64" t="s">
        <v>494</v>
      </c>
      <c r="S28" s="60"/>
    </row>
    <row r="29" spans="1:19" hidden="1">
      <c r="A29" s="62" t="s">
        <v>1484</v>
      </c>
      <c r="B29" s="149" t="str">
        <f>IFERROR(VLOOKUP(Proc[[#This Row],[App]],Table2[],3,0),"open")</f>
        <v>ok</v>
      </c>
      <c r="C29" s="62" t="s">
        <v>369</v>
      </c>
      <c r="D29" t="s">
        <v>1472</v>
      </c>
      <c r="E29" t="s">
        <v>537</v>
      </c>
      <c r="F29" s="117" t="s">
        <v>537</v>
      </c>
      <c r="G29" s="62" t="s">
        <v>400</v>
      </c>
      <c r="H29" s="60" t="str">
        <f>IF(Proc[[#This Row],[type]]="LFF (MDG-F)",MID(Proc[[#This Row],[Obj]],13,10),"")</f>
        <v/>
      </c>
      <c r="I29" t="s">
        <v>1493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HC</v>
      </c>
      <c r="L29" s="150" t="s">
        <v>509</v>
      </c>
      <c r="M29" s="71">
        <v>45664.540486111109</v>
      </c>
      <c r="N29" s="71">
        <v>45671</v>
      </c>
      <c r="O29" s="71">
        <v>45671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5</v>
      </c>
      <c r="R29" s="64" t="s">
        <v>494</v>
      </c>
      <c r="S29" s="60"/>
    </row>
    <row r="30" spans="1:19" hidden="1">
      <c r="A30" s="62" t="s">
        <v>1484</v>
      </c>
      <c r="B30" s="149" t="str">
        <f>IFERROR(VLOOKUP(Proc[[#This Row],[App]],Table2[],3,0),"open")</f>
        <v>ok</v>
      </c>
      <c r="C30" s="62" t="s">
        <v>369</v>
      </c>
      <c r="D30" t="s">
        <v>1473</v>
      </c>
      <c r="E30" t="s">
        <v>537</v>
      </c>
      <c r="F30" s="117" t="s">
        <v>537</v>
      </c>
      <c r="G30" s="62" t="s">
        <v>400</v>
      </c>
      <c r="H30" s="60" t="str">
        <f>IF(Proc[[#This Row],[type]]="LFF (MDG-F)",MID(Proc[[#This Row],[Obj]],13,10),"")</f>
        <v/>
      </c>
      <c r="I30" t="s">
        <v>1493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HC</v>
      </c>
      <c r="L30" s="150" t="s">
        <v>509</v>
      </c>
      <c r="M30" s="71">
        <v>45664.540486111109</v>
      </c>
      <c r="N30" s="71">
        <v>45671</v>
      </c>
      <c r="O30" s="71">
        <v>45671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5</v>
      </c>
      <c r="R30" s="64" t="s">
        <v>494</v>
      </c>
      <c r="S30" s="60"/>
    </row>
    <row r="31" spans="1:19" hidden="1">
      <c r="A31" s="62" t="s">
        <v>1484</v>
      </c>
      <c r="B31" s="149" t="str">
        <f>IFERROR(VLOOKUP(Proc[[#This Row],[App]],Table2[],3,0),"open")</f>
        <v>ok</v>
      </c>
      <c r="C31" s="62" t="s">
        <v>369</v>
      </c>
      <c r="D31" t="s">
        <v>1474</v>
      </c>
      <c r="E31" t="s">
        <v>537</v>
      </c>
      <c r="F31" s="117" t="s">
        <v>537</v>
      </c>
      <c r="G31" s="62" t="s">
        <v>400</v>
      </c>
      <c r="H31" s="60" t="str">
        <f>IF(Proc[[#This Row],[type]]="LFF (MDG-F)",MID(Proc[[#This Row],[Obj]],13,10),"")</f>
        <v/>
      </c>
      <c r="I31" t="s">
        <v>1493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HC</v>
      </c>
      <c r="L31" s="150" t="s">
        <v>509</v>
      </c>
      <c r="M31" s="71">
        <v>45664.540486111109</v>
      </c>
      <c r="N31" s="71">
        <v>45671</v>
      </c>
      <c r="O31" s="71">
        <v>45671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5</v>
      </c>
      <c r="R31" s="64" t="s">
        <v>494</v>
      </c>
      <c r="S31" s="60"/>
    </row>
    <row r="32" spans="1:19" hidden="1">
      <c r="A32" s="62" t="s">
        <v>1484</v>
      </c>
      <c r="B32" s="149" t="str">
        <f>IFERROR(VLOOKUP(Proc[[#This Row],[App]],Table2[],3,0),"open")</f>
        <v>ok</v>
      </c>
      <c r="C32" s="62" t="s">
        <v>369</v>
      </c>
      <c r="D32" t="s">
        <v>1475</v>
      </c>
      <c r="E32" t="s">
        <v>537</v>
      </c>
      <c r="F32" s="117" t="s">
        <v>537</v>
      </c>
      <c r="G32" s="62" t="s">
        <v>400</v>
      </c>
      <c r="H32" s="60" t="str">
        <f>IF(Proc[[#This Row],[type]]="LFF (MDG-F)",MID(Proc[[#This Row],[Obj]],13,10),"")</f>
        <v/>
      </c>
      <c r="I32" t="s">
        <v>1493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HC</v>
      </c>
      <c r="L32" s="150" t="s">
        <v>509</v>
      </c>
      <c r="M32" s="71">
        <v>45664.540486111109</v>
      </c>
      <c r="N32" s="71">
        <v>45671</v>
      </c>
      <c r="O32" s="71">
        <v>45671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5</v>
      </c>
      <c r="R32" s="64" t="s">
        <v>494</v>
      </c>
      <c r="S32" s="60"/>
    </row>
    <row r="33" spans="1:19" hidden="1">
      <c r="A33" s="62" t="s">
        <v>1484</v>
      </c>
      <c r="B33" s="149" t="str">
        <f>IFERROR(VLOOKUP(Proc[[#This Row],[App]],Table2[],3,0),"open")</f>
        <v>ok</v>
      </c>
      <c r="C33" s="62" t="s">
        <v>369</v>
      </c>
      <c r="D33" t="s">
        <v>1476</v>
      </c>
      <c r="E33" t="s">
        <v>537</v>
      </c>
      <c r="F33" s="117" t="s">
        <v>537</v>
      </c>
      <c r="G33" s="62" t="s">
        <v>400</v>
      </c>
      <c r="H33" s="60" t="str">
        <f>IF(Proc[[#This Row],[type]]="LFF (MDG-F)",MID(Proc[[#This Row],[Obj]],13,10),"")</f>
        <v/>
      </c>
      <c r="I33" t="s">
        <v>1493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HC</v>
      </c>
      <c r="L33" s="150" t="s">
        <v>509</v>
      </c>
      <c r="M33" s="71">
        <v>45664.540486111109</v>
      </c>
      <c r="N33" s="71">
        <v>45671</v>
      </c>
      <c r="O33" s="71">
        <v>45671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5</v>
      </c>
      <c r="R33" s="64" t="s">
        <v>494</v>
      </c>
      <c r="S33" s="60"/>
    </row>
    <row r="34" spans="1:19" hidden="1">
      <c r="A34" s="62" t="s">
        <v>1484</v>
      </c>
      <c r="B34" s="149" t="str">
        <f>IFERROR(VLOOKUP(Proc[[#This Row],[App]],Table2[],3,0),"open")</f>
        <v>ok</v>
      </c>
      <c r="C34" s="62" t="s">
        <v>369</v>
      </c>
      <c r="D34" t="s">
        <v>1477</v>
      </c>
      <c r="E34" t="s">
        <v>1019</v>
      </c>
      <c r="F34" s="117" t="s">
        <v>1019</v>
      </c>
      <c r="G34" s="62" t="s">
        <v>400</v>
      </c>
      <c r="H34" s="60" t="str">
        <f>IF(Proc[[#This Row],[type]]="LFF (MDG-F)",MID(Proc[[#This Row],[Obj]],13,10),"")</f>
        <v/>
      </c>
      <c r="I34" t="s">
        <v>1493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HC</v>
      </c>
      <c r="L34" s="150" t="s">
        <v>509</v>
      </c>
      <c r="M34" s="71">
        <v>45664.540486111109</v>
      </c>
      <c r="N34" s="71">
        <v>45671</v>
      </c>
      <c r="O34" s="71">
        <v>45671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5</v>
      </c>
      <c r="R34" s="64" t="s">
        <v>494</v>
      </c>
      <c r="S34" s="60"/>
    </row>
    <row r="35" spans="1:19" hidden="1">
      <c r="A35" s="62" t="s">
        <v>1484</v>
      </c>
      <c r="B35" s="149" t="str">
        <f>IFERROR(VLOOKUP(Proc[[#This Row],[App]],Table2[],3,0),"open")</f>
        <v>ok</v>
      </c>
      <c r="C35" s="62" t="s">
        <v>369</v>
      </c>
      <c r="D35" t="s">
        <v>1478</v>
      </c>
      <c r="E35" t="s">
        <v>1019</v>
      </c>
      <c r="F35" s="117" t="s">
        <v>1019</v>
      </c>
      <c r="G35" s="62" t="s">
        <v>400</v>
      </c>
      <c r="H35" s="60" t="str">
        <f>IF(Proc[[#This Row],[type]]="LFF (MDG-F)",MID(Proc[[#This Row],[Obj]],13,10),"")</f>
        <v/>
      </c>
      <c r="I35" t="s">
        <v>1493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HC</v>
      </c>
      <c r="L35" s="150" t="s">
        <v>509</v>
      </c>
      <c r="M35" s="71">
        <v>45664.540486111109</v>
      </c>
      <c r="N35" s="71">
        <v>45671</v>
      </c>
      <c r="O35" s="71">
        <v>45671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5</v>
      </c>
      <c r="R35" s="64" t="s">
        <v>494</v>
      </c>
      <c r="S35" s="60"/>
    </row>
    <row r="36" spans="1:19" hidden="1">
      <c r="A36" s="62" t="s">
        <v>1484</v>
      </c>
      <c r="B36" s="149" t="str">
        <f>IFERROR(VLOOKUP(Proc[[#This Row],[App]],Table2[],3,0),"open")</f>
        <v>ok</v>
      </c>
      <c r="C36" s="62" t="s">
        <v>369</v>
      </c>
      <c r="D36" t="s">
        <v>1479</v>
      </c>
      <c r="E36" t="s">
        <v>1019</v>
      </c>
      <c r="F36" s="117" t="s">
        <v>1019</v>
      </c>
      <c r="G36" s="62" t="s">
        <v>400</v>
      </c>
      <c r="H36" s="60" t="str">
        <f>IF(Proc[[#This Row],[type]]="LFF (MDG-F)",MID(Proc[[#This Row],[Obj]],13,10),"")</f>
        <v/>
      </c>
      <c r="I36" t="s">
        <v>1493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HC</v>
      </c>
      <c r="L36" s="150" t="s">
        <v>509</v>
      </c>
      <c r="M36" s="71">
        <v>45664.540486111109</v>
      </c>
      <c r="N36" s="71">
        <v>45671</v>
      </c>
      <c r="O36" s="71">
        <v>45671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5</v>
      </c>
      <c r="R36" s="64" t="s">
        <v>494</v>
      </c>
      <c r="S36" s="60"/>
    </row>
    <row r="37" spans="1:19" hidden="1">
      <c r="A37" s="62" t="s">
        <v>1484</v>
      </c>
      <c r="B37" s="149" t="str">
        <f>IFERROR(VLOOKUP(Proc[[#This Row],[App]],Table2[],3,0),"open")</f>
        <v>ok</v>
      </c>
      <c r="C37" s="62" t="s">
        <v>369</v>
      </c>
      <c r="D37" t="s">
        <v>1480</v>
      </c>
      <c r="E37" t="s">
        <v>1019</v>
      </c>
      <c r="F37" s="117" t="s">
        <v>1019</v>
      </c>
      <c r="G37" s="62" t="s">
        <v>400</v>
      </c>
      <c r="H37" s="60" t="str">
        <f>IF(Proc[[#This Row],[type]]="LFF (MDG-F)",MID(Proc[[#This Row],[Obj]],13,10),"")</f>
        <v/>
      </c>
      <c r="I37" t="s">
        <v>1493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HC</v>
      </c>
      <c r="L37" s="150" t="s">
        <v>509</v>
      </c>
      <c r="M37" s="71">
        <v>45664.540486111109</v>
      </c>
      <c r="N37" s="71">
        <v>45671</v>
      </c>
      <c r="O37" s="71">
        <v>45671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5</v>
      </c>
      <c r="R37" s="64" t="s">
        <v>494</v>
      </c>
      <c r="S37" s="60"/>
    </row>
    <row r="38" spans="1:19" hidden="1">
      <c r="A38" t="s">
        <v>1484</v>
      </c>
      <c r="B38" s="149" t="str">
        <f>IFERROR(VLOOKUP(Proc[[#This Row],[App]],Table2[],3,0),"open")</f>
        <v>ok</v>
      </c>
      <c r="C38" s="62" t="s">
        <v>369</v>
      </c>
      <c r="D38" t="s">
        <v>1481</v>
      </c>
      <c r="E38" t="s">
        <v>1019</v>
      </c>
      <c r="F38" s="117" t="s">
        <v>1019</v>
      </c>
      <c r="G38" s="62" t="s">
        <v>400</v>
      </c>
      <c r="H38" s="60" t="str">
        <f>IF(Proc[[#This Row],[type]]="LFF (MDG-F)",MID(Proc[[#This Row],[Obj]],13,10),"")</f>
        <v/>
      </c>
      <c r="I38" t="s">
        <v>1493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HC</v>
      </c>
      <c r="L38" s="150" t="s">
        <v>509</v>
      </c>
      <c r="M38" s="71">
        <v>45664.540486111109</v>
      </c>
      <c r="N38" s="71">
        <v>45671</v>
      </c>
      <c r="O38" s="71">
        <v>45671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5</v>
      </c>
      <c r="R38" s="64" t="s">
        <v>494</v>
      </c>
      <c r="S38" s="60"/>
    </row>
    <row r="39" spans="1:19" hidden="1">
      <c r="A39" s="62" t="s">
        <v>1484</v>
      </c>
      <c r="B39" s="149" t="str">
        <f>IFERROR(VLOOKUP(Proc[[#This Row],[App]],Table2[],3,0),"open")</f>
        <v>ok</v>
      </c>
      <c r="C39" s="62" t="s">
        <v>369</v>
      </c>
      <c r="D39" t="s">
        <v>1482</v>
      </c>
      <c r="E39" t="s">
        <v>1019</v>
      </c>
      <c r="F39" s="117" t="s">
        <v>1019</v>
      </c>
      <c r="G39" s="62" t="s">
        <v>400</v>
      </c>
      <c r="H39" s="60" t="str">
        <f>IF(Proc[[#This Row],[type]]="LFF (MDG-F)",MID(Proc[[#This Row],[Obj]],13,10),"")</f>
        <v/>
      </c>
      <c r="I39" t="s">
        <v>1493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HC</v>
      </c>
      <c r="L39" s="150" t="s">
        <v>509</v>
      </c>
      <c r="M39" s="71">
        <v>45664.540486111109</v>
      </c>
      <c r="N39" s="71">
        <v>45671</v>
      </c>
      <c r="O39" s="71">
        <v>45671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5</v>
      </c>
      <c r="R39" s="64" t="s">
        <v>494</v>
      </c>
      <c r="S39" s="60"/>
    </row>
    <row r="40" spans="1:19" hidden="1">
      <c r="A40" t="s">
        <v>1484</v>
      </c>
      <c r="B40" s="149" t="str">
        <f>IFERROR(VLOOKUP(Proc[[#This Row],[App]],Table2[],3,0),"open")</f>
        <v>ok</v>
      </c>
      <c r="C40" s="62" t="s">
        <v>369</v>
      </c>
      <c r="D40" s="72" t="s">
        <v>1483</v>
      </c>
      <c r="E40" s="72" t="s">
        <v>1019</v>
      </c>
      <c r="F40" s="117" t="s">
        <v>1019</v>
      </c>
      <c r="G40" s="62" t="s">
        <v>400</v>
      </c>
      <c r="H40" s="60" t="str">
        <f>IF(Proc[[#This Row],[type]]="LFF (MDG-F)",MID(Proc[[#This Row],[Obj]],13,10),"")</f>
        <v/>
      </c>
      <c r="I40" t="s">
        <v>1493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HC</v>
      </c>
      <c r="L40" s="150" t="s">
        <v>509</v>
      </c>
      <c r="M40" s="71">
        <v>45664.540486111109</v>
      </c>
      <c r="N40" s="71">
        <v>45671</v>
      </c>
      <c r="O40" s="71">
        <v>45671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5</v>
      </c>
      <c r="R40" s="64" t="s">
        <v>494</v>
      </c>
      <c r="S40" s="60"/>
    </row>
    <row r="41" spans="1:19" hidden="1">
      <c r="A41" t="s">
        <v>1492</v>
      </c>
      <c r="B41" s="149" t="str">
        <f>IFERROR(VLOOKUP(Proc[[#This Row],[App]],Table2[],3,0),"open")</f>
        <v>ok</v>
      </c>
      <c r="C41" s="62" t="s">
        <v>369</v>
      </c>
      <c r="D41" s="62" t="s">
        <v>1489</v>
      </c>
      <c r="E41" t="s">
        <v>1447</v>
      </c>
      <c r="F41" s="117" t="s">
        <v>1447</v>
      </c>
      <c r="G41" s="62" t="s">
        <v>400</v>
      </c>
      <c r="H41" s="60" t="str">
        <f>IF(Proc[[#This Row],[type]]="LFF (MDG-F)",MID(Proc[[#This Row],[Obj]],13,10),"")</f>
        <v/>
      </c>
      <c r="I41" t="s">
        <v>1493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LS</v>
      </c>
      <c r="L41" s="150" t="s">
        <v>509</v>
      </c>
      <c r="M41" s="71">
        <v>45664.6015162037</v>
      </c>
      <c r="N41" s="71">
        <v>45671</v>
      </c>
      <c r="O41" s="71">
        <v>45671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5</v>
      </c>
      <c r="R41" s="64" t="s">
        <v>972</v>
      </c>
      <c r="S41" s="60"/>
    </row>
    <row r="42" spans="1:19" hidden="1">
      <c r="A42" s="62" t="s">
        <v>1492</v>
      </c>
      <c r="B42" s="149" t="str">
        <f>IFERROR(VLOOKUP(Proc[[#This Row],[App]],Table2[],3,0),"open")</f>
        <v>ok</v>
      </c>
      <c r="C42" s="62" t="s">
        <v>369</v>
      </c>
      <c r="D42" t="s">
        <v>1490</v>
      </c>
      <c r="E42" t="s">
        <v>1044</v>
      </c>
      <c r="F42" s="117" t="s">
        <v>1044</v>
      </c>
      <c r="G42" s="62" t="s">
        <v>400</v>
      </c>
      <c r="H42" s="60" t="str">
        <f>IF(Proc[[#This Row],[type]]="LFF (MDG-F)",MID(Proc[[#This Row],[Obj]],13,10),"")</f>
        <v/>
      </c>
      <c r="I42" t="s">
        <v>1493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LS</v>
      </c>
      <c r="L42" s="150" t="s">
        <v>509</v>
      </c>
      <c r="M42" s="71">
        <v>45664.6015162037</v>
      </c>
      <c r="N42" s="71">
        <v>45671</v>
      </c>
      <c r="O42" s="71">
        <v>45671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5</v>
      </c>
      <c r="R42" s="64" t="s">
        <v>972</v>
      </c>
      <c r="S42" s="60"/>
    </row>
    <row r="43" spans="1:19" hidden="1">
      <c r="A43" s="62" t="s">
        <v>1492</v>
      </c>
      <c r="B43" s="149" t="str">
        <f>IFERROR(VLOOKUP(Proc[[#This Row],[App]],Table2[],3,0),"open")</f>
        <v>ok</v>
      </c>
      <c r="C43" s="62" t="s">
        <v>369</v>
      </c>
      <c r="D43" t="s">
        <v>1491</v>
      </c>
      <c r="E43" t="s">
        <v>652</v>
      </c>
      <c r="F43" s="117" t="s">
        <v>652</v>
      </c>
      <c r="G43" s="62" t="s">
        <v>400</v>
      </c>
      <c r="H43" s="60" t="str">
        <f>IF(Proc[[#This Row],[type]]="LFF (MDG-F)",MID(Proc[[#This Row],[Obj]],13,10),"")</f>
        <v/>
      </c>
      <c r="I43" t="s">
        <v>1493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LS</v>
      </c>
      <c r="L43" s="150" t="s">
        <v>509</v>
      </c>
      <c r="M43" s="71">
        <v>45664.6015162037</v>
      </c>
      <c r="N43" s="71">
        <v>45671</v>
      </c>
      <c r="O43" s="71">
        <v>45671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5</v>
      </c>
      <c r="R43" s="64" t="s">
        <v>972</v>
      </c>
      <c r="S43" s="60"/>
    </row>
    <row r="44" spans="1:19" hidden="1">
      <c r="A44" t="s">
        <v>1511</v>
      </c>
      <c r="B44" s="149" t="str">
        <f>IFERROR(VLOOKUP(Proc[[#This Row],[App]],Table2[],3,0),"open")</f>
        <v>ok</v>
      </c>
      <c r="C44" t="s">
        <v>369</v>
      </c>
      <c r="D44" t="s">
        <v>1510</v>
      </c>
      <c r="E44" t="s">
        <v>417</v>
      </c>
      <c r="F44" s="117" t="s">
        <v>417</v>
      </c>
      <c r="G44" s="62" t="s">
        <v>400</v>
      </c>
      <c r="H44" s="60" t="str">
        <f>IF(Proc[[#This Row],[type]]="LFF (MDG-F)",MID(Proc[[#This Row],[Obj]],13,10),"")</f>
        <v/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LS</v>
      </c>
      <c r="L44" s="150" t="s">
        <v>509</v>
      </c>
      <c r="M44" s="71">
        <v>45665.392372685186</v>
      </c>
      <c r="N44" s="71">
        <v>45667</v>
      </c>
      <c r="O44" s="71">
        <v>45667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2</v>
      </c>
      <c r="R44" s="64" t="s">
        <v>972</v>
      </c>
      <c r="S44" s="60"/>
    </row>
    <row r="45" spans="1:19" hidden="1">
      <c r="A45" s="62" t="s">
        <v>1509</v>
      </c>
      <c r="B45" s="149" t="str">
        <f>IFERROR(VLOOKUP(Proc[[#This Row],[App]],Table2[],3,0),"open")</f>
        <v>ok</v>
      </c>
      <c r="C45" s="62" t="s">
        <v>369</v>
      </c>
      <c r="D45" t="s">
        <v>459</v>
      </c>
      <c r="E45" t="s">
        <v>631</v>
      </c>
      <c r="F45" s="117" t="s">
        <v>631</v>
      </c>
      <c r="G45" s="62" t="s">
        <v>406</v>
      </c>
      <c r="H45" s="60" t="str">
        <f>IF(Proc[[#This Row],[type]]="LFF (MDG-F)",MID(Proc[[#This Row],[Obj]],13,10),"")</f>
        <v>DE10604910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150" t="s">
        <v>509</v>
      </c>
      <c r="M45" s="71">
        <v>45665.41238425926</v>
      </c>
      <c r="N45" s="71">
        <v>45671</v>
      </c>
      <c r="O45" s="71">
        <v>45671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549</v>
      </c>
      <c r="S45" s="60"/>
    </row>
    <row r="46" spans="1:19" hidden="1">
      <c r="A46" s="62" t="s">
        <v>1508</v>
      </c>
      <c r="B46" s="149" t="str">
        <f>IFERROR(VLOOKUP(Proc[[#This Row],[App]],Table2[],3,0),"open")</f>
        <v>ok</v>
      </c>
      <c r="C46" s="62" t="s">
        <v>369</v>
      </c>
      <c r="D46" t="s">
        <v>1503</v>
      </c>
      <c r="E46" t="s">
        <v>626</v>
      </c>
      <c r="F46" s="117" t="s">
        <v>626</v>
      </c>
      <c r="G46" s="62" t="s">
        <v>406</v>
      </c>
      <c r="H46" s="60" t="str">
        <f>IF(Proc[[#This Row],[type]]="LFF (MDG-F)",MID(Proc[[#This Row],[Obj]],13,10),"")</f>
        <v>DE10200058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150" t="s">
        <v>509</v>
      </c>
      <c r="M46" s="71">
        <v>45665.425729166665</v>
      </c>
      <c r="N46" s="71">
        <v>45671</v>
      </c>
      <c r="O46" s="71">
        <v>45671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549</v>
      </c>
      <c r="S46" s="60"/>
    </row>
    <row r="47" spans="1:19" hidden="1">
      <c r="A47" s="62" t="s">
        <v>1508</v>
      </c>
      <c r="B47" s="149" t="str">
        <f>IFERROR(VLOOKUP(Proc[[#This Row],[App]],Table2[],3,0),"open")</f>
        <v>ok</v>
      </c>
      <c r="C47" s="62" t="s">
        <v>369</v>
      </c>
      <c r="D47" t="s">
        <v>1504</v>
      </c>
      <c r="E47" t="s">
        <v>626</v>
      </c>
      <c r="F47" s="117" t="s">
        <v>626</v>
      </c>
      <c r="G47" s="62" t="s">
        <v>406</v>
      </c>
      <c r="H47" s="60" t="str">
        <f>IF(Proc[[#This Row],[type]]="LFF (MDG-F)",MID(Proc[[#This Row],[Obj]],13,10),"")</f>
        <v>DE10200059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150" t="s">
        <v>509</v>
      </c>
      <c r="M47" s="71">
        <v>45665.425729166665</v>
      </c>
      <c r="N47" s="71">
        <v>45671</v>
      </c>
      <c r="O47" s="71">
        <v>45671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549</v>
      </c>
      <c r="S47" s="60"/>
    </row>
    <row r="48" spans="1:19" hidden="1">
      <c r="A48" t="s">
        <v>1508</v>
      </c>
      <c r="B48" s="149" t="str">
        <f>IFERROR(VLOOKUP(Proc[[#This Row],[App]],Table2[],3,0),"open")</f>
        <v>ok</v>
      </c>
      <c r="C48" s="62" t="s">
        <v>369</v>
      </c>
      <c r="D48" t="s">
        <v>1505</v>
      </c>
      <c r="E48" t="s">
        <v>626</v>
      </c>
      <c r="F48" s="117" t="s">
        <v>626</v>
      </c>
      <c r="G48" s="62" t="s">
        <v>406</v>
      </c>
      <c r="H48" s="60" t="str">
        <f>IF(Proc[[#This Row],[type]]="LFF (MDG-F)",MID(Proc[[#This Row],[Obj]],13,10),"")</f>
        <v>DE10200060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150" t="s">
        <v>509</v>
      </c>
      <c r="M48" s="71">
        <v>45665.425729166665</v>
      </c>
      <c r="N48" s="71">
        <v>45671</v>
      </c>
      <c r="O48" s="71">
        <v>45671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549</v>
      </c>
      <c r="S48" s="60"/>
    </row>
    <row r="49" spans="1:19" hidden="1">
      <c r="A49" s="62" t="s">
        <v>1508</v>
      </c>
      <c r="B49" s="149" t="str">
        <f>IFERROR(VLOOKUP(Proc[[#This Row],[App]],Table2[],3,0),"open")</f>
        <v>ok</v>
      </c>
      <c r="C49" s="62" t="s">
        <v>369</v>
      </c>
      <c r="D49" t="s">
        <v>1506</v>
      </c>
      <c r="E49" t="s">
        <v>626</v>
      </c>
      <c r="F49" s="117" t="s">
        <v>626</v>
      </c>
      <c r="G49" t="s">
        <v>406</v>
      </c>
      <c r="H49" s="60" t="str">
        <f>IF(Proc[[#This Row],[type]]="LFF (MDG-F)",MID(Proc[[#This Row],[Obj]],13,10),"")</f>
        <v>DE10200061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150" t="s">
        <v>509</v>
      </c>
      <c r="M49" s="71">
        <v>45665.425729166665</v>
      </c>
      <c r="N49" s="71">
        <v>45671</v>
      </c>
      <c r="O49" s="71">
        <v>45671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549</v>
      </c>
      <c r="S49" s="60"/>
    </row>
    <row r="50" spans="1:19" hidden="1">
      <c r="A50" t="s">
        <v>1508</v>
      </c>
      <c r="B50" s="149" t="str">
        <f>IFERROR(VLOOKUP(Proc[[#This Row],[App]],Table2[],3,0),"open")</f>
        <v>ok</v>
      </c>
      <c r="C50" s="62" t="s">
        <v>369</v>
      </c>
      <c r="D50" t="s">
        <v>1507</v>
      </c>
      <c r="E50" t="s">
        <v>626</v>
      </c>
      <c r="F50" s="117" t="s">
        <v>626</v>
      </c>
      <c r="G50" s="62" t="s">
        <v>406</v>
      </c>
      <c r="H50" s="60" t="str">
        <f>IF(Proc[[#This Row],[type]]="LFF (MDG-F)",MID(Proc[[#This Row],[Obj]],13,10),"")</f>
        <v>DE10200062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150" t="s">
        <v>509</v>
      </c>
      <c r="M50" s="71">
        <v>45665.425729166665</v>
      </c>
      <c r="N50" s="71">
        <v>45671</v>
      </c>
      <c r="O50" s="71">
        <v>45671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549</v>
      </c>
      <c r="S50" s="60"/>
    </row>
    <row r="51" spans="1:19" hidden="1">
      <c r="A51" s="62" t="s">
        <v>1500</v>
      </c>
      <c r="B51" s="149" t="str">
        <f>IFERROR(VLOOKUP(Proc[[#This Row],[App]],Table2[],3,0),"open")</f>
        <v>ok</v>
      </c>
      <c r="C51" s="62" t="s">
        <v>369</v>
      </c>
      <c r="D51" t="s">
        <v>1494</v>
      </c>
      <c r="E51" t="s">
        <v>1498</v>
      </c>
      <c r="F51" s="117" t="s">
        <v>1498</v>
      </c>
      <c r="G51" s="62" t="s">
        <v>400</v>
      </c>
      <c r="H51" s="60" t="str">
        <f>IF(Proc[[#This Row],[type]]="LFF (MDG-F)",MID(Proc[[#This Row],[Obj]],13,10),"")</f>
        <v/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LS</v>
      </c>
      <c r="L51" s="150" t="s">
        <v>509</v>
      </c>
      <c r="M51" s="71">
        <v>45665.54210648148</v>
      </c>
      <c r="N51" s="71">
        <v>45667</v>
      </c>
      <c r="O51" s="71">
        <v>45667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2</v>
      </c>
      <c r="R51" s="64" t="s">
        <v>972</v>
      </c>
      <c r="S51" s="60"/>
    </row>
    <row r="52" spans="1:19" hidden="1">
      <c r="A52" s="62" t="s">
        <v>1500</v>
      </c>
      <c r="B52" s="149" t="str">
        <f>IFERROR(VLOOKUP(Proc[[#This Row],[App]],Table2[],3,0),"open")</f>
        <v>ok</v>
      </c>
      <c r="C52" s="62" t="s">
        <v>369</v>
      </c>
      <c r="D52" t="s">
        <v>1495</v>
      </c>
      <c r="E52" t="s">
        <v>468</v>
      </c>
      <c r="F52" s="117" t="s">
        <v>468</v>
      </c>
      <c r="G52" s="62" t="s">
        <v>400</v>
      </c>
      <c r="H52" s="60" t="str">
        <f>IF(Proc[[#This Row],[type]]="LFF (MDG-F)",MID(Proc[[#This Row],[Obj]],13,10),"")</f>
        <v/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LS</v>
      </c>
      <c r="L52" s="150" t="s">
        <v>509</v>
      </c>
      <c r="M52" s="71">
        <v>45665.54210648148</v>
      </c>
      <c r="N52" s="71">
        <v>45667</v>
      </c>
      <c r="O52" s="71">
        <v>45667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2</v>
      </c>
      <c r="R52" s="64" t="s">
        <v>972</v>
      </c>
      <c r="S52" s="60"/>
    </row>
    <row r="53" spans="1:19" hidden="1">
      <c r="A53" s="62" t="s">
        <v>1500</v>
      </c>
      <c r="B53" s="149" t="str">
        <f>IFERROR(VLOOKUP(Proc[[#This Row],[App]],Table2[],3,0),"open")</f>
        <v>ok</v>
      </c>
      <c r="C53" s="62" t="s">
        <v>369</v>
      </c>
      <c r="D53" t="s">
        <v>1496</v>
      </c>
      <c r="E53" t="s">
        <v>1499</v>
      </c>
      <c r="F53" s="117" t="s">
        <v>1499</v>
      </c>
      <c r="G53" s="62" t="s">
        <v>400</v>
      </c>
      <c r="H53" s="60" t="str">
        <f>IF(Proc[[#This Row],[type]]="LFF (MDG-F)",MID(Proc[[#This Row],[Obj]],13,10),"")</f>
        <v/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LS</v>
      </c>
      <c r="L53" s="150" t="s">
        <v>509</v>
      </c>
      <c r="M53" s="71">
        <v>45665.54210648148</v>
      </c>
      <c r="N53" s="71">
        <v>45667</v>
      </c>
      <c r="O53" s="71">
        <v>45667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2</v>
      </c>
      <c r="R53" s="64" t="s">
        <v>972</v>
      </c>
      <c r="S53" s="60"/>
    </row>
    <row r="54" spans="1:19" hidden="1">
      <c r="A54" s="62" t="s">
        <v>1500</v>
      </c>
      <c r="B54" s="149" t="str">
        <f>IFERROR(VLOOKUP(Proc[[#This Row],[App]],Table2[],3,0),"open")</f>
        <v>ok</v>
      </c>
      <c r="C54" s="62" t="s">
        <v>369</v>
      </c>
      <c r="D54" t="s">
        <v>1497</v>
      </c>
      <c r="E54" t="s">
        <v>501</v>
      </c>
      <c r="F54" s="117" t="s">
        <v>501</v>
      </c>
      <c r="G54" s="62" t="s">
        <v>400</v>
      </c>
      <c r="H54" s="60" t="str">
        <f>IF(Proc[[#This Row],[type]]="LFF (MDG-F)",MID(Proc[[#This Row],[Obj]],13,10),"")</f>
        <v/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LS</v>
      </c>
      <c r="L54" s="150" t="s">
        <v>509</v>
      </c>
      <c r="M54" s="71">
        <v>45665.54210648148</v>
      </c>
      <c r="N54" s="71">
        <v>45667</v>
      </c>
      <c r="O54" s="71">
        <v>45667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2</v>
      </c>
      <c r="R54" s="64" t="s">
        <v>972</v>
      </c>
      <c r="S54" s="60"/>
    </row>
    <row r="55" spans="1:19" hidden="1">
      <c r="A55" t="s">
        <v>1502</v>
      </c>
      <c r="B55" s="149" t="str">
        <f>IFERROR(VLOOKUP(Proc[[#This Row],[App]],Table2[],3,0),"open")</f>
        <v>ok</v>
      </c>
      <c r="C55" s="62" t="s">
        <v>369</v>
      </c>
      <c r="D55" t="s">
        <v>1516</v>
      </c>
      <c r="E55" t="s">
        <v>419</v>
      </c>
      <c r="F55" s="117" t="s">
        <v>419</v>
      </c>
      <c r="G55" s="62" t="s">
        <v>400</v>
      </c>
      <c r="H55" s="60" t="str">
        <f>IF(Proc[[#This Row],[type]]="LFF (MDG-F)",MID(Proc[[#This Row],[Obj]],13,10),"")</f>
        <v/>
      </c>
      <c r="I55" t="s">
        <v>1639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150" t="s">
        <v>509</v>
      </c>
      <c r="M55" s="71">
        <v>45665.586886574078</v>
      </c>
      <c r="N55" s="71">
        <v>45687</v>
      </c>
      <c r="O55" s="71">
        <v>45687</v>
      </c>
      <c r="P55" s="64" t="str">
        <f ca="1">IF(Proc[[#This Row],[DaysAgeing]]&gt;5,"yep","on track")</f>
        <v>yep</v>
      </c>
      <c r="Q55" s="3">
        <f ca="1">IF(Proc[[#This Row],[DateClosed]]="",ABS(NETWORKDAYS(Proc[[#This Row],[DateOpened]],TODAY()))-1,ABS(NETWORKDAYS(Proc[[#This Row],[DateOpened]],Proc[[#This Row],[DateClosed]]))-1)</f>
        <v>16</v>
      </c>
      <c r="R55" s="64" t="s">
        <v>1076</v>
      </c>
      <c r="S55" s="60"/>
    </row>
    <row r="56" spans="1:19" hidden="1">
      <c r="A56" t="s">
        <v>1502</v>
      </c>
      <c r="B56" s="149" t="str">
        <f>IFERROR(VLOOKUP(Proc[[#This Row],[App]],Table2[],3,0),"open")</f>
        <v>ok</v>
      </c>
      <c r="C56" s="62" t="s">
        <v>369</v>
      </c>
      <c r="D56" t="s">
        <v>1501</v>
      </c>
      <c r="E56" t="s">
        <v>411</v>
      </c>
      <c r="F56" s="117" t="s">
        <v>411</v>
      </c>
      <c r="G56" t="s">
        <v>406</v>
      </c>
      <c r="H56" s="60" t="str">
        <f>IF(Proc[[#This Row],[type]]="LFF (MDG-F)",MID(Proc[[#This Row],[Obj]],13,10),"")</f>
        <v>TW91C02001</v>
      </c>
      <c r="I56" t="s">
        <v>1640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150" t="s">
        <v>509</v>
      </c>
      <c r="M56" s="71">
        <v>45665.586886574078</v>
      </c>
      <c r="N56" s="71">
        <v>45687</v>
      </c>
      <c r="O56" s="71">
        <v>45687</v>
      </c>
      <c r="P56" s="64" t="str">
        <f ca="1">IF(Proc[[#This Row],[DaysAgeing]]&gt;5,"yep","on track")</f>
        <v>yep</v>
      </c>
      <c r="Q56" s="3">
        <f ca="1">IF(Proc[[#This Row],[DateClosed]]="",ABS(NETWORKDAYS(Proc[[#This Row],[DateOpened]],TODAY()))-1,ABS(NETWORKDAYS(Proc[[#This Row],[DateOpened]],Proc[[#This Row],[DateClosed]]))-1)</f>
        <v>16</v>
      </c>
      <c r="R56" s="64" t="s">
        <v>1076</v>
      </c>
      <c r="S56" s="60"/>
    </row>
    <row r="57" spans="1:19" hidden="1">
      <c r="A57" t="s">
        <v>1512</v>
      </c>
      <c r="B57" s="149" t="str">
        <f>IFERROR(VLOOKUP(Proc[[#This Row],[App]],Table2[],3,0),"open")</f>
        <v>ok</v>
      </c>
      <c r="C57" s="62" t="s">
        <v>369</v>
      </c>
      <c r="D57" t="s">
        <v>1513</v>
      </c>
      <c r="E57" t="s">
        <v>1514</v>
      </c>
      <c r="F57" s="117" t="s">
        <v>1514</v>
      </c>
      <c r="G57" s="62" t="s">
        <v>406</v>
      </c>
      <c r="H57" s="60" t="str">
        <f>IF(Proc[[#This Row],[type]]="LFF (MDG-F)",MID(Proc[[#This Row],[Obj]],13,10),"")</f>
        <v>NG50C1CSLS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LS</v>
      </c>
      <c r="L57" s="150" t="s">
        <v>509</v>
      </c>
      <c r="M57" s="71">
        <v>45666.329097222224</v>
      </c>
      <c r="N57" s="71">
        <v>45671</v>
      </c>
      <c r="O57" s="71">
        <v>45671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3</v>
      </c>
      <c r="R57" s="64" t="s">
        <v>1515</v>
      </c>
      <c r="S57" s="60"/>
    </row>
    <row r="58" spans="1:19" hidden="1">
      <c r="A58" t="s">
        <v>1517</v>
      </c>
      <c r="B58" s="149" t="str">
        <f>IFERROR(VLOOKUP(Proc[[#This Row],[App]],Table2[],3,0),"open")</f>
        <v>ok</v>
      </c>
      <c r="C58" s="62" t="s">
        <v>369</v>
      </c>
      <c r="D58" t="s">
        <v>1518</v>
      </c>
      <c r="E58" t="s">
        <v>424</v>
      </c>
      <c r="F58" s="117" t="s">
        <v>424</v>
      </c>
      <c r="G58" s="62" t="s">
        <v>400</v>
      </c>
      <c r="H58" s="60" t="str">
        <f>IF(Proc[[#This Row],[type]]="LFF (MDG-F)",MID(Proc[[#This Row],[Obj]],13,10),"")</f>
        <v/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150" t="s">
        <v>509</v>
      </c>
      <c r="M58" s="71">
        <v>45666.638773148145</v>
      </c>
      <c r="N58" s="71">
        <v>45671</v>
      </c>
      <c r="O58" s="71">
        <v>45671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3</v>
      </c>
      <c r="R58" s="64" t="s">
        <v>1459</v>
      </c>
      <c r="S58" s="60"/>
    </row>
    <row r="59" spans="1:19" hidden="1">
      <c r="A59" s="62" t="s">
        <v>1517</v>
      </c>
      <c r="B59" s="149" t="str">
        <f>IFERROR(VLOOKUP(Proc[[#This Row],[App]],Table2[],3,0),"open")</f>
        <v>ok</v>
      </c>
      <c r="C59" s="62" t="s">
        <v>369</v>
      </c>
      <c r="D59" t="s">
        <v>1519</v>
      </c>
      <c r="E59" t="s">
        <v>425</v>
      </c>
      <c r="F59" s="117" t="s">
        <v>425</v>
      </c>
      <c r="G59" s="62" t="s">
        <v>400</v>
      </c>
      <c r="H59" s="60" t="str">
        <f>IF(Proc[[#This Row],[type]]="LFF (MDG-F)",MID(Proc[[#This Row],[Obj]],13,10),"")</f>
        <v/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150" t="s">
        <v>509</v>
      </c>
      <c r="M59" s="71">
        <v>45666.638773148145</v>
      </c>
      <c r="N59" s="71">
        <v>45671</v>
      </c>
      <c r="O59" s="71">
        <v>45671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3</v>
      </c>
      <c r="R59" s="64" t="s">
        <v>1459</v>
      </c>
      <c r="S59" s="60"/>
    </row>
    <row r="60" spans="1:19" hidden="1">
      <c r="A60" s="62" t="s">
        <v>1523</v>
      </c>
      <c r="B60" s="149" t="str">
        <f>IFERROR(VLOOKUP(Proc[[#This Row],[App]],Table2[],3,0),"open")</f>
        <v>ok</v>
      </c>
      <c r="C60" s="62" t="s">
        <v>369</v>
      </c>
      <c r="D60" t="s">
        <v>1520</v>
      </c>
      <c r="E60" t="s">
        <v>496</v>
      </c>
      <c r="F60" s="117" t="s">
        <v>496</v>
      </c>
      <c r="G60" s="62" t="s">
        <v>400</v>
      </c>
      <c r="H60" s="60" t="str">
        <f>IF(Proc[[#This Row],[type]]="LFF (MDG-F)",MID(Proc[[#This Row],[Obj]],13,10),"")</f>
        <v/>
      </c>
      <c r="I60" s="62" t="s">
        <v>1493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LS</v>
      </c>
      <c r="L60" s="150" t="s">
        <v>509</v>
      </c>
      <c r="M60" s="71">
        <v>45667.399548611109</v>
      </c>
      <c r="N60" s="71">
        <v>45671</v>
      </c>
      <c r="O60" s="71">
        <v>45671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2</v>
      </c>
      <c r="R60" s="64" t="s">
        <v>972</v>
      </c>
      <c r="S60" s="60"/>
    </row>
    <row r="61" spans="1:19" hidden="1">
      <c r="A61" s="62" t="s">
        <v>1523</v>
      </c>
      <c r="B61" s="149" t="str">
        <f>IFERROR(VLOOKUP(Proc[[#This Row],[App]],Table2[],3,0),"open")</f>
        <v>ok</v>
      </c>
      <c r="C61" s="62" t="s">
        <v>369</v>
      </c>
      <c r="D61" t="s">
        <v>1521</v>
      </c>
      <c r="E61" t="s">
        <v>1522</v>
      </c>
      <c r="F61" s="117" t="s">
        <v>1522</v>
      </c>
      <c r="G61" s="62" t="s">
        <v>400</v>
      </c>
      <c r="H61" s="60" t="str">
        <f>IF(Proc[[#This Row],[type]]="LFF (MDG-F)",MID(Proc[[#This Row],[Obj]],13,10),"")</f>
        <v/>
      </c>
      <c r="I61" s="62" t="s">
        <v>1493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LS</v>
      </c>
      <c r="L61" s="150" t="s">
        <v>509</v>
      </c>
      <c r="M61" s="71">
        <v>45667.399548611109</v>
      </c>
      <c r="N61" s="71">
        <v>45671</v>
      </c>
      <c r="O61" s="71">
        <v>45671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2</v>
      </c>
      <c r="R61" s="64" t="s">
        <v>972</v>
      </c>
      <c r="S61" s="60"/>
    </row>
    <row r="62" spans="1:19" hidden="1">
      <c r="A62" t="s">
        <v>1547</v>
      </c>
      <c r="B62" s="149" t="str">
        <f>IFERROR(VLOOKUP(Proc[[#This Row],[App]],Table2[],3,0),"open")</f>
        <v>ok</v>
      </c>
      <c r="C62" t="s">
        <v>369</v>
      </c>
      <c r="D62" t="s">
        <v>1524</v>
      </c>
      <c r="E62" t="s">
        <v>631</v>
      </c>
      <c r="F62" s="117" t="s">
        <v>631</v>
      </c>
      <c r="G62" s="62" t="s">
        <v>406</v>
      </c>
      <c r="H62" s="60" t="str">
        <f>IF(Proc[[#This Row],[type]]="LFF (MDG-F)",MID(Proc[[#This Row],[Obj]],13,10),"")</f>
        <v>DE20533101</v>
      </c>
      <c r="I62" s="62" t="s">
        <v>1640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509</v>
      </c>
      <c r="M62" s="71">
        <v>45671.398553240739</v>
      </c>
      <c r="N62" s="71">
        <v>45688</v>
      </c>
      <c r="O62" s="71">
        <v>45688</v>
      </c>
      <c r="P62" s="64" t="str">
        <f ca="1">IF(Proc[[#This Row],[DaysAgeing]]&gt;5,"yep","on track")</f>
        <v>yep</v>
      </c>
      <c r="Q62" s="3">
        <f ca="1">IF(Proc[[#This Row],[DateClosed]]="",ABS(NETWORKDAYS(Proc[[#This Row],[DateOpened]],TODAY()))-1,ABS(NETWORKDAYS(Proc[[#This Row],[DateOpened]],Proc[[#This Row],[DateClosed]]))-1)</f>
        <v>13</v>
      </c>
      <c r="R62" s="64" t="s">
        <v>549</v>
      </c>
      <c r="S62" s="60"/>
    </row>
    <row r="63" spans="1:19" hidden="1">
      <c r="A63" s="62" t="s">
        <v>1547</v>
      </c>
      <c r="B63" s="149" t="str">
        <f>IFERROR(VLOOKUP(Proc[[#This Row],[App]],Table2[],3,0),"open")</f>
        <v>ok</v>
      </c>
      <c r="C63" s="62" t="s">
        <v>369</v>
      </c>
      <c r="D63" t="s">
        <v>1525</v>
      </c>
      <c r="E63" t="s">
        <v>631</v>
      </c>
      <c r="F63" s="117" t="s">
        <v>631</v>
      </c>
      <c r="G63" s="62" t="s">
        <v>406</v>
      </c>
      <c r="H63" s="60" t="str">
        <f>IF(Proc[[#This Row],[type]]="LFF (MDG-F)",MID(Proc[[#This Row],[Obj]],13,10),"")</f>
        <v>DE20533102</v>
      </c>
      <c r="I63" s="62" t="s">
        <v>1640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509</v>
      </c>
      <c r="M63" s="71">
        <v>45671.398553240739</v>
      </c>
      <c r="N63" s="71">
        <v>45688</v>
      </c>
      <c r="O63" s="71">
        <v>45688</v>
      </c>
      <c r="P63" s="64" t="str">
        <f ca="1">IF(Proc[[#This Row],[DaysAgeing]]&gt;5,"yep","on track")</f>
        <v>yep</v>
      </c>
      <c r="Q63" s="3">
        <f ca="1">IF(Proc[[#This Row],[DateClosed]]="",ABS(NETWORKDAYS(Proc[[#This Row],[DateOpened]],TODAY()))-1,ABS(NETWORKDAYS(Proc[[#This Row],[DateOpened]],Proc[[#This Row],[DateClosed]]))-1)</f>
        <v>13</v>
      </c>
      <c r="R63" s="64" t="s">
        <v>549</v>
      </c>
      <c r="S63" s="60"/>
    </row>
    <row r="64" spans="1:19" hidden="1">
      <c r="A64" s="62" t="s">
        <v>1547</v>
      </c>
      <c r="B64" s="149" t="str">
        <f>IFERROR(VLOOKUP(Proc[[#This Row],[App]],Table2[],3,0),"open")</f>
        <v>ok</v>
      </c>
      <c r="C64" s="62" t="s">
        <v>369</v>
      </c>
      <c r="D64" t="s">
        <v>1526</v>
      </c>
      <c r="E64" t="s">
        <v>631</v>
      </c>
      <c r="F64" s="117" t="s">
        <v>631</v>
      </c>
      <c r="G64" s="62" t="s">
        <v>406</v>
      </c>
      <c r="H64" s="60" t="str">
        <f>IF(Proc[[#This Row],[type]]="LFF (MDG-F)",MID(Proc[[#This Row],[Obj]],13,10),"")</f>
        <v>DE20533103</v>
      </c>
      <c r="I64" s="62" t="s">
        <v>1640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509</v>
      </c>
      <c r="M64" s="71">
        <v>45671.398553240739</v>
      </c>
      <c r="N64" s="71">
        <v>45688</v>
      </c>
      <c r="O64" s="71">
        <v>45688</v>
      </c>
      <c r="P64" s="64" t="str">
        <f ca="1">IF(Proc[[#This Row],[DaysAgeing]]&gt;5,"yep","on track")</f>
        <v>yep</v>
      </c>
      <c r="Q64" s="3">
        <f ca="1">IF(Proc[[#This Row],[DateClosed]]="",ABS(NETWORKDAYS(Proc[[#This Row],[DateOpened]],TODAY()))-1,ABS(NETWORKDAYS(Proc[[#This Row],[DateOpened]],Proc[[#This Row],[DateClosed]]))-1)</f>
        <v>13</v>
      </c>
      <c r="R64" s="64" t="s">
        <v>549</v>
      </c>
      <c r="S64" s="60"/>
    </row>
    <row r="65" spans="1:19" hidden="1">
      <c r="A65" s="62" t="s">
        <v>1547</v>
      </c>
      <c r="B65" s="149" t="str">
        <f>IFERROR(VLOOKUP(Proc[[#This Row],[App]],Table2[],3,0),"open")</f>
        <v>ok</v>
      </c>
      <c r="C65" s="62" t="s">
        <v>369</v>
      </c>
      <c r="D65" t="s">
        <v>1527</v>
      </c>
      <c r="E65" t="s">
        <v>631</v>
      </c>
      <c r="F65" s="117" t="s">
        <v>631</v>
      </c>
      <c r="G65" s="62" t="s">
        <v>406</v>
      </c>
      <c r="H65" s="60" t="str">
        <f>IF(Proc[[#This Row],[type]]="LFF (MDG-F)",MID(Proc[[#This Row],[Obj]],13,10),"")</f>
        <v>DE20533104</v>
      </c>
      <c r="I65" s="62" t="s">
        <v>1640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509</v>
      </c>
      <c r="M65" s="71">
        <v>45671.398553240739</v>
      </c>
      <c r="N65" s="71">
        <v>45688</v>
      </c>
      <c r="O65" s="71">
        <v>45688</v>
      </c>
      <c r="P65" s="64" t="str">
        <f ca="1">IF(Proc[[#This Row],[DaysAgeing]]&gt;5,"yep","on track")</f>
        <v>yep</v>
      </c>
      <c r="Q65" s="3">
        <f ca="1">IF(Proc[[#This Row],[DateClosed]]="",ABS(NETWORKDAYS(Proc[[#This Row],[DateOpened]],TODAY()))-1,ABS(NETWORKDAYS(Proc[[#This Row],[DateOpened]],Proc[[#This Row],[DateClosed]]))-1)</f>
        <v>13</v>
      </c>
      <c r="R65" s="64" t="s">
        <v>549</v>
      </c>
      <c r="S65" s="60"/>
    </row>
    <row r="66" spans="1:19" hidden="1">
      <c r="A66" s="62" t="s">
        <v>1547</v>
      </c>
      <c r="B66" s="149" t="str">
        <f>IFERROR(VLOOKUP(Proc[[#This Row],[App]],Table2[],3,0),"open")</f>
        <v>ok</v>
      </c>
      <c r="C66" s="62" t="s">
        <v>369</v>
      </c>
      <c r="D66" t="s">
        <v>1528</v>
      </c>
      <c r="E66" t="s">
        <v>631</v>
      </c>
      <c r="F66" s="117" t="s">
        <v>631</v>
      </c>
      <c r="G66" s="62" t="s">
        <v>406</v>
      </c>
      <c r="H66" s="60" t="str">
        <f>IF(Proc[[#This Row],[type]]="LFF (MDG-F)",MID(Proc[[#This Row],[Obj]],13,10),"")</f>
        <v>DE20533105</v>
      </c>
      <c r="I66" s="62" t="s">
        <v>1640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509</v>
      </c>
      <c r="M66" s="71">
        <v>45671.398553240739</v>
      </c>
      <c r="N66" s="71">
        <v>45688</v>
      </c>
      <c r="O66" s="71">
        <v>45688</v>
      </c>
      <c r="P66" s="64" t="str">
        <f ca="1">IF(Proc[[#This Row],[DaysAgeing]]&gt;5,"yep","on track")</f>
        <v>yep</v>
      </c>
      <c r="Q66" s="3">
        <f ca="1">IF(Proc[[#This Row],[DateClosed]]="",ABS(NETWORKDAYS(Proc[[#This Row],[DateOpened]],TODAY()))-1,ABS(NETWORKDAYS(Proc[[#This Row],[DateOpened]],Proc[[#This Row],[DateClosed]]))-1)</f>
        <v>13</v>
      </c>
      <c r="R66" s="64" t="s">
        <v>549</v>
      </c>
      <c r="S66" s="60"/>
    </row>
    <row r="67" spans="1:19" hidden="1">
      <c r="A67" s="62" t="s">
        <v>1547</v>
      </c>
      <c r="B67" s="149" t="str">
        <f>IFERROR(VLOOKUP(Proc[[#This Row],[App]],Table2[],3,0),"open")</f>
        <v>ok</v>
      </c>
      <c r="C67" s="62" t="s">
        <v>369</v>
      </c>
      <c r="D67" t="s">
        <v>1529</v>
      </c>
      <c r="E67" t="s">
        <v>631</v>
      </c>
      <c r="F67" s="117" t="s">
        <v>631</v>
      </c>
      <c r="G67" s="62" t="s">
        <v>406</v>
      </c>
      <c r="H67" s="60" t="str">
        <f>IF(Proc[[#This Row],[type]]="LFF (MDG-F)",MID(Proc[[#This Row],[Obj]],13,10),"")</f>
        <v>DE20533106</v>
      </c>
      <c r="I67" s="62" t="s">
        <v>1640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509</v>
      </c>
      <c r="M67" s="71">
        <v>45671.398553240739</v>
      </c>
      <c r="N67" s="71">
        <v>45688</v>
      </c>
      <c r="O67" s="71">
        <v>45688</v>
      </c>
      <c r="P67" s="64" t="str">
        <f ca="1">IF(Proc[[#This Row],[DaysAgeing]]&gt;5,"yep","on track")</f>
        <v>yep</v>
      </c>
      <c r="Q67" s="3">
        <f ca="1">IF(Proc[[#This Row],[DateClosed]]="",ABS(NETWORKDAYS(Proc[[#This Row],[DateOpened]],TODAY()))-1,ABS(NETWORKDAYS(Proc[[#This Row],[DateOpened]],Proc[[#This Row],[DateClosed]]))-1)</f>
        <v>13</v>
      </c>
      <c r="R67" s="64" t="s">
        <v>549</v>
      </c>
      <c r="S67" s="60"/>
    </row>
    <row r="68" spans="1:19" hidden="1">
      <c r="A68" s="62" t="s">
        <v>1547</v>
      </c>
      <c r="B68" s="149" t="str">
        <f>IFERROR(VLOOKUP(Proc[[#This Row],[App]],Table2[],3,0),"open")</f>
        <v>ok</v>
      </c>
      <c r="C68" s="62" t="s">
        <v>377</v>
      </c>
      <c r="D68" t="s">
        <v>512</v>
      </c>
      <c r="E68" t="s">
        <v>631</v>
      </c>
      <c r="F68" s="103" t="s">
        <v>631</v>
      </c>
      <c r="G68" s="62" t="s">
        <v>406</v>
      </c>
      <c r="H68" s="60" t="str">
        <f>IF(Proc[[#This Row],[type]]="LFF (MDG-F)",MID(Proc[[#This Row],[Obj]],13,10),"")</f>
        <v>DE20533107</v>
      </c>
      <c r="I68" s="62" t="s">
        <v>446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509</v>
      </c>
      <c r="M68" s="71">
        <v>45671.398553240739</v>
      </c>
      <c r="O68" s="71">
        <v>45688</v>
      </c>
      <c r="P68" s="64" t="str">
        <f ca="1">IF(Proc[[#This Row],[DaysAgeing]]&gt;5,"yep","on track")</f>
        <v>yep</v>
      </c>
      <c r="Q68" s="3">
        <f ca="1">IF(Proc[[#This Row],[DateClosed]]="",ABS(NETWORKDAYS(Proc[[#This Row],[DateOpened]],TODAY()))-1,ABS(NETWORKDAYS(Proc[[#This Row],[DateOpened]],Proc[[#This Row],[DateClosed]]))-1)</f>
        <v>13</v>
      </c>
      <c r="R68" s="64" t="s">
        <v>549</v>
      </c>
      <c r="S68" s="60" t="e">
        <f>VLOOKUP(Proc[[#This Row],[Obj]],#REF!,2,0)</f>
        <v>#REF!</v>
      </c>
    </row>
    <row r="69" spans="1:19" hidden="1">
      <c r="A69" s="62" t="s">
        <v>1547</v>
      </c>
      <c r="B69" s="149" t="str">
        <f>IFERROR(VLOOKUP(Proc[[#This Row],[App]],Table2[],3,0),"open")</f>
        <v>ok</v>
      </c>
      <c r="C69" s="62" t="s">
        <v>369</v>
      </c>
      <c r="D69" t="s">
        <v>1530</v>
      </c>
      <c r="E69" t="s">
        <v>631</v>
      </c>
      <c r="F69" s="117" t="s">
        <v>631</v>
      </c>
      <c r="G69" s="62" t="s">
        <v>406</v>
      </c>
      <c r="H69" s="60" t="str">
        <f>IF(Proc[[#This Row],[type]]="LFF (MDG-F)",MID(Proc[[#This Row],[Obj]],13,10),"")</f>
        <v>DE20533108</v>
      </c>
      <c r="I69" s="62" t="s">
        <v>1640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509</v>
      </c>
      <c r="M69" s="71">
        <v>45671.398553240739</v>
      </c>
      <c r="N69" s="71">
        <v>45688</v>
      </c>
      <c r="O69" s="71">
        <v>45688</v>
      </c>
      <c r="P69" s="64" t="str">
        <f ca="1">IF(Proc[[#This Row],[DaysAgeing]]&gt;5,"yep","on track")</f>
        <v>yep</v>
      </c>
      <c r="Q69" s="3">
        <f ca="1">IF(Proc[[#This Row],[DateClosed]]="",ABS(NETWORKDAYS(Proc[[#This Row],[DateOpened]],TODAY()))-1,ABS(NETWORKDAYS(Proc[[#This Row],[DateOpened]],Proc[[#This Row],[DateClosed]]))-1)</f>
        <v>13</v>
      </c>
      <c r="R69" s="64" t="s">
        <v>549</v>
      </c>
      <c r="S69" s="60"/>
    </row>
    <row r="70" spans="1:19" hidden="1">
      <c r="A70" s="62" t="s">
        <v>1547</v>
      </c>
      <c r="B70" s="149" t="str">
        <f>IFERROR(VLOOKUP(Proc[[#This Row],[App]],Table2[],3,0),"open")</f>
        <v>ok</v>
      </c>
      <c r="C70" s="62" t="s">
        <v>377</v>
      </c>
      <c r="D70" t="s">
        <v>513</v>
      </c>
      <c r="E70" t="s">
        <v>631</v>
      </c>
      <c r="F70" s="103" t="s">
        <v>631</v>
      </c>
      <c r="G70" s="62" t="s">
        <v>406</v>
      </c>
      <c r="H70" s="60" t="str">
        <f>IF(Proc[[#This Row],[type]]="LFF (MDG-F)",MID(Proc[[#This Row],[Obj]],13,10),"")</f>
        <v>DE20533109</v>
      </c>
      <c r="I70" s="62" t="s">
        <v>446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509</v>
      </c>
      <c r="M70" s="71">
        <v>45671.398553240739</v>
      </c>
      <c r="O70" s="71">
        <v>45688</v>
      </c>
      <c r="P70" s="64" t="str">
        <f ca="1">IF(Proc[[#This Row],[DaysAgeing]]&gt;5,"yep","on track")</f>
        <v>yep</v>
      </c>
      <c r="Q70" s="3">
        <f ca="1">IF(Proc[[#This Row],[DateClosed]]="",ABS(NETWORKDAYS(Proc[[#This Row],[DateOpened]],TODAY()))-1,ABS(NETWORKDAYS(Proc[[#This Row],[DateOpened]],Proc[[#This Row],[DateClosed]]))-1)</f>
        <v>13</v>
      </c>
      <c r="R70" s="64" t="s">
        <v>549</v>
      </c>
      <c r="S70" s="94" t="e">
        <f>VLOOKUP(Proc[[#This Row],[Obj]],#REF!,2,0)</f>
        <v>#REF!</v>
      </c>
    </row>
    <row r="71" spans="1:19" hidden="1">
      <c r="A71" s="62" t="s">
        <v>1547</v>
      </c>
      <c r="B71" s="149" t="str">
        <f>IFERROR(VLOOKUP(Proc[[#This Row],[App]],Table2[],3,0),"open")</f>
        <v>ok</v>
      </c>
      <c r="C71" s="62" t="s">
        <v>369</v>
      </c>
      <c r="D71" t="s">
        <v>1531</v>
      </c>
      <c r="E71" t="s">
        <v>631</v>
      </c>
      <c r="F71" s="117" t="s">
        <v>631</v>
      </c>
      <c r="G71" s="62" t="s">
        <v>406</v>
      </c>
      <c r="H71" s="60" t="str">
        <f>IF(Proc[[#This Row],[type]]="LFF (MDG-F)",MID(Proc[[#This Row],[Obj]],13,10),"")</f>
        <v>DE20533110</v>
      </c>
      <c r="I71" s="62" t="s">
        <v>1640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509</v>
      </c>
      <c r="M71" s="71">
        <v>45671.398553240739</v>
      </c>
      <c r="N71" s="71">
        <v>45688</v>
      </c>
      <c r="O71" s="71">
        <v>45688</v>
      </c>
      <c r="P71" s="64" t="str">
        <f ca="1">IF(Proc[[#This Row],[DaysAgeing]]&gt;5,"yep","on track")</f>
        <v>yep</v>
      </c>
      <c r="Q71" s="3">
        <f ca="1">IF(Proc[[#This Row],[DateClosed]]="",ABS(NETWORKDAYS(Proc[[#This Row],[DateOpened]],TODAY()))-1,ABS(NETWORKDAYS(Proc[[#This Row],[DateOpened]],Proc[[#This Row],[DateClosed]]))-1)</f>
        <v>13</v>
      </c>
      <c r="R71" s="64" t="s">
        <v>549</v>
      </c>
      <c r="S71" s="60"/>
    </row>
    <row r="72" spans="1:19" hidden="1">
      <c r="A72" s="62" t="s">
        <v>1547</v>
      </c>
      <c r="B72" s="149" t="str">
        <f>IFERROR(VLOOKUP(Proc[[#This Row],[App]],Table2[],3,0),"open")</f>
        <v>ok</v>
      </c>
      <c r="C72" s="62" t="s">
        <v>369</v>
      </c>
      <c r="D72" t="s">
        <v>1532</v>
      </c>
      <c r="E72" t="s">
        <v>631</v>
      </c>
      <c r="F72" s="117" t="s">
        <v>631</v>
      </c>
      <c r="G72" s="62" t="s">
        <v>406</v>
      </c>
      <c r="H72" s="60" t="str">
        <f>IF(Proc[[#This Row],[type]]="LFF (MDG-F)",MID(Proc[[#This Row],[Obj]],13,10),"")</f>
        <v>DE20533111</v>
      </c>
      <c r="I72" s="62" t="s">
        <v>1640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509</v>
      </c>
      <c r="M72" s="71">
        <v>45671.398553240739</v>
      </c>
      <c r="N72" s="71">
        <v>45688</v>
      </c>
      <c r="O72" s="71">
        <v>45688</v>
      </c>
      <c r="P72" s="64" t="str">
        <f ca="1">IF(Proc[[#This Row],[DaysAgeing]]&gt;5,"yep","on track")</f>
        <v>yep</v>
      </c>
      <c r="Q72" s="3">
        <f ca="1">IF(Proc[[#This Row],[DateClosed]]="",ABS(NETWORKDAYS(Proc[[#This Row],[DateOpened]],TODAY()))-1,ABS(NETWORKDAYS(Proc[[#This Row],[DateOpened]],Proc[[#This Row],[DateClosed]]))-1)</f>
        <v>13</v>
      </c>
      <c r="R72" s="64" t="s">
        <v>549</v>
      </c>
      <c r="S72" s="60"/>
    </row>
    <row r="73" spans="1:19" hidden="1">
      <c r="A73" s="62" t="s">
        <v>1547</v>
      </c>
      <c r="B73" s="149" t="str">
        <f>IFERROR(VLOOKUP(Proc[[#This Row],[App]],Table2[],3,0),"open")</f>
        <v>ok</v>
      </c>
      <c r="C73" s="62" t="s">
        <v>369</v>
      </c>
      <c r="D73" t="s">
        <v>1533</v>
      </c>
      <c r="E73" t="s">
        <v>631</v>
      </c>
      <c r="F73" s="117" t="s">
        <v>631</v>
      </c>
      <c r="G73" s="62" t="s">
        <v>406</v>
      </c>
      <c r="H73" s="60" t="str">
        <f>IF(Proc[[#This Row],[type]]="LFF (MDG-F)",MID(Proc[[#This Row],[Obj]],13,10),"")</f>
        <v>DE20533112</v>
      </c>
      <c r="I73" s="62" t="s">
        <v>1640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509</v>
      </c>
      <c r="M73" s="71">
        <v>45671.398553240739</v>
      </c>
      <c r="N73" s="71">
        <v>45688</v>
      </c>
      <c r="O73" s="71">
        <v>45688</v>
      </c>
      <c r="P73" s="64" t="str">
        <f ca="1">IF(Proc[[#This Row],[DaysAgeing]]&gt;5,"yep","on track")</f>
        <v>yep</v>
      </c>
      <c r="Q73" s="3">
        <f ca="1">IF(Proc[[#This Row],[DateClosed]]="",ABS(NETWORKDAYS(Proc[[#This Row],[DateOpened]],TODAY()))-1,ABS(NETWORKDAYS(Proc[[#This Row],[DateOpened]],Proc[[#This Row],[DateClosed]]))-1)</f>
        <v>13</v>
      </c>
      <c r="R73" s="64" t="s">
        <v>549</v>
      </c>
      <c r="S73" s="60"/>
    </row>
    <row r="74" spans="1:19" hidden="1">
      <c r="A74" s="62" t="s">
        <v>1547</v>
      </c>
      <c r="B74" s="149" t="str">
        <f>IFERROR(VLOOKUP(Proc[[#This Row],[App]],Table2[],3,0),"open")</f>
        <v>ok</v>
      </c>
      <c r="C74" s="62" t="s">
        <v>377</v>
      </c>
      <c r="D74" t="s">
        <v>1534</v>
      </c>
      <c r="E74" t="s">
        <v>631</v>
      </c>
      <c r="F74" s="103" t="s">
        <v>631</v>
      </c>
      <c r="G74" s="62" t="s">
        <v>406</v>
      </c>
      <c r="H74" s="60" t="str">
        <f>IF(Proc[[#This Row],[type]]="LFF (MDG-F)",MID(Proc[[#This Row],[Obj]],13,10),"")</f>
        <v>DE20533113</v>
      </c>
      <c r="I74" s="62" t="s">
        <v>446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509</v>
      </c>
      <c r="M74" s="71">
        <v>45671.398553240739</v>
      </c>
      <c r="O74" s="71">
        <v>45688</v>
      </c>
      <c r="P74" s="64" t="str">
        <f ca="1">IF(Proc[[#This Row],[DaysAgeing]]&gt;5,"yep","on track")</f>
        <v>yep</v>
      </c>
      <c r="Q74" s="3">
        <f ca="1">IF(Proc[[#This Row],[DateClosed]]="",ABS(NETWORKDAYS(Proc[[#This Row],[DateOpened]],TODAY()))-1,ABS(NETWORKDAYS(Proc[[#This Row],[DateOpened]],Proc[[#This Row],[DateClosed]]))-1)</f>
        <v>13</v>
      </c>
      <c r="R74" s="64" t="s">
        <v>549</v>
      </c>
      <c r="S74" s="94" t="e">
        <f>VLOOKUP(Proc[[#This Row],[Obj]],#REF!,2,0)</f>
        <v>#REF!</v>
      </c>
    </row>
    <row r="75" spans="1:19" hidden="1">
      <c r="A75" s="62" t="s">
        <v>1547</v>
      </c>
      <c r="B75" s="149" t="str">
        <f>IFERROR(VLOOKUP(Proc[[#This Row],[App]],Table2[],3,0),"open")</f>
        <v>ok</v>
      </c>
      <c r="C75" s="62" t="s">
        <v>369</v>
      </c>
      <c r="D75" t="s">
        <v>1535</v>
      </c>
      <c r="E75" t="s">
        <v>631</v>
      </c>
      <c r="F75" s="117" t="s">
        <v>631</v>
      </c>
      <c r="G75" s="62" t="s">
        <v>406</v>
      </c>
      <c r="H75" s="60" t="str">
        <f>IF(Proc[[#This Row],[type]]="LFF (MDG-F)",MID(Proc[[#This Row],[Obj]],13,10),"")</f>
        <v>DE20533198</v>
      </c>
      <c r="I75" s="62" t="s">
        <v>1640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509</v>
      </c>
      <c r="M75" s="71">
        <v>45671.398553240739</v>
      </c>
      <c r="N75" s="71">
        <v>45688</v>
      </c>
      <c r="O75" s="71">
        <v>45688</v>
      </c>
      <c r="P75" s="64" t="str">
        <f ca="1">IF(Proc[[#This Row],[DaysAgeing]]&gt;5,"yep","on track")</f>
        <v>yep</v>
      </c>
      <c r="Q75" s="3">
        <f ca="1">IF(Proc[[#This Row],[DateClosed]]="",ABS(NETWORKDAYS(Proc[[#This Row],[DateOpened]],TODAY()))-1,ABS(NETWORKDAYS(Proc[[#This Row],[DateOpened]],Proc[[#This Row],[DateClosed]]))-1)</f>
        <v>13</v>
      </c>
      <c r="R75" s="64" t="s">
        <v>549</v>
      </c>
      <c r="S75" s="60"/>
    </row>
    <row r="76" spans="1:19" hidden="1">
      <c r="A76" s="62" t="s">
        <v>1547</v>
      </c>
      <c r="B76" s="149" t="str">
        <f>IFERROR(VLOOKUP(Proc[[#This Row],[App]],Table2[],3,0),"open")</f>
        <v>ok</v>
      </c>
      <c r="C76" s="62" t="s">
        <v>369</v>
      </c>
      <c r="D76" t="s">
        <v>1536</v>
      </c>
      <c r="E76" t="s">
        <v>631</v>
      </c>
      <c r="F76" s="117" t="s">
        <v>631</v>
      </c>
      <c r="G76" s="62" t="s">
        <v>406</v>
      </c>
      <c r="H76" s="60" t="str">
        <f>IF(Proc[[#This Row],[type]]="LFF (MDG-F)",MID(Proc[[#This Row],[Obj]],13,10),"")</f>
        <v>DE10533101</v>
      </c>
      <c r="I76" s="62" t="s">
        <v>1640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509</v>
      </c>
      <c r="M76" s="71">
        <v>45671.398553240739</v>
      </c>
      <c r="N76" s="71">
        <v>45688</v>
      </c>
      <c r="O76" s="71">
        <v>45688</v>
      </c>
      <c r="P76" s="64" t="str">
        <f ca="1">IF(Proc[[#This Row],[DaysAgeing]]&gt;5,"yep","on track")</f>
        <v>yep</v>
      </c>
      <c r="Q76" s="3">
        <f ca="1">IF(Proc[[#This Row],[DateClosed]]="",ABS(NETWORKDAYS(Proc[[#This Row],[DateOpened]],TODAY()))-1,ABS(NETWORKDAYS(Proc[[#This Row],[DateOpened]],Proc[[#This Row],[DateClosed]]))-1)</f>
        <v>13</v>
      </c>
      <c r="R76" s="64" t="s">
        <v>549</v>
      </c>
      <c r="S76" s="60"/>
    </row>
    <row r="77" spans="1:19" hidden="1">
      <c r="A77" s="62" t="s">
        <v>1547</v>
      </c>
      <c r="B77" s="149" t="str">
        <f>IFERROR(VLOOKUP(Proc[[#This Row],[App]],Table2[],3,0),"open")</f>
        <v>ok</v>
      </c>
      <c r="C77" s="62" t="s">
        <v>369</v>
      </c>
      <c r="D77" t="s">
        <v>1537</v>
      </c>
      <c r="E77" t="s">
        <v>631</v>
      </c>
      <c r="F77" s="117" t="s">
        <v>631</v>
      </c>
      <c r="G77" s="62" t="s">
        <v>406</v>
      </c>
      <c r="H77" s="60" t="str">
        <f>IF(Proc[[#This Row],[type]]="LFF (MDG-F)",MID(Proc[[#This Row],[Obj]],13,10),"")</f>
        <v>DE10533102</v>
      </c>
      <c r="I77" s="62" t="s">
        <v>1640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509</v>
      </c>
      <c r="M77" s="71">
        <v>45671.398553240739</v>
      </c>
      <c r="N77" s="71">
        <v>45688</v>
      </c>
      <c r="O77" s="71">
        <v>45688</v>
      </c>
      <c r="P77" s="64" t="str">
        <f ca="1">IF(Proc[[#This Row],[DaysAgeing]]&gt;5,"yep","on track")</f>
        <v>yep</v>
      </c>
      <c r="Q77" s="3">
        <f ca="1">IF(Proc[[#This Row],[DateClosed]]="",ABS(NETWORKDAYS(Proc[[#This Row],[DateOpened]],TODAY()))-1,ABS(NETWORKDAYS(Proc[[#This Row],[DateOpened]],Proc[[#This Row],[DateClosed]]))-1)</f>
        <v>13</v>
      </c>
      <c r="R77" s="64" t="s">
        <v>549</v>
      </c>
      <c r="S77" s="60"/>
    </row>
    <row r="78" spans="1:19" hidden="1">
      <c r="A78" s="62" t="s">
        <v>1547</v>
      </c>
      <c r="B78" s="149" t="str">
        <f>IFERROR(VLOOKUP(Proc[[#This Row],[App]],Table2[],3,0),"open")</f>
        <v>ok</v>
      </c>
      <c r="C78" s="62" t="s">
        <v>369</v>
      </c>
      <c r="D78" t="s">
        <v>1538</v>
      </c>
      <c r="E78" t="s">
        <v>631</v>
      </c>
      <c r="F78" s="117" t="s">
        <v>631</v>
      </c>
      <c r="G78" s="62" t="s">
        <v>406</v>
      </c>
      <c r="H78" s="60" t="str">
        <f>IF(Proc[[#This Row],[type]]="LFF (MDG-F)",MID(Proc[[#This Row],[Obj]],13,10),"")</f>
        <v>DE10533103</v>
      </c>
      <c r="I78" s="62" t="s">
        <v>1640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509</v>
      </c>
      <c r="M78" s="71">
        <v>45671.398553240739</v>
      </c>
      <c r="N78" s="71">
        <v>45688</v>
      </c>
      <c r="O78" s="71">
        <v>45688</v>
      </c>
      <c r="P78" s="64" t="str">
        <f ca="1">IF(Proc[[#This Row],[DaysAgeing]]&gt;5,"yep","on track")</f>
        <v>yep</v>
      </c>
      <c r="Q78" s="3">
        <f ca="1">IF(Proc[[#This Row],[DateClosed]]="",ABS(NETWORKDAYS(Proc[[#This Row],[DateOpened]],TODAY()))-1,ABS(NETWORKDAYS(Proc[[#This Row],[DateOpened]],Proc[[#This Row],[DateClosed]]))-1)</f>
        <v>13</v>
      </c>
      <c r="R78" s="64" t="s">
        <v>549</v>
      </c>
      <c r="S78" s="60"/>
    </row>
    <row r="79" spans="1:19" hidden="1">
      <c r="A79" s="62" t="s">
        <v>1547</v>
      </c>
      <c r="B79" s="149" t="str">
        <f>IFERROR(VLOOKUP(Proc[[#This Row],[App]],Table2[],3,0),"open")</f>
        <v>ok</v>
      </c>
      <c r="C79" s="62" t="s">
        <v>369</v>
      </c>
      <c r="D79" t="s">
        <v>1539</v>
      </c>
      <c r="E79" t="s">
        <v>631</v>
      </c>
      <c r="F79" s="117" t="s">
        <v>631</v>
      </c>
      <c r="G79" s="62" t="s">
        <v>406</v>
      </c>
      <c r="H79" s="60" t="str">
        <f>IF(Proc[[#This Row],[type]]="LFF (MDG-F)",MID(Proc[[#This Row],[Obj]],13,10),"")</f>
        <v>DE10533104</v>
      </c>
      <c r="I79" s="62" t="s">
        <v>1640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509</v>
      </c>
      <c r="M79" s="71">
        <v>45671.398553240739</v>
      </c>
      <c r="N79" s="71">
        <v>45688</v>
      </c>
      <c r="O79" s="71">
        <v>45688</v>
      </c>
      <c r="P79" s="64" t="str">
        <f ca="1">IF(Proc[[#This Row],[DaysAgeing]]&gt;5,"yep","on track")</f>
        <v>yep</v>
      </c>
      <c r="Q79" s="3">
        <f ca="1">IF(Proc[[#This Row],[DateClosed]]="",ABS(NETWORKDAYS(Proc[[#This Row],[DateOpened]],TODAY()))-1,ABS(NETWORKDAYS(Proc[[#This Row],[DateOpened]],Proc[[#This Row],[DateClosed]]))-1)</f>
        <v>13</v>
      </c>
      <c r="R79" s="64" t="s">
        <v>549</v>
      </c>
      <c r="S79" s="60"/>
    </row>
    <row r="80" spans="1:19" hidden="1">
      <c r="A80" s="62" t="s">
        <v>1547</v>
      </c>
      <c r="B80" s="149" t="str">
        <f>IFERROR(VLOOKUP(Proc[[#This Row],[App]],Table2[],3,0),"open")</f>
        <v>ok</v>
      </c>
      <c r="C80" s="62" t="s">
        <v>369</v>
      </c>
      <c r="D80" t="s">
        <v>1540</v>
      </c>
      <c r="E80" t="s">
        <v>631</v>
      </c>
      <c r="F80" s="117" t="s">
        <v>631</v>
      </c>
      <c r="G80" s="62" t="s">
        <v>406</v>
      </c>
      <c r="H80" s="60" t="str">
        <f>IF(Proc[[#This Row],[type]]="LFF (MDG-F)",MID(Proc[[#This Row],[Obj]],13,10),"")</f>
        <v>DE10533105</v>
      </c>
      <c r="I80" s="62" t="s">
        <v>1640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509</v>
      </c>
      <c r="M80" s="71">
        <v>45671.398553240739</v>
      </c>
      <c r="N80" s="71">
        <v>45688</v>
      </c>
      <c r="O80" s="71">
        <v>45688</v>
      </c>
      <c r="P80" s="64" t="str">
        <f ca="1">IF(Proc[[#This Row],[DaysAgeing]]&gt;5,"yep","on track")</f>
        <v>yep</v>
      </c>
      <c r="Q80" s="3">
        <f ca="1">IF(Proc[[#This Row],[DateClosed]]="",ABS(NETWORKDAYS(Proc[[#This Row],[DateOpened]],TODAY()))-1,ABS(NETWORKDAYS(Proc[[#This Row],[DateOpened]],Proc[[#This Row],[DateClosed]]))-1)</f>
        <v>13</v>
      </c>
      <c r="R80" s="64" t="s">
        <v>549</v>
      </c>
      <c r="S80" s="60"/>
    </row>
    <row r="81" spans="1:19" hidden="1">
      <c r="A81" s="62" t="s">
        <v>1547</v>
      </c>
      <c r="B81" s="149" t="str">
        <f>IFERROR(VLOOKUP(Proc[[#This Row],[App]],Table2[],3,0),"open")</f>
        <v>ok</v>
      </c>
      <c r="C81" s="62" t="s">
        <v>369</v>
      </c>
      <c r="D81" t="s">
        <v>1541</v>
      </c>
      <c r="E81" t="s">
        <v>631</v>
      </c>
      <c r="F81" s="117" t="s">
        <v>631</v>
      </c>
      <c r="G81" s="62" t="s">
        <v>406</v>
      </c>
      <c r="H81" s="60" t="str">
        <f>IF(Proc[[#This Row],[type]]="LFF (MDG-F)",MID(Proc[[#This Row],[Obj]],13,10),"")</f>
        <v>DE10533106</v>
      </c>
      <c r="I81" s="62" t="s">
        <v>1640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509</v>
      </c>
      <c r="M81" s="71">
        <v>45671.398553240739</v>
      </c>
      <c r="N81" s="71">
        <v>45688</v>
      </c>
      <c r="O81" s="71">
        <v>45688</v>
      </c>
      <c r="P81" s="64" t="str">
        <f ca="1">IF(Proc[[#This Row],[DaysAgeing]]&gt;5,"yep","on track")</f>
        <v>yep</v>
      </c>
      <c r="Q81" s="3">
        <f ca="1">IF(Proc[[#This Row],[DateClosed]]="",ABS(NETWORKDAYS(Proc[[#This Row],[DateOpened]],TODAY()))-1,ABS(NETWORKDAYS(Proc[[#This Row],[DateOpened]],Proc[[#This Row],[DateClosed]]))-1)</f>
        <v>13</v>
      </c>
      <c r="R81" s="64" t="s">
        <v>549</v>
      </c>
      <c r="S81" s="60"/>
    </row>
    <row r="82" spans="1:19" hidden="1">
      <c r="A82" s="62" t="s">
        <v>1547</v>
      </c>
      <c r="B82" s="149" t="str">
        <f>IFERROR(VLOOKUP(Proc[[#This Row],[App]],Table2[],3,0),"open")</f>
        <v>ok</v>
      </c>
      <c r="C82" s="62" t="s">
        <v>377</v>
      </c>
      <c r="D82" t="s">
        <v>455</v>
      </c>
      <c r="E82" t="s">
        <v>631</v>
      </c>
      <c r="F82" s="103" t="s">
        <v>631</v>
      </c>
      <c r="G82" s="62" t="s">
        <v>406</v>
      </c>
      <c r="H82" s="60" t="str">
        <f>IF(Proc[[#This Row],[type]]="LFF (MDG-F)",MID(Proc[[#This Row],[Obj]],13,10),"")</f>
        <v>DE10533107</v>
      </c>
      <c r="I82" s="62" t="s">
        <v>446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509</v>
      </c>
      <c r="M82" s="71">
        <v>45671.398553240739</v>
      </c>
      <c r="O82" s="71">
        <v>45688</v>
      </c>
      <c r="P82" s="64" t="str">
        <f ca="1">IF(Proc[[#This Row],[DaysAgeing]]&gt;5,"yep","on track")</f>
        <v>yep</v>
      </c>
      <c r="Q82" s="3">
        <f ca="1">IF(Proc[[#This Row],[DateClosed]]="",ABS(NETWORKDAYS(Proc[[#This Row],[DateOpened]],TODAY()))-1,ABS(NETWORKDAYS(Proc[[#This Row],[DateOpened]],Proc[[#This Row],[DateClosed]]))-1)</f>
        <v>13</v>
      </c>
      <c r="R82" s="64" t="s">
        <v>549</v>
      </c>
      <c r="S82" s="94" t="e">
        <f>VLOOKUP(Proc[[#This Row],[Obj]],#REF!,2,0)</f>
        <v>#REF!</v>
      </c>
    </row>
    <row r="83" spans="1:19" hidden="1">
      <c r="A83" s="62" t="s">
        <v>1547</v>
      </c>
      <c r="B83" s="149" t="str">
        <f>IFERROR(VLOOKUP(Proc[[#This Row],[App]],Table2[],3,0),"open")</f>
        <v>ok</v>
      </c>
      <c r="C83" s="62" t="s">
        <v>369</v>
      </c>
      <c r="D83" t="s">
        <v>1542</v>
      </c>
      <c r="E83" t="s">
        <v>631</v>
      </c>
      <c r="F83" s="117" t="s">
        <v>631</v>
      </c>
      <c r="G83" s="62" t="s">
        <v>406</v>
      </c>
      <c r="H83" s="60" t="str">
        <f>IF(Proc[[#This Row],[type]]="LFF (MDG-F)",MID(Proc[[#This Row],[Obj]],13,10),"")</f>
        <v>DE10533108</v>
      </c>
      <c r="I83" s="62" t="s">
        <v>1640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509</v>
      </c>
      <c r="M83" s="71">
        <v>45671.398553240739</v>
      </c>
      <c r="N83" s="71">
        <v>45688</v>
      </c>
      <c r="O83" s="71">
        <v>45688</v>
      </c>
      <c r="P83" s="64" t="str">
        <f ca="1">IF(Proc[[#This Row],[DaysAgeing]]&gt;5,"yep","on track")</f>
        <v>yep</v>
      </c>
      <c r="Q83" s="3">
        <f ca="1">IF(Proc[[#This Row],[DateClosed]]="",ABS(NETWORKDAYS(Proc[[#This Row],[DateOpened]],TODAY()))-1,ABS(NETWORKDAYS(Proc[[#This Row],[DateOpened]],Proc[[#This Row],[DateClosed]]))-1)</f>
        <v>13</v>
      </c>
      <c r="R83" s="64" t="s">
        <v>549</v>
      </c>
      <c r="S83" s="60"/>
    </row>
    <row r="84" spans="1:19" hidden="1">
      <c r="A84" s="62" t="s">
        <v>1547</v>
      </c>
      <c r="B84" s="149" t="str">
        <f>IFERROR(VLOOKUP(Proc[[#This Row],[App]],Table2[],3,0),"open")</f>
        <v>ok</v>
      </c>
      <c r="C84" s="62" t="s">
        <v>377</v>
      </c>
      <c r="D84" t="s">
        <v>456</v>
      </c>
      <c r="E84" t="s">
        <v>631</v>
      </c>
      <c r="F84" s="103" t="s">
        <v>631</v>
      </c>
      <c r="G84" s="62" t="s">
        <v>406</v>
      </c>
      <c r="H84" s="60" t="str">
        <f>IF(Proc[[#This Row],[type]]="LFF (MDG-F)",MID(Proc[[#This Row],[Obj]],13,10),"")</f>
        <v>DE10533109</v>
      </c>
      <c r="I84" s="62" t="s">
        <v>446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509</v>
      </c>
      <c r="M84" s="71">
        <v>45671.398553240739</v>
      </c>
      <c r="O84" s="71">
        <v>45688</v>
      </c>
      <c r="P84" s="64" t="str">
        <f ca="1">IF(Proc[[#This Row],[DaysAgeing]]&gt;5,"yep","on track")</f>
        <v>yep</v>
      </c>
      <c r="Q84" s="3">
        <f ca="1">IF(Proc[[#This Row],[DateClosed]]="",ABS(NETWORKDAYS(Proc[[#This Row],[DateOpened]],TODAY()))-1,ABS(NETWORKDAYS(Proc[[#This Row],[DateOpened]],Proc[[#This Row],[DateClosed]]))-1)</f>
        <v>13</v>
      </c>
      <c r="R84" s="64" t="s">
        <v>549</v>
      </c>
      <c r="S84" s="94" t="e">
        <f>VLOOKUP(Proc[[#This Row],[Obj]],#REF!,2,0)</f>
        <v>#REF!</v>
      </c>
    </row>
    <row r="85" spans="1:19" hidden="1">
      <c r="A85" s="62" t="s">
        <v>1547</v>
      </c>
      <c r="B85" s="149" t="str">
        <f>IFERROR(VLOOKUP(Proc[[#This Row],[App]],Table2[],3,0),"open")</f>
        <v>ok</v>
      </c>
      <c r="C85" s="62" t="s">
        <v>369</v>
      </c>
      <c r="D85" t="s">
        <v>1543</v>
      </c>
      <c r="E85" t="s">
        <v>631</v>
      </c>
      <c r="F85" s="117" t="s">
        <v>631</v>
      </c>
      <c r="G85" s="62" t="s">
        <v>406</v>
      </c>
      <c r="H85" s="60" t="str">
        <f>IF(Proc[[#This Row],[type]]="LFF (MDG-F)",MID(Proc[[#This Row],[Obj]],13,10),"")</f>
        <v>DE10533110</v>
      </c>
      <c r="I85" s="62" t="s">
        <v>1640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509</v>
      </c>
      <c r="M85" s="71">
        <v>45671.398553240739</v>
      </c>
      <c r="N85" s="71">
        <v>45688</v>
      </c>
      <c r="O85" s="71">
        <v>45688</v>
      </c>
      <c r="P85" s="64" t="str">
        <f ca="1">IF(Proc[[#This Row],[DaysAgeing]]&gt;5,"yep","on track")</f>
        <v>yep</v>
      </c>
      <c r="Q85" s="3">
        <f ca="1">IF(Proc[[#This Row],[DateClosed]]="",ABS(NETWORKDAYS(Proc[[#This Row],[DateOpened]],TODAY()))-1,ABS(NETWORKDAYS(Proc[[#This Row],[DateOpened]],Proc[[#This Row],[DateClosed]]))-1)</f>
        <v>13</v>
      </c>
      <c r="R85" s="64" t="s">
        <v>549</v>
      </c>
      <c r="S85" s="60"/>
    </row>
    <row r="86" spans="1:19" hidden="1">
      <c r="A86" s="62" t="s">
        <v>1547</v>
      </c>
      <c r="B86" s="149" t="str">
        <f>IFERROR(VLOOKUP(Proc[[#This Row],[App]],Table2[],3,0),"open")</f>
        <v>ok</v>
      </c>
      <c r="C86" s="62" t="s">
        <v>369</v>
      </c>
      <c r="D86" t="s">
        <v>1544</v>
      </c>
      <c r="E86" t="s">
        <v>631</v>
      </c>
      <c r="F86" s="117" t="s">
        <v>631</v>
      </c>
      <c r="G86" s="62" t="s">
        <v>406</v>
      </c>
      <c r="H86" s="60" t="str">
        <f>IF(Proc[[#This Row],[type]]="LFF (MDG-F)",MID(Proc[[#This Row],[Obj]],13,10),"")</f>
        <v>DE10533111</v>
      </c>
      <c r="I86" s="62" t="s">
        <v>1640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509</v>
      </c>
      <c r="M86" s="71">
        <v>45671.398553240739</v>
      </c>
      <c r="N86" s="71">
        <v>45688</v>
      </c>
      <c r="O86" s="71">
        <v>45688</v>
      </c>
      <c r="P86" s="64" t="str">
        <f ca="1">IF(Proc[[#This Row],[DaysAgeing]]&gt;5,"yep","on track")</f>
        <v>yep</v>
      </c>
      <c r="Q86" s="3">
        <f ca="1">IF(Proc[[#This Row],[DateClosed]]="",ABS(NETWORKDAYS(Proc[[#This Row],[DateOpened]],TODAY()))-1,ABS(NETWORKDAYS(Proc[[#This Row],[DateOpened]],Proc[[#This Row],[DateClosed]]))-1)</f>
        <v>13</v>
      </c>
      <c r="R86" s="64" t="s">
        <v>549</v>
      </c>
      <c r="S86" s="60"/>
    </row>
    <row r="87" spans="1:19" hidden="1">
      <c r="A87" s="62" t="s">
        <v>1547</v>
      </c>
      <c r="B87" s="149" t="str">
        <f>IFERROR(VLOOKUP(Proc[[#This Row],[App]],Table2[],3,0),"open")</f>
        <v>ok</v>
      </c>
      <c r="C87" s="62" t="s">
        <v>369</v>
      </c>
      <c r="D87" t="s">
        <v>1545</v>
      </c>
      <c r="E87" t="s">
        <v>631</v>
      </c>
      <c r="F87" s="117" t="s">
        <v>631</v>
      </c>
      <c r="G87" s="62" t="s">
        <v>406</v>
      </c>
      <c r="H87" s="60" t="str">
        <f>IF(Proc[[#This Row],[type]]="LFF (MDG-F)",MID(Proc[[#This Row],[Obj]],13,10),"")</f>
        <v>DE10533112</v>
      </c>
      <c r="I87" s="62" t="s">
        <v>1640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509</v>
      </c>
      <c r="M87" s="71">
        <v>45671.398553240739</v>
      </c>
      <c r="N87" s="71">
        <v>45688</v>
      </c>
      <c r="O87" s="71">
        <v>45688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13</v>
      </c>
      <c r="R87" s="64" t="s">
        <v>549</v>
      </c>
      <c r="S87" s="60"/>
    </row>
    <row r="88" spans="1:19" hidden="1">
      <c r="A88" s="62" t="s">
        <v>1547</v>
      </c>
      <c r="B88" s="149" t="str">
        <f>IFERROR(VLOOKUP(Proc[[#This Row],[App]],Table2[],3,0),"open")</f>
        <v>ok</v>
      </c>
      <c r="C88" s="62" t="s">
        <v>377</v>
      </c>
      <c r="D88" t="s">
        <v>1546</v>
      </c>
      <c r="E88" t="s">
        <v>631</v>
      </c>
      <c r="F88" s="103" t="s">
        <v>631</v>
      </c>
      <c r="G88" s="62" t="s">
        <v>406</v>
      </c>
      <c r="H88" s="60" t="str">
        <f>IF(Proc[[#This Row],[type]]="LFF (MDG-F)",MID(Proc[[#This Row],[Obj]],13,10),"")</f>
        <v>DE10533113</v>
      </c>
      <c r="I88" s="62" t="s">
        <v>446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509</v>
      </c>
      <c r="M88" s="71">
        <v>45671.398553240739</v>
      </c>
      <c r="O88" s="71">
        <v>45688</v>
      </c>
      <c r="P88" s="64" t="str">
        <f ca="1">IF(Proc[[#This Row],[DaysAgeing]]&gt;5,"yep","on track")</f>
        <v>yep</v>
      </c>
      <c r="Q88" s="3">
        <f ca="1">IF(Proc[[#This Row],[DateClosed]]="",ABS(NETWORKDAYS(Proc[[#This Row],[DateOpened]],TODAY()))-1,ABS(NETWORKDAYS(Proc[[#This Row],[DateOpened]],Proc[[#This Row],[DateClosed]]))-1)</f>
        <v>13</v>
      </c>
      <c r="R88" s="64" t="s">
        <v>549</v>
      </c>
      <c r="S88" s="94" t="e">
        <f>VLOOKUP(Proc[[#This Row],[Obj]],#REF!,2,0)</f>
        <v>#REF!</v>
      </c>
    </row>
    <row r="89" spans="1:19" hidden="1">
      <c r="A89" t="s">
        <v>1558</v>
      </c>
      <c r="B89" s="149" t="str">
        <f>IFERROR(VLOOKUP(Proc[[#This Row],[App]],Table2[],3,0),"open")</f>
        <v>ok</v>
      </c>
      <c r="C89" t="s">
        <v>369</v>
      </c>
      <c r="D89" t="s">
        <v>1548</v>
      </c>
      <c r="E89" t="s">
        <v>419</v>
      </c>
      <c r="F89" s="117" t="s">
        <v>419</v>
      </c>
      <c r="G89" t="s">
        <v>400</v>
      </c>
      <c r="H89" s="60" t="str">
        <f>IF(Proc[[#This Row],[type]]="LFF (MDG-F)",MID(Proc[[#This Row],[Obj]],13,10),"")</f>
        <v/>
      </c>
      <c r="I89" s="62" t="s">
        <v>1639</v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MGF</v>
      </c>
      <c r="L89" s="60" t="s">
        <v>509</v>
      </c>
      <c r="M89" s="71">
        <v>45672.564884259256</v>
      </c>
      <c r="N89" s="71">
        <v>45688</v>
      </c>
      <c r="O89" s="71">
        <v>45688</v>
      </c>
      <c r="P89" s="64" t="str">
        <f ca="1">IF(Proc[[#This Row],[DaysAgeing]]&gt;5,"yep","on track")</f>
        <v>yep</v>
      </c>
      <c r="Q89" s="3">
        <f ca="1">IF(Proc[[#This Row],[DateClosed]]="",ABS(NETWORKDAYS(Proc[[#This Row],[DateOpened]],TODAY()))-1,ABS(NETWORKDAYS(Proc[[#This Row],[DateOpened]],Proc[[#This Row],[DateClosed]]))-1)</f>
        <v>12</v>
      </c>
      <c r="R89" s="64" t="s">
        <v>1076</v>
      </c>
      <c r="S89" s="60"/>
    </row>
    <row r="90" spans="1:19" hidden="1">
      <c r="A90" s="62" t="s">
        <v>1558</v>
      </c>
      <c r="B90" s="149" t="str">
        <f>IFERROR(VLOOKUP(Proc[[#This Row],[App]],Table2[],3,0),"open")</f>
        <v>ok</v>
      </c>
      <c r="C90" s="62" t="s">
        <v>369</v>
      </c>
      <c r="D90" t="s">
        <v>1549</v>
      </c>
      <c r="E90" t="s">
        <v>419</v>
      </c>
      <c r="F90" s="117" t="s">
        <v>419</v>
      </c>
      <c r="G90" s="62" t="s">
        <v>400</v>
      </c>
      <c r="H90" s="60" t="str">
        <f>IF(Proc[[#This Row],[type]]="LFF (MDG-F)",MID(Proc[[#This Row],[Obj]],13,10),"")</f>
        <v/>
      </c>
      <c r="I90" s="62" t="s">
        <v>1639</v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MGF</v>
      </c>
      <c r="L90" s="60" t="s">
        <v>509</v>
      </c>
      <c r="M90" s="71">
        <v>45672.564884259256</v>
      </c>
      <c r="N90" s="71">
        <v>45688</v>
      </c>
      <c r="O90" s="71">
        <v>45688</v>
      </c>
      <c r="P90" s="64" t="str">
        <f ca="1">IF(Proc[[#This Row],[DaysAgeing]]&gt;5,"yep","on track")</f>
        <v>yep</v>
      </c>
      <c r="Q90" s="3">
        <f ca="1">IF(Proc[[#This Row],[DateClosed]]="",ABS(NETWORKDAYS(Proc[[#This Row],[DateOpened]],TODAY()))-1,ABS(NETWORKDAYS(Proc[[#This Row],[DateOpened]],Proc[[#This Row],[DateClosed]]))-1)</f>
        <v>12</v>
      </c>
      <c r="R90" s="64" t="s">
        <v>1076</v>
      </c>
      <c r="S90" s="60"/>
    </row>
    <row r="91" spans="1:19" hidden="1">
      <c r="A91" s="62" t="s">
        <v>1558</v>
      </c>
      <c r="B91" s="149" t="str">
        <f>IFERROR(VLOOKUP(Proc[[#This Row],[App]],Table2[],3,0),"open")</f>
        <v>ok</v>
      </c>
      <c r="C91" s="62" t="s">
        <v>369</v>
      </c>
      <c r="D91" t="s">
        <v>1550</v>
      </c>
      <c r="E91" t="s">
        <v>418</v>
      </c>
      <c r="F91" s="117" t="s">
        <v>418</v>
      </c>
      <c r="G91" s="62" t="s">
        <v>400</v>
      </c>
      <c r="H91" s="60" t="str">
        <f>IF(Proc[[#This Row],[type]]="LFF (MDG-F)",MID(Proc[[#This Row],[Obj]],13,10),"")</f>
        <v/>
      </c>
      <c r="I91" s="62" t="s">
        <v>1639</v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MGF</v>
      </c>
      <c r="L91" s="60" t="s">
        <v>509</v>
      </c>
      <c r="M91" s="71">
        <v>45672.564884259256</v>
      </c>
      <c r="N91" s="71">
        <v>45688</v>
      </c>
      <c r="O91" s="71">
        <v>45688</v>
      </c>
      <c r="P91" s="64" t="str">
        <f ca="1">IF(Proc[[#This Row],[DaysAgeing]]&gt;5,"yep","on track")</f>
        <v>yep</v>
      </c>
      <c r="Q91" s="3">
        <f ca="1">IF(Proc[[#This Row],[DateClosed]]="",ABS(NETWORKDAYS(Proc[[#This Row],[DateOpened]],TODAY()))-1,ABS(NETWORKDAYS(Proc[[#This Row],[DateOpened]],Proc[[#This Row],[DateClosed]]))-1)</f>
        <v>12</v>
      </c>
      <c r="R91" s="64" t="s">
        <v>1076</v>
      </c>
      <c r="S91" s="60"/>
    </row>
    <row r="92" spans="1:19" hidden="1">
      <c r="A92" s="62" t="s">
        <v>1558</v>
      </c>
      <c r="B92" s="149" t="str">
        <f>IFERROR(VLOOKUP(Proc[[#This Row],[App]],Table2[],3,0),"open")</f>
        <v>ok</v>
      </c>
      <c r="C92" s="62" t="s">
        <v>369</v>
      </c>
      <c r="D92" t="s">
        <v>1551</v>
      </c>
      <c r="E92" t="s">
        <v>756</v>
      </c>
      <c r="F92" s="117" t="s">
        <v>756</v>
      </c>
      <c r="G92" s="62" t="s">
        <v>400</v>
      </c>
      <c r="H92" s="60" t="str">
        <f>IF(Proc[[#This Row],[type]]="LFF (MDG-F)",MID(Proc[[#This Row],[Obj]],13,10),"")</f>
        <v/>
      </c>
      <c r="I92" s="62" t="s">
        <v>1639</v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MGF</v>
      </c>
      <c r="L92" s="60" t="s">
        <v>509</v>
      </c>
      <c r="M92" s="71">
        <v>45672.564884259256</v>
      </c>
      <c r="N92" s="71">
        <v>45688</v>
      </c>
      <c r="O92" s="71">
        <v>45688</v>
      </c>
      <c r="P92" s="64" t="str">
        <f ca="1">IF(Proc[[#This Row],[DaysAgeing]]&gt;5,"yep","on track")</f>
        <v>yep</v>
      </c>
      <c r="Q92" s="3">
        <f ca="1">IF(Proc[[#This Row],[DateClosed]]="",ABS(NETWORKDAYS(Proc[[#This Row],[DateOpened]],TODAY()))-1,ABS(NETWORKDAYS(Proc[[#This Row],[DateOpened]],Proc[[#This Row],[DateClosed]]))-1)</f>
        <v>12</v>
      </c>
      <c r="R92" s="64" t="s">
        <v>1076</v>
      </c>
      <c r="S92" s="60"/>
    </row>
    <row r="93" spans="1:19" hidden="1">
      <c r="A93" s="62" t="s">
        <v>1558</v>
      </c>
      <c r="B93" s="149" t="str">
        <f>IFERROR(VLOOKUP(Proc[[#This Row],[App]],Table2[],3,0),"open")</f>
        <v>ok</v>
      </c>
      <c r="C93" s="62" t="s">
        <v>369</v>
      </c>
      <c r="D93" t="s">
        <v>1552</v>
      </c>
      <c r="E93" t="s">
        <v>419</v>
      </c>
      <c r="F93" s="117" t="s">
        <v>419</v>
      </c>
      <c r="G93" s="62" t="s">
        <v>400</v>
      </c>
      <c r="H93" s="60" t="str">
        <f>IF(Proc[[#This Row],[type]]="LFF (MDG-F)",MID(Proc[[#This Row],[Obj]],13,10),"")</f>
        <v/>
      </c>
      <c r="I93" t="s">
        <v>1638</v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MGF</v>
      </c>
      <c r="L93" s="60" t="s">
        <v>509</v>
      </c>
      <c r="M93" s="71">
        <v>45672.564884259256</v>
      </c>
      <c r="N93" s="71">
        <v>45688</v>
      </c>
      <c r="O93" s="71">
        <v>45688</v>
      </c>
      <c r="P93" s="64" t="str">
        <f ca="1">IF(Proc[[#This Row],[DaysAgeing]]&gt;5,"yep","on track")</f>
        <v>yep</v>
      </c>
      <c r="Q93" s="3">
        <f ca="1">IF(Proc[[#This Row],[DateClosed]]="",ABS(NETWORKDAYS(Proc[[#This Row],[DateOpened]],TODAY()))-1,ABS(NETWORKDAYS(Proc[[#This Row],[DateOpened]],Proc[[#This Row],[DateClosed]]))-1)</f>
        <v>12</v>
      </c>
      <c r="R93" s="64" t="s">
        <v>1076</v>
      </c>
      <c r="S93" s="60"/>
    </row>
    <row r="94" spans="1:19" hidden="1">
      <c r="A94" s="62" t="s">
        <v>1558</v>
      </c>
      <c r="B94" s="149" t="str">
        <f>IFERROR(VLOOKUP(Proc[[#This Row],[App]],Table2[],3,0),"open")</f>
        <v>ok</v>
      </c>
      <c r="C94" s="62" t="s">
        <v>369</v>
      </c>
      <c r="D94" t="s">
        <v>1553</v>
      </c>
      <c r="E94" t="s">
        <v>419</v>
      </c>
      <c r="F94" s="117" t="s">
        <v>419</v>
      </c>
      <c r="G94" s="62" t="s">
        <v>400</v>
      </c>
      <c r="H94" s="60" t="str">
        <f>IF(Proc[[#This Row],[type]]="LFF (MDG-F)",MID(Proc[[#This Row],[Obj]],13,10),"")</f>
        <v/>
      </c>
      <c r="I94" s="62" t="s">
        <v>1638</v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MGF</v>
      </c>
      <c r="L94" s="60" t="s">
        <v>509</v>
      </c>
      <c r="M94" s="71">
        <v>45672.564884259256</v>
      </c>
      <c r="N94" s="71">
        <v>45688</v>
      </c>
      <c r="O94" s="71">
        <v>45688</v>
      </c>
      <c r="P94" s="64" t="str">
        <f ca="1">IF(Proc[[#This Row],[DaysAgeing]]&gt;5,"yep","on track")</f>
        <v>yep</v>
      </c>
      <c r="Q94" s="3">
        <f ca="1">IF(Proc[[#This Row],[DateClosed]]="",ABS(NETWORKDAYS(Proc[[#This Row],[DateOpened]],TODAY()))-1,ABS(NETWORKDAYS(Proc[[#This Row],[DateOpened]],Proc[[#This Row],[DateClosed]]))-1)</f>
        <v>12</v>
      </c>
      <c r="R94" s="64" t="s">
        <v>1076</v>
      </c>
      <c r="S94" s="60"/>
    </row>
    <row r="95" spans="1:19" hidden="1">
      <c r="A95" s="62" t="s">
        <v>1558</v>
      </c>
      <c r="B95" s="149" t="str">
        <f>IFERROR(VLOOKUP(Proc[[#This Row],[App]],Table2[],3,0),"open")</f>
        <v>ok</v>
      </c>
      <c r="C95" s="62" t="s">
        <v>369</v>
      </c>
      <c r="D95" t="s">
        <v>1554</v>
      </c>
      <c r="E95" t="s">
        <v>418</v>
      </c>
      <c r="F95" s="117" t="s">
        <v>418</v>
      </c>
      <c r="G95" s="62" t="s">
        <v>400</v>
      </c>
      <c r="H95" s="60" t="str">
        <f>IF(Proc[[#This Row],[type]]="LFF (MDG-F)",MID(Proc[[#This Row],[Obj]],13,10),"")</f>
        <v/>
      </c>
      <c r="I95" s="62" t="s">
        <v>1638</v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MGF</v>
      </c>
      <c r="L95" s="60" t="s">
        <v>509</v>
      </c>
      <c r="M95" s="71">
        <v>45672.564884259256</v>
      </c>
      <c r="N95" s="71">
        <v>45688</v>
      </c>
      <c r="O95" s="71">
        <v>45688</v>
      </c>
      <c r="P95" s="64" t="str">
        <f ca="1">IF(Proc[[#This Row],[DaysAgeing]]&gt;5,"yep","on track")</f>
        <v>yep</v>
      </c>
      <c r="Q95" s="3">
        <f ca="1">IF(Proc[[#This Row],[DateClosed]]="",ABS(NETWORKDAYS(Proc[[#This Row],[DateOpened]],TODAY()))-1,ABS(NETWORKDAYS(Proc[[#This Row],[DateOpened]],Proc[[#This Row],[DateClosed]]))-1)</f>
        <v>12</v>
      </c>
      <c r="R95" s="64" t="s">
        <v>1076</v>
      </c>
      <c r="S95" s="60"/>
    </row>
    <row r="96" spans="1:19" hidden="1">
      <c r="A96" s="62" t="s">
        <v>1558</v>
      </c>
      <c r="B96" s="149" t="str">
        <f>IFERROR(VLOOKUP(Proc[[#This Row],[App]],Table2[],3,0),"open")</f>
        <v>ok</v>
      </c>
      <c r="C96" s="62" t="s">
        <v>369</v>
      </c>
      <c r="D96" t="s">
        <v>1555</v>
      </c>
      <c r="E96" t="s">
        <v>418</v>
      </c>
      <c r="F96" s="117" t="s">
        <v>418</v>
      </c>
      <c r="G96" s="62" t="s">
        <v>400</v>
      </c>
      <c r="H96" s="60" t="str">
        <f>IF(Proc[[#This Row],[type]]="LFF (MDG-F)",MID(Proc[[#This Row],[Obj]],13,10),"")</f>
        <v/>
      </c>
      <c r="I96" s="62" t="s">
        <v>1638</v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MGF</v>
      </c>
      <c r="L96" s="60" t="s">
        <v>509</v>
      </c>
      <c r="M96" s="71">
        <v>45672.564884259256</v>
      </c>
      <c r="N96" s="71">
        <v>45688</v>
      </c>
      <c r="O96" s="71">
        <v>45688</v>
      </c>
      <c r="P96" s="64" t="str">
        <f ca="1">IF(Proc[[#This Row],[DaysAgeing]]&gt;5,"yep","on track")</f>
        <v>yep</v>
      </c>
      <c r="Q96" s="3">
        <f ca="1">IF(Proc[[#This Row],[DateClosed]]="",ABS(NETWORKDAYS(Proc[[#This Row],[DateOpened]],TODAY()))-1,ABS(NETWORKDAYS(Proc[[#This Row],[DateOpened]],Proc[[#This Row],[DateClosed]]))-1)</f>
        <v>12</v>
      </c>
      <c r="R96" s="64" t="s">
        <v>1076</v>
      </c>
      <c r="S96" s="60"/>
    </row>
    <row r="97" spans="1:19" hidden="1">
      <c r="A97" s="62" t="s">
        <v>1558</v>
      </c>
      <c r="B97" s="149" t="str">
        <f>IFERROR(VLOOKUP(Proc[[#This Row],[App]],Table2[],3,0),"open")</f>
        <v>ok</v>
      </c>
      <c r="C97" s="62" t="s">
        <v>369</v>
      </c>
      <c r="D97" t="s">
        <v>1556</v>
      </c>
      <c r="E97" t="s">
        <v>418</v>
      </c>
      <c r="F97" s="117" t="s">
        <v>418</v>
      </c>
      <c r="G97" s="62" t="s">
        <v>400</v>
      </c>
      <c r="H97" s="60" t="str">
        <f>IF(Proc[[#This Row],[type]]="LFF (MDG-F)",MID(Proc[[#This Row],[Obj]],13,10),"")</f>
        <v/>
      </c>
      <c r="I97" s="62" t="s">
        <v>1639</v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MGF</v>
      </c>
      <c r="L97" s="60" t="s">
        <v>509</v>
      </c>
      <c r="M97" s="71">
        <v>45672.564884259256</v>
      </c>
      <c r="N97" s="71">
        <v>45688</v>
      </c>
      <c r="O97" s="71">
        <v>45688</v>
      </c>
      <c r="P97" s="64" t="str">
        <f ca="1">IF(Proc[[#This Row],[DaysAgeing]]&gt;5,"yep","on track")</f>
        <v>yep</v>
      </c>
      <c r="Q97" s="3">
        <f ca="1">IF(Proc[[#This Row],[DateClosed]]="",ABS(NETWORKDAYS(Proc[[#This Row],[DateOpened]],TODAY()))-1,ABS(NETWORKDAYS(Proc[[#This Row],[DateOpened]],Proc[[#This Row],[DateClosed]]))-1)</f>
        <v>12</v>
      </c>
      <c r="R97" s="64" t="s">
        <v>1076</v>
      </c>
      <c r="S97" s="60"/>
    </row>
    <row r="98" spans="1:19" hidden="1">
      <c r="A98" s="62" t="s">
        <v>1558</v>
      </c>
      <c r="B98" s="149" t="str">
        <f>IFERROR(VLOOKUP(Proc[[#This Row],[App]],Table2[],3,0),"open")</f>
        <v>ok</v>
      </c>
      <c r="C98" s="62" t="s">
        <v>369</v>
      </c>
      <c r="D98" t="s">
        <v>1557</v>
      </c>
      <c r="E98" t="s">
        <v>1018</v>
      </c>
      <c r="F98" s="117" t="s">
        <v>1018</v>
      </c>
      <c r="G98" s="62" t="s">
        <v>406</v>
      </c>
      <c r="H98" s="60" t="str">
        <f>IF(Proc[[#This Row],[type]]="LFF (MDG-F)",MID(Proc[[#This Row],[Obj]],13,10),"")</f>
        <v>TW03TNKA06</v>
      </c>
      <c r="I98" t="s">
        <v>1637</v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MGF</v>
      </c>
      <c r="L98" s="60" t="s">
        <v>509</v>
      </c>
      <c r="M98" s="71">
        <v>45672.564884259256</v>
      </c>
      <c r="N98" s="71">
        <v>45688</v>
      </c>
      <c r="O98" s="71">
        <v>45688</v>
      </c>
      <c r="P98" s="64" t="str">
        <f ca="1">IF(Proc[[#This Row],[DaysAgeing]]&gt;5,"yep","on track")</f>
        <v>yep</v>
      </c>
      <c r="Q98" s="3">
        <f ca="1">IF(Proc[[#This Row],[DateClosed]]="",ABS(NETWORKDAYS(Proc[[#This Row],[DateOpened]],TODAY()))-1,ABS(NETWORKDAYS(Proc[[#This Row],[DateOpened]],Proc[[#This Row],[DateClosed]]))-1)</f>
        <v>12</v>
      </c>
      <c r="R98" s="64" t="s">
        <v>1076</v>
      </c>
      <c r="S98" s="60"/>
    </row>
    <row r="99" spans="1:19" hidden="1">
      <c r="A99" t="s">
        <v>1563</v>
      </c>
      <c r="B99" s="149" t="str">
        <f>IFERROR(VLOOKUP(Proc[[#This Row],[App]],Table2[],3,0),"open")</f>
        <v>ok</v>
      </c>
      <c r="C99" s="62" t="s">
        <v>369</v>
      </c>
      <c r="D99" t="s">
        <v>1559</v>
      </c>
      <c r="E99" t="s">
        <v>565</v>
      </c>
      <c r="F99" s="117" t="s">
        <v>565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509</v>
      </c>
      <c r="M99" s="71">
        <v>45672.662546296298</v>
      </c>
      <c r="N99" s="71">
        <v>45674</v>
      </c>
      <c r="O99" s="71">
        <v>45674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2</v>
      </c>
      <c r="R99" s="64" t="s">
        <v>972</v>
      </c>
      <c r="S99" s="60"/>
    </row>
    <row r="100" spans="1:19" hidden="1">
      <c r="A100" s="62" t="s">
        <v>1563</v>
      </c>
      <c r="B100" s="149" t="str">
        <f>IFERROR(VLOOKUP(Proc[[#This Row],[App]],Table2[],3,0),"open")</f>
        <v>ok</v>
      </c>
      <c r="C100" s="62" t="s">
        <v>369</v>
      </c>
      <c r="D100" t="s">
        <v>1560</v>
      </c>
      <c r="E100" t="s">
        <v>503</v>
      </c>
      <c r="F100" s="117" t="s">
        <v>503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509</v>
      </c>
      <c r="M100" s="71">
        <v>45672.662546296298</v>
      </c>
      <c r="N100" s="71">
        <v>45674</v>
      </c>
      <c r="O100" s="71">
        <v>45674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2</v>
      </c>
      <c r="R100" s="64" t="s">
        <v>972</v>
      </c>
      <c r="S100" s="60"/>
    </row>
    <row r="101" spans="1:19" hidden="1">
      <c r="A101" s="62" t="s">
        <v>1563</v>
      </c>
      <c r="B101" s="149" t="str">
        <f>IFERROR(VLOOKUP(Proc[[#This Row],[App]],Table2[],3,0),"open")</f>
        <v>ok</v>
      </c>
      <c r="C101" s="62" t="s">
        <v>369</v>
      </c>
      <c r="D101" t="s">
        <v>1561</v>
      </c>
      <c r="E101" t="s">
        <v>503</v>
      </c>
      <c r="F101" s="117" t="s">
        <v>503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509</v>
      </c>
      <c r="M101" s="71">
        <v>45672.662546296298</v>
      </c>
      <c r="N101" s="71">
        <v>45674</v>
      </c>
      <c r="O101" s="71">
        <v>45674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2</v>
      </c>
      <c r="R101" s="64" t="s">
        <v>972</v>
      </c>
      <c r="S101" s="60"/>
    </row>
    <row r="102" spans="1:19" hidden="1">
      <c r="A102" s="62" t="s">
        <v>1563</v>
      </c>
      <c r="B102" s="149" t="str">
        <f>IFERROR(VLOOKUP(Proc[[#This Row],[App]],Table2[],3,0),"open")</f>
        <v>ok</v>
      </c>
      <c r="C102" s="62" t="s">
        <v>369</v>
      </c>
      <c r="D102" t="s">
        <v>1562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509</v>
      </c>
      <c r="M102" s="71">
        <v>45672.662546296298</v>
      </c>
      <c r="N102" s="71">
        <v>45674</v>
      </c>
      <c r="O102" s="71">
        <v>45674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2</v>
      </c>
      <c r="R102" s="64" t="s">
        <v>972</v>
      </c>
      <c r="S102" s="60"/>
    </row>
    <row r="103" spans="1:19" hidden="1">
      <c r="A103" t="s">
        <v>1565</v>
      </c>
      <c r="B103" s="149" t="str">
        <f>IFERROR(VLOOKUP(Proc[[#This Row],[App]],Table2[],3,0),"open")</f>
        <v>ok</v>
      </c>
      <c r="C103" s="62" t="s">
        <v>369</v>
      </c>
      <c r="D103" t="s">
        <v>1564</v>
      </c>
      <c r="E103" t="s">
        <v>426</v>
      </c>
      <c r="F103" s="117" t="s">
        <v>426</v>
      </c>
      <c r="G103" s="62" t="s">
        <v>406</v>
      </c>
      <c r="H103" s="60" t="str">
        <f>IF(Proc[[#This Row],[type]]="LFF (MDG-F)",MID(Proc[[#This Row],[Obj]],13,10),"")</f>
        <v>GB10C00701</v>
      </c>
      <c r="I103" t="s">
        <v>1637</v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MGF</v>
      </c>
      <c r="L103" s="60" t="s">
        <v>509</v>
      </c>
      <c r="M103" s="71">
        <v>45674.472696759258</v>
      </c>
      <c r="N103" s="71">
        <v>45688</v>
      </c>
      <c r="O103" s="71">
        <v>45688</v>
      </c>
      <c r="P103" s="64" t="str">
        <f ca="1">IF(Proc[[#This Row],[DaysAgeing]]&gt;5,"yep","on track")</f>
        <v>yep</v>
      </c>
      <c r="Q103" s="3">
        <f ca="1">IF(Proc[[#This Row],[DateClosed]]="",ABS(NETWORKDAYS(Proc[[#This Row],[DateOpened]],TODAY()))-1,ABS(NETWORKDAYS(Proc[[#This Row],[DateOpened]],Proc[[#This Row],[DateClosed]]))-1)</f>
        <v>10</v>
      </c>
      <c r="R103" s="64" t="s">
        <v>1076</v>
      </c>
      <c r="S103" s="60"/>
    </row>
    <row r="104" spans="1:19" hidden="1">
      <c r="A104" t="s">
        <v>1566</v>
      </c>
      <c r="B104" s="149" t="str">
        <f>IFERROR(VLOOKUP(Proc[[#This Row],[App]],Table2[],3,0),"open")</f>
        <v>ok</v>
      </c>
      <c r="C104" s="62" t="s">
        <v>369</v>
      </c>
      <c r="D104" t="s">
        <v>1567</v>
      </c>
      <c r="E104" t="s">
        <v>1573</v>
      </c>
      <c r="F104" s="117" t="s">
        <v>1573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509</v>
      </c>
      <c r="M104" s="71">
        <v>45674.56994212963</v>
      </c>
      <c r="N104" s="71">
        <v>45678</v>
      </c>
      <c r="O104" s="71">
        <v>45678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2</v>
      </c>
      <c r="R104" s="64" t="s">
        <v>972</v>
      </c>
      <c r="S104" s="60"/>
    </row>
    <row r="105" spans="1:19" hidden="1">
      <c r="A105" s="62" t="s">
        <v>1566</v>
      </c>
      <c r="B105" s="149" t="str">
        <f>IFERROR(VLOOKUP(Proc[[#This Row],[App]],Table2[],3,0),"open")</f>
        <v>ok</v>
      </c>
      <c r="C105" s="62" t="s">
        <v>369</v>
      </c>
      <c r="D105" t="s">
        <v>1568</v>
      </c>
      <c r="E105" t="s">
        <v>1573</v>
      </c>
      <c r="F105" s="117" t="s">
        <v>1573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509</v>
      </c>
      <c r="M105" s="71">
        <v>45674.56994212963</v>
      </c>
      <c r="N105" s="71">
        <v>45678</v>
      </c>
      <c r="O105" s="71">
        <v>45678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2</v>
      </c>
      <c r="R105" s="64" t="s">
        <v>972</v>
      </c>
      <c r="S105" s="60"/>
    </row>
    <row r="106" spans="1:19" hidden="1">
      <c r="A106" s="62" t="s">
        <v>1566</v>
      </c>
      <c r="B106" s="149" t="str">
        <f>IFERROR(VLOOKUP(Proc[[#This Row],[App]],Table2[],3,0),"open")</f>
        <v>ok</v>
      </c>
      <c r="C106" s="62" t="s">
        <v>369</v>
      </c>
      <c r="D106" t="s">
        <v>1569</v>
      </c>
      <c r="E106" t="s">
        <v>1573</v>
      </c>
      <c r="F106" s="117" t="s">
        <v>1573</v>
      </c>
      <c r="G106" s="62" t="s">
        <v>400</v>
      </c>
      <c r="H106" s="60" t="str">
        <f>IF(Proc[[#This Row],[type]]="LFF (MDG-F)",MID(Proc[[#This Row],[Obj]],13,10),"")</f>
        <v/>
      </c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509</v>
      </c>
      <c r="M106" s="71">
        <v>45674.56994212963</v>
      </c>
      <c r="N106" s="71">
        <v>45678</v>
      </c>
      <c r="O106" s="71">
        <v>45678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2</v>
      </c>
      <c r="R106" s="64" t="s">
        <v>972</v>
      </c>
      <c r="S106" s="60"/>
    </row>
    <row r="107" spans="1:19" hidden="1">
      <c r="A107" s="62" t="s">
        <v>1566</v>
      </c>
      <c r="B107" s="149" t="str">
        <f>IFERROR(VLOOKUP(Proc[[#This Row],[App]],Table2[],3,0),"open")</f>
        <v>ok</v>
      </c>
      <c r="C107" s="62" t="s">
        <v>369</v>
      </c>
      <c r="D107" t="s">
        <v>1570</v>
      </c>
      <c r="E107" t="s">
        <v>1574</v>
      </c>
      <c r="F107" s="117" t="s">
        <v>1574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509</v>
      </c>
      <c r="M107" s="71">
        <v>45674.56994212963</v>
      </c>
      <c r="N107" s="71">
        <v>45678</v>
      </c>
      <c r="O107" s="71">
        <v>45678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2</v>
      </c>
      <c r="R107" s="64" t="s">
        <v>972</v>
      </c>
      <c r="S107" s="60"/>
    </row>
    <row r="108" spans="1:19" hidden="1">
      <c r="A108" s="62" t="s">
        <v>1566</v>
      </c>
      <c r="B108" s="149" t="str">
        <f>IFERROR(VLOOKUP(Proc[[#This Row],[App]],Table2[],3,0),"open")</f>
        <v>ok</v>
      </c>
      <c r="C108" s="62" t="s">
        <v>369</v>
      </c>
      <c r="D108" t="s">
        <v>1571</v>
      </c>
      <c r="E108" t="s">
        <v>1575</v>
      </c>
      <c r="F108" s="117" t="s">
        <v>1575</v>
      </c>
      <c r="G108" s="62" t="s">
        <v>400</v>
      </c>
      <c r="H108" s="60" t="str">
        <f>IF(Proc[[#This Row],[type]]="LFF (MDG-F)",MID(Proc[[#This Row],[Obj]],13,10),"")</f>
        <v/>
      </c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509</v>
      </c>
      <c r="M108" s="71">
        <v>45674.56994212963</v>
      </c>
      <c r="N108" s="71">
        <v>45678</v>
      </c>
      <c r="O108" s="71">
        <v>45678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2</v>
      </c>
      <c r="R108" s="64" t="s">
        <v>972</v>
      </c>
      <c r="S108" s="60"/>
    </row>
    <row r="109" spans="1:19" hidden="1">
      <c r="A109" s="62" t="s">
        <v>1566</v>
      </c>
      <c r="B109" s="149" t="str">
        <f>IFERROR(VLOOKUP(Proc[[#This Row],[App]],Table2[],3,0),"open")</f>
        <v>ok</v>
      </c>
      <c r="C109" s="62" t="s">
        <v>369</v>
      </c>
      <c r="D109" t="s">
        <v>1572</v>
      </c>
      <c r="E109" t="s">
        <v>479</v>
      </c>
      <c r="F109" s="117" t="s">
        <v>479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509</v>
      </c>
      <c r="M109" s="71">
        <v>45674.56994212963</v>
      </c>
      <c r="N109" s="71">
        <v>45678</v>
      </c>
      <c r="O109" s="71">
        <v>45678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2</v>
      </c>
      <c r="R109" s="64" t="s">
        <v>972</v>
      </c>
      <c r="S109" s="60"/>
    </row>
    <row r="110" spans="1:19" hidden="1">
      <c r="A110" t="s">
        <v>1583</v>
      </c>
      <c r="B110" s="149" t="str">
        <f>IFERROR(VLOOKUP(Proc[[#This Row],[App]],Table2[],3,0),"open")</f>
        <v>ok</v>
      </c>
      <c r="C110" t="s">
        <v>369</v>
      </c>
      <c r="D110" t="s">
        <v>1576</v>
      </c>
      <c r="E110" t="s">
        <v>1179</v>
      </c>
      <c r="F110" s="117" t="s">
        <v>1179</v>
      </c>
      <c r="G110" t="s">
        <v>406</v>
      </c>
      <c r="H110" s="60" t="str">
        <f>IF(Proc[[#This Row],[type]]="LFF (MDG-F)",MID(Proc[[#This Row],[Obj]],13,10),"")</f>
        <v>2102TCBZ30</v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509</v>
      </c>
      <c r="M110" s="71">
        <v>45677.44258101852</v>
      </c>
      <c r="N110" s="71">
        <v>45680</v>
      </c>
      <c r="O110" s="71">
        <v>45680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1583</v>
      </c>
      <c r="B111" s="149" t="str">
        <f>IFERROR(VLOOKUP(Proc[[#This Row],[App]],Table2[],3,0),"open")</f>
        <v>ok</v>
      </c>
      <c r="C111" s="62" t="s">
        <v>369</v>
      </c>
      <c r="D111" t="s">
        <v>1577</v>
      </c>
      <c r="E111" t="s">
        <v>1179</v>
      </c>
      <c r="F111" s="117" t="s">
        <v>1179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509</v>
      </c>
      <c r="M111" s="71">
        <v>45677.44258101852</v>
      </c>
      <c r="N111" s="71">
        <v>45680</v>
      </c>
      <c r="O111" s="71">
        <v>45680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1583</v>
      </c>
      <c r="B112" s="149" t="str">
        <f>IFERROR(VLOOKUP(Proc[[#This Row],[App]],Table2[],3,0),"open")</f>
        <v>ok</v>
      </c>
      <c r="C112" s="62" t="s">
        <v>369</v>
      </c>
      <c r="D112" t="s">
        <v>1578</v>
      </c>
      <c r="E112" t="s">
        <v>854</v>
      </c>
      <c r="F112" s="117" t="s">
        <v>854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509</v>
      </c>
      <c r="M112" s="71">
        <v>45677.44258101852</v>
      </c>
      <c r="N112" s="71">
        <v>45680</v>
      </c>
      <c r="O112" s="71">
        <v>45680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1583</v>
      </c>
      <c r="B113" s="149" t="str">
        <f>IFERROR(VLOOKUP(Proc[[#This Row],[App]],Table2[],3,0),"open")</f>
        <v>ok</v>
      </c>
      <c r="C113" s="62" t="s">
        <v>369</v>
      </c>
      <c r="D113" t="s">
        <v>1579</v>
      </c>
      <c r="E113" t="s">
        <v>526</v>
      </c>
      <c r="F113" s="117" t="s">
        <v>526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509</v>
      </c>
      <c r="M113" s="71">
        <v>45677.44258101852</v>
      </c>
      <c r="N113" s="71">
        <v>45680</v>
      </c>
      <c r="O113" s="71">
        <v>45680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1583</v>
      </c>
      <c r="B114" s="149" t="str">
        <f>IFERROR(VLOOKUP(Proc[[#This Row],[App]],Table2[],3,0),"open")</f>
        <v>ok</v>
      </c>
      <c r="C114" s="62" t="s">
        <v>369</v>
      </c>
      <c r="D114" t="s">
        <v>1580</v>
      </c>
      <c r="E114" t="s">
        <v>546</v>
      </c>
      <c r="F114" s="117" t="s">
        <v>546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509</v>
      </c>
      <c r="M114" s="71">
        <v>45677.44258101852</v>
      </c>
      <c r="N114" s="71">
        <v>45680</v>
      </c>
      <c r="O114" s="71">
        <v>45680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1583</v>
      </c>
      <c r="B115" s="149" t="str">
        <f>IFERROR(VLOOKUP(Proc[[#This Row],[App]],Table2[],3,0),"open")</f>
        <v>ok</v>
      </c>
      <c r="C115" s="62" t="s">
        <v>369</v>
      </c>
      <c r="D115" t="s">
        <v>1581</v>
      </c>
      <c r="E115" t="s">
        <v>977</v>
      </c>
      <c r="F115" s="117" t="s">
        <v>977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509</v>
      </c>
      <c r="M115" s="71">
        <v>45677.44258101852</v>
      </c>
      <c r="N115" s="71">
        <v>45680</v>
      </c>
      <c r="O115" s="71">
        <v>45680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1583</v>
      </c>
      <c r="B116" s="149" t="str">
        <f>IFERROR(VLOOKUP(Proc[[#This Row],[App]],Table2[],3,0),"open")</f>
        <v>ok</v>
      </c>
      <c r="C116" s="62" t="s">
        <v>369</v>
      </c>
      <c r="D116" t="s">
        <v>1582</v>
      </c>
      <c r="E116" t="s">
        <v>546</v>
      </c>
      <c r="F116" s="117" t="s">
        <v>546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509</v>
      </c>
      <c r="M116" s="71">
        <v>45677.44258101852</v>
      </c>
      <c r="N116" s="71">
        <v>45680</v>
      </c>
      <c r="O116" s="71">
        <v>45680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t="s">
        <v>1587</v>
      </c>
      <c r="B117" s="149" t="str">
        <f>IFERROR(VLOOKUP(Proc[[#This Row],[App]],Table2[],3,0),"open")</f>
        <v>ok</v>
      </c>
      <c r="C117" t="s">
        <v>369</v>
      </c>
      <c r="D117" t="s">
        <v>1584</v>
      </c>
      <c r="E117" t="s">
        <v>1588</v>
      </c>
      <c r="F117" s="117" t="s">
        <v>1588</v>
      </c>
      <c r="G117" s="62" t="s">
        <v>406</v>
      </c>
      <c r="H117" s="60" t="str">
        <f>IF(Proc[[#This Row],[type]]="LFF (MDG-F)",MID(Proc[[#This Row],[Obj]],13,10),"")</f>
        <v>DE10558300</v>
      </c>
      <c r="I117" t="s">
        <v>1637</v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MGF</v>
      </c>
      <c r="L117" s="60" t="s">
        <v>509</v>
      </c>
      <c r="M117" s="71">
        <v>45677.556840277779</v>
      </c>
      <c r="N117" s="71">
        <v>45688</v>
      </c>
      <c r="O117" s="71">
        <v>45688</v>
      </c>
      <c r="P117" s="64" t="str">
        <f ca="1">IF(Proc[[#This Row],[DaysAgeing]]&gt;5,"yep","on track")</f>
        <v>yep</v>
      </c>
      <c r="Q117" s="3">
        <f ca="1">IF(Proc[[#This Row],[DateClosed]]="",ABS(NETWORKDAYS(Proc[[#This Row],[DateOpened]],TODAY()))-1,ABS(NETWORKDAYS(Proc[[#This Row],[DateOpened]],Proc[[#This Row],[DateClosed]]))-1)</f>
        <v>9</v>
      </c>
      <c r="R117" s="64" t="s">
        <v>452</v>
      </c>
      <c r="S117" s="60"/>
    </row>
    <row r="118" spans="1:19" hidden="1">
      <c r="A118" s="62" t="s">
        <v>1587</v>
      </c>
      <c r="B118" s="149" t="str">
        <f>IFERROR(VLOOKUP(Proc[[#This Row],[App]],Table2[],3,0),"open")</f>
        <v>ok</v>
      </c>
      <c r="C118" s="62" t="s">
        <v>369</v>
      </c>
      <c r="D118" t="s">
        <v>1585</v>
      </c>
      <c r="E118" t="s">
        <v>1589</v>
      </c>
      <c r="F118" s="117" t="s">
        <v>1589</v>
      </c>
      <c r="G118" s="62" t="s">
        <v>406</v>
      </c>
      <c r="H118" s="60" t="str">
        <f>IF(Proc[[#This Row],[type]]="LFF (MDG-F)",MID(Proc[[#This Row],[Obj]],13,10),"")</f>
        <v>DE10622200</v>
      </c>
      <c r="I118" t="s">
        <v>1637</v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MGF</v>
      </c>
      <c r="L118" s="60" t="s">
        <v>509</v>
      </c>
      <c r="M118" s="71">
        <v>45677.556840277779</v>
      </c>
      <c r="N118" s="71">
        <v>45688</v>
      </c>
      <c r="O118" s="71">
        <v>45688</v>
      </c>
      <c r="P118" s="64" t="str">
        <f ca="1">IF(Proc[[#This Row],[DaysAgeing]]&gt;5,"yep","on track")</f>
        <v>yep</v>
      </c>
      <c r="Q118" s="3">
        <f ca="1">IF(Proc[[#This Row],[DateClosed]]="",ABS(NETWORKDAYS(Proc[[#This Row],[DateOpened]],TODAY()))-1,ABS(NETWORKDAYS(Proc[[#This Row],[DateOpened]],Proc[[#This Row],[DateClosed]]))-1)</f>
        <v>9</v>
      </c>
      <c r="R118" s="64" t="s">
        <v>452</v>
      </c>
      <c r="S118" s="60"/>
    </row>
    <row r="119" spans="1:19" hidden="1">
      <c r="A119" s="62" t="s">
        <v>1587</v>
      </c>
      <c r="B119" s="149" t="str">
        <f>IFERROR(VLOOKUP(Proc[[#This Row],[App]],Table2[],3,0),"open")</f>
        <v>ok</v>
      </c>
      <c r="C119" s="62" t="s">
        <v>369</v>
      </c>
      <c r="D119" t="s">
        <v>1586</v>
      </c>
      <c r="E119" t="s">
        <v>1590</v>
      </c>
      <c r="F119" s="117" t="s">
        <v>1590</v>
      </c>
      <c r="G119" s="62" t="s">
        <v>406</v>
      </c>
      <c r="H119" s="60" t="str">
        <f>IF(Proc[[#This Row],[type]]="LFF (MDG-F)",MID(Proc[[#This Row],[Obj]],13,10),"")</f>
        <v>DE10623000</v>
      </c>
      <c r="I119" t="s">
        <v>1637</v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MGF</v>
      </c>
      <c r="L119" s="60" t="s">
        <v>509</v>
      </c>
      <c r="M119" s="71">
        <v>45677.556840277779</v>
      </c>
      <c r="N119" s="71">
        <v>45688</v>
      </c>
      <c r="O119" s="71">
        <v>45688</v>
      </c>
      <c r="P119" s="64" t="str">
        <f ca="1">IF(Proc[[#This Row],[DaysAgeing]]&gt;5,"yep","on track")</f>
        <v>yep</v>
      </c>
      <c r="Q119" s="3">
        <f ca="1">IF(Proc[[#This Row],[DateClosed]]="",ABS(NETWORKDAYS(Proc[[#This Row],[DateOpened]],TODAY()))-1,ABS(NETWORKDAYS(Proc[[#This Row],[DateOpened]],Proc[[#This Row],[DateClosed]]))-1)</f>
        <v>9</v>
      </c>
      <c r="R119" s="64" t="s">
        <v>452</v>
      </c>
      <c r="S119" s="60"/>
    </row>
    <row r="120" spans="1:19" hidden="1">
      <c r="A120" t="s">
        <v>1606</v>
      </c>
      <c r="B120" s="149" t="str">
        <f>IFERROR(VLOOKUP(Proc[[#This Row],[App]],Table2[],3,0),"open")</f>
        <v>ok</v>
      </c>
      <c r="C120" s="62" t="s">
        <v>369</v>
      </c>
      <c r="D120" t="s">
        <v>1607</v>
      </c>
      <c r="E120" t="s">
        <v>1144</v>
      </c>
      <c r="F120" s="117" t="s">
        <v>1144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509</v>
      </c>
      <c r="M120" s="71">
        <v>45678.433263888888</v>
      </c>
      <c r="N120" s="71">
        <v>45681</v>
      </c>
      <c r="O120" s="71">
        <v>45681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972</v>
      </c>
      <c r="S120" s="60"/>
    </row>
    <row r="121" spans="1:19" hidden="1">
      <c r="A121" s="62" t="s">
        <v>1606</v>
      </c>
      <c r="B121" s="149" t="str">
        <f>IFERROR(VLOOKUP(Proc[[#This Row],[App]],Table2[],3,0),"open")</f>
        <v>ok</v>
      </c>
      <c r="C121" s="62" t="s">
        <v>369</v>
      </c>
      <c r="D121" t="s">
        <v>1608</v>
      </c>
      <c r="E121" t="s">
        <v>1143</v>
      </c>
      <c r="F121" s="117" t="s">
        <v>1143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509</v>
      </c>
      <c r="M121" s="71">
        <v>45678.433263888888</v>
      </c>
      <c r="N121" s="71">
        <v>45681</v>
      </c>
      <c r="O121" s="71">
        <v>45681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972</v>
      </c>
      <c r="S121" s="60"/>
    </row>
    <row r="122" spans="1:19" hidden="1">
      <c r="A122" s="62" t="s">
        <v>1606</v>
      </c>
      <c r="B122" s="149" t="str">
        <f>IFERROR(VLOOKUP(Proc[[#This Row],[App]],Table2[],3,0),"open")</f>
        <v>ok</v>
      </c>
      <c r="C122" s="62" t="s">
        <v>369</v>
      </c>
      <c r="D122" t="s">
        <v>1609</v>
      </c>
      <c r="E122" t="s">
        <v>480</v>
      </c>
      <c r="F122" s="117" t="s">
        <v>480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509</v>
      </c>
      <c r="M122" s="71">
        <v>45678.433263888888</v>
      </c>
      <c r="N122" s="71">
        <v>45681</v>
      </c>
      <c r="O122" s="71">
        <v>45681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972</v>
      </c>
      <c r="S122" s="60"/>
    </row>
    <row r="123" spans="1:19" hidden="1">
      <c r="A123" s="62" t="s">
        <v>1606</v>
      </c>
      <c r="B123" s="149" t="str">
        <f>IFERROR(VLOOKUP(Proc[[#This Row],[App]],Table2[],3,0),"open")</f>
        <v>ok</v>
      </c>
      <c r="C123" s="62" t="s">
        <v>369</v>
      </c>
      <c r="D123" t="s">
        <v>1610</v>
      </c>
      <c r="E123" t="s">
        <v>622</v>
      </c>
      <c r="F123" s="117" t="s">
        <v>622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509</v>
      </c>
      <c r="M123" s="71">
        <v>45678.433263888888</v>
      </c>
      <c r="N123" s="71">
        <v>45681</v>
      </c>
      <c r="O123" s="71">
        <v>45681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972</v>
      </c>
      <c r="S123" s="60"/>
    </row>
    <row r="124" spans="1:19" hidden="1">
      <c r="A124" s="62" t="s">
        <v>1591</v>
      </c>
      <c r="B124" s="149" t="str">
        <f>IFERROR(VLOOKUP(Proc[[#This Row],[App]],Table2[],3,0),"open")</f>
        <v>ok</v>
      </c>
      <c r="C124" s="62" t="s">
        <v>369</v>
      </c>
      <c r="D124" t="s">
        <v>1592</v>
      </c>
      <c r="E124" t="s">
        <v>1604</v>
      </c>
      <c r="F124" s="117" t="s">
        <v>1604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EL</v>
      </c>
      <c r="L124" s="60" t="s">
        <v>509</v>
      </c>
      <c r="M124" s="71">
        <v>45679.497245370374</v>
      </c>
      <c r="N124" s="71">
        <v>45681</v>
      </c>
      <c r="O124" s="71">
        <v>45681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2</v>
      </c>
      <c r="R124" s="64" t="s">
        <v>1001</v>
      </c>
      <c r="S124" s="60"/>
    </row>
    <row r="125" spans="1:19" hidden="1">
      <c r="A125" s="62" t="s">
        <v>1591</v>
      </c>
      <c r="B125" s="149" t="str">
        <f>IFERROR(VLOOKUP(Proc[[#This Row],[App]],Table2[],3,0),"open")</f>
        <v>ok</v>
      </c>
      <c r="C125" s="62" t="s">
        <v>369</v>
      </c>
      <c r="D125" t="s">
        <v>1593</v>
      </c>
      <c r="E125" t="s">
        <v>1605</v>
      </c>
      <c r="F125" s="117" t="s">
        <v>1605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EL</v>
      </c>
      <c r="L125" s="60" t="s">
        <v>509</v>
      </c>
      <c r="M125" s="71">
        <v>45679.497245370374</v>
      </c>
      <c r="N125" s="71">
        <v>45681</v>
      </c>
      <c r="O125" s="71">
        <v>45681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2</v>
      </c>
      <c r="R125" s="64" t="s">
        <v>1001</v>
      </c>
      <c r="S125" s="60"/>
    </row>
    <row r="126" spans="1:19" hidden="1">
      <c r="A126" s="62" t="s">
        <v>1591</v>
      </c>
      <c r="B126" s="149" t="str">
        <f>IFERROR(VLOOKUP(Proc[[#This Row],[App]],Table2[],3,0),"open")</f>
        <v>ok</v>
      </c>
      <c r="C126" s="62" t="s">
        <v>369</v>
      </c>
      <c r="D126" t="s">
        <v>1594</v>
      </c>
      <c r="E126" t="s">
        <v>1213</v>
      </c>
      <c r="F126" s="117" t="s">
        <v>1213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EL</v>
      </c>
      <c r="L126" s="60" t="s">
        <v>509</v>
      </c>
      <c r="M126" s="71">
        <v>45679.497245370374</v>
      </c>
      <c r="N126" s="71">
        <v>45681</v>
      </c>
      <c r="O126" s="71">
        <v>45681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2</v>
      </c>
      <c r="R126" s="64" t="s">
        <v>1001</v>
      </c>
      <c r="S126" s="60"/>
    </row>
    <row r="127" spans="1:19" hidden="1">
      <c r="A127" s="62" t="s">
        <v>1591</v>
      </c>
      <c r="B127" s="149" t="str">
        <f>IFERROR(VLOOKUP(Proc[[#This Row],[App]],Table2[],3,0),"open")</f>
        <v>ok</v>
      </c>
      <c r="C127" s="62" t="s">
        <v>369</v>
      </c>
      <c r="D127" t="s">
        <v>1595</v>
      </c>
      <c r="E127" t="s">
        <v>1211</v>
      </c>
      <c r="F127" s="117" t="s">
        <v>1211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EL</v>
      </c>
      <c r="L127" s="60" t="s">
        <v>509</v>
      </c>
      <c r="M127" s="71">
        <v>45679.497245370374</v>
      </c>
      <c r="N127" s="71">
        <v>45681</v>
      </c>
      <c r="O127" s="71">
        <v>45681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2</v>
      </c>
      <c r="R127" s="64" t="s">
        <v>1001</v>
      </c>
      <c r="S127" s="60"/>
    </row>
    <row r="128" spans="1:19" hidden="1">
      <c r="A128" s="62" t="s">
        <v>1591</v>
      </c>
      <c r="B128" s="149" t="str">
        <f>IFERROR(VLOOKUP(Proc[[#This Row],[App]],Table2[],3,0),"open")</f>
        <v>ok</v>
      </c>
      <c r="C128" s="62" t="s">
        <v>369</v>
      </c>
      <c r="D128" t="s">
        <v>1596</v>
      </c>
      <c r="E128" t="s">
        <v>1212</v>
      </c>
      <c r="F128" s="117" t="s">
        <v>1212</v>
      </c>
      <c r="G128" s="62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EL</v>
      </c>
      <c r="L128" s="60" t="s">
        <v>509</v>
      </c>
      <c r="M128" s="71">
        <v>45679.497245370374</v>
      </c>
      <c r="N128" s="71">
        <v>45681</v>
      </c>
      <c r="O128" s="71">
        <v>45681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2</v>
      </c>
      <c r="R128" s="64" t="s">
        <v>1001</v>
      </c>
      <c r="S128" s="60"/>
    </row>
    <row r="129" spans="1:19" hidden="1">
      <c r="A129" s="62" t="s">
        <v>1591</v>
      </c>
      <c r="B129" s="149" t="str">
        <f>IFERROR(VLOOKUP(Proc[[#This Row],[App]],Table2[],3,0),"open")</f>
        <v>ok</v>
      </c>
      <c r="C129" s="62" t="s">
        <v>369</v>
      </c>
      <c r="D129" t="s">
        <v>1597</v>
      </c>
      <c r="E129" t="s">
        <v>1210</v>
      </c>
      <c r="F129" s="117" t="s">
        <v>1210</v>
      </c>
      <c r="G129" s="62" t="s">
        <v>400</v>
      </c>
      <c r="H129" s="60" t="str">
        <f>IF(Proc[[#This Row],[type]]="LFF (MDG-F)",MID(Proc[[#This Row],[Obj]],13,10),"")</f>
        <v/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EL</v>
      </c>
      <c r="L129" s="60" t="s">
        <v>509</v>
      </c>
      <c r="M129" s="71">
        <v>45679.497245370374</v>
      </c>
      <c r="N129" s="71">
        <v>45681</v>
      </c>
      <c r="O129" s="71">
        <v>45681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2</v>
      </c>
      <c r="R129" s="64" t="s">
        <v>1001</v>
      </c>
      <c r="S129" s="60"/>
    </row>
    <row r="130" spans="1:19" hidden="1">
      <c r="A130" s="62" t="s">
        <v>1591</v>
      </c>
      <c r="B130" s="149" t="str">
        <f>IFERROR(VLOOKUP(Proc[[#This Row],[App]],Table2[],3,0),"open")</f>
        <v>ok</v>
      </c>
      <c r="C130" s="62" t="s">
        <v>369</v>
      </c>
      <c r="D130" t="s">
        <v>1598</v>
      </c>
      <c r="E130" t="s">
        <v>1604</v>
      </c>
      <c r="F130" s="117" t="s">
        <v>1604</v>
      </c>
      <c r="G130" s="62" t="s">
        <v>400</v>
      </c>
      <c r="H130" s="60" t="str">
        <f>IF(Proc[[#This Row],[type]]="LFF (MDG-F)",MID(Proc[[#This Row],[Obj]],13,10),"")</f>
        <v/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EL</v>
      </c>
      <c r="L130" s="60" t="s">
        <v>509</v>
      </c>
      <c r="M130" s="71">
        <v>45679.497245370374</v>
      </c>
      <c r="N130" s="71">
        <v>45681</v>
      </c>
      <c r="O130" s="71">
        <v>45681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2</v>
      </c>
      <c r="R130" s="64" t="s">
        <v>1001</v>
      </c>
      <c r="S130" s="60"/>
    </row>
    <row r="131" spans="1:19" hidden="1">
      <c r="A131" s="62" t="s">
        <v>1591</v>
      </c>
      <c r="B131" s="149" t="str">
        <f>IFERROR(VLOOKUP(Proc[[#This Row],[App]],Table2[],3,0),"open")</f>
        <v>ok</v>
      </c>
      <c r="C131" s="62" t="s">
        <v>369</v>
      </c>
      <c r="D131" t="s">
        <v>1599</v>
      </c>
      <c r="E131" t="s">
        <v>1605</v>
      </c>
      <c r="F131" s="117" t="s">
        <v>1605</v>
      </c>
      <c r="G131" s="62" t="s">
        <v>400</v>
      </c>
      <c r="H131" s="60" t="str">
        <f>IF(Proc[[#This Row],[type]]="LFF (MDG-F)",MID(Proc[[#This Row],[Obj]],13,10),"")</f>
        <v/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EL</v>
      </c>
      <c r="L131" s="60" t="s">
        <v>509</v>
      </c>
      <c r="M131" s="71">
        <v>45679.497245370374</v>
      </c>
      <c r="N131" s="71">
        <v>45681</v>
      </c>
      <c r="O131" s="71">
        <v>45681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2</v>
      </c>
      <c r="R131" s="64" t="s">
        <v>1001</v>
      </c>
      <c r="S131" s="60"/>
    </row>
    <row r="132" spans="1:19" hidden="1">
      <c r="A132" t="s">
        <v>1591</v>
      </c>
      <c r="B132" s="149" t="str">
        <f>IFERROR(VLOOKUP(Proc[[#This Row],[App]],Table2[],3,0),"open")</f>
        <v>ok</v>
      </c>
      <c r="C132" s="62" t="s">
        <v>369</v>
      </c>
      <c r="D132" t="s">
        <v>1600</v>
      </c>
      <c r="E132" t="s">
        <v>1214</v>
      </c>
      <c r="F132" s="117" t="s">
        <v>1214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EL</v>
      </c>
      <c r="L132" s="60" t="s">
        <v>509</v>
      </c>
      <c r="M132" s="71">
        <v>45679.497245370374</v>
      </c>
      <c r="N132" s="71">
        <v>45681</v>
      </c>
      <c r="O132" s="71">
        <v>45681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2</v>
      </c>
      <c r="R132" s="64" t="s">
        <v>1001</v>
      </c>
      <c r="S132" s="60"/>
    </row>
    <row r="133" spans="1:19" hidden="1">
      <c r="A133" s="62" t="s">
        <v>1591</v>
      </c>
      <c r="B133" s="149" t="str">
        <f>IFERROR(VLOOKUP(Proc[[#This Row],[App]],Table2[],3,0),"open")</f>
        <v>ok</v>
      </c>
      <c r="C133" s="62" t="s">
        <v>369</v>
      </c>
      <c r="D133" t="s">
        <v>1601</v>
      </c>
      <c r="E133" t="s">
        <v>1214</v>
      </c>
      <c r="F133" s="117" t="s">
        <v>1214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EL</v>
      </c>
      <c r="L133" s="60" t="s">
        <v>509</v>
      </c>
      <c r="M133" s="71">
        <v>45679.497245370374</v>
      </c>
      <c r="N133" s="71">
        <v>45681</v>
      </c>
      <c r="O133" s="71">
        <v>45681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2</v>
      </c>
      <c r="R133" s="64" t="s">
        <v>1001</v>
      </c>
      <c r="S133" s="60"/>
    </row>
    <row r="134" spans="1:19" hidden="1">
      <c r="A134" s="62" t="s">
        <v>1591</v>
      </c>
      <c r="B134" s="149" t="str">
        <f>IFERROR(VLOOKUP(Proc[[#This Row],[App]],Table2[],3,0),"open")</f>
        <v>ok</v>
      </c>
      <c r="C134" s="62" t="s">
        <v>369</v>
      </c>
      <c r="D134" t="s">
        <v>1602</v>
      </c>
      <c r="E134" t="s">
        <v>1214</v>
      </c>
      <c r="F134" s="117" t="s">
        <v>1214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EL</v>
      </c>
      <c r="L134" s="60" t="s">
        <v>509</v>
      </c>
      <c r="M134" s="71">
        <v>45679.497245370374</v>
      </c>
      <c r="N134" s="71">
        <v>45681</v>
      </c>
      <c r="O134" s="71">
        <v>45681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2</v>
      </c>
      <c r="R134" s="64" t="s">
        <v>1001</v>
      </c>
      <c r="S134" s="60"/>
    </row>
    <row r="135" spans="1:19" hidden="1">
      <c r="A135" s="62" t="s">
        <v>1591</v>
      </c>
      <c r="B135" s="149" t="str">
        <f>IFERROR(VLOOKUP(Proc[[#This Row],[App]],Table2[],3,0),"open")</f>
        <v>ok</v>
      </c>
      <c r="C135" s="62" t="s">
        <v>369</v>
      </c>
      <c r="D135" t="s">
        <v>1603</v>
      </c>
      <c r="E135" t="s">
        <v>1214</v>
      </c>
      <c r="F135" s="117" t="s">
        <v>1214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EL</v>
      </c>
      <c r="L135" s="60" t="s">
        <v>509</v>
      </c>
      <c r="M135" s="71">
        <v>45679.497245370374</v>
      </c>
      <c r="N135" s="71">
        <v>45681</v>
      </c>
      <c r="O135" s="71">
        <v>45681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2</v>
      </c>
      <c r="R135" s="64" t="s">
        <v>1001</v>
      </c>
      <c r="S135" s="60"/>
    </row>
    <row r="136" spans="1:19" hidden="1">
      <c r="A136" t="s">
        <v>1614</v>
      </c>
      <c r="B136" s="149" t="str">
        <f>IFERROR(VLOOKUP(Proc[[#This Row],[App]],Table2[],3,0),"open")</f>
        <v>ok</v>
      </c>
      <c r="C136" t="s">
        <v>369</v>
      </c>
      <c r="D136" t="s">
        <v>1611</v>
      </c>
      <c r="E136" t="s">
        <v>1052</v>
      </c>
      <c r="F136" s="117" t="s">
        <v>1052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HC</v>
      </c>
      <c r="L136" s="60" t="s">
        <v>509</v>
      </c>
      <c r="M136" s="71">
        <v>45680.579351851855</v>
      </c>
      <c r="N136" s="71">
        <v>45681</v>
      </c>
      <c r="O136" s="71">
        <v>45681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1</v>
      </c>
      <c r="R136" s="64" t="s">
        <v>410</v>
      </c>
      <c r="S136" s="60"/>
    </row>
    <row r="137" spans="1:19" hidden="1">
      <c r="A137" s="62" t="s">
        <v>1614</v>
      </c>
      <c r="B137" s="149" t="str">
        <f>IFERROR(VLOOKUP(Proc[[#This Row],[App]],Table2[],3,0),"open")</f>
        <v>ok</v>
      </c>
      <c r="C137" s="62" t="s">
        <v>369</v>
      </c>
      <c r="D137" t="s">
        <v>1612</v>
      </c>
      <c r="E137" t="s">
        <v>1052</v>
      </c>
      <c r="F137" s="117" t="s">
        <v>1052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HC</v>
      </c>
      <c r="L137" s="60" t="s">
        <v>509</v>
      </c>
      <c r="M137" s="71">
        <v>45680.579351851855</v>
      </c>
      <c r="N137" s="71">
        <v>45681</v>
      </c>
      <c r="O137" s="71">
        <v>45681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1</v>
      </c>
      <c r="R137" s="64" t="s">
        <v>410</v>
      </c>
      <c r="S137" s="60"/>
    </row>
    <row r="138" spans="1:19" hidden="1">
      <c r="A138" s="62" t="s">
        <v>1614</v>
      </c>
      <c r="B138" s="149" t="str">
        <f>IFERROR(VLOOKUP(Proc[[#This Row],[App]],Table2[],3,0),"open")</f>
        <v>ok</v>
      </c>
      <c r="C138" s="62" t="s">
        <v>377</v>
      </c>
      <c r="D138" t="s">
        <v>1051</v>
      </c>
      <c r="E138" t="s">
        <v>1052</v>
      </c>
      <c r="F138" s="103" t="s">
        <v>1052</v>
      </c>
      <c r="G138" t="s">
        <v>406</v>
      </c>
      <c r="H138" s="60" t="str">
        <f>IF(Proc[[#This Row],[type]]="LFF (MDG-F)",MID(Proc[[#This Row],[Obj]],13,10),"")</f>
        <v>EG50C01152</v>
      </c>
      <c r="I138" t="s">
        <v>822</v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HC</v>
      </c>
      <c r="L138" s="60" t="s">
        <v>509</v>
      </c>
      <c r="M138" s="71">
        <v>45680.579351851855</v>
      </c>
      <c r="O138" s="71">
        <v>45681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1</v>
      </c>
      <c r="R138" s="64" t="s">
        <v>410</v>
      </c>
      <c r="S138" s="94" t="e">
        <f>VLOOKUP(Proc[[#This Row],[Obj]],#REF!,2,0)</f>
        <v>#REF!</v>
      </c>
    </row>
    <row r="139" spans="1:19" hidden="1">
      <c r="A139" s="62" t="s">
        <v>1614</v>
      </c>
      <c r="B139" s="149" t="str">
        <f>IFERROR(VLOOKUP(Proc[[#This Row],[App]],Table2[],3,0),"open")</f>
        <v>ok</v>
      </c>
      <c r="C139" s="62" t="s">
        <v>369</v>
      </c>
      <c r="D139" t="s">
        <v>1613</v>
      </c>
      <c r="E139" t="s">
        <v>1052</v>
      </c>
      <c r="F139" s="117" t="s">
        <v>1052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HC</v>
      </c>
      <c r="L139" s="60" t="s">
        <v>509</v>
      </c>
      <c r="M139" s="71">
        <v>45680.579351851855</v>
      </c>
      <c r="N139" s="71">
        <v>45681</v>
      </c>
      <c r="O139" s="71">
        <v>45681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1</v>
      </c>
      <c r="R139" s="64" t="s">
        <v>410</v>
      </c>
      <c r="S139" s="60"/>
    </row>
    <row r="140" spans="1:19" hidden="1">
      <c r="A140" t="s">
        <v>1615</v>
      </c>
      <c r="B140" s="149" t="str">
        <f>IFERROR(VLOOKUP(Proc[[#This Row],[App]],Table2[],3,0),"open")</f>
        <v>ok</v>
      </c>
      <c r="C140" s="62" t="s">
        <v>369</v>
      </c>
      <c r="D140" t="s">
        <v>1616</v>
      </c>
      <c r="E140" t="s">
        <v>1617</v>
      </c>
      <c r="F140" s="117" t="s">
        <v>1617</v>
      </c>
      <c r="G140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HC</v>
      </c>
      <c r="L140" s="60" t="s">
        <v>509</v>
      </c>
      <c r="M140" s="71">
        <v>45680.579351851855</v>
      </c>
      <c r="N140" s="71">
        <v>45681</v>
      </c>
      <c r="O140" s="71">
        <v>45681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1</v>
      </c>
      <c r="R140" s="64" t="s">
        <v>410</v>
      </c>
      <c r="S140" s="60"/>
    </row>
    <row r="141" spans="1:19" hidden="1">
      <c r="A141" t="s">
        <v>1626</v>
      </c>
      <c r="B141" s="149" t="str">
        <f>IFERROR(VLOOKUP(Proc[[#This Row],[App]],Table2[],3,0),"open")</f>
        <v>ok</v>
      </c>
      <c r="C141" t="s">
        <v>369</v>
      </c>
      <c r="D141" t="s">
        <v>1618</v>
      </c>
      <c r="E141" t="s">
        <v>473</v>
      </c>
      <c r="F141" s="117" t="s">
        <v>473</v>
      </c>
      <c r="G141" t="s">
        <v>400</v>
      </c>
      <c r="H141" s="60" t="str">
        <f>IF(Proc[[#This Row],[type]]="LFF (MDG-F)",MID(Proc[[#This Row],[Obj]],13,10),"")</f>
        <v/>
      </c>
      <c r="I141" t="s">
        <v>1637</v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MGF</v>
      </c>
      <c r="L141" s="60" t="s">
        <v>509</v>
      </c>
      <c r="M141" s="71">
        <v>45681.36482638889</v>
      </c>
      <c r="N141" s="71">
        <v>45688</v>
      </c>
      <c r="O141" s="71">
        <v>45688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515</v>
      </c>
      <c r="S141" s="60"/>
    </row>
    <row r="142" spans="1:19" hidden="1">
      <c r="A142" s="62" t="s">
        <v>1626</v>
      </c>
      <c r="B142" s="149" t="str">
        <f>IFERROR(VLOOKUP(Proc[[#This Row],[App]],Table2[],3,0),"open")</f>
        <v>ok</v>
      </c>
      <c r="C142" s="62" t="s">
        <v>369</v>
      </c>
      <c r="D142" t="s">
        <v>475</v>
      </c>
      <c r="E142" t="s">
        <v>474</v>
      </c>
      <c r="F142" s="117" t="s">
        <v>474</v>
      </c>
      <c r="G142" s="62" t="s">
        <v>400</v>
      </c>
      <c r="H142" s="60" t="str">
        <f>IF(Proc[[#This Row],[type]]="LFF (MDG-F)",MID(Proc[[#This Row],[Obj]],13,10),"")</f>
        <v/>
      </c>
      <c r="I142" s="62" t="s">
        <v>1637</v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MGF</v>
      </c>
      <c r="L142" s="60" t="s">
        <v>509</v>
      </c>
      <c r="M142" s="71">
        <v>45681.36482638889</v>
      </c>
      <c r="N142" s="71">
        <v>45688</v>
      </c>
      <c r="O142" s="71">
        <v>45688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515</v>
      </c>
      <c r="S142" s="60"/>
    </row>
    <row r="143" spans="1:19" hidden="1">
      <c r="A143" s="62" t="s">
        <v>1626</v>
      </c>
      <c r="B143" s="149" t="str">
        <f>IFERROR(VLOOKUP(Proc[[#This Row],[App]],Table2[],3,0),"open")</f>
        <v>ok</v>
      </c>
      <c r="C143" s="62" t="s">
        <v>369</v>
      </c>
      <c r="D143" t="s">
        <v>1619</v>
      </c>
      <c r="E143" t="s">
        <v>1221</v>
      </c>
      <c r="F143" s="117" t="s">
        <v>1221</v>
      </c>
      <c r="G143" s="62" t="s">
        <v>400</v>
      </c>
      <c r="H143" s="60" t="str">
        <f>IF(Proc[[#This Row],[type]]="LFF (MDG-F)",MID(Proc[[#This Row],[Obj]],13,10),"")</f>
        <v/>
      </c>
      <c r="I143" s="62" t="s">
        <v>1637</v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MGF</v>
      </c>
      <c r="L143" s="60" t="s">
        <v>509</v>
      </c>
      <c r="M143" s="71">
        <v>45681.36482638889</v>
      </c>
      <c r="N143" s="71">
        <v>45688</v>
      </c>
      <c r="O143" s="71">
        <v>45688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515</v>
      </c>
      <c r="S143" s="60"/>
    </row>
    <row r="144" spans="1:19" hidden="1">
      <c r="A144" s="62" t="s">
        <v>1626</v>
      </c>
      <c r="B144" s="149" t="str">
        <f>IFERROR(VLOOKUP(Proc[[#This Row],[App]],Table2[],3,0),"open")</f>
        <v>ok</v>
      </c>
      <c r="C144" s="62" t="s">
        <v>369</v>
      </c>
      <c r="D144" t="s">
        <v>1620</v>
      </c>
      <c r="E144" t="s">
        <v>1221</v>
      </c>
      <c r="F144" s="117" t="s">
        <v>1221</v>
      </c>
      <c r="G144" s="62" t="s">
        <v>400</v>
      </c>
      <c r="H144" s="60" t="str">
        <f>IF(Proc[[#This Row],[type]]="LFF (MDG-F)",MID(Proc[[#This Row],[Obj]],13,10),"")</f>
        <v/>
      </c>
      <c r="I144" s="62" t="s">
        <v>1637</v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MGF</v>
      </c>
      <c r="L144" s="60" t="s">
        <v>509</v>
      </c>
      <c r="M144" s="71">
        <v>45681.36482638889</v>
      </c>
      <c r="N144" s="71">
        <v>45688</v>
      </c>
      <c r="O144" s="71">
        <v>45688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515</v>
      </c>
      <c r="S144" s="60"/>
    </row>
    <row r="145" spans="1:19" hidden="1">
      <c r="A145" s="62" t="s">
        <v>1626</v>
      </c>
      <c r="B145" s="149" t="str">
        <f>IFERROR(VLOOKUP(Proc[[#This Row],[App]],Table2[],3,0),"open")</f>
        <v>ok</v>
      </c>
      <c r="C145" s="62" t="s">
        <v>369</v>
      </c>
      <c r="D145" t="s">
        <v>1621</v>
      </c>
      <c r="E145" t="s">
        <v>1221</v>
      </c>
      <c r="F145" s="117" t="s">
        <v>1221</v>
      </c>
      <c r="G145" s="62" t="s">
        <v>400</v>
      </c>
      <c r="H145" s="60" t="str">
        <f>IF(Proc[[#This Row],[type]]="LFF (MDG-F)",MID(Proc[[#This Row],[Obj]],13,10),"")</f>
        <v/>
      </c>
      <c r="I145" s="62" t="s">
        <v>1637</v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MGF</v>
      </c>
      <c r="L145" s="60" t="s">
        <v>509</v>
      </c>
      <c r="M145" s="71">
        <v>45681.36482638889</v>
      </c>
      <c r="N145" s="71">
        <v>45688</v>
      </c>
      <c r="O145" s="71">
        <v>45688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515</v>
      </c>
      <c r="S145" s="60"/>
    </row>
    <row r="146" spans="1:19" hidden="1">
      <c r="A146" s="62" t="s">
        <v>1626</v>
      </c>
      <c r="B146" s="149" t="str">
        <f>IFERROR(VLOOKUP(Proc[[#This Row],[App]],Table2[],3,0),"open")</f>
        <v>ok</v>
      </c>
      <c r="C146" s="62" t="s">
        <v>369</v>
      </c>
      <c r="D146" t="s">
        <v>1622</v>
      </c>
      <c r="E146" t="s">
        <v>1221</v>
      </c>
      <c r="F146" s="117" t="s">
        <v>1221</v>
      </c>
      <c r="G146" s="62" t="s">
        <v>400</v>
      </c>
      <c r="H146" s="60" t="str">
        <f>IF(Proc[[#This Row],[type]]="LFF (MDG-F)",MID(Proc[[#This Row],[Obj]],13,10),"")</f>
        <v/>
      </c>
      <c r="I146" s="62" t="s">
        <v>1637</v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MGF</v>
      </c>
      <c r="L146" s="60" t="s">
        <v>509</v>
      </c>
      <c r="M146" s="71">
        <v>45681.36482638889</v>
      </c>
      <c r="N146" s="71">
        <v>45688</v>
      </c>
      <c r="O146" s="71">
        <v>45688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515</v>
      </c>
      <c r="S146" s="60"/>
    </row>
    <row r="147" spans="1:19" hidden="1">
      <c r="A147" s="62" t="s">
        <v>1626</v>
      </c>
      <c r="B147" s="149" t="str">
        <f>IFERROR(VLOOKUP(Proc[[#This Row],[App]],Table2[],3,0),"open")</f>
        <v>ok</v>
      </c>
      <c r="C147" s="62" t="s">
        <v>369</v>
      </c>
      <c r="D147" t="s">
        <v>1623</v>
      </c>
      <c r="E147" t="s">
        <v>1221</v>
      </c>
      <c r="F147" s="117" t="s">
        <v>1221</v>
      </c>
      <c r="G147" s="62" t="s">
        <v>400</v>
      </c>
      <c r="H147" s="60" t="str">
        <f>IF(Proc[[#This Row],[type]]="LFF (MDG-F)",MID(Proc[[#This Row],[Obj]],13,10),"")</f>
        <v/>
      </c>
      <c r="I147" s="62" t="s">
        <v>1637</v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MGF</v>
      </c>
      <c r="L147" s="60" t="s">
        <v>509</v>
      </c>
      <c r="M147" s="71">
        <v>45681.36482638889</v>
      </c>
      <c r="N147" s="71">
        <v>45688</v>
      </c>
      <c r="O147" s="71">
        <v>45688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515</v>
      </c>
      <c r="S147" s="60"/>
    </row>
    <row r="148" spans="1:19" hidden="1">
      <c r="A148" s="62" t="s">
        <v>1626</v>
      </c>
      <c r="B148" s="149" t="str">
        <f>IFERROR(VLOOKUP(Proc[[#This Row],[App]],Table2[],3,0),"open")</f>
        <v>ok</v>
      </c>
      <c r="C148" s="62" t="s">
        <v>369</v>
      </c>
      <c r="D148" t="s">
        <v>1624</v>
      </c>
      <c r="E148" t="s">
        <v>2417</v>
      </c>
      <c r="F148" s="117" t="s">
        <v>2417</v>
      </c>
      <c r="G148" s="62" t="s">
        <v>400</v>
      </c>
      <c r="H148" s="60" t="str">
        <f>IF(Proc[[#This Row],[type]]="LFF (MDG-F)",MID(Proc[[#This Row],[Obj]],13,10),"")</f>
        <v/>
      </c>
      <c r="I148" s="62" t="s">
        <v>1637</v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MGF</v>
      </c>
      <c r="L148" s="60" t="s">
        <v>509</v>
      </c>
      <c r="M148" s="71">
        <v>45681.36482638889</v>
      </c>
      <c r="N148" s="71">
        <v>45688</v>
      </c>
      <c r="O148" s="71">
        <v>45688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515</v>
      </c>
      <c r="S148" s="60"/>
    </row>
    <row r="149" spans="1:19" hidden="1">
      <c r="A149" s="62" t="s">
        <v>1626</v>
      </c>
      <c r="B149" s="149" t="str">
        <f>IFERROR(VLOOKUP(Proc[[#This Row],[App]],Table2[],3,0),"open")</f>
        <v>ok</v>
      </c>
      <c r="C149" s="62" t="s">
        <v>369</v>
      </c>
      <c r="D149" t="s">
        <v>1625</v>
      </c>
      <c r="E149" t="s">
        <v>2046</v>
      </c>
      <c r="F149" s="117" t="s">
        <v>2046</v>
      </c>
      <c r="G149" s="62" t="s">
        <v>400</v>
      </c>
      <c r="H149" s="60" t="str">
        <f>IF(Proc[[#This Row],[type]]="LFF (MDG-F)",MID(Proc[[#This Row],[Obj]],13,10),"")</f>
        <v/>
      </c>
      <c r="I149" s="62" t="s">
        <v>1637</v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MGF</v>
      </c>
      <c r="L149" s="60" t="s">
        <v>509</v>
      </c>
      <c r="M149" s="71">
        <v>45681.36482638889</v>
      </c>
      <c r="N149" s="71">
        <v>45688</v>
      </c>
      <c r="O149" s="71">
        <v>45688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515</v>
      </c>
      <c r="S149" s="60"/>
    </row>
    <row r="150" spans="1:19" hidden="1">
      <c r="A150" t="s">
        <v>1627</v>
      </c>
      <c r="B150" s="149" t="str">
        <f>IFERROR(VLOOKUP(Proc[[#This Row],[App]],Table2[],3,0),"open")</f>
        <v>ok</v>
      </c>
      <c r="C150" s="63" t="s">
        <v>369</v>
      </c>
      <c r="D150" t="s">
        <v>1628</v>
      </c>
      <c r="E150" t="s">
        <v>1634</v>
      </c>
      <c r="F150" s="117" t="s">
        <v>1634</v>
      </c>
      <c r="G150" s="62" t="s">
        <v>406</v>
      </c>
      <c r="H150" s="60" t="str">
        <f>IF(Proc[[#This Row],[type]]="LFF (MDG-F)",MID(Proc[[#This Row],[Obj]],13,10),"")</f>
        <v>KR07DB3307</v>
      </c>
      <c r="I150" s="62" t="s">
        <v>1637</v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MGF</v>
      </c>
      <c r="L150" s="60" t="s">
        <v>509</v>
      </c>
      <c r="M150" s="71">
        <v>45681.527141203704</v>
      </c>
      <c r="P150" s="64" t="str">
        <f ca="1">IF(Proc[[#This Row],[DaysAgeing]]&gt;5,"yep","on track")</f>
        <v>yep</v>
      </c>
      <c r="Q150" s="3">
        <f ca="1">IF(Proc[[#This Row],[DateClosed]]="",ABS(NETWORKDAYS(Proc[[#This Row],[DateOpened]],TODAY()))-1,ABS(NETWORKDAYS(Proc[[#This Row],[DateOpened]],Proc[[#This Row],[DateClosed]]))-1)</f>
        <v>224</v>
      </c>
      <c r="R150" s="64" t="s">
        <v>1076</v>
      </c>
      <c r="S150" s="60"/>
    </row>
    <row r="151" spans="1:19" hidden="1">
      <c r="A151" s="62" t="s">
        <v>1627</v>
      </c>
      <c r="B151" s="149" t="str">
        <f>IFERROR(VLOOKUP(Proc[[#This Row],[App]],Table2[],3,0),"open")</f>
        <v>ok</v>
      </c>
      <c r="C151" s="63" t="s">
        <v>369</v>
      </c>
      <c r="D151" t="s">
        <v>1629</v>
      </c>
      <c r="E151" t="s">
        <v>946</v>
      </c>
      <c r="F151" s="117" t="s">
        <v>946</v>
      </c>
      <c r="G151" s="62" t="s">
        <v>406</v>
      </c>
      <c r="H151" s="60" t="str">
        <f>IF(Proc[[#This Row],[type]]="LFF (MDG-F)",MID(Proc[[#This Row],[Obj]],13,10),"")</f>
        <v>KR07DB3305</v>
      </c>
      <c r="I151" s="62" t="s">
        <v>1637</v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MGF</v>
      </c>
      <c r="L151" s="60" t="s">
        <v>509</v>
      </c>
      <c r="M151" s="71">
        <v>45681.527141203704</v>
      </c>
      <c r="P151" s="64" t="str">
        <f ca="1">IF(Proc[[#This Row],[DaysAgeing]]&gt;5,"yep","on track")</f>
        <v>yep</v>
      </c>
      <c r="Q151" s="3">
        <f ca="1">IF(Proc[[#This Row],[DateClosed]]="",ABS(NETWORKDAYS(Proc[[#This Row],[DateOpened]],TODAY()))-1,ABS(NETWORKDAYS(Proc[[#This Row],[DateOpened]],Proc[[#This Row],[DateClosed]]))-1)</f>
        <v>224</v>
      </c>
      <c r="R151" s="64" t="s">
        <v>1076</v>
      </c>
      <c r="S151" s="60"/>
    </row>
    <row r="152" spans="1:19" hidden="1">
      <c r="A152" s="62" t="s">
        <v>1627</v>
      </c>
      <c r="B152" s="149" t="str">
        <f>IFERROR(VLOOKUP(Proc[[#This Row],[App]],Table2[],3,0),"open")</f>
        <v>ok</v>
      </c>
      <c r="C152" s="63" t="s">
        <v>369</v>
      </c>
      <c r="D152" t="s">
        <v>1630</v>
      </c>
      <c r="E152" t="s">
        <v>1167</v>
      </c>
      <c r="F152" s="117" t="s">
        <v>1167</v>
      </c>
      <c r="G152" s="62" t="s">
        <v>406</v>
      </c>
      <c r="H152" s="60" t="str">
        <f>IF(Proc[[#This Row],[type]]="LFF (MDG-F)",MID(Proc[[#This Row],[Obj]],13,10),"")</f>
        <v>US10DB3015</v>
      </c>
      <c r="I152" s="62" t="s">
        <v>1637</v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MGF</v>
      </c>
      <c r="L152" s="60" t="s">
        <v>509</v>
      </c>
      <c r="M152" s="71">
        <v>45681.527141203704</v>
      </c>
      <c r="P152" s="64" t="str">
        <f ca="1">IF(Proc[[#This Row],[DaysAgeing]]&gt;5,"yep","on track")</f>
        <v>yep</v>
      </c>
      <c r="Q152" s="3">
        <f ca="1">IF(Proc[[#This Row],[DateClosed]]="",ABS(NETWORKDAYS(Proc[[#This Row],[DateOpened]],TODAY()))-1,ABS(NETWORKDAYS(Proc[[#This Row],[DateOpened]],Proc[[#This Row],[DateClosed]]))-1)</f>
        <v>224</v>
      </c>
      <c r="R152" s="64" t="s">
        <v>1076</v>
      </c>
      <c r="S152" s="60"/>
    </row>
    <row r="153" spans="1:19" hidden="1">
      <c r="A153" s="62" t="s">
        <v>1627</v>
      </c>
      <c r="B153" s="149" t="str">
        <f>IFERROR(VLOOKUP(Proc[[#This Row],[App]],Table2[],3,0),"open")</f>
        <v>ok</v>
      </c>
      <c r="C153" s="63" t="s">
        <v>369</v>
      </c>
      <c r="D153" t="s">
        <v>1631</v>
      </c>
      <c r="E153" t="s">
        <v>1167</v>
      </c>
      <c r="F153" s="117" t="s">
        <v>1167</v>
      </c>
      <c r="G153" s="62" t="s">
        <v>406</v>
      </c>
      <c r="H153" s="60" t="str">
        <f>IF(Proc[[#This Row],[type]]="LFF (MDG-F)",MID(Proc[[#This Row],[Obj]],13,10),"")</f>
        <v>US10DB3018</v>
      </c>
      <c r="I153" s="62" t="s">
        <v>1637</v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MGF</v>
      </c>
      <c r="L153" s="60" t="s">
        <v>509</v>
      </c>
      <c r="M153" s="71">
        <v>45681.527141203704</v>
      </c>
      <c r="P153" s="64" t="str">
        <f ca="1">IF(Proc[[#This Row],[DaysAgeing]]&gt;5,"yep","on track")</f>
        <v>yep</v>
      </c>
      <c r="Q153" s="3">
        <f ca="1">IF(Proc[[#This Row],[DateClosed]]="",ABS(NETWORKDAYS(Proc[[#This Row],[DateOpened]],TODAY()))-1,ABS(NETWORKDAYS(Proc[[#This Row],[DateOpened]],Proc[[#This Row],[DateClosed]]))-1)</f>
        <v>224</v>
      </c>
      <c r="R153" s="64" t="s">
        <v>1076</v>
      </c>
      <c r="S153" s="60"/>
    </row>
    <row r="154" spans="1:19" hidden="1">
      <c r="A154" s="62" t="s">
        <v>1627</v>
      </c>
      <c r="B154" s="149" t="str">
        <f>IFERROR(VLOOKUP(Proc[[#This Row],[App]],Table2[],3,0),"open")</f>
        <v>ok</v>
      </c>
      <c r="C154" s="63" t="s">
        <v>369</v>
      </c>
      <c r="D154" t="s">
        <v>1632</v>
      </c>
      <c r="E154" t="s">
        <v>1167</v>
      </c>
      <c r="F154" s="117" t="s">
        <v>1167</v>
      </c>
      <c r="G154" s="62" t="s">
        <v>406</v>
      </c>
      <c r="H154" s="60" t="str">
        <f>IF(Proc[[#This Row],[type]]="LFF (MDG-F)",MID(Proc[[#This Row],[Obj]],13,10),"")</f>
        <v>US10DB3019</v>
      </c>
      <c r="I154" s="62" t="s">
        <v>1637</v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MGF</v>
      </c>
      <c r="L154" s="60" t="s">
        <v>509</v>
      </c>
      <c r="M154" s="71">
        <v>45681.527141203704</v>
      </c>
      <c r="P154" s="64" t="str">
        <f ca="1">IF(Proc[[#This Row],[DaysAgeing]]&gt;5,"yep","on track")</f>
        <v>yep</v>
      </c>
      <c r="Q154" s="3">
        <f ca="1">IF(Proc[[#This Row],[DateClosed]]="",ABS(NETWORKDAYS(Proc[[#This Row],[DateOpened]],TODAY()))-1,ABS(NETWORKDAYS(Proc[[#This Row],[DateOpened]],Proc[[#This Row],[DateClosed]]))-1)</f>
        <v>224</v>
      </c>
      <c r="R154" s="64" t="s">
        <v>1076</v>
      </c>
      <c r="S154" s="60"/>
    </row>
    <row r="155" spans="1:19" hidden="1">
      <c r="A155" s="62" t="s">
        <v>1627</v>
      </c>
      <c r="B155" s="149" t="str">
        <f>IFERROR(VLOOKUP(Proc[[#This Row],[App]],Table2[],3,0),"open")</f>
        <v>ok</v>
      </c>
      <c r="C155" s="63" t="s">
        <v>369</v>
      </c>
      <c r="D155" t="s">
        <v>1633</v>
      </c>
      <c r="E155" t="s">
        <v>1635</v>
      </c>
      <c r="F155" s="117" t="s">
        <v>1635</v>
      </c>
      <c r="G155" s="62" t="s">
        <v>406</v>
      </c>
      <c r="H155" s="60" t="str">
        <f>IF(Proc[[#This Row],[type]]="LFF (MDG-F)",MID(Proc[[#This Row],[Obj]],13,10),"")</f>
        <v>US10DB3010</v>
      </c>
      <c r="I155" s="62" t="s">
        <v>1637</v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MGF</v>
      </c>
      <c r="L155" s="60" t="s">
        <v>509</v>
      </c>
      <c r="M155" s="71">
        <v>45681.527141203704</v>
      </c>
      <c r="P155" s="64" t="str">
        <f ca="1">IF(Proc[[#This Row],[DaysAgeing]]&gt;5,"yep","on track")</f>
        <v>yep</v>
      </c>
      <c r="Q155" s="3">
        <f ca="1">IF(Proc[[#This Row],[DateClosed]]="",ABS(NETWORKDAYS(Proc[[#This Row],[DateOpened]],TODAY()))-1,ABS(NETWORKDAYS(Proc[[#This Row],[DateOpened]],Proc[[#This Row],[DateClosed]]))-1)</f>
        <v>224</v>
      </c>
      <c r="R155" s="64" t="s">
        <v>1076</v>
      </c>
      <c r="S155" s="60"/>
    </row>
    <row r="156" spans="1:19" hidden="1">
      <c r="A156" s="62" t="s">
        <v>1627</v>
      </c>
      <c r="B156" s="149" t="str">
        <f>IFERROR(VLOOKUP(Proc[[#This Row],[App]],Table2[],3,0),"open")</f>
        <v>ok</v>
      </c>
      <c r="C156" s="63" t="s">
        <v>369</v>
      </c>
      <c r="D156" t="s">
        <v>754</v>
      </c>
      <c r="E156" t="s">
        <v>552</v>
      </c>
      <c r="F156" s="117" t="s">
        <v>552</v>
      </c>
      <c r="G156" s="62" t="s">
        <v>406</v>
      </c>
      <c r="H156" s="60" t="str">
        <f>IF(Proc[[#This Row],[type]]="LFF (MDG-F)",MID(Proc[[#This Row],[Obj]],13,10),"")</f>
        <v>KR16DB3301</v>
      </c>
      <c r="I156" s="62" t="s">
        <v>1637</v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MGF</v>
      </c>
      <c r="L156" s="60" t="s">
        <v>509</v>
      </c>
      <c r="M156" s="71">
        <v>45681.527141203704</v>
      </c>
      <c r="P156" s="64" t="str">
        <f ca="1">IF(Proc[[#This Row],[DaysAgeing]]&gt;5,"yep","on track")</f>
        <v>yep</v>
      </c>
      <c r="Q156" s="3">
        <f ca="1">IF(Proc[[#This Row],[DateClosed]]="",ABS(NETWORKDAYS(Proc[[#This Row],[DateOpened]],TODAY()))-1,ABS(NETWORKDAYS(Proc[[#This Row],[DateOpened]],Proc[[#This Row],[DateClosed]]))-1)</f>
        <v>224</v>
      </c>
      <c r="R156" s="64" t="s">
        <v>1076</v>
      </c>
      <c r="S156" s="60"/>
    </row>
    <row r="157" spans="1:19" hidden="1">
      <c r="A157" s="62" t="s">
        <v>1627</v>
      </c>
      <c r="B157" s="149" t="str">
        <f>IFERROR(VLOOKUP(Proc[[#This Row],[App]],Table2[],3,0),"open")</f>
        <v>ok</v>
      </c>
      <c r="C157" s="63" t="s">
        <v>369</v>
      </c>
      <c r="D157" t="s">
        <v>751</v>
      </c>
      <c r="E157" t="s">
        <v>1636</v>
      </c>
      <c r="F157" s="117" t="s">
        <v>1636</v>
      </c>
      <c r="G157" s="62" t="s">
        <v>406</v>
      </c>
      <c r="H157" s="60" t="str">
        <f>IF(Proc[[#This Row],[type]]="LFF (MDG-F)",MID(Proc[[#This Row],[Obj]],13,10),"")</f>
        <v>KR15DB3300</v>
      </c>
      <c r="I157" s="62" t="s">
        <v>1637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509</v>
      </c>
      <c r="M157" s="71">
        <v>45681.527141203704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224</v>
      </c>
      <c r="R157" s="64" t="s">
        <v>1076</v>
      </c>
      <c r="S157" s="60"/>
    </row>
    <row r="158" spans="1:19" hidden="1">
      <c r="A158" s="62" t="s">
        <v>1627</v>
      </c>
      <c r="B158" s="149" t="str">
        <f>IFERROR(VLOOKUP(Proc[[#This Row],[App]],Table2[],3,0),"open")</f>
        <v>ok</v>
      </c>
      <c r="C158" s="63" t="s">
        <v>369</v>
      </c>
      <c r="D158" t="s">
        <v>752</v>
      </c>
      <c r="E158" t="s">
        <v>1636</v>
      </c>
      <c r="F158" s="117" t="s">
        <v>1636</v>
      </c>
      <c r="G158" s="62" t="s">
        <v>406</v>
      </c>
      <c r="H158" s="60" t="str">
        <f>IF(Proc[[#This Row],[type]]="LFF (MDG-F)",MID(Proc[[#This Row],[Obj]],13,10),"")</f>
        <v>KR15DB3302</v>
      </c>
      <c r="I158" s="62" t="s">
        <v>1637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509</v>
      </c>
      <c r="M158" s="71">
        <v>45681.527141203704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224</v>
      </c>
      <c r="R158" s="64" t="s">
        <v>1076</v>
      </c>
      <c r="S158" s="60"/>
    </row>
    <row r="159" spans="1:19" hidden="1">
      <c r="A159" s="62" t="s">
        <v>1627</v>
      </c>
      <c r="B159" s="149" t="str">
        <f>IFERROR(VLOOKUP(Proc[[#This Row],[App]],Table2[],3,0),"open")</f>
        <v>ok</v>
      </c>
      <c r="C159" s="63" t="s">
        <v>369</v>
      </c>
      <c r="D159" t="s">
        <v>753</v>
      </c>
      <c r="E159" t="s">
        <v>1634</v>
      </c>
      <c r="F159" s="117" t="s">
        <v>1634</v>
      </c>
      <c r="G159" s="62" t="s">
        <v>406</v>
      </c>
      <c r="H159" s="60" t="str">
        <f>IF(Proc[[#This Row],[type]]="LFF (MDG-F)",MID(Proc[[#This Row],[Obj]],13,10),"")</f>
        <v>KR15DB3307</v>
      </c>
      <c r="I159" s="62" t="s">
        <v>1637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509</v>
      </c>
      <c r="M159" s="71">
        <v>45681.527141203704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224</v>
      </c>
      <c r="R159" s="64" t="s">
        <v>1076</v>
      </c>
      <c r="S159" s="60"/>
    </row>
    <row r="160" spans="1:19" hidden="1">
      <c r="A160" s="62" t="s">
        <v>1627</v>
      </c>
      <c r="B160" s="149" t="str">
        <f>IFERROR(VLOOKUP(Proc[[#This Row],[App]],Table2[],3,0),"open")</f>
        <v>ok</v>
      </c>
      <c r="C160" s="63" t="s">
        <v>369</v>
      </c>
      <c r="D160" t="s">
        <v>755</v>
      </c>
      <c r="E160" t="s">
        <v>1166</v>
      </c>
      <c r="F160" s="117" t="s">
        <v>1166</v>
      </c>
      <c r="G160" s="62" t="s">
        <v>406</v>
      </c>
      <c r="H160" s="60" t="str">
        <f>IF(Proc[[#This Row],[type]]="LFF (MDG-F)",MID(Proc[[#This Row],[Obj]],13,10),"")</f>
        <v>TW10DB3302</v>
      </c>
      <c r="I160" s="62" t="s">
        <v>1637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509</v>
      </c>
      <c r="M160" s="71">
        <v>45681.527141203704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224</v>
      </c>
      <c r="R160" s="64" t="s">
        <v>1076</v>
      </c>
      <c r="S160" s="60"/>
    </row>
    <row r="161" spans="1:19" hidden="1">
      <c r="A161" t="s">
        <v>1641</v>
      </c>
      <c r="B161" s="149" t="str">
        <f>IFERROR(VLOOKUP(Proc[[#This Row],[App]],Table2[],3,0),"open")</f>
        <v>ok</v>
      </c>
      <c r="C161" t="s">
        <v>369</v>
      </c>
      <c r="D161" t="s">
        <v>1642</v>
      </c>
      <c r="E161" t="s">
        <v>1643</v>
      </c>
      <c r="F161" s="117" t="s">
        <v>1643</v>
      </c>
      <c r="G161" t="s">
        <v>400</v>
      </c>
      <c r="H161" s="60" t="str">
        <f>IF(Proc[[#This Row],[type]]="LFF (MDG-F)",MID(Proc[[#This Row],[Obj]],13,10),"")</f>
        <v/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LS</v>
      </c>
      <c r="L161" s="60" t="s">
        <v>509</v>
      </c>
      <c r="M161" s="71">
        <v>45681.610185185185</v>
      </c>
      <c r="N161" s="71">
        <v>45688</v>
      </c>
      <c r="O161" s="71">
        <v>45688</v>
      </c>
      <c r="P161" s="67" t="str">
        <f ca="1">IF(Proc[[#This Row],[DaysAgeing]]&gt;5,"yep","on track")</f>
        <v>on track</v>
      </c>
      <c r="Q161" s="3">
        <f ca="1">IF(Proc[[#This Row],[DateClosed]]="",ABS(NETWORKDAYS(Proc[[#This Row],[DateOpened]],TODAY()))-1,ABS(NETWORKDAYS(Proc[[#This Row],[DateOpened]],Proc[[#This Row],[DateClosed]]))-1)</f>
        <v>5</v>
      </c>
      <c r="R161" s="67" t="s">
        <v>1262</v>
      </c>
      <c r="S161" s="60"/>
    </row>
    <row r="162" spans="1:19" hidden="1">
      <c r="A162" t="s">
        <v>1644</v>
      </c>
      <c r="B162" s="149" t="str">
        <f>IFERROR(VLOOKUP(Proc[[#This Row],[App]],Table2[],3,0),"open")</f>
        <v>ok</v>
      </c>
      <c r="C162" s="62" t="s">
        <v>369</v>
      </c>
      <c r="D162" t="s">
        <v>1645</v>
      </c>
      <c r="E162" t="s">
        <v>1234</v>
      </c>
      <c r="F162" s="117" t="s">
        <v>1234</v>
      </c>
      <c r="G162" s="62" t="s">
        <v>400</v>
      </c>
      <c r="H162" s="60" t="str">
        <f>IF(Proc[[#This Row],[type]]="LFF (MDG-F)",MID(Proc[[#This Row],[Obj]],13,10),"")</f>
        <v/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LS</v>
      </c>
      <c r="L162" s="60" t="s">
        <v>509</v>
      </c>
      <c r="M162" s="71">
        <v>45685.33834490741</v>
      </c>
      <c r="N162" s="71">
        <v>45688</v>
      </c>
      <c r="O162" s="71">
        <v>45688</v>
      </c>
      <c r="P162" s="67" t="str">
        <f ca="1">IF(Proc[[#This Row],[DaysAgeing]]&gt;5,"yep","on track")</f>
        <v>on track</v>
      </c>
      <c r="Q162" s="3">
        <f ca="1">IF(Proc[[#This Row],[DateClosed]]="",ABS(NETWORKDAYS(Proc[[#This Row],[DateOpened]],TODAY()))-1,ABS(NETWORKDAYS(Proc[[#This Row],[DateOpened]],Proc[[#This Row],[DateClosed]]))-1)</f>
        <v>3</v>
      </c>
      <c r="R162" s="67" t="s">
        <v>972</v>
      </c>
      <c r="S162" s="60"/>
    </row>
    <row r="163" spans="1:19" hidden="1">
      <c r="A163" s="62" t="s">
        <v>1644</v>
      </c>
      <c r="B163" s="149" t="str">
        <f>IFERROR(VLOOKUP(Proc[[#This Row],[App]],Table2[],3,0),"open")</f>
        <v>ok</v>
      </c>
      <c r="C163" s="62" t="s">
        <v>369</v>
      </c>
      <c r="D163" t="s">
        <v>1646</v>
      </c>
      <c r="E163" t="s">
        <v>1233</v>
      </c>
      <c r="F163" s="117" t="s">
        <v>1233</v>
      </c>
      <c r="G163" s="62" t="s">
        <v>400</v>
      </c>
      <c r="H163" s="60" t="str">
        <f>IF(Proc[[#This Row],[type]]="LFF (MDG-F)",MID(Proc[[#This Row],[Obj]],13,10),"")</f>
        <v/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LS</v>
      </c>
      <c r="L163" s="60" t="s">
        <v>509</v>
      </c>
      <c r="M163" s="71">
        <v>45685.33834490741</v>
      </c>
      <c r="N163" s="71">
        <v>45688</v>
      </c>
      <c r="O163" s="71">
        <v>45688</v>
      </c>
      <c r="P163" s="67" t="str">
        <f ca="1">IF(Proc[[#This Row],[DaysAgeing]]&gt;5,"yep","on track")</f>
        <v>on track</v>
      </c>
      <c r="Q163" s="3">
        <f ca="1">IF(Proc[[#This Row],[DateClosed]]="",ABS(NETWORKDAYS(Proc[[#This Row],[DateOpened]],TODAY()))-1,ABS(NETWORKDAYS(Proc[[#This Row],[DateOpened]],Proc[[#This Row],[DateClosed]]))-1)</f>
        <v>3</v>
      </c>
      <c r="R163" s="67" t="s">
        <v>972</v>
      </c>
      <c r="S163" s="60"/>
    </row>
    <row r="164" spans="1:19" hidden="1">
      <c r="A164" s="62" t="s">
        <v>1644</v>
      </c>
      <c r="B164" s="149" t="str">
        <f>IFERROR(VLOOKUP(Proc[[#This Row],[App]],Table2[],3,0),"open")</f>
        <v>ok</v>
      </c>
      <c r="C164" s="62" t="s">
        <v>369</v>
      </c>
      <c r="D164" t="s">
        <v>1647</v>
      </c>
      <c r="E164" t="s">
        <v>1650</v>
      </c>
      <c r="F164" s="117" t="s">
        <v>1650</v>
      </c>
      <c r="G164" s="62" t="s">
        <v>400</v>
      </c>
      <c r="H164" s="60" t="str">
        <f>IF(Proc[[#This Row],[type]]="LFF (MDG-F)",MID(Proc[[#This Row],[Obj]],13,10),"")</f>
        <v/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LS</v>
      </c>
      <c r="L164" s="60" t="s">
        <v>509</v>
      </c>
      <c r="M164" s="71">
        <v>45685.33834490741</v>
      </c>
      <c r="N164" s="71">
        <v>45688</v>
      </c>
      <c r="O164" s="71">
        <v>45688</v>
      </c>
      <c r="P164" s="67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3</v>
      </c>
      <c r="R164" s="67" t="s">
        <v>972</v>
      </c>
      <c r="S164" s="60"/>
    </row>
    <row r="165" spans="1:19" hidden="1">
      <c r="A165" s="62" t="s">
        <v>1644</v>
      </c>
      <c r="B165" s="149" t="str">
        <f>IFERROR(VLOOKUP(Proc[[#This Row],[App]],Table2[],3,0),"open")</f>
        <v>ok</v>
      </c>
      <c r="C165" s="62" t="s">
        <v>369</v>
      </c>
      <c r="D165" t="s">
        <v>1652</v>
      </c>
      <c r="E165" t="s">
        <v>499</v>
      </c>
      <c r="F165" s="117" t="s">
        <v>499</v>
      </c>
      <c r="G165" s="62" t="s">
        <v>400</v>
      </c>
      <c r="H165" s="60" t="str">
        <f>IF(Proc[[#This Row],[type]]="LFF (MDG-F)",MID(Proc[[#This Row],[Obj]],13,10),"")</f>
        <v/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LS</v>
      </c>
      <c r="L165" s="60" t="s">
        <v>509</v>
      </c>
      <c r="M165" s="71">
        <v>45685.33834490741</v>
      </c>
      <c r="N165" s="71">
        <v>45688</v>
      </c>
      <c r="O165" s="71">
        <v>45688</v>
      </c>
      <c r="P165" s="67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3</v>
      </c>
      <c r="R165" s="67" t="s">
        <v>972</v>
      </c>
      <c r="S165" s="60"/>
    </row>
    <row r="166" spans="1:19" hidden="1">
      <c r="A166" s="62" t="s">
        <v>1644</v>
      </c>
      <c r="B166" s="149" t="str">
        <f>IFERROR(VLOOKUP(Proc[[#This Row],[App]],Table2[],3,0),"open")</f>
        <v>ok</v>
      </c>
      <c r="C166" s="62" t="s">
        <v>369</v>
      </c>
      <c r="D166" t="s">
        <v>1648</v>
      </c>
      <c r="E166" t="s">
        <v>429</v>
      </c>
      <c r="F166" s="117" t="s">
        <v>429</v>
      </c>
      <c r="G166" s="62" t="s">
        <v>400</v>
      </c>
      <c r="H166" s="60" t="str">
        <f>IF(Proc[[#This Row],[type]]="LFF (MDG-F)",MID(Proc[[#This Row],[Obj]],13,10),"")</f>
        <v/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LS</v>
      </c>
      <c r="L166" s="60" t="s">
        <v>509</v>
      </c>
      <c r="M166" s="71">
        <v>45685.33834490741</v>
      </c>
      <c r="N166" s="71">
        <v>45688</v>
      </c>
      <c r="O166" s="71">
        <v>45688</v>
      </c>
      <c r="P166" s="67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3</v>
      </c>
      <c r="R166" s="67" t="s">
        <v>972</v>
      </c>
      <c r="S166" s="60"/>
    </row>
    <row r="167" spans="1:19" hidden="1">
      <c r="A167" s="62" t="s">
        <v>1644</v>
      </c>
      <c r="B167" s="149" t="str">
        <f>IFERROR(VLOOKUP(Proc[[#This Row],[App]],Table2[],3,0),"open")</f>
        <v>ok</v>
      </c>
      <c r="C167" s="62" t="s">
        <v>369</v>
      </c>
      <c r="D167" t="s">
        <v>1649</v>
      </c>
      <c r="E167" t="s">
        <v>1651</v>
      </c>
      <c r="F167" s="117" t="s">
        <v>1651</v>
      </c>
      <c r="G167" s="62" t="s">
        <v>400</v>
      </c>
      <c r="H167" s="60" t="str">
        <f>IF(Proc[[#This Row],[type]]="LFF (MDG-F)",MID(Proc[[#This Row],[Obj]],13,10),"")</f>
        <v/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LS</v>
      </c>
      <c r="L167" s="60" t="s">
        <v>509</v>
      </c>
      <c r="M167" s="71">
        <v>45685.33834490741</v>
      </c>
      <c r="N167" s="71">
        <v>45688</v>
      </c>
      <c r="O167" s="71">
        <v>45688</v>
      </c>
      <c r="P167" s="67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3</v>
      </c>
      <c r="R167" s="67" t="s">
        <v>972</v>
      </c>
      <c r="S167" s="60"/>
    </row>
    <row r="168" spans="1:19" hidden="1">
      <c r="A168" t="s">
        <v>1654</v>
      </c>
      <c r="B168" s="149" t="str">
        <f>IFERROR(VLOOKUP(Proc[[#This Row],[App]],Table2[],3,0),"open")</f>
        <v>ok</v>
      </c>
      <c r="C168" s="62" t="s">
        <v>369</v>
      </c>
      <c r="D168" t="s">
        <v>1653</v>
      </c>
      <c r="E168" t="s">
        <v>1034</v>
      </c>
      <c r="F168" s="117" t="s">
        <v>1034</v>
      </c>
      <c r="G168" s="62" t="s">
        <v>400</v>
      </c>
      <c r="H168" s="60" t="str">
        <f>IF(Proc[[#This Row],[type]]="LFF (MDG-F)",MID(Proc[[#This Row],[Obj]],13,10),"")</f>
        <v/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509</v>
      </c>
      <c r="M168" s="71">
        <v>45685.502604166664</v>
      </c>
      <c r="N168" s="71">
        <v>45688</v>
      </c>
      <c r="O168" s="71">
        <v>45688</v>
      </c>
      <c r="P168" s="67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3</v>
      </c>
      <c r="R168" s="67" t="s">
        <v>484</v>
      </c>
      <c r="S168" s="60"/>
    </row>
    <row r="169" spans="1:19" hidden="1">
      <c r="A169" t="s">
        <v>1665</v>
      </c>
      <c r="B169" s="149" t="str">
        <f>IFERROR(VLOOKUP(Proc[[#This Row],[App]],Table2[],3,0),"open")</f>
        <v>ok</v>
      </c>
      <c r="C169" s="63" t="s">
        <v>369</v>
      </c>
      <c r="D169" t="s">
        <v>1664</v>
      </c>
      <c r="E169" t="s">
        <v>1667</v>
      </c>
      <c r="F169" s="117" t="s">
        <v>1667</v>
      </c>
      <c r="G169" t="s">
        <v>406</v>
      </c>
      <c r="H169" s="60" t="str">
        <f>IF(Proc[[#This Row],[type]]="LFF (MDG-F)",MID(Proc[[#This Row],[Obj]],13,10),"")</f>
        <v>DE50TODA13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509</v>
      </c>
      <c r="M169" s="71">
        <v>45687.53292824074</v>
      </c>
      <c r="P169" s="67" t="str">
        <f ca="1">IF(Proc[[#This Row],[DaysAgeing]]&gt;5,"yep","on track")</f>
        <v>yep</v>
      </c>
      <c r="Q169" s="3">
        <f ca="1">IF(Proc[[#This Row],[DateClosed]]="",ABS(NETWORKDAYS(Proc[[#This Row],[DateOpened]],TODAY()))-1,ABS(NETWORKDAYS(Proc[[#This Row],[DateOpened]],Proc[[#This Row],[DateClosed]]))-1)</f>
        <v>220</v>
      </c>
      <c r="R169" s="64" t="s">
        <v>1666</v>
      </c>
      <c r="S169" s="60"/>
    </row>
    <row r="170" spans="1:19" hidden="1">
      <c r="A170" t="s">
        <v>1657</v>
      </c>
      <c r="B170" s="149" t="str">
        <f>IFERROR(VLOOKUP(Proc[[#This Row],[App]],Table2[],3,0),"open")</f>
        <v>ok</v>
      </c>
      <c r="C170" s="63" t="s">
        <v>369</v>
      </c>
      <c r="D170" t="s">
        <v>1663</v>
      </c>
      <c r="E170" t="s">
        <v>417</v>
      </c>
      <c r="F170" s="117" t="s">
        <v>417</v>
      </c>
      <c r="G170" s="62" t="s">
        <v>400</v>
      </c>
      <c r="H170" s="60" t="str">
        <f>IF(Proc[[#This Row],[type]]="LFF (MDG-F)",MID(Proc[[#This Row],[Obj]],13,10),"")</f>
        <v/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LS</v>
      </c>
      <c r="L170" s="60" t="s">
        <v>509</v>
      </c>
      <c r="M170" s="71">
        <v>45687.600775462961</v>
      </c>
      <c r="N170" s="71">
        <v>45691</v>
      </c>
      <c r="O170" s="71">
        <v>45691</v>
      </c>
      <c r="P170" s="67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2</v>
      </c>
      <c r="R170" s="67" t="s">
        <v>972</v>
      </c>
      <c r="S170" s="60"/>
    </row>
    <row r="171" spans="1:19" hidden="1">
      <c r="A171" s="62" t="s">
        <v>1657</v>
      </c>
      <c r="B171" s="149" t="str">
        <f>IFERROR(VLOOKUP(Proc[[#This Row],[App]],Table2[],3,0),"open")</f>
        <v>ok</v>
      </c>
      <c r="C171" s="63" t="s">
        <v>369</v>
      </c>
      <c r="D171" t="s">
        <v>1658</v>
      </c>
      <c r="E171" t="s">
        <v>1145</v>
      </c>
      <c r="F171" s="117" t="s">
        <v>1145</v>
      </c>
      <c r="G171" s="62" t="s">
        <v>400</v>
      </c>
      <c r="H171" s="60" t="str">
        <f>IF(Proc[[#This Row],[type]]="LFF (MDG-F)",MID(Proc[[#This Row],[Obj]],13,10),"")</f>
        <v/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LS</v>
      </c>
      <c r="L171" s="60" t="s">
        <v>509</v>
      </c>
      <c r="M171" s="71">
        <v>45687.600775462961</v>
      </c>
      <c r="N171" s="71">
        <v>45691</v>
      </c>
      <c r="O171" s="71">
        <v>45691</v>
      </c>
      <c r="P171" s="67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2</v>
      </c>
      <c r="R171" s="67" t="s">
        <v>972</v>
      </c>
      <c r="S171" s="60"/>
    </row>
    <row r="172" spans="1:19" hidden="1">
      <c r="A172" s="62" t="s">
        <v>1657</v>
      </c>
      <c r="B172" s="149" t="str">
        <f>IFERROR(VLOOKUP(Proc[[#This Row],[App]],Table2[],3,0),"open")</f>
        <v>ok</v>
      </c>
      <c r="C172" s="63" t="s">
        <v>369</v>
      </c>
      <c r="D172" t="s">
        <v>1659</v>
      </c>
      <c r="E172" t="s">
        <v>1145</v>
      </c>
      <c r="F172" s="117" t="s">
        <v>1145</v>
      </c>
      <c r="G172" s="62" t="s">
        <v>400</v>
      </c>
      <c r="H172" s="60" t="str">
        <f>IF(Proc[[#This Row],[type]]="LFF (MDG-F)",MID(Proc[[#This Row],[Obj]],13,10),"")</f>
        <v/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LS</v>
      </c>
      <c r="L172" s="60" t="s">
        <v>509</v>
      </c>
      <c r="M172" s="71">
        <v>45687.600775462961</v>
      </c>
      <c r="N172" s="71">
        <v>45691</v>
      </c>
      <c r="O172" s="71">
        <v>45691</v>
      </c>
      <c r="P172" s="67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2</v>
      </c>
      <c r="R172" s="67" t="s">
        <v>972</v>
      </c>
      <c r="S172" s="60"/>
    </row>
    <row r="173" spans="1:19" hidden="1">
      <c r="A173" s="62" t="s">
        <v>1657</v>
      </c>
      <c r="B173" s="149" t="str">
        <f>IFERROR(VLOOKUP(Proc[[#This Row],[App]],Table2[],3,0),"open")</f>
        <v>ok</v>
      </c>
      <c r="C173" s="63" t="s">
        <v>369</v>
      </c>
      <c r="D173" t="s">
        <v>1660</v>
      </c>
      <c r="E173" t="s">
        <v>1145</v>
      </c>
      <c r="F173" s="117" t="s">
        <v>1145</v>
      </c>
      <c r="G173" s="62" t="s">
        <v>400</v>
      </c>
      <c r="H173" s="60" t="str">
        <f>IF(Proc[[#This Row],[type]]="LFF (MDG-F)",MID(Proc[[#This Row],[Obj]],13,10),"")</f>
        <v/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LS</v>
      </c>
      <c r="L173" s="60" t="s">
        <v>509</v>
      </c>
      <c r="M173" s="71">
        <v>45687.600775462961</v>
      </c>
      <c r="N173" s="71">
        <v>45691</v>
      </c>
      <c r="O173" s="71">
        <v>45691</v>
      </c>
      <c r="P173" s="67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2</v>
      </c>
      <c r="R173" s="67" t="s">
        <v>972</v>
      </c>
      <c r="S173" s="60"/>
    </row>
    <row r="174" spans="1:19" hidden="1">
      <c r="A174" s="62" t="s">
        <v>1657</v>
      </c>
      <c r="B174" s="149" t="str">
        <f>IFERROR(VLOOKUP(Proc[[#This Row],[App]],Table2[],3,0),"open")</f>
        <v>ok</v>
      </c>
      <c r="C174" s="63" t="s">
        <v>369</v>
      </c>
      <c r="D174" t="s">
        <v>1661</v>
      </c>
      <c r="E174" t="s">
        <v>1145</v>
      </c>
      <c r="F174" s="117" t="s">
        <v>1145</v>
      </c>
      <c r="G174" s="62" t="s">
        <v>400</v>
      </c>
      <c r="H174" s="60" t="str">
        <f>IF(Proc[[#This Row],[type]]="LFF (MDG-F)",MID(Proc[[#This Row],[Obj]],13,10),"")</f>
        <v/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LS</v>
      </c>
      <c r="L174" s="60" t="s">
        <v>509</v>
      </c>
      <c r="M174" s="71">
        <v>45687.600775462961</v>
      </c>
      <c r="N174" s="71">
        <v>45691</v>
      </c>
      <c r="O174" s="71">
        <v>45691</v>
      </c>
      <c r="P174" s="67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2</v>
      </c>
      <c r="R174" s="67" t="s">
        <v>972</v>
      </c>
      <c r="S174" s="60"/>
    </row>
    <row r="175" spans="1:19" hidden="1">
      <c r="A175" s="62" t="s">
        <v>1657</v>
      </c>
      <c r="B175" s="149" t="str">
        <f>IFERROR(VLOOKUP(Proc[[#This Row],[App]],Table2[],3,0),"open")</f>
        <v>ok</v>
      </c>
      <c r="C175" s="63" t="s">
        <v>369</v>
      </c>
      <c r="D175" t="s">
        <v>1662</v>
      </c>
      <c r="E175" t="s">
        <v>1145</v>
      </c>
      <c r="F175" s="117" t="s">
        <v>1145</v>
      </c>
      <c r="G175" s="62" t="s">
        <v>400</v>
      </c>
      <c r="H175" s="60" t="str">
        <f>IF(Proc[[#This Row],[type]]="LFF (MDG-F)",MID(Proc[[#This Row],[Obj]],13,10),"")</f>
        <v/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LS</v>
      </c>
      <c r="L175" s="60" t="s">
        <v>509</v>
      </c>
      <c r="M175" s="71">
        <v>45687.600775462961</v>
      </c>
      <c r="N175" s="71">
        <v>45691</v>
      </c>
      <c r="O175" s="71">
        <v>45691</v>
      </c>
      <c r="P175" s="67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2</v>
      </c>
      <c r="R175" s="67" t="s">
        <v>972</v>
      </c>
      <c r="S175" s="60"/>
    </row>
    <row r="176" spans="1:19" hidden="1">
      <c r="A176" t="s">
        <v>1655</v>
      </c>
      <c r="B176" s="149" t="str">
        <f>IFERROR(VLOOKUP(Proc[[#This Row],[App]],Table2[],3,0),"open")</f>
        <v>ok</v>
      </c>
      <c r="C176" s="63" t="s">
        <v>369</v>
      </c>
      <c r="D176" t="s">
        <v>1656</v>
      </c>
      <c r="E176" t="s">
        <v>418</v>
      </c>
      <c r="F176" s="117" t="s">
        <v>418</v>
      </c>
      <c r="G176" t="s">
        <v>400</v>
      </c>
      <c r="H176" s="60" t="str">
        <f>IF(Proc[[#This Row],[type]]="LFF (MDG-F)",MID(Proc[[#This Row],[Obj]],13,10),"")</f>
        <v/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MGF</v>
      </c>
      <c r="L176" s="60" t="s">
        <v>509</v>
      </c>
      <c r="M176" s="71">
        <v>45687.614363425928</v>
      </c>
      <c r="N176" s="71">
        <v>45691</v>
      </c>
      <c r="O176" s="71">
        <v>45691</v>
      </c>
      <c r="P176" s="67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2</v>
      </c>
      <c r="R176" s="67" t="s">
        <v>1076</v>
      </c>
      <c r="S176" s="60"/>
    </row>
    <row r="177" spans="1:19" hidden="1">
      <c r="A177" t="s">
        <v>1686</v>
      </c>
      <c r="B177" s="149" t="str">
        <f>IFERROR(VLOOKUP(Proc[[#This Row],[App]],Table2[],3,0),"open")</f>
        <v>ok</v>
      </c>
      <c r="C177" s="63" t="s">
        <v>369</v>
      </c>
      <c r="D177" t="s">
        <v>1668</v>
      </c>
      <c r="E177" t="s">
        <v>812</v>
      </c>
      <c r="F177" s="117" t="s">
        <v>812</v>
      </c>
      <c r="G177" s="62" t="s">
        <v>400</v>
      </c>
      <c r="H177" s="60" t="str">
        <f>IF(Proc[[#This Row],[type]]="LFF (MDG-F)",MID(Proc[[#This Row],[Obj]],13,10),"")</f>
        <v/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509</v>
      </c>
      <c r="M177" s="71">
        <v>45688.524016203701</v>
      </c>
      <c r="N177" s="71">
        <v>45691</v>
      </c>
      <c r="O177" s="71">
        <v>45691</v>
      </c>
      <c r="P177" s="67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1</v>
      </c>
      <c r="R177" s="67" t="s">
        <v>1013</v>
      </c>
      <c r="S177" s="60"/>
    </row>
    <row r="178" spans="1:19" hidden="1">
      <c r="A178" s="62" t="s">
        <v>1686</v>
      </c>
      <c r="B178" s="149" t="str">
        <f>IFERROR(VLOOKUP(Proc[[#This Row],[App]],Table2[],3,0),"open")</f>
        <v>ok</v>
      </c>
      <c r="C178" s="63" t="s">
        <v>369</v>
      </c>
      <c r="D178" t="s">
        <v>1669</v>
      </c>
      <c r="E178" t="s">
        <v>811</v>
      </c>
      <c r="F178" s="117" t="s">
        <v>811</v>
      </c>
      <c r="G178" s="62" t="s">
        <v>400</v>
      </c>
      <c r="H178" s="60" t="str">
        <f>IF(Proc[[#This Row],[type]]="LFF (MDG-F)",MID(Proc[[#This Row],[Obj]],13,10),"")</f>
        <v/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509</v>
      </c>
      <c r="M178" s="71">
        <v>45688.524016203701</v>
      </c>
      <c r="N178" s="71">
        <v>45691</v>
      </c>
      <c r="O178" s="71">
        <v>45691</v>
      </c>
      <c r="P178" s="67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1</v>
      </c>
      <c r="R178" s="67" t="s">
        <v>1013</v>
      </c>
      <c r="S178" s="60"/>
    </row>
    <row r="179" spans="1:19" hidden="1">
      <c r="A179" s="62" t="s">
        <v>1686</v>
      </c>
      <c r="B179" s="149" t="str">
        <f>IFERROR(VLOOKUP(Proc[[#This Row],[App]],Table2[],3,0),"open")</f>
        <v>ok</v>
      </c>
      <c r="C179" s="63" t="s">
        <v>369</v>
      </c>
      <c r="D179" t="s">
        <v>1670</v>
      </c>
      <c r="E179" t="s">
        <v>555</v>
      </c>
      <c r="F179" s="117" t="s">
        <v>555</v>
      </c>
      <c r="G179" s="62" t="s">
        <v>400</v>
      </c>
      <c r="H179" s="60" t="str">
        <f>IF(Proc[[#This Row],[type]]="LFF (MDG-F)",MID(Proc[[#This Row],[Obj]],13,10),"")</f>
        <v/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509</v>
      </c>
      <c r="M179" s="71">
        <v>45688.524016203701</v>
      </c>
      <c r="N179" s="71">
        <v>45691</v>
      </c>
      <c r="O179" s="71">
        <v>45691</v>
      </c>
      <c r="P179" s="67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1</v>
      </c>
      <c r="R179" s="67" t="s">
        <v>1013</v>
      </c>
      <c r="S179" s="60"/>
    </row>
    <row r="180" spans="1:19" hidden="1">
      <c r="A180" s="62" t="s">
        <v>1686</v>
      </c>
      <c r="B180" s="149" t="str">
        <f>IFERROR(VLOOKUP(Proc[[#This Row],[App]],Table2[],3,0),"open")</f>
        <v>ok</v>
      </c>
      <c r="C180" s="63" t="s">
        <v>369</v>
      </c>
      <c r="D180" t="s">
        <v>1671</v>
      </c>
      <c r="E180" t="s">
        <v>556</v>
      </c>
      <c r="F180" s="117" t="s">
        <v>556</v>
      </c>
      <c r="G180" s="62" t="s">
        <v>400</v>
      </c>
      <c r="H180" s="60" t="str">
        <f>IF(Proc[[#This Row],[type]]="LFF (MDG-F)",MID(Proc[[#This Row],[Obj]],13,10),"")</f>
        <v/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509</v>
      </c>
      <c r="M180" s="71">
        <v>45688.524016203701</v>
      </c>
      <c r="N180" s="71">
        <v>45691</v>
      </c>
      <c r="O180" s="71">
        <v>45691</v>
      </c>
      <c r="P180" s="67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1</v>
      </c>
      <c r="R180" s="67" t="s">
        <v>1013</v>
      </c>
      <c r="S180" s="60"/>
    </row>
    <row r="181" spans="1:19" hidden="1">
      <c r="A181" s="62" t="s">
        <v>1686</v>
      </c>
      <c r="B181" s="149" t="str">
        <f>IFERROR(VLOOKUP(Proc[[#This Row],[App]],Table2[],3,0),"open")</f>
        <v>ok</v>
      </c>
      <c r="C181" s="63" t="s">
        <v>369</v>
      </c>
      <c r="D181" t="s">
        <v>1672</v>
      </c>
      <c r="E181" t="s">
        <v>556</v>
      </c>
      <c r="F181" s="117" t="s">
        <v>556</v>
      </c>
      <c r="G181" s="62" t="s">
        <v>400</v>
      </c>
      <c r="H181" s="60" t="str">
        <f>IF(Proc[[#This Row],[type]]="LFF (MDG-F)",MID(Proc[[#This Row],[Obj]],13,10),"")</f>
        <v/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509</v>
      </c>
      <c r="M181" s="71">
        <v>45688.524016203701</v>
      </c>
      <c r="N181" s="71">
        <v>45691</v>
      </c>
      <c r="O181" s="71">
        <v>45691</v>
      </c>
      <c r="P181" s="67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1</v>
      </c>
      <c r="R181" s="67" t="s">
        <v>1013</v>
      </c>
      <c r="S181" s="60"/>
    </row>
    <row r="182" spans="1:19" hidden="1">
      <c r="A182" s="62" t="s">
        <v>1686</v>
      </c>
      <c r="B182" s="149" t="str">
        <f>IFERROR(VLOOKUP(Proc[[#This Row],[App]],Table2[],3,0),"open")</f>
        <v>ok</v>
      </c>
      <c r="C182" s="63" t="s">
        <v>369</v>
      </c>
      <c r="D182" t="s">
        <v>1673</v>
      </c>
      <c r="E182" t="s">
        <v>991</v>
      </c>
      <c r="F182" s="117" t="s">
        <v>991</v>
      </c>
      <c r="G182" s="62" t="s">
        <v>400</v>
      </c>
      <c r="H182" s="60" t="str">
        <f>IF(Proc[[#This Row],[type]]="LFF (MDG-F)",MID(Proc[[#This Row],[Obj]],13,10),"")</f>
        <v/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509</v>
      </c>
      <c r="M182" s="71">
        <v>45688.524016203701</v>
      </c>
      <c r="N182" s="71">
        <v>45691</v>
      </c>
      <c r="O182" s="71">
        <v>45691</v>
      </c>
      <c r="P182" s="67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1</v>
      </c>
      <c r="R182" s="67" t="s">
        <v>1013</v>
      </c>
      <c r="S182" s="60"/>
    </row>
    <row r="183" spans="1:19" hidden="1">
      <c r="A183" s="62" t="s">
        <v>1686</v>
      </c>
      <c r="B183" s="149" t="str">
        <f>IFERROR(VLOOKUP(Proc[[#This Row],[App]],Table2[],3,0),"open")</f>
        <v>ok</v>
      </c>
      <c r="C183" s="63" t="s">
        <v>369</v>
      </c>
      <c r="D183" t="s">
        <v>1674</v>
      </c>
      <c r="E183" t="s">
        <v>1012</v>
      </c>
      <c r="F183" s="117" t="s">
        <v>1012</v>
      </c>
      <c r="G183" s="62" t="s">
        <v>400</v>
      </c>
      <c r="H183" s="60" t="str">
        <f>IF(Proc[[#This Row],[type]]="LFF (MDG-F)",MID(Proc[[#This Row],[Obj]],13,10),"")</f>
        <v/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509</v>
      </c>
      <c r="M183" s="71">
        <v>45688.524016203701</v>
      </c>
      <c r="N183" s="71">
        <v>45691</v>
      </c>
      <c r="O183" s="71">
        <v>45691</v>
      </c>
      <c r="P183" s="67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1</v>
      </c>
      <c r="R183" s="67" t="s">
        <v>1013</v>
      </c>
      <c r="S183" s="60"/>
    </row>
    <row r="184" spans="1:19" hidden="1">
      <c r="A184" s="62" t="s">
        <v>1686</v>
      </c>
      <c r="B184" s="149" t="str">
        <f>IFERROR(VLOOKUP(Proc[[#This Row],[App]],Table2[],3,0),"open")</f>
        <v>ok</v>
      </c>
      <c r="C184" s="63" t="s">
        <v>369</v>
      </c>
      <c r="D184" t="s">
        <v>1675</v>
      </c>
      <c r="E184" t="s">
        <v>555</v>
      </c>
      <c r="F184" s="117" t="s">
        <v>555</v>
      </c>
      <c r="G184" s="62" t="s">
        <v>400</v>
      </c>
      <c r="H184" s="60" t="str">
        <f>IF(Proc[[#This Row],[type]]="LFF (MDG-F)",MID(Proc[[#This Row],[Obj]],13,10),"")</f>
        <v/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509</v>
      </c>
      <c r="M184" s="71">
        <v>45688.524016203701</v>
      </c>
      <c r="N184" s="71">
        <v>45691</v>
      </c>
      <c r="O184" s="71">
        <v>45691</v>
      </c>
      <c r="P184" s="67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1</v>
      </c>
      <c r="R184" s="67" t="s">
        <v>1013</v>
      </c>
      <c r="S184" s="60"/>
    </row>
    <row r="185" spans="1:19" hidden="1">
      <c r="A185" s="62" t="s">
        <v>1686</v>
      </c>
      <c r="B185" s="149" t="str">
        <f>IFERROR(VLOOKUP(Proc[[#This Row],[App]],Table2[],3,0),"open")</f>
        <v>ok</v>
      </c>
      <c r="C185" s="63" t="s">
        <v>369</v>
      </c>
      <c r="D185" t="s">
        <v>1676</v>
      </c>
      <c r="E185" t="s">
        <v>554</v>
      </c>
      <c r="F185" s="117" t="s">
        <v>554</v>
      </c>
      <c r="G185" s="62" t="s">
        <v>400</v>
      </c>
      <c r="H185" s="60" t="str">
        <f>IF(Proc[[#This Row],[type]]="LFF (MDG-F)",MID(Proc[[#This Row],[Obj]],13,10),"")</f>
        <v/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509</v>
      </c>
      <c r="M185" s="71">
        <v>45688.524016203701</v>
      </c>
      <c r="N185" s="71">
        <v>45691</v>
      </c>
      <c r="O185" s="71">
        <v>45691</v>
      </c>
      <c r="P185" s="67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1</v>
      </c>
      <c r="R185" s="67" t="s">
        <v>1013</v>
      </c>
      <c r="S185" s="60"/>
    </row>
    <row r="186" spans="1:19" hidden="1">
      <c r="A186" s="62" t="s">
        <v>1686</v>
      </c>
      <c r="B186" s="149" t="str">
        <f>IFERROR(VLOOKUP(Proc[[#This Row],[App]],Table2[],3,0),"open")</f>
        <v>ok</v>
      </c>
      <c r="C186" s="63" t="s">
        <v>369</v>
      </c>
      <c r="D186" t="s">
        <v>1677</v>
      </c>
      <c r="E186" t="s">
        <v>554</v>
      </c>
      <c r="F186" s="117" t="s">
        <v>554</v>
      </c>
      <c r="G186" s="62" t="s">
        <v>400</v>
      </c>
      <c r="H186" s="60" t="str">
        <f>IF(Proc[[#This Row],[type]]="LFF (MDG-F)",MID(Proc[[#This Row],[Obj]],13,10),"")</f>
        <v/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509</v>
      </c>
      <c r="M186" s="71">
        <v>45688.524016203701</v>
      </c>
      <c r="N186" s="71">
        <v>45691</v>
      </c>
      <c r="O186" s="71">
        <v>45691</v>
      </c>
      <c r="P186" s="67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1</v>
      </c>
      <c r="R186" s="67" t="s">
        <v>1013</v>
      </c>
      <c r="S186" s="60"/>
    </row>
    <row r="187" spans="1:19" hidden="1">
      <c r="A187" s="62" t="s">
        <v>1686</v>
      </c>
      <c r="B187" s="149" t="str">
        <f>IFERROR(VLOOKUP(Proc[[#This Row],[App]],Table2[],3,0),"open")</f>
        <v>ok</v>
      </c>
      <c r="C187" s="63" t="s">
        <v>369</v>
      </c>
      <c r="D187" t="s">
        <v>1678</v>
      </c>
      <c r="E187" t="s">
        <v>557</v>
      </c>
      <c r="F187" s="117" t="s">
        <v>557</v>
      </c>
      <c r="G187" s="62" t="s">
        <v>400</v>
      </c>
      <c r="H187" s="60" t="str">
        <f>IF(Proc[[#This Row],[type]]="LFF (MDG-F)",MID(Proc[[#This Row],[Obj]],13,10),"")</f>
        <v/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HC</v>
      </c>
      <c r="L187" s="60" t="s">
        <v>509</v>
      </c>
      <c r="M187" s="71">
        <v>45688.524016203701</v>
      </c>
      <c r="N187" s="71">
        <v>45691</v>
      </c>
      <c r="O187" s="71">
        <v>45691</v>
      </c>
      <c r="P187" s="67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1</v>
      </c>
      <c r="R187" s="67" t="s">
        <v>1013</v>
      </c>
      <c r="S187" s="60"/>
    </row>
    <row r="188" spans="1:19" hidden="1">
      <c r="A188" s="62" t="s">
        <v>1686</v>
      </c>
      <c r="B188" s="149" t="str">
        <f>IFERROR(VLOOKUP(Proc[[#This Row],[App]],Table2[],3,0),"open")</f>
        <v>ok</v>
      </c>
      <c r="C188" s="63" t="s">
        <v>369</v>
      </c>
      <c r="D188" t="s">
        <v>1679</v>
      </c>
      <c r="E188" t="s">
        <v>991</v>
      </c>
      <c r="F188" s="117" t="s">
        <v>991</v>
      </c>
      <c r="G188" s="62" t="s">
        <v>400</v>
      </c>
      <c r="H188" s="60" t="str">
        <f>IF(Proc[[#This Row],[type]]="LFF (MDG-F)",MID(Proc[[#This Row],[Obj]],13,10),"")</f>
        <v/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HC</v>
      </c>
      <c r="L188" s="60" t="s">
        <v>509</v>
      </c>
      <c r="M188" s="71">
        <v>45688.524016203701</v>
      </c>
      <c r="N188" s="71">
        <v>45691</v>
      </c>
      <c r="O188" s="71">
        <v>45691</v>
      </c>
      <c r="P188" s="67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1</v>
      </c>
      <c r="R188" s="67" t="s">
        <v>1013</v>
      </c>
      <c r="S188" s="60"/>
    </row>
    <row r="189" spans="1:19" hidden="1">
      <c r="A189" s="62" t="s">
        <v>1686</v>
      </c>
      <c r="B189" s="149" t="str">
        <f>IFERROR(VLOOKUP(Proc[[#This Row],[App]],Table2[],3,0),"open")</f>
        <v>ok</v>
      </c>
      <c r="C189" s="63" t="s">
        <v>369</v>
      </c>
      <c r="D189" t="s">
        <v>1680</v>
      </c>
      <c r="E189" t="s">
        <v>483</v>
      </c>
      <c r="F189" s="117" t="s">
        <v>483</v>
      </c>
      <c r="G189" s="62" t="s">
        <v>400</v>
      </c>
      <c r="H189" s="60" t="str">
        <f>IF(Proc[[#This Row],[type]]="LFF (MDG-F)",MID(Proc[[#This Row],[Obj]],13,10),"")</f>
        <v/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HC</v>
      </c>
      <c r="L189" s="60" t="s">
        <v>509</v>
      </c>
      <c r="M189" s="71">
        <v>45688.524016203701</v>
      </c>
      <c r="N189" s="71">
        <v>45691</v>
      </c>
      <c r="O189" s="71">
        <v>45691</v>
      </c>
      <c r="P189" s="67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1</v>
      </c>
      <c r="R189" s="67" t="s">
        <v>1013</v>
      </c>
      <c r="S189" s="60"/>
    </row>
    <row r="190" spans="1:19" hidden="1">
      <c r="A190" s="62" t="s">
        <v>1686</v>
      </c>
      <c r="B190" s="149" t="str">
        <f>IFERROR(VLOOKUP(Proc[[#This Row],[App]],Table2[],3,0),"open")</f>
        <v>ok</v>
      </c>
      <c r="C190" s="63" t="s">
        <v>369</v>
      </c>
      <c r="D190" t="s">
        <v>1681</v>
      </c>
      <c r="E190" t="s">
        <v>543</v>
      </c>
      <c r="F190" s="117" t="s">
        <v>543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HC</v>
      </c>
      <c r="L190" s="60" t="s">
        <v>509</v>
      </c>
      <c r="M190" s="71">
        <v>45688.524016203701</v>
      </c>
      <c r="N190" s="71">
        <v>45691</v>
      </c>
      <c r="O190" s="71">
        <v>45691</v>
      </c>
      <c r="P190" s="67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1</v>
      </c>
      <c r="R190" s="67" t="s">
        <v>1013</v>
      </c>
      <c r="S190" s="60"/>
    </row>
    <row r="191" spans="1:19" hidden="1">
      <c r="A191" s="62" t="s">
        <v>1686</v>
      </c>
      <c r="B191" s="149" t="str">
        <f>IFERROR(VLOOKUP(Proc[[#This Row],[App]],Table2[],3,0),"open")</f>
        <v>ok</v>
      </c>
      <c r="C191" s="63" t="s">
        <v>369</v>
      </c>
      <c r="D191" t="s">
        <v>1682</v>
      </c>
      <c r="E191" t="s">
        <v>1012</v>
      </c>
      <c r="F191" s="117" t="s">
        <v>1012</v>
      </c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HC</v>
      </c>
      <c r="L191" s="60" t="s">
        <v>509</v>
      </c>
      <c r="M191" s="71">
        <v>45688.524016203701</v>
      </c>
      <c r="N191" s="71">
        <v>45691</v>
      </c>
      <c r="O191" s="71">
        <v>45691</v>
      </c>
      <c r="P191" s="67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1</v>
      </c>
      <c r="R191" s="67" t="s">
        <v>1013</v>
      </c>
      <c r="S191" s="60"/>
    </row>
    <row r="192" spans="1:19" hidden="1">
      <c r="A192" s="62" t="s">
        <v>1686</v>
      </c>
      <c r="B192" s="149" t="str">
        <f>IFERROR(VLOOKUP(Proc[[#This Row],[App]],Table2[],3,0),"open")</f>
        <v>ok</v>
      </c>
      <c r="C192" s="63" t="s">
        <v>369</v>
      </c>
      <c r="D192" t="s">
        <v>1683</v>
      </c>
      <c r="E192" t="s">
        <v>554</v>
      </c>
      <c r="F192" s="117" t="s">
        <v>554</v>
      </c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HC</v>
      </c>
      <c r="L192" s="60" t="s">
        <v>509</v>
      </c>
      <c r="M192" s="71">
        <v>45688.524016203701</v>
      </c>
      <c r="N192" s="71">
        <v>45691</v>
      </c>
      <c r="O192" s="71">
        <v>45691</v>
      </c>
      <c r="P192" s="67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1</v>
      </c>
      <c r="R192" s="67" t="s">
        <v>1013</v>
      </c>
      <c r="S192" s="60"/>
    </row>
    <row r="193" spans="1:19" hidden="1">
      <c r="A193" s="62" t="s">
        <v>1686</v>
      </c>
      <c r="B193" s="149" t="str">
        <f>IFERROR(VLOOKUP(Proc[[#This Row],[App]],Table2[],3,0),"open")</f>
        <v>ok</v>
      </c>
      <c r="C193" s="63" t="s">
        <v>369</v>
      </c>
      <c r="D193" t="s">
        <v>1684</v>
      </c>
      <c r="E193" t="s">
        <v>555</v>
      </c>
      <c r="F193" s="117" t="s">
        <v>555</v>
      </c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HC</v>
      </c>
      <c r="L193" s="60" t="s">
        <v>509</v>
      </c>
      <c r="M193" s="71">
        <v>45688.524016203701</v>
      </c>
      <c r="N193" s="71">
        <v>45691</v>
      </c>
      <c r="O193" s="71">
        <v>45691</v>
      </c>
      <c r="P193" s="67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1</v>
      </c>
      <c r="R193" s="67" t="s">
        <v>1013</v>
      </c>
      <c r="S193" s="60"/>
    </row>
    <row r="194" spans="1:19" hidden="1">
      <c r="A194" s="62" t="s">
        <v>1686</v>
      </c>
      <c r="B194" s="149" t="str">
        <f>IFERROR(VLOOKUP(Proc[[#This Row],[App]],Table2[],3,0),"open")</f>
        <v>ok</v>
      </c>
      <c r="C194" s="63" t="s">
        <v>369</v>
      </c>
      <c r="D194" t="s">
        <v>1685</v>
      </c>
      <c r="E194" t="s">
        <v>554</v>
      </c>
      <c r="F194" s="117" t="s">
        <v>554</v>
      </c>
      <c r="G194" s="62" t="s">
        <v>400</v>
      </c>
      <c r="H194" s="60" t="str">
        <f>IF(Proc[[#This Row],[type]]="LFF (MDG-F)",MID(Proc[[#This Row],[Obj]],13,10),"")</f>
        <v/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HC</v>
      </c>
      <c r="L194" s="60" t="s">
        <v>509</v>
      </c>
      <c r="M194" s="71">
        <v>45688.524016203701</v>
      </c>
      <c r="N194" s="71">
        <v>45691</v>
      </c>
      <c r="O194" s="71">
        <v>45691</v>
      </c>
      <c r="P194" s="67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1</v>
      </c>
      <c r="R194" s="67" t="s">
        <v>1013</v>
      </c>
      <c r="S194" s="60"/>
    </row>
    <row r="195" spans="1:19" hidden="1">
      <c r="A195" t="s">
        <v>1708</v>
      </c>
      <c r="B195" s="149" t="str">
        <f>IFERROR(VLOOKUP(Proc[[#This Row],[App]],Table2[],3,0),"open")</f>
        <v>ok</v>
      </c>
      <c r="C195" t="s">
        <v>369</v>
      </c>
      <c r="D195" t="s">
        <v>1709</v>
      </c>
      <c r="E195" t="s">
        <v>1715</v>
      </c>
      <c r="F195" s="117" t="s">
        <v>1715</v>
      </c>
      <c r="G195" s="62" t="s">
        <v>400</v>
      </c>
      <c r="H195" s="60" t="str">
        <f>IF(Proc[[#This Row],[type]]="LFF (MDG-F)",MID(Proc[[#This Row],[Obj]],13,10),"")</f>
        <v/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LS</v>
      </c>
      <c r="L195" s="60" t="s">
        <v>509</v>
      </c>
      <c r="M195" s="71">
        <v>45688.632743055554</v>
      </c>
      <c r="N195" s="71">
        <v>45692</v>
      </c>
      <c r="O195" s="71">
        <v>45692</v>
      </c>
      <c r="P195" s="67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2</v>
      </c>
      <c r="R195" s="67" t="s">
        <v>972</v>
      </c>
      <c r="S195" s="60"/>
    </row>
    <row r="196" spans="1:19" hidden="1">
      <c r="A196" t="s">
        <v>1708</v>
      </c>
      <c r="B196" s="149" t="str">
        <f>IFERROR(VLOOKUP(Proc[[#This Row],[App]],Table2[],3,0),"open")</f>
        <v>ok</v>
      </c>
      <c r="C196" s="62" t="s">
        <v>369</v>
      </c>
      <c r="D196" t="s">
        <v>1710</v>
      </c>
      <c r="E196" t="s">
        <v>1716</v>
      </c>
      <c r="F196" s="117" t="s">
        <v>1716</v>
      </c>
      <c r="G196" t="s">
        <v>400</v>
      </c>
      <c r="H196" s="60" t="str">
        <f>IF(Proc[[#This Row],[type]]="LFF (MDG-F)",MID(Proc[[#This Row],[Obj]],13,10),"")</f>
        <v/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LS</v>
      </c>
      <c r="L196" s="60" t="s">
        <v>509</v>
      </c>
      <c r="M196" s="71">
        <v>45688.632743055554</v>
      </c>
      <c r="N196" s="71">
        <v>45692</v>
      </c>
      <c r="O196" s="71">
        <v>45692</v>
      </c>
      <c r="P196" s="67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2</v>
      </c>
      <c r="R196" s="67" t="s">
        <v>972</v>
      </c>
      <c r="S196" s="60"/>
    </row>
    <row r="197" spans="1:19" hidden="1">
      <c r="A197" s="62" t="s">
        <v>1708</v>
      </c>
      <c r="B197" s="149" t="str">
        <f>IFERROR(VLOOKUP(Proc[[#This Row],[App]],Table2[],3,0),"open")</f>
        <v>ok</v>
      </c>
      <c r="C197" s="62" t="s">
        <v>369</v>
      </c>
      <c r="D197" t="s">
        <v>1711</v>
      </c>
      <c r="E197" t="s">
        <v>1236</v>
      </c>
      <c r="F197" s="117" t="s">
        <v>1236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509</v>
      </c>
      <c r="M197" s="71">
        <v>45688.632743055554</v>
      </c>
      <c r="N197" s="71">
        <v>45692</v>
      </c>
      <c r="O197" s="71">
        <v>45692</v>
      </c>
      <c r="P197" s="67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7" t="s">
        <v>972</v>
      </c>
      <c r="S197" s="60"/>
    </row>
    <row r="198" spans="1:19" hidden="1">
      <c r="A198" s="62" t="s">
        <v>1708</v>
      </c>
      <c r="B198" s="149" t="str">
        <f>IFERROR(VLOOKUP(Proc[[#This Row],[App]],Table2[],3,0),"open")</f>
        <v>ok</v>
      </c>
      <c r="C198" s="62" t="s">
        <v>369</v>
      </c>
      <c r="D198" t="s">
        <v>1712</v>
      </c>
      <c r="E198" t="s">
        <v>525</v>
      </c>
      <c r="F198" s="117" t="s">
        <v>525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509</v>
      </c>
      <c r="M198" s="71">
        <v>45688.632743055554</v>
      </c>
      <c r="N198" s="71">
        <v>45692</v>
      </c>
      <c r="O198" s="71">
        <v>45692</v>
      </c>
      <c r="P198" s="67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7" t="s">
        <v>972</v>
      </c>
      <c r="S198" s="60"/>
    </row>
    <row r="199" spans="1:19" hidden="1">
      <c r="A199" s="62" t="s">
        <v>1708</v>
      </c>
      <c r="B199" s="149" t="str">
        <f>IFERROR(VLOOKUP(Proc[[#This Row],[App]],Table2[],3,0),"open")</f>
        <v>ok</v>
      </c>
      <c r="C199" s="62" t="s">
        <v>369</v>
      </c>
      <c r="D199" t="s">
        <v>1713</v>
      </c>
      <c r="E199" t="s">
        <v>525</v>
      </c>
      <c r="F199" s="117" t="s">
        <v>525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509</v>
      </c>
      <c r="M199" s="71">
        <v>45688.632743055554</v>
      </c>
      <c r="N199" s="71">
        <v>45692</v>
      </c>
      <c r="O199" s="71">
        <v>45692</v>
      </c>
      <c r="P199" s="67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7" t="s">
        <v>972</v>
      </c>
      <c r="S199" s="60"/>
    </row>
    <row r="200" spans="1:19" hidden="1">
      <c r="A200" t="s">
        <v>1708</v>
      </c>
      <c r="B200" s="149" t="str">
        <f>IFERROR(VLOOKUP(Proc[[#This Row],[App]],Table2[],3,0),"open")</f>
        <v>ok</v>
      </c>
      <c r="C200" s="62" t="s">
        <v>369</v>
      </c>
      <c r="D200" t="s">
        <v>1714</v>
      </c>
      <c r="E200" t="s">
        <v>773</v>
      </c>
      <c r="F200" s="117" t="s">
        <v>773</v>
      </c>
      <c r="G200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509</v>
      </c>
      <c r="M200" s="71">
        <v>45688.632743055554</v>
      </c>
      <c r="N200" s="71">
        <v>45692</v>
      </c>
      <c r="O200" s="71">
        <v>45692</v>
      </c>
      <c r="P200" s="67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7" t="s">
        <v>972</v>
      </c>
      <c r="S200" s="60"/>
    </row>
    <row r="201" spans="1:19" hidden="1">
      <c r="A201" s="62" t="s">
        <v>1707</v>
      </c>
      <c r="B201" s="149" t="str">
        <f>IFERROR(VLOOKUP(Proc[[#This Row],[App]],Table2[],3,0),"open")</f>
        <v>ok</v>
      </c>
      <c r="C201" s="62" t="s">
        <v>369</v>
      </c>
      <c r="D201" t="s">
        <v>1694</v>
      </c>
      <c r="E201" t="s">
        <v>631</v>
      </c>
      <c r="F201" s="117" t="s">
        <v>631</v>
      </c>
      <c r="G201" s="62" t="s">
        <v>406</v>
      </c>
      <c r="H201" s="60" t="str">
        <f>IF(Proc[[#This Row],[type]]="LFF (MDG-F)",MID(Proc[[#This Row],[Obj]],13,10),"")</f>
        <v>DE10523702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509</v>
      </c>
      <c r="M201" s="71">
        <v>45690.78837962963</v>
      </c>
      <c r="N201" s="71">
        <v>45692</v>
      </c>
      <c r="O201" s="71">
        <v>45692</v>
      </c>
      <c r="P201" s="67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1</v>
      </c>
      <c r="R201" s="67" t="s">
        <v>549</v>
      </c>
      <c r="S201" s="60"/>
    </row>
    <row r="202" spans="1:19" hidden="1">
      <c r="A202" s="62" t="s">
        <v>1707</v>
      </c>
      <c r="B202" s="149" t="str">
        <f>IFERROR(VLOOKUP(Proc[[#This Row],[App]],Table2[],3,0),"open")</f>
        <v>ok</v>
      </c>
      <c r="C202" s="62" t="s">
        <v>369</v>
      </c>
      <c r="D202" t="s">
        <v>1695</v>
      </c>
      <c r="E202" t="s">
        <v>631</v>
      </c>
      <c r="F202" s="117" t="s">
        <v>631</v>
      </c>
      <c r="G202" s="62" t="s">
        <v>406</v>
      </c>
      <c r="H202" s="60" t="str">
        <f>IF(Proc[[#This Row],[type]]="LFF (MDG-F)",MID(Proc[[#This Row],[Obj]],13,10),"")</f>
        <v>DE10575000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509</v>
      </c>
      <c r="M202" s="71">
        <v>45690.78837962963</v>
      </c>
      <c r="N202" s="71">
        <v>45692</v>
      </c>
      <c r="O202" s="71">
        <v>45692</v>
      </c>
      <c r="P202" s="67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1</v>
      </c>
      <c r="R202" s="67" t="s">
        <v>549</v>
      </c>
      <c r="S202" s="60"/>
    </row>
    <row r="203" spans="1:19" hidden="1">
      <c r="A203" s="62" t="s">
        <v>1707</v>
      </c>
      <c r="B203" s="149" t="str">
        <f>IFERROR(VLOOKUP(Proc[[#This Row],[App]],Table2[],3,0),"open")</f>
        <v>ok</v>
      </c>
      <c r="C203" s="62" t="s">
        <v>369</v>
      </c>
      <c r="D203" t="s">
        <v>1696</v>
      </c>
      <c r="E203" t="s">
        <v>631</v>
      </c>
      <c r="F203" s="117" t="s">
        <v>631</v>
      </c>
      <c r="G203" s="62" t="s">
        <v>406</v>
      </c>
      <c r="H203" s="60" t="str">
        <f>IF(Proc[[#This Row],[type]]="LFF (MDG-F)",MID(Proc[[#This Row],[Obj]],13,10),"")</f>
        <v>DE10575700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MGF</v>
      </c>
      <c r="L203" s="60" t="s">
        <v>509</v>
      </c>
      <c r="M203" s="71">
        <v>45690.78837962963</v>
      </c>
      <c r="N203" s="71">
        <v>45692</v>
      </c>
      <c r="O203" s="71">
        <v>45692</v>
      </c>
      <c r="P203" s="67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1</v>
      </c>
      <c r="R203" s="67" t="s">
        <v>549</v>
      </c>
      <c r="S203" s="60"/>
    </row>
    <row r="204" spans="1:19" hidden="1">
      <c r="A204" s="62" t="s">
        <v>1707</v>
      </c>
      <c r="B204" s="149" t="str">
        <f>IFERROR(VLOOKUP(Proc[[#This Row],[App]],Table2[],3,0),"open")</f>
        <v>ok</v>
      </c>
      <c r="C204" s="62" t="s">
        <v>369</v>
      </c>
      <c r="D204" t="s">
        <v>1697</v>
      </c>
      <c r="E204" t="s">
        <v>631</v>
      </c>
      <c r="F204" s="117" t="s">
        <v>631</v>
      </c>
      <c r="G204" s="62" t="s">
        <v>406</v>
      </c>
      <c r="H204" s="60" t="str">
        <f>IF(Proc[[#This Row],[type]]="LFF (MDG-F)",MID(Proc[[#This Row],[Obj]],13,10),"")</f>
        <v>DE10577000</v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509</v>
      </c>
      <c r="M204" s="71">
        <v>45690.78837962963</v>
      </c>
      <c r="N204" s="71">
        <v>45692</v>
      </c>
      <c r="O204" s="71">
        <v>45692</v>
      </c>
      <c r="P204" s="67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1</v>
      </c>
      <c r="R204" s="67" t="s">
        <v>549</v>
      </c>
      <c r="S204" s="60"/>
    </row>
    <row r="205" spans="1:19" hidden="1">
      <c r="A205" s="62" t="s">
        <v>1707</v>
      </c>
      <c r="B205" s="149" t="str">
        <f>IFERROR(VLOOKUP(Proc[[#This Row],[App]],Table2[],3,0),"open")</f>
        <v>ok</v>
      </c>
      <c r="C205" s="62" t="s">
        <v>369</v>
      </c>
      <c r="D205" t="s">
        <v>1698</v>
      </c>
      <c r="E205" t="s">
        <v>631</v>
      </c>
      <c r="F205" s="117" t="s">
        <v>631</v>
      </c>
      <c r="G205" s="62" t="s">
        <v>406</v>
      </c>
      <c r="H205" s="60" t="str">
        <f>IF(Proc[[#This Row],[type]]="LFF (MDG-F)",MID(Proc[[#This Row],[Obj]],13,10),"")</f>
        <v>DE10671000</v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509</v>
      </c>
      <c r="M205" s="71">
        <v>45690.78837962963</v>
      </c>
      <c r="N205" s="71">
        <v>45692</v>
      </c>
      <c r="O205" s="71">
        <v>45692</v>
      </c>
      <c r="P205" s="67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1</v>
      </c>
      <c r="R205" s="67" t="s">
        <v>549</v>
      </c>
      <c r="S205" s="60"/>
    </row>
    <row r="206" spans="1:19" hidden="1">
      <c r="A206" s="62" t="s">
        <v>1707</v>
      </c>
      <c r="B206" s="149" t="str">
        <f>IFERROR(VLOOKUP(Proc[[#This Row],[App]],Table2[],3,0),"open")</f>
        <v>ok</v>
      </c>
      <c r="C206" s="62" t="s">
        <v>369</v>
      </c>
      <c r="D206" t="s">
        <v>1699</v>
      </c>
      <c r="E206" t="s">
        <v>631</v>
      </c>
      <c r="F206" s="117" t="s">
        <v>631</v>
      </c>
      <c r="G206" s="62" t="s">
        <v>406</v>
      </c>
      <c r="H206" s="60" t="str">
        <f>IF(Proc[[#This Row],[type]]="LFF (MDG-F)",MID(Proc[[#This Row],[Obj]],13,10),"")</f>
        <v>DE10575119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MGF</v>
      </c>
      <c r="L206" s="60" t="s">
        <v>509</v>
      </c>
      <c r="M206" s="71">
        <v>45690.78837962963</v>
      </c>
      <c r="N206" s="71">
        <v>45692</v>
      </c>
      <c r="O206" s="71">
        <v>45692</v>
      </c>
      <c r="P206" s="67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1</v>
      </c>
      <c r="R206" s="67" t="s">
        <v>549</v>
      </c>
      <c r="S206" s="60"/>
    </row>
    <row r="207" spans="1:19" hidden="1">
      <c r="A207" s="62" t="s">
        <v>1707</v>
      </c>
      <c r="B207" s="149" t="str">
        <f>IFERROR(VLOOKUP(Proc[[#This Row],[App]],Table2[],3,0),"open")</f>
        <v>ok</v>
      </c>
      <c r="C207" s="62" t="s">
        <v>369</v>
      </c>
      <c r="D207" t="s">
        <v>1700</v>
      </c>
      <c r="E207" t="s">
        <v>631</v>
      </c>
      <c r="F207" s="117" t="s">
        <v>631</v>
      </c>
      <c r="G207" s="62" t="s">
        <v>406</v>
      </c>
      <c r="H207" s="60" t="str">
        <f>IF(Proc[[#This Row],[type]]="LFF (MDG-F)",MID(Proc[[#This Row],[Obj]],13,10),"")</f>
        <v>DE10575310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MGF</v>
      </c>
      <c r="L207" s="60" t="s">
        <v>509</v>
      </c>
      <c r="M207" s="71">
        <v>45690.78837962963</v>
      </c>
      <c r="N207" s="71">
        <v>45692</v>
      </c>
      <c r="O207" s="71">
        <v>45692</v>
      </c>
      <c r="P207" s="67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1</v>
      </c>
      <c r="R207" s="67" t="s">
        <v>549</v>
      </c>
      <c r="S207" s="60"/>
    </row>
    <row r="208" spans="1:19" hidden="1">
      <c r="A208" s="62" t="s">
        <v>1707</v>
      </c>
      <c r="B208" s="149" t="str">
        <f>IFERROR(VLOOKUP(Proc[[#This Row],[App]],Table2[],3,0),"open")</f>
        <v>ok</v>
      </c>
      <c r="C208" s="62" t="s">
        <v>369</v>
      </c>
      <c r="D208" t="s">
        <v>1701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DE10675100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45690.78837962963</v>
      </c>
      <c r="N208" s="71">
        <v>45692</v>
      </c>
      <c r="O208" s="71">
        <v>45692</v>
      </c>
      <c r="P208" s="67" t="str">
        <f ca="1">IF(Proc[[#This Row],[DaysAgeing]]&gt;5,"yep","on track")</f>
        <v>on track</v>
      </c>
      <c r="Q208" s="3">
        <f ca="1">IF(Proc[[#This Row],[DateClosed]]="",ABS(NETWORKDAYS(Proc[[#This Row],[DateOpened]],TODAY()))-1,ABS(NETWORKDAYS(Proc[[#This Row],[DateOpened]],Proc[[#This Row],[DateClosed]]))-1)</f>
        <v>1</v>
      </c>
      <c r="R208" s="67" t="s">
        <v>549</v>
      </c>
      <c r="S208" s="60"/>
    </row>
    <row r="209" spans="1:19" hidden="1">
      <c r="A209" s="62" t="s">
        <v>1707</v>
      </c>
      <c r="B209" s="149" t="str">
        <f>IFERROR(VLOOKUP(Proc[[#This Row],[App]],Table2[],3,0),"open")</f>
        <v>ok</v>
      </c>
      <c r="C209" s="62" t="s">
        <v>369</v>
      </c>
      <c r="D209" t="s">
        <v>1702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DE10598500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45690.78837962963</v>
      </c>
      <c r="N209" s="71">
        <v>45692</v>
      </c>
      <c r="O209" s="71">
        <v>45692</v>
      </c>
      <c r="P209" s="67" t="str">
        <f ca="1">IF(Proc[[#This Row],[DaysAgeing]]&gt;5,"yep","on track")</f>
        <v>on track</v>
      </c>
      <c r="Q209" s="3">
        <f ca="1">IF(Proc[[#This Row],[DateClosed]]="",ABS(NETWORKDAYS(Proc[[#This Row],[DateOpened]],TODAY()))-1,ABS(NETWORKDAYS(Proc[[#This Row],[DateOpened]],Proc[[#This Row],[DateClosed]]))-1)</f>
        <v>1</v>
      </c>
      <c r="R209" s="67" t="s">
        <v>549</v>
      </c>
      <c r="S209" s="60"/>
    </row>
    <row r="210" spans="1:19" hidden="1">
      <c r="A210" s="62" t="s">
        <v>1707</v>
      </c>
      <c r="B210" s="149" t="str">
        <f>IFERROR(VLOOKUP(Proc[[#This Row],[App]],Table2[],3,0),"open")</f>
        <v>ok</v>
      </c>
      <c r="C210" t="s">
        <v>369</v>
      </c>
      <c r="D210" t="s">
        <v>1703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DE10598600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45690.78837962963</v>
      </c>
      <c r="N210" s="71">
        <v>45692</v>
      </c>
      <c r="O210" s="71">
        <v>45692</v>
      </c>
      <c r="P210" s="67" t="str">
        <f ca="1">IF(Proc[[#This Row],[DaysAgeing]]&gt;5,"yep","on track")</f>
        <v>on track</v>
      </c>
      <c r="Q210" s="3">
        <f ca="1">IF(Proc[[#This Row],[DateClosed]]="",ABS(NETWORKDAYS(Proc[[#This Row],[DateOpened]],TODAY()))-1,ABS(NETWORKDAYS(Proc[[#This Row],[DateOpened]],Proc[[#This Row],[DateClosed]]))-1)</f>
        <v>1</v>
      </c>
      <c r="R210" s="67" t="s">
        <v>549</v>
      </c>
      <c r="S210" s="60"/>
    </row>
    <row r="211" spans="1:19" hidden="1">
      <c r="A211" s="62" t="s">
        <v>1707</v>
      </c>
      <c r="B211" s="149" t="str">
        <f>IFERROR(VLOOKUP(Proc[[#This Row],[App]],Table2[],3,0),"open")</f>
        <v>ok</v>
      </c>
      <c r="C211" t="s">
        <v>377</v>
      </c>
      <c r="D211" t="s">
        <v>1704</v>
      </c>
      <c r="E211" t="s">
        <v>631</v>
      </c>
      <c r="F211" s="103" t="s">
        <v>631</v>
      </c>
      <c r="G211" s="62" t="s">
        <v>406</v>
      </c>
      <c r="H211" s="60" t="str">
        <f>IF(Proc[[#This Row],[type]]="LFF (MDG-F)",MID(Proc[[#This Row],[Obj]],13,10),"")</f>
        <v>DE10698500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45690.78837962963</v>
      </c>
      <c r="N211" s="71">
        <v>45692</v>
      </c>
      <c r="O211" s="71">
        <v>45692</v>
      </c>
      <c r="P211" s="67" t="str">
        <f ca="1">IF(Proc[[#This Row],[DaysAgeing]]&gt;5,"yep","on track")</f>
        <v>on track</v>
      </c>
      <c r="Q211" s="3">
        <f ca="1">IF(Proc[[#This Row],[DateClosed]]="",ABS(NETWORKDAYS(Proc[[#This Row],[DateOpened]],TODAY()))-1,ABS(NETWORKDAYS(Proc[[#This Row],[DateOpened]],Proc[[#This Row],[DateClosed]]))-1)</f>
        <v>1</v>
      </c>
      <c r="R211" s="67" t="s">
        <v>549</v>
      </c>
      <c r="S211" s="94" t="e">
        <f>VLOOKUP(Proc[[#This Row],[Obj]],#REF!,2,0)</f>
        <v>#REF!</v>
      </c>
    </row>
    <row r="212" spans="1:19" hidden="1">
      <c r="A212" s="62" t="s">
        <v>1707</v>
      </c>
      <c r="B212" s="149" t="str">
        <f>IFERROR(VLOOKUP(Proc[[#This Row],[App]],Table2[],3,0),"open")</f>
        <v>ok</v>
      </c>
      <c r="C212" s="62" t="s">
        <v>369</v>
      </c>
      <c r="D212" t="s">
        <v>1705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DE10575300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45690.78837962963</v>
      </c>
      <c r="N212" s="71">
        <v>45692</v>
      </c>
      <c r="O212" s="71">
        <v>45692</v>
      </c>
      <c r="P212" s="67" t="str">
        <f ca="1">IF(Proc[[#This Row],[DaysAgeing]]&gt;5,"yep","on track")</f>
        <v>on track</v>
      </c>
      <c r="Q212" s="3">
        <f ca="1">IF(Proc[[#This Row],[DateClosed]]="",ABS(NETWORKDAYS(Proc[[#This Row],[DateOpened]],TODAY()))-1,ABS(NETWORKDAYS(Proc[[#This Row],[DateOpened]],Proc[[#This Row],[DateClosed]]))-1)</f>
        <v>1</v>
      </c>
      <c r="R212" s="67" t="s">
        <v>549</v>
      </c>
      <c r="S212" s="60"/>
    </row>
    <row r="213" spans="1:19" hidden="1">
      <c r="A213" t="s">
        <v>1707</v>
      </c>
      <c r="B213" s="149" t="str">
        <f>IFERROR(VLOOKUP(Proc[[#This Row],[App]],Table2[],3,0),"open")</f>
        <v>ok</v>
      </c>
      <c r="C213" s="62" t="s">
        <v>369</v>
      </c>
      <c r="D213" t="s">
        <v>1706</v>
      </c>
      <c r="E213" t="s">
        <v>631</v>
      </c>
      <c r="F213" s="117" t="s">
        <v>631</v>
      </c>
      <c r="G213" t="s">
        <v>406</v>
      </c>
      <c r="H213" s="60" t="str">
        <f>IF(Proc[[#This Row],[type]]="LFF (MDG-F)",MID(Proc[[#This Row],[Obj]],13,10),"")</f>
        <v>DE10672000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45690.78837962963</v>
      </c>
      <c r="N213" s="71">
        <v>45692</v>
      </c>
      <c r="O213" s="71">
        <v>45692</v>
      </c>
      <c r="P213" s="67" t="str">
        <f ca="1">IF(Proc[[#This Row],[DaysAgeing]]&gt;5,"yep","on track")</f>
        <v>on track</v>
      </c>
      <c r="Q213" s="3">
        <f ca="1">IF(Proc[[#This Row],[DateClosed]]="",ABS(NETWORKDAYS(Proc[[#This Row],[DateOpened]],TODAY()))-1,ABS(NETWORKDAYS(Proc[[#This Row],[DateOpened]],Proc[[#This Row],[DateClosed]]))-1)</f>
        <v>1</v>
      </c>
      <c r="R213" s="67" t="s">
        <v>549</v>
      </c>
      <c r="S213" s="60"/>
    </row>
    <row r="214" spans="1:19" hidden="1">
      <c r="A214" s="62" t="s">
        <v>1689</v>
      </c>
      <c r="B214" s="149" t="str">
        <f>IFERROR(VLOOKUP(Proc[[#This Row],[App]],Table2[],3,0),"open")</f>
        <v>ok</v>
      </c>
      <c r="C214" s="62" t="s">
        <v>369</v>
      </c>
      <c r="D214" t="s">
        <v>1690</v>
      </c>
      <c r="E214" t="s">
        <v>1233</v>
      </c>
      <c r="F214" s="117" t="s">
        <v>1233</v>
      </c>
      <c r="G214" s="62" t="s">
        <v>400</v>
      </c>
      <c r="H214" s="60" t="str">
        <f>IF(Proc[[#This Row],[type]]="LFF (MDG-F)",MID(Proc[[#This Row],[Obj]],13,10),"")</f>
        <v/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LS</v>
      </c>
      <c r="L214" s="60" t="s">
        <v>509</v>
      </c>
      <c r="M214" s="71">
        <v>45691.34474537037</v>
      </c>
      <c r="N214" s="71">
        <v>45692</v>
      </c>
      <c r="O214" s="71">
        <v>45692</v>
      </c>
      <c r="P214" s="67" t="str">
        <f ca="1">IF(Proc[[#This Row],[DaysAgeing]]&gt;5,"yep","on track")</f>
        <v>on track</v>
      </c>
      <c r="Q214" s="3">
        <f ca="1">IF(Proc[[#This Row],[DateClosed]]="",ABS(NETWORKDAYS(Proc[[#This Row],[DateOpened]],TODAY()))-1,ABS(NETWORKDAYS(Proc[[#This Row],[DateOpened]],Proc[[#This Row],[DateClosed]]))-1)</f>
        <v>1</v>
      </c>
      <c r="R214" s="67" t="s">
        <v>972</v>
      </c>
      <c r="S214" s="60"/>
    </row>
    <row r="215" spans="1:19" hidden="1">
      <c r="A215" s="62" t="s">
        <v>1689</v>
      </c>
      <c r="B215" s="149" t="str">
        <f>IFERROR(VLOOKUP(Proc[[#This Row],[App]],Table2[],3,0),"open")</f>
        <v>ok</v>
      </c>
      <c r="C215" s="62" t="s">
        <v>369</v>
      </c>
      <c r="D215" t="s">
        <v>1691</v>
      </c>
      <c r="E215" t="s">
        <v>1234</v>
      </c>
      <c r="F215" s="117" t="s">
        <v>1234</v>
      </c>
      <c r="G215" s="62" t="s">
        <v>400</v>
      </c>
      <c r="H215" s="60" t="str">
        <f>IF(Proc[[#This Row],[type]]="LFF (MDG-F)",MID(Proc[[#This Row],[Obj]],13,10),"")</f>
        <v/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LS</v>
      </c>
      <c r="L215" s="60" t="s">
        <v>509</v>
      </c>
      <c r="M215" s="71">
        <v>45691.34474537037</v>
      </c>
      <c r="N215" s="71">
        <v>45692</v>
      </c>
      <c r="O215" s="71">
        <v>45692</v>
      </c>
      <c r="P215" s="67" t="str">
        <f ca="1">IF(Proc[[#This Row],[DaysAgeing]]&gt;5,"yep","on track")</f>
        <v>on track</v>
      </c>
      <c r="Q215" s="3">
        <f ca="1">IF(Proc[[#This Row],[DateClosed]]="",ABS(NETWORKDAYS(Proc[[#This Row],[DateOpened]],TODAY()))-1,ABS(NETWORKDAYS(Proc[[#This Row],[DateOpened]],Proc[[#This Row],[DateClosed]]))-1)</f>
        <v>1</v>
      </c>
      <c r="R215" s="67" t="s">
        <v>972</v>
      </c>
      <c r="S215" s="60"/>
    </row>
    <row r="216" spans="1:19" hidden="1">
      <c r="A216" s="62" t="s">
        <v>1689</v>
      </c>
      <c r="B216" s="149" t="str">
        <f>IFERROR(VLOOKUP(Proc[[#This Row],[App]],Table2[],3,0),"open")</f>
        <v>ok</v>
      </c>
      <c r="C216" s="62" t="s">
        <v>369</v>
      </c>
      <c r="D216" t="s">
        <v>1692</v>
      </c>
      <c r="E216" t="s">
        <v>1235</v>
      </c>
      <c r="F216" s="117" t="s">
        <v>1235</v>
      </c>
      <c r="G216" s="62" t="s">
        <v>400</v>
      </c>
      <c r="H216" s="60" t="str">
        <f>IF(Proc[[#This Row],[type]]="LFF (MDG-F)",MID(Proc[[#This Row],[Obj]],13,10),"")</f>
        <v/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LS</v>
      </c>
      <c r="L216" s="60" t="s">
        <v>509</v>
      </c>
      <c r="M216" s="71">
        <v>45691.34474537037</v>
      </c>
      <c r="N216" s="71">
        <v>45692</v>
      </c>
      <c r="O216" s="71">
        <v>45692</v>
      </c>
      <c r="P216" s="67" t="str">
        <f ca="1">IF(Proc[[#This Row],[DaysAgeing]]&gt;5,"yep","on track")</f>
        <v>on track</v>
      </c>
      <c r="Q216" s="3">
        <f ca="1">IF(Proc[[#This Row],[DateClosed]]="",ABS(NETWORKDAYS(Proc[[#This Row],[DateOpened]],TODAY()))-1,ABS(NETWORKDAYS(Proc[[#This Row],[DateOpened]],Proc[[#This Row],[DateClosed]]))-1)</f>
        <v>1</v>
      </c>
      <c r="R216" s="67" t="s">
        <v>972</v>
      </c>
      <c r="S216" s="60"/>
    </row>
    <row r="217" spans="1:19" hidden="1">
      <c r="A217" s="62" t="s">
        <v>1689</v>
      </c>
      <c r="B217" s="149" t="str">
        <f>IFERROR(VLOOKUP(Proc[[#This Row],[App]],Table2[],3,0),"open")</f>
        <v>ok</v>
      </c>
      <c r="C217" s="62" t="s">
        <v>369</v>
      </c>
      <c r="D217" t="s">
        <v>1693</v>
      </c>
      <c r="E217" t="s">
        <v>1235</v>
      </c>
      <c r="F217" s="117" t="s">
        <v>1235</v>
      </c>
      <c r="G217" s="62" t="s">
        <v>400</v>
      </c>
      <c r="H217" s="60" t="str">
        <f>IF(Proc[[#This Row],[type]]="LFF (MDG-F)",MID(Proc[[#This Row],[Obj]],13,10),"")</f>
        <v/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LS</v>
      </c>
      <c r="L217" s="60" t="s">
        <v>509</v>
      </c>
      <c r="M217" s="71">
        <v>45691.34474537037</v>
      </c>
      <c r="N217" s="71">
        <v>45692</v>
      </c>
      <c r="O217" s="71">
        <v>45692</v>
      </c>
      <c r="P217" s="67" t="str">
        <f ca="1">IF(Proc[[#This Row],[DaysAgeing]]&gt;5,"yep","on track")</f>
        <v>on track</v>
      </c>
      <c r="Q217" s="3">
        <f ca="1">IF(Proc[[#This Row],[DateClosed]]="",ABS(NETWORKDAYS(Proc[[#This Row],[DateOpened]],TODAY()))-1,ABS(NETWORKDAYS(Proc[[#This Row],[DateOpened]],Proc[[#This Row],[DateClosed]]))-1)</f>
        <v>1</v>
      </c>
      <c r="R217" s="67" t="s">
        <v>972</v>
      </c>
      <c r="S217" s="60"/>
    </row>
    <row r="218" spans="1:19" hidden="1">
      <c r="A218" s="62" t="s">
        <v>1687</v>
      </c>
      <c r="B218" s="149" t="str">
        <f>IFERROR(VLOOKUP(Proc[[#This Row],[App]],Table2[],3,0),"open")</f>
        <v>ok</v>
      </c>
      <c r="C218" s="62" t="s">
        <v>369</v>
      </c>
      <c r="D218" t="s">
        <v>1688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DE20675100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45691.389618055553</v>
      </c>
      <c r="N218" s="71">
        <v>45692</v>
      </c>
      <c r="O218" s="71">
        <v>45692</v>
      </c>
      <c r="P218" s="67" t="str">
        <f ca="1">IF(Proc[[#This Row],[DaysAgeing]]&gt;5,"yep","on track")</f>
        <v>on track</v>
      </c>
      <c r="Q218" s="3">
        <f ca="1">IF(Proc[[#This Row],[DateClosed]]="",ABS(NETWORKDAYS(Proc[[#This Row],[DateOpened]],TODAY()))-1,ABS(NETWORKDAYS(Proc[[#This Row],[DateOpened]],Proc[[#This Row],[DateClosed]]))-1)</f>
        <v>1</v>
      </c>
      <c r="R218" s="67" t="s">
        <v>549</v>
      </c>
      <c r="S218" s="60"/>
    </row>
    <row r="219" spans="1:19" hidden="1">
      <c r="A219" t="s">
        <v>1720</v>
      </c>
      <c r="B219" s="149" t="str">
        <f>IFERROR(VLOOKUP(Proc[[#This Row],[App]],Table2[],3,0),"open")</f>
        <v>ok</v>
      </c>
      <c r="C219" t="s">
        <v>369</v>
      </c>
      <c r="D219" t="s">
        <v>1719</v>
      </c>
      <c r="E219" t="s">
        <v>476</v>
      </c>
      <c r="F219" s="117" t="s">
        <v>476</v>
      </c>
      <c r="G219" t="s">
        <v>406</v>
      </c>
      <c r="H219" s="60" t="str">
        <f>IF(Proc[[#This Row],[type]]="LFF (MDG-F)",MID(Proc[[#This Row],[Obj]],13,10),"")</f>
        <v>CH50L98016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45691.550567129627</v>
      </c>
      <c r="N219" s="71">
        <v>45693</v>
      </c>
      <c r="O219" s="71">
        <v>45693</v>
      </c>
      <c r="P219" s="67" t="str">
        <f ca="1">IF(Proc[[#This Row],[DaysAgeing]]&gt;5,"yep","on track")</f>
        <v>on track</v>
      </c>
      <c r="Q219" s="3">
        <f ca="1">IF(Proc[[#This Row],[DateClosed]]="",ABS(NETWORKDAYS(Proc[[#This Row],[DateOpened]],TODAY()))-1,ABS(NETWORKDAYS(Proc[[#This Row],[DateOpened]],Proc[[#This Row],[DateClosed]]))-1)</f>
        <v>2</v>
      </c>
      <c r="R219" s="67" t="s">
        <v>515</v>
      </c>
      <c r="S219" s="60"/>
    </row>
    <row r="220" spans="1:19" hidden="1">
      <c r="A220" s="62" t="s">
        <v>1717</v>
      </c>
      <c r="B220" s="149" t="str">
        <f>IFERROR(VLOOKUP(Proc[[#This Row],[App]],Table2[],3,0),"open")</f>
        <v>ok</v>
      </c>
      <c r="C220" s="62" t="s">
        <v>369</v>
      </c>
      <c r="D220" t="s">
        <v>445</v>
      </c>
      <c r="E220" t="s">
        <v>1232</v>
      </c>
      <c r="F220" s="117" t="s">
        <v>1232</v>
      </c>
      <c r="G220" t="s">
        <v>400</v>
      </c>
      <c r="H220" s="60" t="str">
        <f>IF(Proc[[#This Row],[type]]="LFF (MDG-F)",MID(Proc[[#This Row],[Obj]],13,10),"")</f>
        <v/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45691.694965277777</v>
      </c>
      <c r="N220" s="71">
        <v>45712</v>
      </c>
      <c r="O220" s="71">
        <v>45712</v>
      </c>
      <c r="P220" s="67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15</v>
      </c>
      <c r="R220" s="67" t="s">
        <v>1459</v>
      </c>
      <c r="S220" s="60"/>
    </row>
    <row r="221" spans="1:19" hidden="1">
      <c r="A221" s="62" t="s">
        <v>1717</v>
      </c>
      <c r="B221" s="149" t="str">
        <f>IFERROR(VLOOKUP(Proc[[#This Row],[App]],Table2[],3,0),"open")</f>
        <v>ok</v>
      </c>
      <c r="C221" s="62" t="s">
        <v>369</v>
      </c>
      <c r="D221" t="s">
        <v>660</v>
      </c>
      <c r="E221" t="s">
        <v>759</v>
      </c>
      <c r="F221" s="117" t="s">
        <v>759</v>
      </c>
      <c r="G221" s="62" t="s">
        <v>406</v>
      </c>
      <c r="H221" s="60" t="str">
        <f>IF(Proc[[#This Row],[type]]="LFF (MDG-F)",MID(Proc[[#This Row],[Obj]],13,10),"")</f>
        <v>DE10515400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45691.694965277777</v>
      </c>
      <c r="N221" s="71">
        <v>45712</v>
      </c>
      <c r="O221" s="71">
        <v>45712</v>
      </c>
      <c r="P221" s="67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15</v>
      </c>
      <c r="R221" s="67" t="s">
        <v>1459</v>
      </c>
      <c r="S221" s="60"/>
    </row>
    <row r="222" spans="1:19" hidden="1">
      <c r="A222" s="62" t="s">
        <v>1717</v>
      </c>
      <c r="B222" s="149" t="str">
        <f>IFERROR(VLOOKUP(Proc[[#This Row],[App]],Table2[],3,0),"open")</f>
        <v>ok</v>
      </c>
      <c r="C222" s="62" t="s">
        <v>369</v>
      </c>
      <c r="D222" t="s">
        <v>432</v>
      </c>
      <c r="E222" t="s">
        <v>1232</v>
      </c>
      <c r="F222" s="117" t="s">
        <v>1232</v>
      </c>
      <c r="G222" s="62" t="s">
        <v>406</v>
      </c>
      <c r="H222" s="60" t="str">
        <f>IF(Proc[[#This Row],[type]]="LFF (MDG-F)",MID(Proc[[#This Row],[Obj]],13,10),"")</f>
        <v>DE10533731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45691.694965277777</v>
      </c>
      <c r="N222" s="71">
        <v>45712</v>
      </c>
      <c r="O222" s="71">
        <v>45712</v>
      </c>
      <c r="P222" s="67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15</v>
      </c>
      <c r="R222" s="67" t="s">
        <v>1459</v>
      </c>
      <c r="S222" s="60"/>
    </row>
    <row r="223" spans="1:19" hidden="1">
      <c r="A223" s="62" t="s">
        <v>1717</v>
      </c>
      <c r="B223" s="149" t="str">
        <f>IFERROR(VLOOKUP(Proc[[#This Row],[App]],Table2[],3,0),"open")</f>
        <v>ok</v>
      </c>
      <c r="C223" s="62" t="s">
        <v>369</v>
      </c>
      <c r="D223" t="s">
        <v>431</v>
      </c>
      <c r="E223" t="s">
        <v>1232</v>
      </c>
      <c r="F223" s="117" t="s">
        <v>1232</v>
      </c>
      <c r="G223" s="62" t="s">
        <v>406</v>
      </c>
      <c r="H223" s="60" t="str">
        <f>IF(Proc[[#This Row],[type]]="LFF (MDG-F)",MID(Proc[[#This Row],[Obj]],13,10),"")</f>
        <v>DE10533730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45691.694965277777</v>
      </c>
      <c r="N223" s="71">
        <v>45712</v>
      </c>
      <c r="O223" s="71">
        <v>45712</v>
      </c>
      <c r="P223" s="67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15</v>
      </c>
      <c r="R223" s="67" t="s">
        <v>1459</v>
      </c>
      <c r="S223" s="60"/>
    </row>
    <row r="224" spans="1:19" hidden="1">
      <c r="A224" s="62" t="s">
        <v>1717</v>
      </c>
      <c r="B224" s="149" t="str">
        <f>IFERROR(VLOOKUP(Proc[[#This Row],[App]],Table2[],3,0),"open")</f>
        <v>ok</v>
      </c>
      <c r="C224" s="62" t="s">
        <v>369</v>
      </c>
      <c r="D224" t="s">
        <v>428</v>
      </c>
      <c r="E224" t="s">
        <v>1232</v>
      </c>
      <c r="F224" s="117" t="s">
        <v>1232</v>
      </c>
      <c r="G224" s="62" t="s">
        <v>400</v>
      </c>
      <c r="H224" s="60" t="str">
        <f>IF(Proc[[#This Row],[type]]="LFF (MDG-F)",MID(Proc[[#This Row],[Obj]],13,10),"")</f>
        <v/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45691.694965277777</v>
      </c>
      <c r="N224" s="71">
        <v>45712</v>
      </c>
      <c r="O224" s="71">
        <v>45712</v>
      </c>
      <c r="P224" s="67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15</v>
      </c>
      <c r="R224" s="67" t="s">
        <v>1459</v>
      </c>
      <c r="S224" s="60"/>
    </row>
    <row r="225" spans="1:19" hidden="1">
      <c r="A225" s="62" t="s">
        <v>1717</v>
      </c>
      <c r="B225" s="149" t="str">
        <f>IFERROR(VLOOKUP(Proc[[#This Row],[App]],Table2[],3,0),"open")</f>
        <v>ok</v>
      </c>
      <c r="C225" s="62" t="s">
        <v>369</v>
      </c>
      <c r="D225" t="s">
        <v>444</v>
      </c>
      <c r="E225" t="s">
        <v>1232</v>
      </c>
      <c r="F225" s="117" t="s">
        <v>1232</v>
      </c>
      <c r="G225" s="62" t="s">
        <v>400</v>
      </c>
      <c r="H225" s="60" t="str">
        <f>IF(Proc[[#This Row],[type]]="LFF (MDG-F)",MID(Proc[[#This Row],[Obj]],13,10),"")</f>
        <v/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45691.694965277777</v>
      </c>
      <c r="N225" s="71">
        <v>45712</v>
      </c>
      <c r="O225" s="71">
        <v>45712</v>
      </c>
      <c r="P225" s="67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15</v>
      </c>
      <c r="R225" s="67" t="s">
        <v>1459</v>
      </c>
      <c r="S225" s="60"/>
    </row>
    <row r="226" spans="1:19" hidden="1">
      <c r="A226" s="62" t="s">
        <v>1717</v>
      </c>
      <c r="B226" s="149" t="str">
        <f>IFERROR(VLOOKUP(Proc[[#This Row],[App]],Table2[],3,0),"open")</f>
        <v>ok</v>
      </c>
      <c r="C226" s="62" t="s">
        <v>369</v>
      </c>
      <c r="D226" t="s">
        <v>440</v>
      </c>
      <c r="E226" t="s">
        <v>1232</v>
      </c>
      <c r="F226" s="117" t="s">
        <v>1232</v>
      </c>
      <c r="G226" s="62" t="s">
        <v>400</v>
      </c>
      <c r="H226" s="60" t="str">
        <f>IF(Proc[[#This Row],[type]]="LFF (MDG-F)",MID(Proc[[#This Row],[Obj]],13,10),"")</f>
        <v/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45691.694965277777</v>
      </c>
      <c r="N226" s="71">
        <v>45712</v>
      </c>
      <c r="O226" s="71">
        <v>45712</v>
      </c>
      <c r="P226" s="67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15</v>
      </c>
      <c r="R226" s="67" t="s">
        <v>1459</v>
      </c>
      <c r="S226" s="60"/>
    </row>
    <row r="227" spans="1:19" hidden="1">
      <c r="A227" s="62" t="s">
        <v>1717</v>
      </c>
      <c r="B227" s="149" t="str">
        <f>IFERROR(VLOOKUP(Proc[[#This Row],[App]],Table2[],3,0),"open")</f>
        <v>ok</v>
      </c>
      <c r="C227" s="62" t="s">
        <v>369</v>
      </c>
      <c r="D227" t="s">
        <v>442</v>
      </c>
      <c r="E227" t="s">
        <v>1232</v>
      </c>
      <c r="F227" s="117" t="s">
        <v>1232</v>
      </c>
      <c r="G227" s="62" t="s">
        <v>400</v>
      </c>
      <c r="H227" s="60" t="str">
        <f>IF(Proc[[#This Row],[type]]="LFF (MDG-F)",MID(Proc[[#This Row],[Obj]],13,10),"")</f>
        <v/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45691.694965277777</v>
      </c>
      <c r="N227" s="71">
        <v>45712</v>
      </c>
      <c r="O227" s="71">
        <v>45712</v>
      </c>
      <c r="P227" s="67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15</v>
      </c>
      <c r="R227" s="67" t="s">
        <v>1459</v>
      </c>
      <c r="S227" s="60"/>
    </row>
    <row r="228" spans="1:19" hidden="1">
      <c r="A228" s="62" t="s">
        <v>1717</v>
      </c>
      <c r="B228" s="149" t="str">
        <f>IFERROR(VLOOKUP(Proc[[#This Row],[App]],Table2[],3,0),"open")</f>
        <v>ok</v>
      </c>
      <c r="C228" s="62" t="s">
        <v>369</v>
      </c>
      <c r="D228" t="s">
        <v>441</v>
      </c>
      <c r="E228" t="s">
        <v>1232</v>
      </c>
      <c r="F228" s="117" t="s">
        <v>1232</v>
      </c>
      <c r="G228" s="62" t="s">
        <v>400</v>
      </c>
      <c r="H228" s="60" t="str">
        <f>IF(Proc[[#This Row],[type]]="LFF (MDG-F)",MID(Proc[[#This Row],[Obj]],13,10),"")</f>
        <v/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45691.694965277777</v>
      </c>
      <c r="N228" s="71">
        <v>45712</v>
      </c>
      <c r="O228" s="71">
        <v>45712</v>
      </c>
      <c r="P228" s="67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15</v>
      </c>
      <c r="R228" s="67" t="s">
        <v>1459</v>
      </c>
      <c r="S228" s="60"/>
    </row>
    <row r="229" spans="1:19" hidden="1">
      <c r="A229" s="62" t="s">
        <v>1717</v>
      </c>
      <c r="B229" s="149" t="str">
        <f>IFERROR(VLOOKUP(Proc[[#This Row],[App]],Table2[],3,0),"open")</f>
        <v>ok</v>
      </c>
      <c r="C229" s="62" t="s">
        <v>369</v>
      </c>
      <c r="D229" t="s">
        <v>437</v>
      </c>
      <c r="E229" t="s">
        <v>1232</v>
      </c>
      <c r="F229" s="117" t="s">
        <v>1232</v>
      </c>
      <c r="G229" s="62" t="s">
        <v>400</v>
      </c>
      <c r="H229" s="60" t="str">
        <f>IF(Proc[[#This Row],[type]]="LFF (MDG-F)",MID(Proc[[#This Row],[Obj]],13,10),"")</f>
        <v/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45691.694965277777</v>
      </c>
      <c r="N229" s="71">
        <v>45712</v>
      </c>
      <c r="O229" s="71">
        <v>45712</v>
      </c>
      <c r="P229" s="67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15</v>
      </c>
      <c r="R229" s="67" t="s">
        <v>1459</v>
      </c>
      <c r="S229" s="60"/>
    </row>
    <row r="230" spans="1:19" hidden="1">
      <c r="A230" s="62" t="s">
        <v>1717</v>
      </c>
      <c r="B230" s="149" t="str">
        <f>IFERROR(VLOOKUP(Proc[[#This Row],[App]],Table2[],3,0),"open")</f>
        <v>ok</v>
      </c>
      <c r="C230" s="62" t="s">
        <v>369</v>
      </c>
      <c r="D230" t="s">
        <v>439</v>
      </c>
      <c r="E230" t="s">
        <v>1232</v>
      </c>
      <c r="F230" s="117" t="s">
        <v>1232</v>
      </c>
      <c r="G230" s="62" t="s">
        <v>400</v>
      </c>
      <c r="H230" s="60" t="str">
        <f>IF(Proc[[#This Row],[type]]="LFF (MDG-F)",MID(Proc[[#This Row],[Obj]],13,10),"")</f>
        <v/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45691.694965277777</v>
      </c>
      <c r="N230" s="71">
        <v>45712</v>
      </c>
      <c r="O230" s="71">
        <v>45712</v>
      </c>
      <c r="P230" s="67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15</v>
      </c>
      <c r="R230" s="67" t="s">
        <v>1459</v>
      </c>
      <c r="S230" s="60"/>
    </row>
    <row r="231" spans="1:19" hidden="1">
      <c r="A231" s="62" t="s">
        <v>1717</v>
      </c>
      <c r="B231" s="149" t="str">
        <f>IFERROR(VLOOKUP(Proc[[#This Row],[App]],Table2[],3,0),"open")</f>
        <v>ok</v>
      </c>
      <c r="C231" s="62" t="s">
        <v>369</v>
      </c>
      <c r="D231" t="s">
        <v>1718</v>
      </c>
      <c r="E231" t="s">
        <v>1232</v>
      </c>
      <c r="F231" s="117" t="s">
        <v>1232</v>
      </c>
      <c r="G231" s="62" t="s">
        <v>406</v>
      </c>
      <c r="H231" s="60" t="str">
        <f>IF(Proc[[#This Row],[type]]="LFF (MDG-F)",MID(Proc[[#This Row],[Obj]],13,10),"")</f>
        <v>2029GIT00M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45691.694965277777</v>
      </c>
      <c r="N231" s="71">
        <v>45712</v>
      </c>
      <c r="O231" s="71">
        <v>45712</v>
      </c>
      <c r="P231" s="67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15</v>
      </c>
      <c r="R231" s="67" t="s">
        <v>1459</v>
      </c>
      <c r="S231" s="60"/>
    </row>
    <row r="232" spans="1:19" hidden="1">
      <c r="A232" s="62" t="s">
        <v>1717</v>
      </c>
      <c r="B232" s="149" t="str">
        <f>IFERROR(VLOOKUP(Proc[[#This Row],[App]],Table2[],3,0),"open")</f>
        <v>ok</v>
      </c>
      <c r="C232" s="62" t="s">
        <v>369</v>
      </c>
      <c r="D232" t="s">
        <v>438</v>
      </c>
      <c r="E232" t="s">
        <v>1232</v>
      </c>
      <c r="F232" s="117" t="s">
        <v>1232</v>
      </c>
      <c r="G232" s="62" t="s">
        <v>400</v>
      </c>
      <c r="H232" s="60" t="str">
        <f>IF(Proc[[#This Row],[type]]="LFF (MDG-F)",MID(Proc[[#This Row],[Obj]],13,10),"")</f>
        <v/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45691.694965277777</v>
      </c>
      <c r="N232" s="71">
        <v>45712</v>
      </c>
      <c r="O232" s="71">
        <v>45712</v>
      </c>
      <c r="P232" s="67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15</v>
      </c>
      <c r="R232" s="67" t="s">
        <v>1459</v>
      </c>
      <c r="S232" s="60"/>
    </row>
    <row r="233" spans="1:19" hidden="1">
      <c r="A233" s="62" t="s">
        <v>1717</v>
      </c>
      <c r="B233" s="149" t="str">
        <f>IFERROR(VLOOKUP(Proc[[#This Row],[App]],Table2[],3,0),"open")</f>
        <v>ok</v>
      </c>
      <c r="C233" s="62" t="s">
        <v>369</v>
      </c>
      <c r="D233" t="s">
        <v>434</v>
      </c>
      <c r="E233" t="s">
        <v>1232</v>
      </c>
      <c r="F233" s="117" t="s">
        <v>1232</v>
      </c>
      <c r="G233" s="62" t="s">
        <v>400</v>
      </c>
      <c r="H233" s="60" t="str">
        <f>IF(Proc[[#This Row],[type]]="LFF (MDG-F)",MID(Proc[[#This Row],[Obj]],13,10),"")</f>
        <v/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45691.694965277777</v>
      </c>
      <c r="N233" s="71">
        <v>45712</v>
      </c>
      <c r="O233" s="71">
        <v>45712</v>
      </c>
      <c r="P233" s="67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15</v>
      </c>
      <c r="R233" s="67" t="s">
        <v>1459</v>
      </c>
      <c r="S233" s="60"/>
    </row>
    <row r="234" spans="1:19" hidden="1">
      <c r="A234" s="62" t="s">
        <v>1717</v>
      </c>
      <c r="B234" s="149" t="str">
        <f>IFERROR(VLOOKUP(Proc[[#This Row],[App]],Table2[],3,0),"open")</f>
        <v>ok</v>
      </c>
      <c r="C234" s="62" t="s">
        <v>369</v>
      </c>
      <c r="D234" t="s">
        <v>435</v>
      </c>
      <c r="E234" t="s">
        <v>1232</v>
      </c>
      <c r="F234" s="117" t="s">
        <v>1232</v>
      </c>
      <c r="G234" s="62" t="s">
        <v>400</v>
      </c>
      <c r="H234" s="60" t="str">
        <f>IF(Proc[[#This Row],[type]]="LFF (MDG-F)",MID(Proc[[#This Row],[Obj]],13,10),"")</f>
        <v/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45691.694965277777</v>
      </c>
      <c r="N234" s="71">
        <v>45712</v>
      </c>
      <c r="O234" s="71">
        <v>45712</v>
      </c>
      <c r="P234" s="67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15</v>
      </c>
      <c r="R234" s="67" t="s">
        <v>1459</v>
      </c>
      <c r="S234" s="60"/>
    </row>
    <row r="235" spans="1:19" hidden="1">
      <c r="A235" s="62" t="s">
        <v>1717</v>
      </c>
      <c r="B235" s="149" t="str">
        <f>IFERROR(VLOOKUP(Proc[[#This Row],[App]],Table2[],3,0),"open")</f>
        <v>ok</v>
      </c>
      <c r="C235" s="62" t="s">
        <v>369</v>
      </c>
      <c r="D235" t="s">
        <v>436</v>
      </c>
      <c r="E235" t="s">
        <v>1232</v>
      </c>
      <c r="F235" s="117" t="s">
        <v>1232</v>
      </c>
      <c r="G235" s="62" t="s">
        <v>400</v>
      </c>
      <c r="H235" s="60" t="str">
        <f>IF(Proc[[#This Row],[type]]="LFF (MDG-F)",MID(Proc[[#This Row],[Obj]],13,10),"")</f>
        <v/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45691.694965277777</v>
      </c>
      <c r="N235" s="71">
        <v>45712</v>
      </c>
      <c r="O235" s="71">
        <v>45712</v>
      </c>
      <c r="P235" s="67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15</v>
      </c>
      <c r="R235" s="67" t="s">
        <v>1459</v>
      </c>
      <c r="S235" s="60"/>
    </row>
    <row r="236" spans="1:19" hidden="1">
      <c r="A236" t="s">
        <v>1717</v>
      </c>
      <c r="B236" s="149" t="str">
        <f>IFERROR(VLOOKUP(Proc[[#This Row],[App]],Table2[],3,0),"open")</f>
        <v>ok</v>
      </c>
      <c r="C236" s="62" t="s">
        <v>369</v>
      </c>
      <c r="D236" t="s">
        <v>433</v>
      </c>
      <c r="E236" t="s">
        <v>1232</v>
      </c>
      <c r="F236" s="117" t="s">
        <v>1232</v>
      </c>
      <c r="G236" s="62" t="s">
        <v>406</v>
      </c>
      <c r="H236" s="60" t="str">
        <f>IF(Proc[[#This Row],[type]]="LFF (MDG-F)",MID(Proc[[#This Row],[Obj]],13,10),"")</f>
        <v>2123GIT094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45691.694965277777</v>
      </c>
      <c r="N236" s="71">
        <v>45712</v>
      </c>
      <c r="O236" s="71">
        <v>45712</v>
      </c>
      <c r="P236" s="67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15</v>
      </c>
      <c r="R236" s="67" t="s">
        <v>1459</v>
      </c>
      <c r="S236" s="60"/>
    </row>
    <row r="237" spans="1:19" hidden="1">
      <c r="A237" t="s">
        <v>1746</v>
      </c>
      <c r="B237" s="149" t="str">
        <f>IFERROR(VLOOKUP(Proc[[#This Row],[App]],Table2[],3,0),"open")</f>
        <v>ok</v>
      </c>
      <c r="C237" t="s">
        <v>377</v>
      </c>
      <c r="D237" t="s">
        <v>1747</v>
      </c>
      <c r="E237" t="s">
        <v>497</v>
      </c>
      <c r="F237" s="103" t="s">
        <v>497</v>
      </c>
      <c r="G237" s="62" t="s">
        <v>406</v>
      </c>
      <c r="H237" s="60" t="str">
        <f>IF(Proc[[#This Row],[type]]="LFF (MDG-F)",MID(Proc[[#This Row],[Obj]],13,10),"")</f>
        <v>DE10GT8764</v>
      </c>
      <c r="I237" t="s">
        <v>822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LS</v>
      </c>
      <c r="L237" s="60" t="s">
        <v>509</v>
      </c>
      <c r="M237" s="71">
        <v>45692.314629629633</v>
      </c>
      <c r="O237" s="71">
        <v>45693</v>
      </c>
      <c r="P237" s="67" t="str">
        <f ca="1">IF(Proc[[#This Row],[DaysAgeing]]&gt;5,"yep","on track")</f>
        <v>on track</v>
      </c>
      <c r="Q237" s="3">
        <f ca="1">IF(Proc[[#This Row],[DateClosed]]="",ABS(NETWORKDAYS(Proc[[#This Row],[DateOpened]],TODAY()))-1,ABS(NETWORKDAYS(Proc[[#This Row],[DateOpened]],Proc[[#This Row],[DateClosed]]))-1)</f>
        <v>1</v>
      </c>
      <c r="R237" s="67" t="s">
        <v>972</v>
      </c>
      <c r="S237" s="94" t="e">
        <f>VLOOKUP(Proc[[#This Row],[Obj]],#REF!,2,0)</f>
        <v>#REF!</v>
      </c>
    </row>
    <row r="238" spans="1:19" hidden="1">
      <c r="A238" s="62" t="s">
        <v>1746</v>
      </c>
      <c r="B238" s="149" t="str">
        <f>IFERROR(VLOOKUP(Proc[[#This Row],[App]],Table2[],3,0),"open")</f>
        <v>ok</v>
      </c>
      <c r="C238" s="62" t="s">
        <v>369</v>
      </c>
      <c r="D238" t="s">
        <v>1748</v>
      </c>
      <c r="E238" t="s">
        <v>497</v>
      </c>
      <c r="F238" s="117" t="s">
        <v>497</v>
      </c>
      <c r="G238" s="62" t="s">
        <v>400</v>
      </c>
      <c r="H238" s="60" t="str">
        <f>IF(Proc[[#This Row],[type]]="LFF (MDG-F)",MID(Proc[[#This Row],[Obj]],13,10),"")</f>
        <v/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LS</v>
      </c>
      <c r="L238" s="60" t="s">
        <v>509</v>
      </c>
      <c r="M238" s="71">
        <v>45692.314629629633</v>
      </c>
      <c r="N238" s="71">
        <v>45693</v>
      </c>
      <c r="O238" s="71">
        <v>45693</v>
      </c>
      <c r="P238" s="67" t="str">
        <f ca="1">IF(Proc[[#This Row],[DaysAgeing]]&gt;5,"yep","on track")</f>
        <v>on track</v>
      </c>
      <c r="Q238" s="3">
        <f ca="1">IF(Proc[[#This Row],[DateClosed]]="",ABS(NETWORKDAYS(Proc[[#This Row],[DateOpened]],TODAY()))-1,ABS(NETWORKDAYS(Proc[[#This Row],[DateOpened]],Proc[[#This Row],[DateClosed]]))-1)</f>
        <v>1</v>
      </c>
      <c r="R238" s="67" t="s">
        <v>972</v>
      </c>
      <c r="S238" s="60"/>
    </row>
    <row r="239" spans="1:19" hidden="1">
      <c r="A239" s="62" t="s">
        <v>1746</v>
      </c>
      <c r="B239" s="149" t="str">
        <f>IFERROR(VLOOKUP(Proc[[#This Row],[App]],Table2[],3,0),"open")</f>
        <v>ok</v>
      </c>
      <c r="C239" s="62" t="s">
        <v>369</v>
      </c>
      <c r="D239" t="s">
        <v>1749</v>
      </c>
      <c r="E239" t="s">
        <v>447</v>
      </c>
      <c r="F239" s="117" t="s">
        <v>447</v>
      </c>
      <c r="G239" s="62" t="s">
        <v>400</v>
      </c>
      <c r="H239" s="60" t="str">
        <f>IF(Proc[[#This Row],[type]]="LFF (MDG-F)",MID(Proc[[#This Row],[Obj]],13,10),"")</f>
        <v/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LS</v>
      </c>
      <c r="L239" s="60" t="s">
        <v>509</v>
      </c>
      <c r="M239" s="71">
        <v>45692.314629629633</v>
      </c>
      <c r="N239" s="71">
        <v>45693</v>
      </c>
      <c r="O239" s="71">
        <v>45693</v>
      </c>
      <c r="P239" s="67" t="str">
        <f ca="1">IF(Proc[[#This Row],[DaysAgeing]]&gt;5,"yep","on track")</f>
        <v>on track</v>
      </c>
      <c r="Q239" s="3">
        <f ca="1">IF(Proc[[#This Row],[DateClosed]]="",ABS(NETWORKDAYS(Proc[[#This Row],[DateOpened]],TODAY()))-1,ABS(NETWORKDAYS(Proc[[#This Row],[DateOpened]],Proc[[#This Row],[DateClosed]]))-1)</f>
        <v>1</v>
      </c>
      <c r="R239" s="67" t="s">
        <v>972</v>
      </c>
      <c r="S239" s="60"/>
    </row>
    <row r="240" spans="1:19" hidden="1">
      <c r="A240" s="62" t="s">
        <v>1746</v>
      </c>
      <c r="B240" s="149" t="str">
        <f>IFERROR(VLOOKUP(Proc[[#This Row],[App]],Table2[],3,0),"open")</f>
        <v>ok</v>
      </c>
      <c r="C240" s="62" t="s">
        <v>369</v>
      </c>
      <c r="D240" t="s">
        <v>1750</v>
      </c>
      <c r="E240" t="s">
        <v>524</v>
      </c>
      <c r="F240" s="117" t="s">
        <v>524</v>
      </c>
      <c r="G240" s="62" t="s">
        <v>400</v>
      </c>
      <c r="H240" s="60" t="str">
        <f>IF(Proc[[#This Row],[type]]="LFF (MDG-F)",MID(Proc[[#This Row],[Obj]],13,10),"")</f>
        <v/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LS</v>
      </c>
      <c r="L240" s="60" t="s">
        <v>509</v>
      </c>
      <c r="M240" s="71">
        <v>45692.314629629633</v>
      </c>
      <c r="N240" s="71">
        <v>45693</v>
      </c>
      <c r="O240" s="71">
        <v>45693</v>
      </c>
      <c r="P240" s="67" t="str">
        <f ca="1">IF(Proc[[#This Row],[DaysAgeing]]&gt;5,"yep","on track")</f>
        <v>on track</v>
      </c>
      <c r="Q240" s="3">
        <f ca="1">IF(Proc[[#This Row],[DateClosed]]="",ABS(NETWORKDAYS(Proc[[#This Row],[DateOpened]],TODAY()))-1,ABS(NETWORKDAYS(Proc[[#This Row],[DateOpened]],Proc[[#This Row],[DateClosed]]))-1)</f>
        <v>1</v>
      </c>
      <c r="R240" s="67" t="s">
        <v>972</v>
      </c>
      <c r="S240" s="60"/>
    </row>
    <row r="241" spans="1:19" hidden="1">
      <c r="A241" s="62" t="s">
        <v>1744</v>
      </c>
      <c r="B241" s="149" t="str">
        <f>IFERROR(VLOOKUP(Proc[[#This Row],[App]],Table2[],3,0),"open")</f>
        <v>ok</v>
      </c>
      <c r="C241" s="62" t="s">
        <v>369</v>
      </c>
      <c r="D241" t="s">
        <v>1745</v>
      </c>
      <c r="E241" t="s">
        <v>493</v>
      </c>
      <c r="F241" s="117" t="s">
        <v>493</v>
      </c>
      <c r="G241" s="62" t="s">
        <v>400</v>
      </c>
      <c r="H241" s="60" t="str">
        <f>IF(Proc[[#This Row],[type]]="LFF (MDG-F)",MID(Proc[[#This Row],[Obj]],13,10),"")</f>
        <v/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HC</v>
      </c>
      <c r="L241" s="60" t="s">
        <v>509</v>
      </c>
      <c r="M241" s="71">
        <v>45692.351273148146</v>
      </c>
      <c r="N241" s="71">
        <v>45693</v>
      </c>
      <c r="O241" s="71">
        <v>45693</v>
      </c>
      <c r="P241" s="67" t="str">
        <f ca="1">IF(Proc[[#This Row],[DaysAgeing]]&gt;5,"yep","on track")</f>
        <v>on track</v>
      </c>
      <c r="Q241" s="3">
        <f ca="1">IF(Proc[[#This Row],[DateClosed]]="",ABS(NETWORKDAYS(Proc[[#This Row],[DateOpened]],TODAY()))-1,ABS(NETWORKDAYS(Proc[[#This Row],[DateOpened]],Proc[[#This Row],[DateClosed]]))-1)</f>
        <v>1</v>
      </c>
      <c r="R241" s="67" t="s">
        <v>410</v>
      </c>
      <c r="S241" s="60"/>
    </row>
    <row r="242" spans="1:19" hidden="1">
      <c r="A242" s="62" t="s">
        <v>1743</v>
      </c>
      <c r="B242" s="149" t="str">
        <f>IFERROR(VLOOKUP(Proc[[#This Row],[App]],Table2[],3,0),"open")</f>
        <v>ok</v>
      </c>
      <c r="C242" s="62" t="s">
        <v>377</v>
      </c>
      <c r="D242" t="s">
        <v>1721</v>
      </c>
      <c r="E242" t="s">
        <v>631</v>
      </c>
      <c r="F242" s="103" t="s">
        <v>631</v>
      </c>
      <c r="G242" s="62" t="s">
        <v>406</v>
      </c>
      <c r="H242" s="60" t="str">
        <f>IF(Proc[[#This Row],[type]]="LFF (MDG-F)",MID(Proc[[#This Row],[Obj]],13,10),"")</f>
        <v>DE20538290</v>
      </c>
      <c r="I242" t="s">
        <v>446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45692.46533564815</v>
      </c>
      <c r="P242" s="67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217</v>
      </c>
      <c r="R242" s="67" t="s">
        <v>549</v>
      </c>
      <c r="S242" s="94" t="e">
        <f>VLOOKUP(Proc[[#This Row],[Obj]],#REF!,2,0)</f>
        <v>#REF!</v>
      </c>
    </row>
    <row r="243" spans="1:19" hidden="1">
      <c r="A243" s="62" t="s">
        <v>1743</v>
      </c>
      <c r="B243" s="149" t="str">
        <f>IFERROR(VLOOKUP(Proc[[#This Row],[App]],Table2[],3,0),"open")</f>
        <v>ok</v>
      </c>
      <c r="C243" s="62" t="s">
        <v>369</v>
      </c>
      <c r="D243" t="s">
        <v>559</v>
      </c>
      <c r="E243" t="s">
        <v>631</v>
      </c>
      <c r="F243" s="117" t="s">
        <v>631</v>
      </c>
      <c r="G243" s="62" t="s">
        <v>406</v>
      </c>
      <c r="H243" s="60" t="str">
        <f>IF(Proc[[#This Row],[type]]="LFF (MDG-F)",MID(Proc[[#This Row],[Obj]],13,10),"")</f>
        <v>DE10598000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45692.46533564815</v>
      </c>
      <c r="P243" s="67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217</v>
      </c>
      <c r="R243" s="67" t="s">
        <v>549</v>
      </c>
      <c r="S243" s="60"/>
    </row>
    <row r="244" spans="1:19" hidden="1">
      <c r="A244" s="62" t="s">
        <v>1743</v>
      </c>
      <c r="B244" s="149" t="str">
        <f>IFERROR(VLOOKUP(Proc[[#This Row],[App]],Table2[],3,0),"open")</f>
        <v>ok</v>
      </c>
      <c r="C244" s="62" t="s">
        <v>369</v>
      </c>
      <c r="D244" t="s">
        <v>560</v>
      </c>
      <c r="E244" t="s">
        <v>631</v>
      </c>
      <c r="F244" s="117" t="s">
        <v>631</v>
      </c>
      <c r="G244" s="62" t="s">
        <v>406</v>
      </c>
      <c r="H244" s="60" t="str">
        <f>IF(Proc[[#This Row],[type]]="LFF (MDG-F)",MID(Proc[[#This Row],[Obj]],13,10),"")</f>
        <v>DE10598100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45692.46533564815</v>
      </c>
      <c r="P244" s="67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217</v>
      </c>
      <c r="R244" s="67" t="s">
        <v>549</v>
      </c>
      <c r="S244" s="60"/>
    </row>
    <row r="245" spans="1:19" hidden="1">
      <c r="A245" s="62" t="s">
        <v>1743</v>
      </c>
      <c r="B245" s="149" t="str">
        <f>IFERROR(VLOOKUP(Proc[[#This Row],[App]],Table2[],3,0),"open")</f>
        <v>ok</v>
      </c>
      <c r="C245" s="62" t="s">
        <v>369</v>
      </c>
      <c r="D245" t="s">
        <v>561</v>
      </c>
      <c r="E245" t="s">
        <v>631</v>
      </c>
      <c r="F245" s="117" t="s">
        <v>631</v>
      </c>
      <c r="G245" s="62" t="s">
        <v>406</v>
      </c>
      <c r="H245" s="60" t="str">
        <f>IF(Proc[[#This Row],[type]]="LFF (MDG-F)",MID(Proc[[#This Row],[Obj]],13,10),"")</f>
        <v>DE10598200</v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MGF</v>
      </c>
      <c r="L245" s="60" t="s">
        <v>509</v>
      </c>
      <c r="M245" s="71">
        <v>45692.46533564815</v>
      </c>
      <c r="P245" s="67" t="str">
        <f ca="1">IF(Proc[[#This Row],[DaysAgeing]]&gt;5,"yep","on track")</f>
        <v>yep</v>
      </c>
      <c r="Q245" s="3">
        <f ca="1">IF(Proc[[#This Row],[DateClosed]]="",ABS(NETWORKDAYS(Proc[[#This Row],[DateOpened]],TODAY()))-1,ABS(NETWORKDAYS(Proc[[#This Row],[DateOpened]],Proc[[#This Row],[DateClosed]]))-1)</f>
        <v>217</v>
      </c>
      <c r="R245" s="67" t="s">
        <v>549</v>
      </c>
      <c r="S245" s="60"/>
    </row>
    <row r="246" spans="1:19" hidden="1">
      <c r="A246" s="62" t="s">
        <v>1743</v>
      </c>
      <c r="B246" s="149" t="str">
        <f>IFERROR(VLOOKUP(Proc[[#This Row],[App]],Table2[],3,0),"open")</f>
        <v>ok</v>
      </c>
      <c r="C246" s="62" t="s">
        <v>369</v>
      </c>
      <c r="D246" t="s">
        <v>562</v>
      </c>
      <c r="E246" t="s">
        <v>631</v>
      </c>
      <c r="F246" s="117" t="s">
        <v>631</v>
      </c>
      <c r="G246" s="62" t="s">
        <v>406</v>
      </c>
      <c r="H246" s="60" t="str">
        <f>IF(Proc[[#This Row],[type]]="LFF (MDG-F)",MID(Proc[[#This Row],[Obj]],13,10),"")</f>
        <v>DE10598300</v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MGF</v>
      </c>
      <c r="L246" s="60" t="s">
        <v>509</v>
      </c>
      <c r="M246" s="71">
        <v>45692.46533564815</v>
      </c>
      <c r="P246" s="67" t="str">
        <f ca="1">IF(Proc[[#This Row],[DaysAgeing]]&gt;5,"yep","on track")</f>
        <v>yep</v>
      </c>
      <c r="Q246" s="3">
        <f ca="1">IF(Proc[[#This Row],[DateClosed]]="",ABS(NETWORKDAYS(Proc[[#This Row],[DateOpened]],TODAY()))-1,ABS(NETWORKDAYS(Proc[[#This Row],[DateOpened]],Proc[[#This Row],[DateClosed]]))-1)</f>
        <v>217</v>
      </c>
      <c r="R246" s="67" t="s">
        <v>549</v>
      </c>
      <c r="S246" s="60"/>
    </row>
    <row r="247" spans="1:19" hidden="1">
      <c r="A247" s="62" t="s">
        <v>1743</v>
      </c>
      <c r="B247" s="149" t="str">
        <f>IFERROR(VLOOKUP(Proc[[#This Row],[App]],Table2[],3,0),"open")</f>
        <v>ok</v>
      </c>
      <c r="C247" s="62" t="s">
        <v>369</v>
      </c>
      <c r="D247" t="s">
        <v>563</v>
      </c>
      <c r="E247" t="s">
        <v>631</v>
      </c>
      <c r="F247" s="117" t="s">
        <v>631</v>
      </c>
      <c r="G247" s="62" t="s">
        <v>406</v>
      </c>
      <c r="H247" s="60" t="str">
        <f>IF(Proc[[#This Row],[type]]="LFF (MDG-F)",MID(Proc[[#This Row],[Obj]],13,10),"")</f>
        <v>DE10598400</v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MGF</v>
      </c>
      <c r="L247" s="60" t="s">
        <v>509</v>
      </c>
      <c r="M247" s="71">
        <v>45692.46533564815</v>
      </c>
      <c r="P247" s="67" t="str">
        <f ca="1">IF(Proc[[#This Row],[DaysAgeing]]&gt;5,"yep","on track")</f>
        <v>yep</v>
      </c>
      <c r="Q247" s="3">
        <f ca="1">IF(Proc[[#This Row],[DateClosed]]="",ABS(NETWORKDAYS(Proc[[#This Row],[DateOpened]],TODAY()))-1,ABS(NETWORKDAYS(Proc[[#This Row],[DateOpened]],Proc[[#This Row],[DateClosed]]))-1)</f>
        <v>217</v>
      </c>
      <c r="R247" s="67" t="s">
        <v>549</v>
      </c>
      <c r="S247" s="60"/>
    </row>
    <row r="248" spans="1:19" hidden="1">
      <c r="A248" s="62" t="s">
        <v>1743</v>
      </c>
      <c r="B248" s="149" t="str">
        <f>IFERROR(VLOOKUP(Proc[[#This Row],[App]],Table2[],3,0),"open")</f>
        <v>ok</v>
      </c>
      <c r="C248" s="62" t="s">
        <v>369</v>
      </c>
      <c r="D248" t="s">
        <v>564</v>
      </c>
      <c r="E248" t="s">
        <v>631</v>
      </c>
      <c r="F248" s="117" t="s">
        <v>631</v>
      </c>
      <c r="G248" s="62" t="s">
        <v>406</v>
      </c>
      <c r="H248" s="60" t="str">
        <f>IF(Proc[[#This Row],[type]]="LFF (MDG-F)",MID(Proc[[#This Row],[Obj]],13,10),"")</f>
        <v>DE10598700</v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MGF</v>
      </c>
      <c r="L248" s="60" t="s">
        <v>509</v>
      </c>
      <c r="M248" s="71">
        <v>45692.46533564815</v>
      </c>
      <c r="P248" s="67" t="str">
        <f ca="1">IF(Proc[[#This Row],[DaysAgeing]]&gt;5,"yep","on track")</f>
        <v>yep</v>
      </c>
      <c r="Q248" s="3">
        <f ca="1">IF(Proc[[#This Row],[DateClosed]]="",ABS(NETWORKDAYS(Proc[[#This Row],[DateOpened]],TODAY()))-1,ABS(NETWORKDAYS(Proc[[#This Row],[DateOpened]],Proc[[#This Row],[DateClosed]]))-1)</f>
        <v>217</v>
      </c>
      <c r="R248" s="67" t="s">
        <v>549</v>
      </c>
      <c r="S248" s="60"/>
    </row>
    <row r="249" spans="1:19" hidden="1">
      <c r="A249" s="62" t="s">
        <v>1743</v>
      </c>
      <c r="B249" s="149" t="str">
        <f>IFERROR(VLOOKUP(Proc[[#This Row],[App]],Table2[],3,0),"open")</f>
        <v>ok</v>
      </c>
      <c r="C249" s="62" t="s">
        <v>369</v>
      </c>
      <c r="D249" t="s">
        <v>462</v>
      </c>
      <c r="E249" t="s">
        <v>631</v>
      </c>
      <c r="F249" s="117" t="s">
        <v>631</v>
      </c>
      <c r="G249" s="62" t="s">
        <v>406</v>
      </c>
      <c r="H249" s="60" t="str">
        <f>IF(Proc[[#This Row],[type]]="LFF (MDG-F)",MID(Proc[[#This Row],[Obj]],13,10),"")</f>
        <v>DE20538280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45692.46533564815</v>
      </c>
      <c r="P249" s="67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217</v>
      </c>
      <c r="R249" s="67" t="s">
        <v>549</v>
      </c>
      <c r="S249" s="60"/>
    </row>
    <row r="250" spans="1:19" hidden="1">
      <c r="A250" s="62" t="s">
        <v>1743</v>
      </c>
      <c r="B250" s="149" t="str">
        <f>IFERROR(VLOOKUP(Proc[[#This Row],[App]],Table2[],3,0),"open")</f>
        <v>ok</v>
      </c>
      <c r="C250" s="62" t="s">
        <v>369</v>
      </c>
      <c r="D250" t="s">
        <v>463</v>
      </c>
      <c r="E250" t="s">
        <v>631</v>
      </c>
      <c r="F250" s="117" t="s">
        <v>631</v>
      </c>
      <c r="G250" s="62" t="s">
        <v>406</v>
      </c>
      <c r="H250" s="60" t="str">
        <f>IF(Proc[[#This Row],[type]]="LFF (MDG-F)",MID(Proc[[#This Row],[Obj]],13,10),"")</f>
        <v>DE20568200</v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MGF</v>
      </c>
      <c r="L250" s="60" t="s">
        <v>509</v>
      </c>
      <c r="M250" s="71">
        <v>45692.46533564815</v>
      </c>
      <c r="P250" s="67" t="str">
        <f ca="1">IF(Proc[[#This Row],[DaysAgeing]]&gt;5,"yep","on track")</f>
        <v>yep</v>
      </c>
      <c r="Q250" s="3">
        <f ca="1">IF(Proc[[#This Row],[DateClosed]]="",ABS(NETWORKDAYS(Proc[[#This Row],[DateOpened]],TODAY()))-1,ABS(NETWORKDAYS(Proc[[#This Row],[DateOpened]],Proc[[#This Row],[DateClosed]]))-1)</f>
        <v>217</v>
      </c>
      <c r="R250" s="67" t="s">
        <v>549</v>
      </c>
      <c r="S250" s="60"/>
    </row>
    <row r="251" spans="1:19" hidden="1">
      <c r="A251" s="62" t="s">
        <v>1743</v>
      </c>
      <c r="B251" s="149" t="str">
        <f>IFERROR(VLOOKUP(Proc[[#This Row],[App]],Table2[],3,0),"open")</f>
        <v>ok</v>
      </c>
      <c r="C251" s="62" t="s">
        <v>369</v>
      </c>
      <c r="D251" t="s">
        <v>1722</v>
      </c>
      <c r="E251" t="s">
        <v>631</v>
      </c>
      <c r="F251" s="117" t="s">
        <v>631</v>
      </c>
      <c r="G251" s="62" t="s">
        <v>406</v>
      </c>
      <c r="H251" s="60" t="str">
        <f>IF(Proc[[#This Row],[type]]="LFF (MDG-F)",MID(Proc[[#This Row],[Obj]],13,10),"")</f>
        <v>DE20529600</v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MGF</v>
      </c>
      <c r="L251" s="60" t="s">
        <v>509</v>
      </c>
      <c r="M251" s="71">
        <v>45692.46533564815</v>
      </c>
      <c r="P251" s="67" t="str">
        <f ca="1">IF(Proc[[#This Row],[DaysAgeing]]&gt;5,"yep","on track")</f>
        <v>yep</v>
      </c>
      <c r="Q251" s="3">
        <f ca="1">IF(Proc[[#This Row],[DateClosed]]="",ABS(NETWORKDAYS(Proc[[#This Row],[DateOpened]],TODAY()))-1,ABS(NETWORKDAYS(Proc[[#This Row],[DateOpened]],Proc[[#This Row],[DateClosed]]))-1)</f>
        <v>217</v>
      </c>
      <c r="R251" s="67" t="s">
        <v>549</v>
      </c>
      <c r="S251" s="60"/>
    </row>
    <row r="252" spans="1:19" hidden="1">
      <c r="A252" s="62" t="s">
        <v>1743</v>
      </c>
      <c r="B252" s="149" t="str">
        <f>IFERROR(VLOOKUP(Proc[[#This Row],[App]],Table2[],3,0),"open")</f>
        <v>ok</v>
      </c>
      <c r="C252" s="62" t="s">
        <v>369</v>
      </c>
      <c r="D252" t="s">
        <v>1723</v>
      </c>
      <c r="E252" t="s">
        <v>631</v>
      </c>
      <c r="F252" s="117" t="s">
        <v>631</v>
      </c>
      <c r="G252" s="62" t="s">
        <v>406</v>
      </c>
      <c r="H252" s="60" t="str">
        <f>IF(Proc[[#This Row],[type]]="LFF (MDG-F)",MID(Proc[[#This Row],[Obj]],13,10),"")</f>
        <v>DE20847200</v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MGF</v>
      </c>
      <c r="L252" s="60" t="s">
        <v>509</v>
      </c>
      <c r="M252" s="71">
        <v>45692.46533564815</v>
      </c>
      <c r="P252" s="67" t="str">
        <f ca="1">IF(Proc[[#This Row],[DaysAgeing]]&gt;5,"yep","on track")</f>
        <v>yep</v>
      </c>
      <c r="Q252" s="3">
        <f ca="1">IF(Proc[[#This Row],[DateClosed]]="",ABS(NETWORKDAYS(Proc[[#This Row],[DateOpened]],TODAY()))-1,ABS(NETWORKDAYS(Proc[[#This Row],[DateOpened]],Proc[[#This Row],[DateClosed]]))-1)</f>
        <v>217</v>
      </c>
      <c r="R252" s="67" t="s">
        <v>549</v>
      </c>
      <c r="S252" s="60"/>
    </row>
    <row r="253" spans="1:19" hidden="1">
      <c r="A253" s="62" t="s">
        <v>1743</v>
      </c>
      <c r="B253" s="149" t="str">
        <f>IFERROR(VLOOKUP(Proc[[#This Row],[App]],Table2[],3,0),"open")</f>
        <v>ok</v>
      </c>
      <c r="C253" s="62" t="s">
        <v>377</v>
      </c>
      <c r="D253" t="s">
        <v>1724</v>
      </c>
      <c r="E253" t="s">
        <v>631</v>
      </c>
      <c r="F253" s="103" t="s">
        <v>631</v>
      </c>
      <c r="G253" s="62" t="s">
        <v>406</v>
      </c>
      <c r="H253" s="60" t="str">
        <f>IF(Proc[[#This Row],[type]]="LFF (MDG-F)",MID(Proc[[#This Row],[Obj]],13,10),"")</f>
        <v>DE20538257</v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MGF</v>
      </c>
      <c r="L253" s="60" t="s">
        <v>509</v>
      </c>
      <c r="M253" s="71">
        <v>45692.46533564815</v>
      </c>
      <c r="P253" s="67" t="str">
        <f ca="1">IF(Proc[[#This Row],[DaysAgeing]]&gt;5,"yep","on track")</f>
        <v>yep</v>
      </c>
      <c r="Q253" s="3">
        <f ca="1">IF(Proc[[#This Row],[DateClosed]]="",ABS(NETWORKDAYS(Proc[[#This Row],[DateOpened]],TODAY()))-1,ABS(NETWORKDAYS(Proc[[#This Row],[DateOpened]],Proc[[#This Row],[DateClosed]]))-1)</f>
        <v>217</v>
      </c>
      <c r="R253" s="67" t="s">
        <v>549</v>
      </c>
      <c r="S253" s="94" t="e">
        <f>VLOOKUP(Proc[[#This Row],[Obj]],#REF!,2,0)</f>
        <v>#REF!</v>
      </c>
    </row>
    <row r="254" spans="1:19" hidden="1">
      <c r="A254" s="62" t="s">
        <v>1743</v>
      </c>
      <c r="B254" s="149" t="str">
        <f>IFERROR(VLOOKUP(Proc[[#This Row],[App]],Table2[],3,0),"open")</f>
        <v>ok</v>
      </c>
      <c r="C254" s="62" t="s">
        <v>369</v>
      </c>
      <c r="D254" t="s">
        <v>1725</v>
      </c>
      <c r="E254" t="s">
        <v>631</v>
      </c>
      <c r="F254" s="117" t="s">
        <v>631</v>
      </c>
      <c r="G254" s="62" t="s">
        <v>406</v>
      </c>
      <c r="H254" s="60" t="str">
        <f>IF(Proc[[#This Row],[type]]="LFF (MDG-F)",MID(Proc[[#This Row],[Obj]],13,10),"")</f>
        <v>DE10538257</v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MGF</v>
      </c>
      <c r="L254" s="60" t="s">
        <v>509</v>
      </c>
      <c r="M254" s="71">
        <v>45692.46533564815</v>
      </c>
      <c r="P254" s="67" t="str">
        <f ca="1">IF(Proc[[#This Row],[DaysAgeing]]&gt;5,"yep","on track")</f>
        <v>yep</v>
      </c>
      <c r="Q254" s="3">
        <f ca="1">IF(Proc[[#This Row],[DateClosed]]="",ABS(NETWORKDAYS(Proc[[#This Row],[DateOpened]],TODAY()))-1,ABS(NETWORKDAYS(Proc[[#This Row],[DateOpened]],Proc[[#This Row],[DateClosed]]))-1)</f>
        <v>217</v>
      </c>
      <c r="R254" s="67" t="s">
        <v>549</v>
      </c>
      <c r="S254" s="60"/>
    </row>
    <row r="255" spans="1:19" hidden="1">
      <c r="A255" s="62" t="s">
        <v>1743</v>
      </c>
      <c r="B255" s="149" t="str">
        <f>IFERROR(VLOOKUP(Proc[[#This Row],[App]],Table2[],3,0),"open")</f>
        <v>ok</v>
      </c>
      <c r="C255" s="62" t="s">
        <v>369</v>
      </c>
      <c r="D255" t="s">
        <v>1726</v>
      </c>
      <c r="E255" t="s">
        <v>631</v>
      </c>
      <c r="F255" s="117" t="s">
        <v>631</v>
      </c>
      <c r="G255" s="62" t="s">
        <v>406</v>
      </c>
      <c r="H255" s="60" t="str">
        <f>IF(Proc[[#This Row],[type]]="LFF (MDG-F)",MID(Proc[[#This Row],[Obj]],13,10),"")</f>
        <v>DE20538295</v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MGF</v>
      </c>
      <c r="L255" s="60" t="s">
        <v>509</v>
      </c>
      <c r="M255" s="71">
        <v>45692.46533564815</v>
      </c>
      <c r="P255" s="67" t="str">
        <f ca="1">IF(Proc[[#This Row],[DaysAgeing]]&gt;5,"yep","on track")</f>
        <v>yep</v>
      </c>
      <c r="Q255" s="3">
        <f ca="1">IF(Proc[[#This Row],[DateClosed]]="",ABS(NETWORKDAYS(Proc[[#This Row],[DateOpened]],TODAY()))-1,ABS(NETWORKDAYS(Proc[[#This Row],[DateOpened]],Proc[[#This Row],[DateClosed]]))-1)</f>
        <v>217</v>
      </c>
      <c r="R255" s="67" t="s">
        <v>549</v>
      </c>
      <c r="S255" s="60"/>
    </row>
    <row r="256" spans="1:19" hidden="1">
      <c r="A256" s="62" t="s">
        <v>1743</v>
      </c>
      <c r="B256" s="149" t="str">
        <f>IFERROR(VLOOKUP(Proc[[#This Row],[App]],Table2[],3,0),"open")</f>
        <v>ok</v>
      </c>
      <c r="C256" s="62" t="s">
        <v>369</v>
      </c>
      <c r="D256" t="s">
        <v>1727</v>
      </c>
      <c r="E256" t="s">
        <v>631</v>
      </c>
      <c r="F256" s="117" t="s">
        <v>631</v>
      </c>
      <c r="G256" s="62" t="s">
        <v>406</v>
      </c>
      <c r="H256" s="60" t="str">
        <f>IF(Proc[[#This Row],[type]]="LFF (MDG-F)",MID(Proc[[#This Row],[Obj]],13,10),"")</f>
        <v>DE10538295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MGF</v>
      </c>
      <c r="L256" s="60" t="s">
        <v>509</v>
      </c>
      <c r="M256" s="71">
        <v>45692.46533564815</v>
      </c>
      <c r="P256" s="67" t="str">
        <f ca="1">IF(Proc[[#This Row],[DaysAgeing]]&gt;5,"yep","on track")</f>
        <v>yep</v>
      </c>
      <c r="Q256" s="3">
        <f ca="1">IF(Proc[[#This Row],[DateClosed]]="",ABS(NETWORKDAYS(Proc[[#This Row],[DateOpened]],TODAY()))-1,ABS(NETWORKDAYS(Proc[[#This Row],[DateOpened]],Proc[[#This Row],[DateClosed]]))-1)</f>
        <v>217</v>
      </c>
      <c r="R256" s="67" t="s">
        <v>549</v>
      </c>
      <c r="S256" s="60"/>
    </row>
    <row r="257" spans="1:19" hidden="1">
      <c r="A257" s="62" t="s">
        <v>1743</v>
      </c>
      <c r="B257" s="149" t="str">
        <f>IFERROR(VLOOKUP(Proc[[#This Row],[App]],Table2[],3,0),"open")</f>
        <v>ok</v>
      </c>
      <c r="C257" s="62" t="s">
        <v>369</v>
      </c>
      <c r="D257" t="s">
        <v>1728</v>
      </c>
      <c r="E257" t="s">
        <v>631</v>
      </c>
      <c r="F257" s="117" t="s">
        <v>631</v>
      </c>
      <c r="G257" s="62" t="s">
        <v>406</v>
      </c>
      <c r="H257" s="60" t="str">
        <f>IF(Proc[[#This Row],[type]]="LFF (MDG-F)",MID(Proc[[#This Row],[Obj]],13,10),"")</f>
        <v>DE20538456</v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MGF</v>
      </c>
      <c r="L257" s="60" t="s">
        <v>509</v>
      </c>
      <c r="M257" s="71">
        <v>45692.46533564815</v>
      </c>
      <c r="P257" s="67" t="str">
        <f ca="1">IF(Proc[[#This Row],[DaysAgeing]]&gt;5,"yep","on track")</f>
        <v>yep</v>
      </c>
      <c r="Q257" s="3">
        <f ca="1">IF(Proc[[#This Row],[DateClosed]]="",ABS(NETWORKDAYS(Proc[[#This Row],[DateOpened]],TODAY()))-1,ABS(NETWORKDAYS(Proc[[#This Row],[DateOpened]],Proc[[#This Row],[DateClosed]]))-1)</f>
        <v>217</v>
      </c>
      <c r="R257" s="67" t="s">
        <v>549</v>
      </c>
      <c r="S257" s="60"/>
    </row>
    <row r="258" spans="1:19" hidden="1">
      <c r="A258" s="62" t="s">
        <v>1743</v>
      </c>
      <c r="B258" s="149" t="str">
        <f>IFERROR(VLOOKUP(Proc[[#This Row],[App]],Table2[],3,0),"open")</f>
        <v>ok</v>
      </c>
      <c r="C258" s="62" t="s">
        <v>369</v>
      </c>
      <c r="D258" t="s">
        <v>1729</v>
      </c>
      <c r="E258" t="s">
        <v>631</v>
      </c>
      <c r="F258" s="117" t="s">
        <v>631</v>
      </c>
      <c r="G258" s="62" t="s">
        <v>406</v>
      </c>
      <c r="H258" s="60" t="str">
        <f>IF(Proc[[#This Row],[type]]="LFF (MDG-F)",MID(Proc[[#This Row],[Obj]],13,10),"")</f>
        <v>DE10538456</v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MGF</v>
      </c>
      <c r="L258" s="60" t="s">
        <v>509</v>
      </c>
      <c r="M258" s="71">
        <v>45692.46533564815</v>
      </c>
      <c r="P258" s="67" t="str">
        <f ca="1">IF(Proc[[#This Row],[DaysAgeing]]&gt;5,"yep","on track")</f>
        <v>yep</v>
      </c>
      <c r="Q258" s="3">
        <f ca="1">IF(Proc[[#This Row],[DateClosed]]="",ABS(NETWORKDAYS(Proc[[#This Row],[DateOpened]],TODAY()))-1,ABS(NETWORKDAYS(Proc[[#This Row],[DateOpened]],Proc[[#This Row],[DateClosed]]))-1)</f>
        <v>217</v>
      </c>
      <c r="R258" s="67" t="s">
        <v>549</v>
      </c>
      <c r="S258" s="60"/>
    </row>
    <row r="259" spans="1:19" hidden="1">
      <c r="A259" s="62" t="s">
        <v>1743</v>
      </c>
      <c r="B259" s="149" t="str">
        <f>IFERROR(VLOOKUP(Proc[[#This Row],[App]],Table2[],3,0),"open")</f>
        <v>ok</v>
      </c>
      <c r="C259" s="62" t="s">
        <v>377</v>
      </c>
      <c r="D259" t="s">
        <v>460</v>
      </c>
      <c r="E259" t="s">
        <v>631</v>
      </c>
      <c r="F259" s="103" t="s">
        <v>631</v>
      </c>
      <c r="G259" s="62" t="s">
        <v>406</v>
      </c>
      <c r="H259" s="60" t="str">
        <f>IF(Proc[[#This Row],[type]]="LFF (MDG-F)",MID(Proc[[#This Row],[Obj]],13,10),"")</f>
        <v>DE10623200</v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MGF</v>
      </c>
      <c r="L259" s="60" t="s">
        <v>509</v>
      </c>
      <c r="M259" s="71">
        <v>45692.46533564815</v>
      </c>
      <c r="P259" s="67" t="str">
        <f ca="1">IF(Proc[[#This Row],[DaysAgeing]]&gt;5,"yep","on track")</f>
        <v>yep</v>
      </c>
      <c r="Q259" s="3">
        <f ca="1">IF(Proc[[#This Row],[DateClosed]]="",ABS(NETWORKDAYS(Proc[[#This Row],[DateOpened]],TODAY()))-1,ABS(NETWORKDAYS(Proc[[#This Row],[DateOpened]],Proc[[#This Row],[DateClosed]]))-1)</f>
        <v>217</v>
      </c>
      <c r="R259" s="67" t="s">
        <v>549</v>
      </c>
      <c r="S259" s="94" t="e">
        <f>VLOOKUP(Proc[[#This Row],[Obj]],#REF!,2,0)</f>
        <v>#REF!</v>
      </c>
    </row>
    <row r="260" spans="1:19" hidden="1">
      <c r="A260" s="62" t="s">
        <v>1743</v>
      </c>
      <c r="B260" s="149" t="str">
        <f>IFERROR(VLOOKUP(Proc[[#This Row],[App]],Table2[],3,0),"open")</f>
        <v>ok</v>
      </c>
      <c r="C260" s="62" t="s">
        <v>369</v>
      </c>
      <c r="D260" t="s">
        <v>500</v>
      </c>
      <c r="E260" t="s">
        <v>631</v>
      </c>
      <c r="F260" s="117" t="s">
        <v>631</v>
      </c>
      <c r="G260" s="62" t="s">
        <v>406</v>
      </c>
      <c r="H260" s="60" t="str">
        <f>IF(Proc[[#This Row],[type]]="LFF (MDG-F)",MID(Proc[[#This Row],[Obj]],13,10),"")</f>
        <v>DE10523100</v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MGF</v>
      </c>
      <c r="L260" s="60" t="s">
        <v>509</v>
      </c>
      <c r="M260" s="71">
        <v>45692.46533564815</v>
      </c>
      <c r="P260" s="67" t="str">
        <f ca="1">IF(Proc[[#This Row],[DaysAgeing]]&gt;5,"yep","on track")</f>
        <v>yep</v>
      </c>
      <c r="Q260" s="3">
        <f ca="1">IF(Proc[[#This Row],[DateClosed]]="",ABS(NETWORKDAYS(Proc[[#This Row],[DateOpened]],TODAY()))-1,ABS(NETWORKDAYS(Proc[[#This Row],[DateOpened]],Proc[[#This Row],[DateClosed]]))-1)</f>
        <v>217</v>
      </c>
      <c r="R260" s="67" t="s">
        <v>549</v>
      </c>
      <c r="S260" s="60"/>
    </row>
    <row r="261" spans="1:19" hidden="1">
      <c r="A261" s="62" t="s">
        <v>1743</v>
      </c>
      <c r="B261" s="149" t="str">
        <f>IFERROR(VLOOKUP(Proc[[#This Row],[App]],Table2[],3,0),"open")</f>
        <v>ok</v>
      </c>
      <c r="C261" s="62" t="s">
        <v>369</v>
      </c>
      <c r="D261" t="s">
        <v>1730</v>
      </c>
      <c r="E261" t="s">
        <v>631</v>
      </c>
      <c r="F261" s="117" t="s">
        <v>631</v>
      </c>
      <c r="G261" s="62" t="s">
        <v>406</v>
      </c>
      <c r="H261" s="60" t="str">
        <f>IF(Proc[[#This Row],[type]]="LFF (MDG-F)",MID(Proc[[#This Row],[Obj]],13,10),"")</f>
        <v>DE20538554</v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MGF</v>
      </c>
      <c r="L261" s="60" t="s">
        <v>509</v>
      </c>
      <c r="M261" s="71">
        <v>45692.46533564815</v>
      </c>
      <c r="P261" s="67" t="str">
        <f ca="1">IF(Proc[[#This Row],[DaysAgeing]]&gt;5,"yep","on track")</f>
        <v>yep</v>
      </c>
      <c r="Q261" s="3">
        <f ca="1">IF(Proc[[#This Row],[DateClosed]]="",ABS(NETWORKDAYS(Proc[[#This Row],[DateOpened]],TODAY()))-1,ABS(NETWORKDAYS(Proc[[#This Row],[DateOpened]],Proc[[#This Row],[DateClosed]]))-1)</f>
        <v>217</v>
      </c>
      <c r="R261" s="67" t="s">
        <v>549</v>
      </c>
      <c r="S261" s="60"/>
    </row>
    <row r="262" spans="1:19" hidden="1">
      <c r="A262" s="62" t="s">
        <v>1743</v>
      </c>
      <c r="B262" s="149" t="str">
        <f>IFERROR(VLOOKUP(Proc[[#This Row],[App]],Table2[],3,0),"open")</f>
        <v>ok</v>
      </c>
      <c r="C262" s="62" t="s">
        <v>369</v>
      </c>
      <c r="D262" t="s">
        <v>1731</v>
      </c>
      <c r="E262" t="s">
        <v>631</v>
      </c>
      <c r="F262" s="117" t="s">
        <v>631</v>
      </c>
      <c r="G262" s="62" t="s">
        <v>406</v>
      </c>
      <c r="H262" s="60" t="str">
        <f>IF(Proc[[#This Row],[type]]="LFF (MDG-F)",MID(Proc[[#This Row],[Obj]],13,10),"")</f>
        <v>DE10538554</v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MGF</v>
      </c>
      <c r="L262" s="60" t="s">
        <v>509</v>
      </c>
      <c r="M262" s="71">
        <v>45692.46533564815</v>
      </c>
      <c r="P262" s="67" t="str">
        <f ca="1">IF(Proc[[#This Row],[DaysAgeing]]&gt;5,"yep","on track")</f>
        <v>yep</v>
      </c>
      <c r="Q262" s="3">
        <f ca="1">IF(Proc[[#This Row],[DateClosed]]="",ABS(NETWORKDAYS(Proc[[#This Row],[DateOpened]],TODAY()))-1,ABS(NETWORKDAYS(Proc[[#This Row],[DateOpened]],Proc[[#This Row],[DateClosed]]))-1)</f>
        <v>217</v>
      </c>
      <c r="R262" s="67" t="s">
        <v>549</v>
      </c>
      <c r="S262" s="60"/>
    </row>
    <row r="263" spans="1:19" hidden="1">
      <c r="A263" s="62" t="s">
        <v>1743</v>
      </c>
      <c r="B263" s="149" t="str">
        <f>IFERROR(VLOOKUP(Proc[[#This Row],[App]],Table2[],3,0),"open")</f>
        <v>ok</v>
      </c>
      <c r="C263" s="62" t="s">
        <v>369</v>
      </c>
      <c r="D263" t="s">
        <v>461</v>
      </c>
      <c r="E263" t="s">
        <v>631</v>
      </c>
      <c r="F263" s="117" t="s">
        <v>631</v>
      </c>
      <c r="G263" s="62" t="s">
        <v>406</v>
      </c>
      <c r="H263" s="60" t="str">
        <f>IF(Proc[[#This Row],[type]]="LFF (MDG-F)",MID(Proc[[#This Row],[Obj]],13,10),"")</f>
        <v>DE10840200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45692.46533564815</v>
      </c>
      <c r="P263" s="67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217</v>
      </c>
      <c r="R263" s="67" t="s">
        <v>549</v>
      </c>
      <c r="S263" s="60"/>
    </row>
    <row r="264" spans="1:19" hidden="1">
      <c r="A264" s="62" t="s">
        <v>1743</v>
      </c>
      <c r="B264" s="149" t="str">
        <f>IFERROR(VLOOKUP(Proc[[#This Row],[App]],Table2[],3,0),"open")</f>
        <v>ok</v>
      </c>
      <c r="C264" s="62" t="s">
        <v>369</v>
      </c>
      <c r="D264" t="s">
        <v>1732</v>
      </c>
      <c r="E264" t="s">
        <v>631</v>
      </c>
      <c r="F264" s="117" t="s">
        <v>631</v>
      </c>
      <c r="G264" s="62" t="s">
        <v>406</v>
      </c>
      <c r="H264" s="60" t="str">
        <f>IF(Proc[[#This Row],[type]]="LFF (MDG-F)",MID(Proc[[#This Row],[Obj]],13,10),"")</f>
        <v>DE10537810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45692.46533564815</v>
      </c>
      <c r="P264" s="67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217</v>
      </c>
      <c r="R264" s="67" t="s">
        <v>549</v>
      </c>
      <c r="S264" s="60"/>
    </row>
    <row r="265" spans="1:19" hidden="1">
      <c r="A265" s="62" t="s">
        <v>1743</v>
      </c>
      <c r="B265" s="149" t="str">
        <f>IFERROR(VLOOKUP(Proc[[#This Row],[App]],Table2[],3,0),"open")</f>
        <v>ok</v>
      </c>
      <c r="C265" s="62" t="s">
        <v>369</v>
      </c>
      <c r="D265" t="s">
        <v>1733</v>
      </c>
      <c r="E265" t="s">
        <v>631</v>
      </c>
      <c r="F265" s="117" t="s">
        <v>631</v>
      </c>
      <c r="G265" s="62" t="s">
        <v>406</v>
      </c>
      <c r="H265" s="60" t="str">
        <f>IF(Proc[[#This Row],[type]]="LFF (MDG-F)",MID(Proc[[#This Row],[Obj]],13,10),"")</f>
        <v>DE20538242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45692.46533564815</v>
      </c>
      <c r="P265" s="67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217</v>
      </c>
      <c r="R265" s="67" t="s">
        <v>549</v>
      </c>
      <c r="S265" s="60"/>
    </row>
    <row r="266" spans="1:19" hidden="1">
      <c r="A266" s="62" t="s">
        <v>1743</v>
      </c>
      <c r="B266" s="149" t="str">
        <f>IFERROR(VLOOKUP(Proc[[#This Row],[App]],Table2[],3,0),"open")</f>
        <v>ok</v>
      </c>
      <c r="C266" s="62" t="s">
        <v>369</v>
      </c>
      <c r="D266" t="s">
        <v>1734</v>
      </c>
      <c r="E266" t="s">
        <v>631</v>
      </c>
      <c r="F266" s="117" t="s">
        <v>631</v>
      </c>
      <c r="G266" s="62" t="s">
        <v>406</v>
      </c>
      <c r="H266" s="60" t="str">
        <f>IF(Proc[[#This Row],[type]]="LFF (MDG-F)",MID(Proc[[#This Row],[Obj]],13,10),"")</f>
        <v>DE10538242</v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MGF</v>
      </c>
      <c r="L266" s="60" t="s">
        <v>509</v>
      </c>
      <c r="M266" s="71">
        <v>45692.46533564815</v>
      </c>
      <c r="P266" s="67" t="str">
        <f ca="1">IF(Proc[[#This Row],[DaysAgeing]]&gt;5,"yep","on track")</f>
        <v>yep</v>
      </c>
      <c r="Q266" s="3">
        <f ca="1">IF(Proc[[#This Row],[DateClosed]]="",ABS(NETWORKDAYS(Proc[[#This Row],[DateOpened]],TODAY()))-1,ABS(NETWORKDAYS(Proc[[#This Row],[DateOpened]],Proc[[#This Row],[DateClosed]]))-1)</f>
        <v>217</v>
      </c>
      <c r="R266" s="67" t="s">
        <v>549</v>
      </c>
      <c r="S266" s="60"/>
    </row>
    <row r="267" spans="1:19" hidden="1">
      <c r="A267" s="62" t="s">
        <v>1743</v>
      </c>
      <c r="B267" s="149" t="str">
        <f>IFERROR(VLOOKUP(Proc[[#This Row],[App]],Table2[],3,0),"open")</f>
        <v>ok</v>
      </c>
      <c r="C267" s="62" t="s">
        <v>377</v>
      </c>
      <c r="D267" t="s">
        <v>1735</v>
      </c>
      <c r="E267" t="s">
        <v>631</v>
      </c>
      <c r="F267" s="103" t="s">
        <v>631</v>
      </c>
      <c r="G267" s="62" t="s">
        <v>406</v>
      </c>
      <c r="H267" s="60" t="str">
        <f>IF(Proc[[#This Row],[type]]="LFF (MDG-F)",MID(Proc[[#This Row],[Obj]],13,10),"")</f>
        <v>DE20568016</v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MGF</v>
      </c>
      <c r="L267" s="60" t="s">
        <v>509</v>
      </c>
      <c r="M267" s="71">
        <v>45692.46533564815</v>
      </c>
      <c r="P267" s="67" t="str">
        <f ca="1">IF(Proc[[#This Row],[DaysAgeing]]&gt;5,"yep","on track")</f>
        <v>yep</v>
      </c>
      <c r="Q267" s="3">
        <f ca="1">IF(Proc[[#This Row],[DateClosed]]="",ABS(NETWORKDAYS(Proc[[#This Row],[DateOpened]],TODAY()))-1,ABS(NETWORKDAYS(Proc[[#This Row],[DateOpened]],Proc[[#This Row],[DateClosed]]))-1)</f>
        <v>217</v>
      </c>
      <c r="R267" s="67" t="s">
        <v>549</v>
      </c>
      <c r="S267" s="94" t="e">
        <f>VLOOKUP(Proc[[#This Row],[Obj]],#REF!,2,0)</f>
        <v>#REF!</v>
      </c>
    </row>
    <row r="268" spans="1:19" hidden="1">
      <c r="A268" s="62" t="s">
        <v>1743</v>
      </c>
      <c r="B268" s="149" t="str">
        <f>IFERROR(VLOOKUP(Proc[[#This Row],[App]],Table2[],3,0),"open")</f>
        <v>ok</v>
      </c>
      <c r="C268" s="62" t="s">
        <v>377</v>
      </c>
      <c r="D268" t="s">
        <v>458</v>
      </c>
      <c r="E268" t="s">
        <v>631</v>
      </c>
      <c r="F268" s="103" t="s">
        <v>631</v>
      </c>
      <c r="G268" s="62" t="s">
        <v>406</v>
      </c>
      <c r="H268" s="60" t="str">
        <f>IF(Proc[[#This Row],[type]]="LFF (MDG-F)",MID(Proc[[#This Row],[Obj]],13,10),"")</f>
        <v>DE10568016</v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MGF</v>
      </c>
      <c r="L268" s="60" t="s">
        <v>509</v>
      </c>
      <c r="M268" s="71">
        <v>45692.46533564815</v>
      </c>
      <c r="P268" s="67" t="str">
        <f ca="1">IF(Proc[[#This Row],[DaysAgeing]]&gt;5,"yep","on track")</f>
        <v>yep</v>
      </c>
      <c r="Q268" s="3">
        <f ca="1">IF(Proc[[#This Row],[DateClosed]]="",ABS(NETWORKDAYS(Proc[[#This Row],[DateOpened]],TODAY()))-1,ABS(NETWORKDAYS(Proc[[#This Row],[DateOpened]],Proc[[#This Row],[DateClosed]]))-1)</f>
        <v>217</v>
      </c>
      <c r="R268" s="67" t="s">
        <v>549</v>
      </c>
      <c r="S268" s="94" t="e">
        <f>VLOOKUP(Proc[[#This Row],[Obj]],#REF!,2,0)</f>
        <v>#REF!</v>
      </c>
    </row>
    <row r="269" spans="1:19" hidden="1">
      <c r="A269" s="62" t="s">
        <v>1743</v>
      </c>
      <c r="B269" s="149" t="str">
        <f>IFERROR(VLOOKUP(Proc[[#This Row],[App]],Table2[],3,0),"open")</f>
        <v>ok</v>
      </c>
      <c r="C269" s="62" t="s">
        <v>369</v>
      </c>
      <c r="D269" t="s">
        <v>1736</v>
      </c>
      <c r="E269" t="s">
        <v>631</v>
      </c>
      <c r="F269" s="117" t="s">
        <v>631</v>
      </c>
      <c r="G269" s="62" t="s">
        <v>406</v>
      </c>
      <c r="H269" s="60" t="str">
        <f>IF(Proc[[#This Row],[type]]="LFF (MDG-F)",MID(Proc[[#This Row],[Obj]],13,10),"")</f>
        <v>DE20538431</v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MGF</v>
      </c>
      <c r="L269" s="60" t="s">
        <v>509</v>
      </c>
      <c r="M269" s="71">
        <v>45692.46533564815</v>
      </c>
      <c r="P269" s="67" t="str">
        <f ca="1">IF(Proc[[#This Row],[DaysAgeing]]&gt;5,"yep","on track")</f>
        <v>yep</v>
      </c>
      <c r="Q269" s="3">
        <f ca="1">IF(Proc[[#This Row],[DateClosed]]="",ABS(NETWORKDAYS(Proc[[#This Row],[DateOpened]],TODAY()))-1,ABS(NETWORKDAYS(Proc[[#This Row],[DateOpened]],Proc[[#This Row],[DateClosed]]))-1)</f>
        <v>217</v>
      </c>
      <c r="R269" s="67" t="s">
        <v>549</v>
      </c>
      <c r="S269" s="60"/>
    </row>
    <row r="270" spans="1:19" hidden="1">
      <c r="A270" s="62" t="s">
        <v>1743</v>
      </c>
      <c r="B270" s="149" t="str">
        <f>IFERROR(VLOOKUP(Proc[[#This Row],[App]],Table2[],3,0),"open")</f>
        <v>ok</v>
      </c>
      <c r="C270" s="62" t="s">
        <v>369</v>
      </c>
      <c r="D270" t="s">
        <v>1737</v>
      </c>
      <c r="E270" t="s">
        <v>631</v>
      </c>
      <c r="F270" s="117" t="s">
        <v>631</v>
      </c>
      <c r="G270" s="62" t="s">
        <v>406</v>
      </c>
      <c r="H270" s="60" t="str">
        <f>IF(Proc[[#This Row],[type]]="LFF (MDG-F)",MID(Proc[[#This Row],[Obj]],13,10),"")</f>
        <v>DE20567105</v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MGF</v>
      </c>
      <c r="L270" s="60" t="s">
        <v>509</v>
      </c>
      <c r="M270" s="71">
        <v>45692.46533564815</v>
      </c>
      <c r="P270" s="67" t="str">
        <f ca="1">IF(Proc[[#This Row],[DaysAgeing]]&gt;5,"yep","on track")</f>
        <v>yep</v>
      </c>
      <c r="Q270" s="3">
        <f ca="1">IF(Proc[[#This Row],[DateClosed]]="",ABS(NETWORKDAYS(Proc[[#This Row],[DateOpened]],TODAY()))-1,ABS(NETWORKDAYS(Proc[[#This Row],[DateOpened]],Proc[[#This Row],[DateClosed]]))-1)</f>
        <v>217</v>
      </c>
      <c r="R270" s="67" t="s">
        <v>549</v>
      </c>
      <c r="S270" s="60"/>
    </row>
    <row r="271" spans="1:19" hidden="1">
      <c r="A271" s="62" t="s">
        <v>1743</v>
      </c>
      <c r="B271" s="149" t="str">
        <f>IFERROR(VLOOKUP(Proc[[#This Row],[App]],Table2[],3,0),"open")</f>
        <v>ok</v>
      </c>
      <c r="C271" s="62" t="s">
        <v>369</v>
      </c>
      <c r="D271" t="s">
        <v>1738</v>
      </c>
      <c r="E271" t="s">
        <v>631</v>
      </c>
      <c r="F271" s="117" t="s">
        <v>631</v>
      </c>
      <c r="G271" s="62" t="s">
        <v>406</v>
      </c>
      <c r="H271" s="60" t="str">
        <f>IF(Proc[[#This Row],[type]]="LFF (MDG-F)",MID(Proc[[#This Row],[Obj]],13,10),"")</f>
        <v>DE10538431</v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MGF</v>
      </c>
      <c r="L271" s="60" t="s">
        <v>509</v>
      </c>
      <c r="M271" s="71">
        <v>45692.46533564815</v>
      </c>
      <c r="P271" s="67" t="str">
        <f ca="1">IF(Proc[[#This Row],[DaysAgeing]]&gt;5,"yep","on track")</f>
        <v>yep</v>
      </c>
      <c r="Q271" s="3">
        <f ca="1">IF(Proc[[#This Row],[DateClosed]]="",ABS(NETWORKDAYS(Proc[[#This Row],[DateOpened]],TODAY()))-1,ABS(NETWORKDAYS(Proc[[#This Row],[DateOpened]],Proc[[#This Row],[DateClosed]]))-1)</f>
        <v>217</v>
      </c>
      <c r="R271" s="67" t="s">
        <v>549</v>
      </c>
      <c r="S271" s="60"/>
    </row>
    <row r="272" spans="1:19" hidden="1">
      <c r="A272" s="62" t="s">
        <v>1743</v>
      </c>
      <c r="B272" s="149" t="str">
        <f>IFERROR(VLOOKUP(Proc[[#This Row],[App]],Table2[],3,0),"open")</f>
        <v>ok</v>
      </c>
      <c r="C272" s="62" t="s">
        <v>369</v>
      </c>
      <c r="D272" t="s">
        <v>457</v>
      </c>
      <c r="E272" t="s">
        <v>631</v>
      </c>
      <c r="F272" s="117" t="s">
        <v>631</v>
      </c>
      <c r="G272" s="62" t="s">
        <v>406</v>
      </c>
      <c r="H272" s="60" t="str">
        <f>IF(Proc[[#This Row],[type]]="LFF (MDG-F)",MID(Proc[[#This Row],[Obj]],13,10),"")</f>
        <v>DE10567105</v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MGF</v>
      </c>
      <c r="L272" s="60" t="s">
        <v>509</v>
      </c>
      <c r="M272" s="71">
        <v>45692.46533564815</v>
      </c>
      <c r="P272" s="67" t="str">
        <f ca="1">IF(Proc[[#This Row],[DaysAgeing]]&gt;5,"yep","on track")</f>
        <v>yep</v>
      </c>
      <c r="Q272" s="3">
        <f ca="1">IF(Proc[[#This Row],[DateClosed]]="",ABS(NETWORKDAYS(Proc[[#This Row],[DateOpened]],TODAY()))-1,ABS(NETWORKDAYS(Proc[[#This Row],[DateOpened]],Proc[[#This Row],[DateClosed]]))-1)</f>
        <v>217</v>
      </c>
      <c r="R272" s="67" t="s">
        <v>549</v>
      </c>
      <c r="S272" s="60"/>
    </row>
    <row r="273" spans="1:19" hidden="1">
      <c r="A273" s="62" t="s">
        <v>1743</v>
      </c>
      <c r="B273" s="149" t="str">
        <f>IFERROR(VLOOKUP(Proc[[#This Row],[App]],Table2[],3,0),"open")</f>
        <v>ok</v>
      </c>
      <c r="C273" s="62" t="s">
        <v>369</v>
      </c>
      <c r="D273" t="s">
        <v>486</v>
      </c>
      <c r="E273" t="s">
        <v>631</v>
      </c>
      <c r="F273" s="117" t="s">
        <v>631</v>
      </c>
      <c r="G273" s="62" t="s">
        <v>406</v>
      </c>
      <c r="H273" s="60" t="str">
        <f>IF(Proc[[#This Row],[type]]="LFF (MDG-F)",MID(Proc[[#This Row],[Obj]],13,10),"")</f>
        <v>DE10566400</v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MGF</v>
      </c>
      <c r="L273" s="60" t="s">
        <v>509</v>
      </c>
      <c r="M273" s="71">
        <v>45692.46533564815</v>
      </c>
      <c r="P273" s="67" t="str">
        <f ca="1">IF(Proc[[#This Row],[DaysAgeing]]&gt;5,"yep","on track")</f>
        <v>yep</v>
      </c>
      <c r="Q273" s="3">
        <f ca="1">IF(Proc[[#This Row],[DateClosed]]="",ABS(NETWORKDAYS(Proc[[#This Row],[DateOpened]],TODAY()))-1,ABS(NETWORKDAYS(Proc[[#This Row],[DateOpened]],Proc[[#This Row],[DateClosed]]))-1)</f>
        <v>217</v>
      </c>
      <c r="R273" s="67" t="s">
        <v>549</v>
      </c>
      <c r="S273" s="60"/>
    </row>
    <row r="274" spans="1:19" hidden="1">
      <c r="A274" s="62" t="s">
        <v>1743</v>
      </c>
      <c r="B274" s="149" t="str">
        <f>IFERROR(VLOOKUP(Proc[[#This Row],[App]],Table2[],3,0),"open")</f>
        <v>ok</v>
      </c>
      <c r="C274" s="62" t="s">
        <v>369</v>
      </c>
      <c r="D274" t="s">
        <v>966</v>
      </c>
      <c r="E274" t="s">
        <v>631</v>
      </c>
      <c r="F274" s="117" t="s">
        <v>631</v>
      </c>
      <c r="G274" s="62" t="s">
        <v>406</v>
      </c>
      <c r="H274" s="60" t="str">
        <f>IF(Proc[[#This Row],[type]]="LFF (MDG-F)",MID(Proc[[#This Row],[Obj]],13,10),"")</f>
        <v>DE10505600</v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MGF</v>
      </c>
      <c r="L274" s="60" t="s">
        <v>509</v>
      </c>
      <c r="M274" s="71">
        <v>45692.46533564815</v>
      </c>
      <c r="P274" s="67" t="str">
        <f ca="1">IF(Proc[[#This Row],[DaysAgeing]]&gt;5,"yep","on track")</f>
        <v>yep</v>
      </c>
      <c r="Q274" s="3">
        <f ca="1">IF(Proc[[#This Row],[DateClosed]]="",ABS(NETWORKDAYS(Proc[[#This Row],[DateOpened]],TODAY()))-1,ABS(NETWORKDAYS(Proc[[#This Row],[DateOpened]],Proc[[#This Row],[DateClosed]]))-1)</f>
        <v>217</v>
      </c>
      <c r="R274" s="67" t="s">
        <v>549</v>
      </c>
      <c r="S274" s="60"/>
    </row>
    <row r="275" spans="1:19" hidden="1">
      <c r="A275" s="62" t="s">
        <v>1743</v>
      </c>
      <c r="B275" s="149" t="str">
        <f>IFERROR(VLOOKUP(Proc[[#This Row],[App]],Table2[],3,0),"open")</f>
        <v>ok</v>
      </c>
      <c r="C275" s="62" t="s">
        <v>377</v>
      </c>
      <c r="D275" t="s">
        <v>1100</v>
      </c>
      <c r="E275" t="s">
        <v>631</v>
      </c>
      <c r="F275" s="103" t="s">
        <v>631</v>
      </c>
      <c r="G275" s="62" t="s">
        <v>406</v>
      </c>
      <c r="H275" s="60" t="str">
        <f>IF(Proc[[#This Row],[type]]="LFF (MDG-F)",MID(Proc[[#This Row],[Obj]],13,10),"")</f>
        <v>DE20566500</v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MGF</v>
      </c>
      <c r="L275" s="60" t="s">
        <v>509</v>
      </c>
      <c r="M275" s="71">
        <v>45692.46533564815</v>
      </c>
      <c r="P275" s="67" t="str">
        <f ca="1">IF(Proc[[#This Row],[DaysAgeing]]&gt;5,"yep","on track")</f>
        <v>yep</v>
      </c>
      <c r="Q275" s="3">
        <f ca="1">IF(Proc[[#This Row],[DateClosed]]="",ABS(NETWORKDAYS(Proc[[#This Row],[DateOpened]],TODAY()))-1,ABS(NETWORKDAYS(Proc[[#This Row],[DateOpened]],Proc[[#This Row],[DateClosed]]))-1)</f>
        <v>217</v>
      </c>
      <c r="R275" s="67" t="s">
        <v>549</v>
      </c>
      <c r="S275" s="94" t="e">
        <f>VLOOKUP(Proc[[#This Row],[Obj]],#REF!,2,0)</f>
        <v>#REF!</v>
      </c>
    </row>
    <row r="276" spans="1:19" hidden="1">
      <c r="A276" s="62" t="s">
        <v>1743</v>
      </c>
      <c r="B276" s="149" t="str">
        <f>IFERROR(VLOOKUP(Proc[[#This Row],[App]],Table2[],3,0),"open")</f>
        <v>ok</v>
      </c>
      <c r="C276" s="62" t="s">
        <v>369</v>
      </c>
      <c r="D276" t="s">
        <v>487</v>
      </c>
      <c r="E276" t="s">
        <v>631</v>
      </c>
      <c r="F276" s="117" t="s">
        <v>631</v>
      </c>
      <c r="G276" s="62" t="s">
        <v>406</v>
      </c>
      <c r="H276" s="60" t="str">
        <f>IF(Proc[[#This Row],[type]]="LFF (MDG-F)",MID(Proc[[#This Row],[Obj]],13,10),"")</f>
        <v>DE20625300</v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MGF</v>
      </c>
      <c r="L276" s="60" t="s">
        <v>509</v>
      </c>
      <c r="M276" s="71">
        <v>45692.46533564815</v>
      </c>
      <c r="P276" s="67" t="str">
        <f ca="1">IF(Proc[[#This Row],[DaysAgeing]]&gt;5,"yep","on track")</f>
        <v>yep</v>
      </c>
      <c r="Q276" s="3">
        <f ca="1">IF(Proc[[#This Row],[DateClosed]]="",ABS(NETWORKDAYS(Proc[[#This Row],[DateOpened]],TODAY()))-1,ABS(NETWORKDAYS(Proc[[#This Row],[DateOpened]],Proc[[#This Row],[DateClosed]]))-1)</f>
        <v>217</v>
      </c>
      <c r="R276" s="67" t="s">
        <v>549</v>
      </c>
      <c r="S276" s="60"/>
    </row>
    <row r="277" spans="1:19" hidden="1">
      <c r="A277" s="62" t="s">
        <v>1743</v>
      </c>
      <c r="B277" s="149" t="str">
        <f>IFERROR(VLOOKUP(Proc[[#This Row],[App]],Table2[],3,0),"open")</f>
        <v>ok</v>
      </c>
      <c r="C277" s="62" t="s">
        <v>369</v>
      </c>
      <c r="D277" t="s">
        <v>464</v>
      </c>
      <c r="E277" t="s">
        <v>631</v>
      </c>
      <c r="F277" s="117" t="s">
        <v>631</v>
      </c>
      <c r="G277" s="62" t="s">
        <v>406</v>
      </c>
      <c r="H277" s="60" t="str">
        <f>IF(Proc[[#This Row],[type]]="LFF (MDG-F)",MID(Proc[[#This Row],[Obj]],13,10),"")</f>
        <v>DE20585300</v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MGF</v>
      </c>
      <c r="L277" s="60" t="s">
        <v>509</v>
      </c>
      <c r="M277" s="71">
        <v>45692.46533564815</v>
      </c>
      <c r="P277" s="67" t="str">
        <f ca="1">IF(Proc[[#This Row],[DaysAgeing]]&gt;5,"yep","on track")</f>
        <v>yep</v>
      </c>
      <c r="Q277" s="3">
        <f ca="1">IF(Proc[[#This Row],[DateClosed]]="",ABS(NETWORKDAYS(Proc[[#This Row],[DateOpened]],TODAY()))-1,ABS(NETWORKDAYS(Proc[[#This Row],[DateOpened]],Proc[[#This Row],[DateClosed]]))-1)</f>
        <v>217</v>
      </c>
      <c r="R277" s="67" t="s">
        <v>549</v>
      </c>
      <c r="S277" s="60"/>
    </row>
    <row r="278" spans="1:19" hidden="1">
      <c r="A278" t="s">
        <v>1743</v>
      </c>
      <c r="B278" s="149" t="str">
        <f>IFERROR(VLOOKUP(Proc[[#This Row],[App]],Table2[],3,0),"open")</f>
        <v>ok</v>
      </c>
      <c r="C278" s="62" t="s">
        <v>369</v>
      </c>
      <c r="D278" t="s">
        <v>1739</v>
      </c>
      <c r="E278" t="s">
        <v>631</v>
      </c>
      <c r="F278" s="117" t="s">
        <v>631</v>
      </c>
      <c r="G278" t="s">
        <v>406</v>
      </c>
      <c r="H278" s="60" t="str">
        <f>IF(Proc[[#This Row],[type]]="LFF (MDG-F)",MID(Proc[[#This Row],[Obj]],13,10),"")</f>
        <v>DE10649700</v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MGF</v>
      </c>
      <c r="L278" s="60" t="s">
        <v>509</v>
      </c>
      <c r="M278" s="71">
        <v>45692.46533564815</v>
      </c>
      <c r="P278" s="67" t="str">
        <f ca="1">IF(Proc[[#This Row],[DaysAgeing]]&gt;5,"yep","on track")</f>
        <v>yep</v>
      </c>
      <c r="Q278" s="3">
        <f ca="1">IF(Proc[[#This Row],[DateClosed]]="",ABS(NETWORKDAYS(Proc[[#This Row],[DateOpened]],TODAY()))-1,ABS(NETWORKDAYS(Proc[[#This Row],[DateOpened]],Proc[[#This Row],[DateClosed]]))-1)</f>
        <v>217</v>
      </c>
      <c r="R278" s="67" t="s">
        <v>549</v>
      </c>
      <c r="S278" s="60"/>
    </row>
    <row r="279" spans="1:19" hidden="1">
      <c r="A279" t="s">
        <v>1743</v>
      </c>
      <c r="B279" s="149" t="str">
        <f>IFERROR(VLOOKUP(Proc[[#This Row],[App]],Table2[],3,0),"open")</f>
        <v>ok</v>
      </c>
      <c r="C279" t="s">
        <v>369</v>
      </c>
      <c r="D279" t="s">
        <v>1740</v>
      </c>
      <c r="E279" t="s">
        <v>631</v>
      </c>
      <c r="F279" s="117" t="s">
        <v>631</v>
      </c>
      <c r="G279" t="s">
        <v>406</v>
      </c>
      <c r="H279" s="60" t="str">
        <f>IF(Proc[[#This Row],[type]]="LFF (MDG-F)",MID(Proc[[#This Row],[Obj]],13,10),"")</f>
        <v>DE10607900</v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MGF</v>
      </c>
      <c r="L279" s="60" t="s">
        <v>509</v>
      </c>
      <c r="M279" s="71">
        <v>45692.46533564815</v>
      </c>
      <c r="P279" s="67" t="str">
        <f ca="1">IF(Proc[[#This Row],[DaysAgeing]]&gt;5,"yep","on track")</f>
        <v>yep</v>
      </c>
      <c r="Q279" s="3">
        <f ca="1">IF(Proc[[#This Row],[DateClosed]]="",ABS(NETWORKDAYS(Proc[[#This Row],[DateOpened]],TODAY()))-1,ABS(NETWORKDAYS(Proc[[#This Row],[DateOpened]],Proc[[#This Row],[DateClosed]]))-1)</f>
        <v>217</v>
      </c>
      <c r="R279" s="67" t="s">
        <v>549</v>
      </c>
      <c r="S279" s="60"/>
    </row>
    <row r="280" spans="1:19" hidden="1">
      <c r="A280" s="62" t="s">
        <v>1743</v>
      </c>
      <c r="B280" s="149" t="str">
        <f>IFERROR(VLOOKUP(Proc[[#This Row],[App]],Table2[],3,0),"open")</f>
        <v>ok</v>
      </c>
      <c r="C280" s="62" t="s">
        <v>369</v>
      </c>
      <c r="D280" t="s">
        <v>454</v>
      </c>
      <c r="E280" t="s">
        <v>631</v>
      </c>
      <c r="F280" s="117" t="s">
        <v>631</v>
      </c>
      <c r="G280" s="62" t="s">
        <v>406</v>
      </c>
      <c r="H280" s="60" t="str">
        <f>IF(Proc[[#This Row],[type]]="LFF (MDG-F)",MID(Proc[[#This Row],[Obj]],13,10),"")</f>
        <v>DE10517300</v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MGF</v>
      </c>
      <c r="L280" s="60" t="s">
        <v>509</v>
      </c>
      <c r="M280" s="71">
        <v>45692.46533564815</v>
      </c>
      <c r="P280" s="67" t="str">
        <f ca="1">IF(Proc[[#This Row],[DaysAgeing]]&gt;5,"yep","on track")</f>
        <v>yep</v>
      </c>
      <c r="Q280" s="3">
        <f ca="1">IF(Proc[[#This Row],[DateClosed]]="",ABS(NETWORKDAYS(Proc[[#This Row],[DateOpened]],TODAY()))-1,ABS(NETWORKDAYS(Proc[[#This Row],[DateOpened]],Proc[[#This Row],[DateClosed]]))-1)</f>
        <v>217</v>
      </c>
      <c r="R280" s="67" t="s">
        <v>549</v>
      </c>
      <c r="S280" s="60"/>
    </row>
    <row r="281" spans="1:19" hidden="1">
      <c r="A281" s="62" t="s">
        <v>1743</v>
      </c>
      <c r="B281" s="149" t="str">
        <f>IFERROR(VLOOKUP(Proc[[#This Row],[App]],Table2[],3,0),"open")</f>
        <v>ok</v>
      </c>
      <c r="C281" s="62" t="s">
        <v>369</v>
      </c>
      <c r="D281" t="s">
        <v>1741</v>
      </c>
      <c r="E281" t="s">
        <v>631</v>
      </c>
      <c r="F281" s="117" t="s">
        <v>631</v>
      </c>
      <c r="G281" s="62" t="s">
        <v>406</v>
      </c>
      <c r="H281" s="60" t="str">
        <f>IF(Proc[[#This Row],[type]]="LFF (MDG-F)",MID(Proc[[#This Row],[Obj]],13,10),"")</f>
        <v>DE20569511</v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MGF</v>
      </c>
      <c r="L281" s="60" t="s">
        <v>509</v>
      </c>
      <c r="M281" s="71">
        <v>45692.46533564815</v>
      </c>
      <c r="P281" s="67" t="str">
        <f ca="1">IF(Proc[[#This Row],[DaysAgeing]]&gt;5,"yep","on track")</f>
        <v>yep</v>
      </c>
      <c r="Q281" s="3">
        <f ca="1">IF(Proc[[#This Row],[DateClosed]]="",ABS(NETWORKDAYS(Proc[[#This Row],[DateOpened]],TODAY()))-1,ABS(NETWORKDAYS(Proc[[#This Row],[DateOpened]],Proc[[#This Row],[DateClosed]]))-1)</f>
        <v>217</v>
      </c>
      <c r="R281" s="67" t="s">
        <v>549</v>
      </c>
      <c r="S281" s="60"/>
    </row>
    <row r="282" spans="1:19" hidden="1">
      <c r="A282" s="62" t="s">
        <v>1743</v>
      </c>
      <c r="B282" s="149" t="str">
        <f>IFERROR(VLOOKUP(Proc[[#This Row],[App]],Table2[],3,0),"open")</f>
        <v>ok</v>
      </c>
      <c r="C282" s="62" t="s">
        <v>369</v>
      </c>
      <c r="D282" t="s">
        <v>1742</v>
      </c>
      <c r="E282" t="s">
        <v>631</v>
      </c>
      <c r="F282" s="117" t="s">
        <v>631</v>
      </c>
      <c r="G282" s="62" t="s">
        <v>406</v>
      </c>
      <c r="H282" s="60" t="str">
        <f>IF(Proc[[#This Row],[type]]="LFF (MDG-F)",MID(Proc[[#This Row],[Obj]],13,10),"")</f>
        <v>DE20675101</v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MGF</v>
      </c>
      <c r="L282" s="60" t="s">
        <v>509</v>
      </c>
      <c r="M282" s="71">
        <v>45692.46533564815</v>
      </c>
      <c r="P282" s="67" t="str">
        <f ca="1">IF(Proc[[#This Row],[DaysAgeing]]&gt;5,"yep","on track")</f>
        <v>yep</v>
      </c>
      <c r="Q282" s="3">
        <f ca="1">IF(Proc[[#This Row],[DateClosed]]="",ABS(NETWORKDAYS(Proc[[#This Row],[DateOpened]],TODAY()))-1,ABS(NETWORKDAYS(Proc[[#This Row],[DateOpened]],Proc[[#This Row],[DateClosed]]))-1)</f>
        <v>217</v>
      </c>
      <c r="R282" s="67" t="s">
        <v>549</v>
      </c>
      <c r="S282" s="60"/>
    </row>
    <row r="283" spans="1:19" hidden="1">
      <c r="A283" t="s">
        <v>1809</v>
      </c>
      <c r="B283" s="149" t="str">
        <f>IFERROR(VLOOKUP(Proc[[#This Row],[App]],Table2[],3,0),"open")</f>
        <v>ok</v>
      </c>
      <c r="C283" s="62" t="s">
        <v>369</v>
      </c>
      <c r="D283" t="s">
        <v>1810</v>
      </c>
      <c r="E283" t="s">
        <v>476</v>
      </c>
      <c r="F283" s="117" t="s">
        <v>476</v>
      </c>
      <c r="G283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MGF</v>
      </c>
      <c r="L283" s="60" t="s">
        <v>509</v>
      </c>
      <c r="M283" s="71">
        <v>45693.602835648147</v>
      </c>
      <c r="P283" s="67" t="str">
        <f ca="1">IF(Proc[[#This Row],[DaysAgeing]]&gt;5,"yep","on track")</f>
        <v>yep</v>
      </c>
      <c r="Q283" s="3">
        <f ca="1">IF(Proc[[#This Row],[DateClosed]]="",ABS(NETWORKDAYS(Proc[[#This Row],[DateOpened]],TODAY()))-1,ABS(NETWORKDAYS(Proc[[#This Row],[DateOpened]],Proc[[#This Row],[DateClosed]]))-1)</f>
        <v>216</v>
      </c>
      <c r="R283" s="67" t="s">
        <v>515</v>
      </c>
      <c r="S283" s="60"/>
    </row>
    <row r="284" spans="1:19" hidden="1">
      <c r="A284" s="62" t="s">
        <v>1809</v>
      </c>
      <c r="B284" s="149" t="str">
        <f>IFERROR(VLOOKUP(Proc[[#This Row],[App]],Table2[],3,0),"open")</f>
        <v>ok</v>
      </c>
      <c r="C284" s="62" t="s">
        <v>369</v>
      </c>
      <c r="D284" t="s">
        <v>1811</v>
      </c>
      <c r="E284" t="s">
        <v>476</v>
      </c>
      <c r="F284" s="117" t="s">
        <v>476</v>
      </c>
      <c r="G284" s="62" t="s">
        <v>400</v>
      </c>
      <c r="H284" s="60" t="str">
        <f>IF(Proc[[#This Row],[type]]="LFF (MDG-F)",MID(Proc[[#This Row],[Obj]],13,10),"")</f>
        <v/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MGF</v>
      </c>
      <c r="L284" s="60" t="s">
        <v>509</v>
      </c>
      <c r="M284" s="71">
        <v>45693.602835648147</v>
      </c>
      <c r="P284" s="67" t="str">
        <f ca="1">IF(Proc[[#This Row],[DaysAgeing]]&gt;5,"yep","on track")</f>
        <v>yep</v>
      </c>
      <c r="Q284" s="3">
        <f ca="1">IF(Proc[[#This Row],[DateClosed]]="",ABS(NETWORKDAYS(Proc[[#This Row],[DateOpened]],TODAY()))-1,ABS(NETWORKDAYS(Proc[[#This Row],[DateOpened]],Proc[[#This Row],[DateClosed]]))-1)</f>
        <v>216</v>
      </c>
      <c r="R284" s="67" t="s">
        <v>515</v>
      </c>
      <c r="S284" s="60"/>
    </row>
    <row r="285" spans="1:19" hidden="1">
      <c r="A285" s="62" t="s">
        <v>1809</v>
      </c>
      <c r="B285" s="149" t="str">
        <f>IFERROR(VLOOKUP(Proc[[#This Row],[App]],Table2[],3,0),"open")</f>
        <v>ok</v>
      </c>
      <c r="C285" s="62" t="s">
        <v>369</v>
      </c>
      <c r="D285" t="s">
        <v>1812</v>
      </c>
      <c r="E285" t="s">
        <v>541</v>
      </c>
      <c r="F285" s="117" t="s">
        <v>541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MGF</v>
      </c>
      <c r="L285" s="60" t="s">
        <v>509</v>
      </c>
      <c r="M285" s="71">
        <v>45693.602835648147</v>
      </c>
      <c r="P285" s="67" t="str">
        <f ca="1">IF(Proc[[#This Row],[DaysAgeing]]&gt;5,"yep","on track")</f>
        <v>yep</v>
      </c>
      <c r="Q285" s="3">
        <f ca="1">IF(Proc[[#This Row],[DateClosed]]="",ABS(NETWORKDAYS(Proc[[#This Row],[DateOpened]],TODAY()))-1,ABS(NETWORKDAYS(Proc[[#This Row],[DateOpened]],Proc[[#This Row],[DateClosed]]))-1)</f>
        <v>216</v>
      </c>
      <c r="R285" s="67" t="s">
        <v>515</v>
      </c>
      <c r="S285" s="60"/>
    </row>
    <row r="286" spans="1:19" hidden="1">
      <c r="A286" s="62" t="s">
        <v>1751</v>
      </c>
      <c r="B286" s="149" t="str">
        <f>IFERROR(VLOOKUP(Proc[[#This Row],[App]],Table2[],3,0),"open")</f>
        <v>ok</v>
      </c>
      <c r="C286" s="62" t="s">
        <v>369</v>
      </c>
      <c r="D286" t="s">
        <v>1752</v>
      </c>
      <c r="E286" t="s">
        <v>1808</v>
      </c>
      <c r="F286" s="117" t="s">
        <v>1808</v>
      </c>
      <c r="G286" s="62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LS</v>
      </c>
      <c r="L286" s="60" t="s">
        <v>509</v>
      </c>
      <c r="M286" s="71">
        <v>45693.65792824074</v>
      </c>
      <c r="P286" s="67" t="str">
        <f ca="1">IF(Proc[[#This Row],[DaysAgeing]]&gt;5,"yep","on track")</f>
        <v>yep</v>
      </c>
      <c r="Q286" s="3">
        <f ca="1">IF(Proc[[#This Row],[DateClosed]]="",ABS(NETWORKDAYS(Proc[[#This Row],[DateOpened]],TODAY()))-1,ABS(NETWORKDAYS(Proc[[#This Row],[DateOpened]],Proc[[#This Row],[DateClosed]]))-1)</f>
        <v>216</v>
      </c>
      <c r="R286" s="67" t="s">
        <v>830</v>
      </c>
      <c r="S286" s="60"/>
    </row>
    <row r="287" spans="1:19" hidden="1">
      <c r="A287" s="62" t="s">
        <v>1751</v>
      </c>
      <c r="B287" s="149" t="str">
        <f>IFERROR(VLOOKUP(Proc[[#This Row],[App]],Table2[],3,0),"open")</f>
        <v>ok</v>
      </c>
      <c r="C287" s="62" t="s">
        <v>369</v>
      </c>
      <c r="D287" t="s">
        <v>1753</v>
      </c>
      <c r="E287" t="s">
        <v>1808</v>
      </c>
      <c r="F287" s="117" t="s">
        <v>1808</v>
      </c>
      <c r="G287" s="62" t="s">
        <v>400</v>
      </c>
      <c r="H287" s="60" t="str">
        <f>IF(Proc[[#This Row],[type]]="LFF (MDG-F)",MID(Proc[[#This Row],[Obj]],13,10),"")</f>
        <v/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LS</v>
      </c>
      <c r="L287" s="60" t="s">
        <v>509</v>
      </c>
      <c r="M287" s="71">
        <v>45693.65792824074</v>
      </c>
      <c r="P287" s="67" t="str">
        <f ca="1">IF(Proc[[#This Row],[DaysAgeing]]&gt;5,"yep","on track")</f>
        <v>yep</v>
      </c>
      <c r="Q287" s="3">
        <f ca="1">IF(Proc[[#This Row],[DateClosed]]="",ABS(NETWORKDAYS(Proc[[#This Row],[DateOpened]],TODAY()))-1,ABS(NETWORKDAYS(Proc[[#This Row],[DateOpened]],Proc[[#This Row],[DateClosed]]))-1)</f>
        <v>216</v>
      </c>
      <c r="R287" s="67" t="s">
        <v>830</v>
      </c>
      <c r="S287" s="60"/>
    </row>
    <row r="288" spans="1:19" hidden="1">
      <c r="A288" s="62" t="s">
        <v>1751</v>
      </c>
      <c r="B288" s="149" t="str">
        <f>IFERROR(VLOOKUP(Proc[[#This Row],[App]],Table2[],3,0),"open")</f>
        <v>ok</v>
      </c>
      <c r="C288" s="62" t="s">
        <v>369</v>
      </c>
      <c r="D288" t="s">
        <v>1754</v>
      </c>
      <c r="E288" t="s">
        <v>1808</v>
      </c>
      <c r="F288" s="117" t="s">
        <v>1808</v>
      </c>
      <c r="G288" s="62" t="s">
        <v>400</v>
      </c>
      <c r="H288" s="60" t="str">
        <f>IF(Proc[[#This Row],[type]]="LFF (MDG-F)",MID(Proc[[#This Row],[Obj]],13,10),"")</f>
        <v/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LS</v>
      </c>
      <c r="L288" s="60" t="s">
        <v>509</v>
      </c>
      <c r="M288" s="71">
        <v>45693.65792824074</v>
      </c>
      <c r="P288" s="67" t="str">
        <f ca="1">IF(Proc[[#This Row],[DaysAgeing]]&gt;5,"yep","on track")</f>
        <v>yep</v>
      </c>
      <c r="Q288" s="3">
        <f ca="1">IF(Proc[[#This Row],[DateClosed]]="",ABS(NETWORKDAYS(Proc[[#This Row],[DateOpened]],TODAY()))-1,ABS(NETWORKDAYS(Proc[[#This Row],[DateOpened]],Proc[[#This Row],[DateClosed]]))-1)</f>
        <v>216</v>
      </c>
      <c r="R288" s="67" t="s">
        <v>830</v>
      </c>
      <c r="S288" s="60"/>
    </row>
    <row r="289" spans="1:19" hidden="1">
      <c r="A289" s="62" t="s">
        <v>1751</v>
      </c>
      <c r="B289" s="149" t="str">
        <f>IFERROR(VLOOKUP(Proc[[#This Row],[App]],Table2[],3,0),"open")</f>
        <v>ok</v>
      </c>
      <c r="C289" s="62" t="s">
        <v>369</v>
      </c>
      <c r="D289" t="s">
        <v>1755</v>
      </c>
      <c r="E289" t="s">
        <v>1808</v>
      </c>
      <c r="F289" s="117" t="s">
        <v>1808</v>
      </c>
      <c r="G289" s="62" t="s">
        <v>400</v>
      </c>
      <c r="H289" s="60" t="str">
        <f>IF(Proc[[#This Row],[type]]="LFF (MDG-F)",MID(Proc[[#This Row],[Obj]],13,10),"")</f>
        <v/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LS</v>
      </c>
      <c r="L289" s="60" t="s">
        <v>509</v>
      </c>
      <c r="M289" s="71">
        <v>45693.65792824074</v>
      </c>
      <c r="P289" s="67" t="str">
        <f ca="1">IF(Proc[[#This Row],[DaysAgeing]]&gt;5,"yep","on track")</f>
        <v>yep</v>
      </c>
      <c r="Q289" s="3">
        <f ca="1">IF(Proc[[#This Row],[DateClosed]]="",ABS(NETWORKDAYS(Proc[[#This Row],[DateOpened]],TODAY()))-1,ABS(NETWORKDAYS(Proc[[#This Row],[DateOpened]],Proc[[#This Row],[DateClosed]]))-1)</f>
        <v>216</v>
      </c>
      <c r="R289" s="67" t="s">
        <v>830</v>
      </c>
      <c r="S289" s="60"/>
    </row>
    <row r="290" spans="1:19" hidden="1">
      <c r="A290" s="62" t="s">
        <v>1751</v>
      </c>
      <c r="B290" s="149" t="str">
        <f>IFERROR(VLOOKUP(Proc[[#This Row],[App]],Table2[],3,0),"open")</f>
        <v>ok</v>
      </c>
      <c r="C290" s="62" t="s">
        <v>369</v>
      </c>
      <c r="D290" t="s">
        <v>1756</v>
      </c>
      <c r="E290" t="s">
        <v>1808</v>
      </c>
      <c r="F290" s="117" t="s">
        <v>1808</v>
      </c>
      <c r="G290" s="62" t="s">
        <v>400</v>
      </c>
      <c r="H290" s="60" t="str">
        <f>IF(Proc[[#This Row],[type]]="LFF (MDG-F)",MID(Proc[[#This Row],[Obj]],13,10),"")</f>
        <v/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LS</v>
      </c>
      <c r="L290" s="60" t="s">
        <v>509</v>
      </c>
      <c r="M290" s="71">
        <v>45693.65792824074</v>
      </c>
      <c r="P290" s="67" t="str">
        <f ca="1">IF(Proc[[#This Row],[DaysAgeing]]&gt;5,"yep","on track")</f>
        <v>yep</v>
      </c>
      <c r="Q290" s="3">
        <f ca="1">IF(Proc[[#This Row],[DateClosed]]="",ABS(NETWORKDAYS(Proc[[#This Row],[DateOpened]],TODAY()))-1,ABS(NETWORKDAYS(Proc[[#This Row],[DateOpened]],Proc[[#This Row],[DateClosed]]))-1)</f>
        <v>216</v>
      </c>
      <c r="R290" s="67" t="s">
        <v>830</v>
      </c>
      <c r="S290" s="60"/>
    </row>
    <row r="291" spans="1:19" hidden="1">
      <c r="A291" s="62" t="s">
        <v>1751</v>
      </c>
      <c r="B291" s="149" t="str">
        <f>IFERROR(VLOOKUP(Proc[[#This Row],[App]],Table2[],3,0),"open")</f>
        <v>ok</v>
      </c>
      <c r="C291" s="62" t="s">
        <v>369</v>
      </c>
      <c r="D291" t="s">
        <v>1757</v>
      </c>
      <c r="E291" t="s">
        <v>1808</v>
      </c>
      <c r="F291" s="117" t="s">
        <v>1808</v>
      </c>
      <c r="G291" s="62" t="s">
        <v>400</v>
      </c>
      <c r="H291" s="60" t="str">
        <f>IF(Proc[[#This Row],[type]]="LFF (MDG-F)",MID(Proc[[#This Row],[Obj]],13,10),"")</f>
        <v/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LS</v>
      </c>
      <c r="L291" s="60" t="s">
        <v>509</v>
      </c>
      <c r="M291" s="71">
        <v>45693.65792824074</v>
      </c>
      <c r="P291" s="67" t="str">
        <f ca="1">IF(Proc[[#This Row],[DaysAgeing]]&gt;5,"yep","on track")</f>
        <v>yep</v>
      </c>
      <c r="Q291" s="3">
        <f ca="1">IF(Proc[[#This Row],[DateClosed]]="",ABS(NETWORKDAYS(Proc[[#This Row],[DateOpened]],TODAY()))-1,ABS(NETWORKDAYS(Proc[[#This Row],[DateOpened]],Proc[[#This Row],[DateClosed]]))-1)</f>
        <v>216</v>
      </c>
      <c r="R291" s="67" t="s">
        <v>830</v>
      </c>
      <c r="S291" s="60"/>
    </row>
    <row r="292" spans="1:19" hidden="1">
      <c r="A292" s="62" t="s">
        <v>1751</v>
      </c>
      <c r="B292" s="149" t="str">
        <f>IFERROR(VLOOKUP(Proc[[#This Row],[App]],Table2[],3,0),"open")</f>
        <v>ok</v>
      </c>
      <c r="C292" s="62" t="s">
        <v>369</v>
      </c>
      <c r="D292" t="s">
        <v>1758</v>
      </c>
      <c r="E292" t="s">
        <v>1808</v>
      </c>
      <c r="F292" s="117" t="s">
        <v>1808</v>
      </c>
      <c r="G292" s="62" t="s">
        <v>400</v>
      </c>
      <c r="H292" s="60" t="str">
        <f>IF(Proc[[#This Row],[type]]="LFF (MDG-F)",MID(Proc[[#This Row],[Obj]],13,10),"")</f>
        <v/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LS</v>
      </c>
      <c r="L292" s="60" t="s">
        <v>509</v>
      </c>
      <c r="M292" s="71">
        <v>45693.65792824074</v>
      </c>
      <c r="P292" s="67" t="str">
        <f ca="1">IF(Proc[[#This Row],[DaysAgeing]]&gt;5,"yep","on track")</f>
        <v>yep</v>
      </c>
      <c r="Q292" s="3">
        <f ca="1">IF(Proc[[#This Row],[DateClosed]]="",ABS(NETWORKDAYS(Proc[[#This Row],[DateOpened]],TODAY()))-1,ABS(NETWORKDAYS(Proc[[#This Row],[DateOpened]],Proc[[#This Row],[DateClosed]]))-1)</f>
        <v>216</v>
      </c>
      <c r="R292" s="67" t="s">
        <v>830</v>
      </c>
      <c r="S292" s="60"/>
    </row>
    <row r="293" spans="1:19" hidden="1">
      <c r="A293" s="62" t="s">
        <v>1751</v>
      </c>
      <c r="B293" s="149" t="str">
        <f>IFERROR(VLOOKUP(Proc[[#This Row],[App]],Table2[],3,0),"open")</f>
        <v>ok</v>
      </c>
      <c r="C293" s="62" t="s">
        <v>369</v>
      </c>
      <c r="D293" t="s">
        <v>1759</v>
      </c>
      <c r="E293" t="s">
        <v>1808</v>
      </c>
      <c r="F293" s="117" t="s">
        <v>1808</v>
      </c>
      <c r="G293" s="62" t="s">
        <v>400</v>
      </c>
      <c r="H293" s="60" t="str">
        <f>IF(Proc[[#This Row],[type]]="LFF (MDG-F)",MID(Proc[[#This Row],[Obj]],13,10),"")</f>
        <v/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LS</v>
      </c>
      <c r="L293" s="60" t="s">
        <v>509</v>
      </c>
      <c r="M293" s="71">
        <v>45693.65792824074</v>
      </c>
      <c r="P293" s="67" t="str">
        <f ca="1">IF(Proc[[#This Row],[DaysAgeing]]&gt;5,"yep","on track")</f>
        <v>yep</v>
      </c>
      <c r="Q293" s="3">
        <f ca="1">IF(Proc[[#This Row],[DateClosed]]="",ABS(NETWORKDAYS(Proc[[#This Row],[DateOpened]],TODAY()))-1,ABS(NETWORKDAYS(Proc[[#This Row],[DateOpened]],Proc[[#This Row],[DateClosed]]))-1)</f>
        <v>216</v>
      </c>
      <c r="R293" s="67" t="s">
        <v>830</v>
      </c>
      <c r="S293" s="60"/>
    </row>
    <row r="294" spans="1:19" hidden="1">
      <c r="A294" s="62" t="s">
        <v>1751</v>
      </c>
      <c r="B294" s="149" t="str">
        <f>IFERROR(VLOOKUP(Proc[[#This Row],[App]],Table2[],3,0),"open")</f>
        <v>ok</v>
      </c>
      <c r="C294" s="62" t="s">
        <v>369</v>
      </c>
      <c r="D294" t="s">
        <v>1760</v>
      </c>
      <c r="E294" t="s">
        <v>1808</v>
      </c>
      <c r="F294" s="117" t="s">
        <v>1808</v>
      </c>
      <c r="G294" s="62" t="s">
        <v>400</v>
      </c>
      <c r="H294" s="60" t="str">
        <f>IF(Proc[[#This Row],[type]]="LFF (MDG-F)",MID(Proc[[#This Row],[Obj]],13,10),"")</f>
        <v/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LS</v>
      </c>
      <c r="L294" s="60" t="s">
        <v>509</v>
      </c>
      <c r="M294" s="71">
        <v>45693.65792824074</v>
      </c>
      <c r="P294" s="67" t="str">
        <f ca="1">IF(Proc[[#This Row],[DaysAgeing]]&gt;5,"yep","on track")</f>
        <v>yep</v>
      </c>
      <c r="Q294" s="3">
        <f ca="1">IF(Proc[[#This Row],[DateClosed]]="",ABS(NETWORKDAYS(Proc[[#This Row],[DateOpened]],TODAY()))-1,ABS(NETWORKDAYS(Proc[[#This Row],[DateOpened]],Proc[[#This Row],[DateClosed]]))-1)</f>
        <v>216</v>
      </c>
      <c r="R294" s="67" t="s">
        <v>830</v>
      </c>
      <c r="S294" s="60"/>
    </row>
    <row r="295" spans="1:19" hidden="1">
      <c r="A295" s="62" t="s">
        <v>1751</v>
      </c>
      <c r="B295" s="149" t="str">
        <f>IFERROR(VLOOKUP(Proc[[#This Row],[App]],Table2[],3,0),"open")</f>
        <v>ok</v>
      </c>
      <c r="C295" s="62" t="s">
        <v>369</v>
      </c>
      <c r="D295" t="s">
        <v>1761</v>
      </c>
      <c r="E295" t="s">
        <v>1808</v>
      </c>
      <c r="F295" s="117" t="s">
        <v>1808</v>
      </c>
      <c r="G295" s="62" t="s">
        <v>400</v>
      </c>
      <c r="H295" s="60" t="str">
        <f>IF(Proc[[#This Row],[type]]="LFF (MDG-F)",MID(Proc[[#This Row],[Obj]],13,10),"")</f>
        <v/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LS</v>
      </c>
      <c r="L295" s="60" t="s">
        <v>509</v>
      </c>
      <c r="M295" s="71">
        <v>45693.65792824074</v>
      </c>
      <c r="P295" s="67" t="str">
        <f ca="1">IF(Proc[[#This Row],[DaysAgeing]]&gt;5,"yep","on track")</f>
        <v>yep</v>
      </c>
      <c r="Q295" s="3">
        <f ca="1">IF(Proc[[#This Row],[DateClosed]]="",ABS(NETWORKDAYS(Proc[[#This Row],[DateOpened]],TODAY()))-1,ABS(NETWORKDAYS(Proc[[#This Row],[DateOpened]],Proc[[#This Row],[DateClosed]]))-1)</f>
        <v>216</v>
      </c>
      <c r="R295" s="67" t="s">
        <v>830</v>
      </c>
      <c r="S295" s="60"/>
    </row>
    <row r="296" spans="1:19" hidden="1">
      <c r="A296" s="62" t="s">
        <v>1751</v>
      </c>
      <c r="B296" s="149" t="str">
        <f>IFERROR(VLOOKUP(Proc[[#This Row],[App]],Table2[],3,0),"open")</f>
        <v>ok</v>
      </c>
      <c r="C296" s="62" t="s">
        <v>369</v>
      </c>
      <c r="D296" t="s">
        <v>1762</v>
      </c>
      <c r="E296" t="s">
        <v>1808</v>
      </c>
      <c r="F296" s="117" t="s">
        <v>1808</v>
      </c>
      <c r="G296" s="62" t="s">
        <v>400</v>
      </c>
      <c r="H296" s="60" t="str">
        <f>IF(Proc[[#This Row],[type]]="LFF (MDG-F)",MID(Proc[[#This Row],[Obj]],13,10),"")</f>
        <v/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LS</v>
      </c>
      <c r="L296" s="60" t="s">
        <v>509</v>
      </c>
      <c r="M296" s="71">
        <v>45693.65792824074</v>
      </c>
      <c r="P296" s="67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216</v>
      </c>
      <c r="R296" s="67" t="s">
        <v>830</v>
      </c>
      <c r="S296" s="60"/>
    </row>
    <row r="297" spans="1:19" hidden="1">
      <c r="A297" s="62" t="s">
        <v>1751</v>
      </c>
      <c r="B297" s="149" t="str">
        <f>IFERROR(VLOOKUP(Proc[[#This Row],[App]],Table2[],3,0),"open")</f>
        <v>ok</v>
      </c>
      <c r="C297" s="62" t="s">
        <v>369</v>
      </c>
      <c r="D297" t="s">
        <v>1763</v>
      </c>
      <c r="E297" t="s">
        <v>1808</v>
      </c>
      <c r="F297" s="117" t="s">
        <v>1808</v>
      </c>
      <c r="G297" s="62" t="s">
        <v>400</v>
      </c>
      <c r="H297" s="60" t="str">
        <f>IF(Proc[[#This Row],[type]]="LFF (MDG-F)",MID(Proc[[#This Row],[Obj]],13,10),"")</f>
        <v/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LS</v>
      </c>
      <c r="L297" s="60" t="s">
        <v>509</v>
      </c>
      <c r="M297" s="71">
        <v>45693.65792824074</v>
      </c>
      <c r="P297" s="67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216</v>
      </c>
      <c r="R297" s="67" t="s">
        <v>830</v>
      </c>
      <c r="S297" s="60"/>
    </row>
    <row r="298" spans="1:19" hidden="1">
      <c r="A298" s="62" t="s">
        <v>1751</v>
      </c>
      <c r="B298" s="149" t="str">
        <f>IFERROR(VLOOKUP(Proc[[#This Row],[App]],Table2[],3,0),"open")</f>
        <v>ok</v>
      </c>
      <c r="C298" s="62" t="s">
        <v>369</v>
      </c>
      <c r="D298" t="s">
        <v>1764</v>
      </c>
      <c r="E298" t="s">
        <v>1808</v>
      </c>
      <c r="F298" s="117" t="s">
        <v>1808</v>
      </c>
      <c r="G298" s="62" t="s">
        <v>400</v>
      </c>
      <c r="H298" s="60" t="str">
        <f>IF(Proc[[#This Row],[type]]="LFF (MDG-F)",MID(Proc[[#This Row],[Obj]],13,10),"")</f>
        <v/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LS</v>
      </c>
      <c r="L298" s="60" t="s">
        <v>509</v>
      </c>
      <c r="M298" s="71">
        <v>45693.65792824074</v>
      </c>
      <c r="P298" s="67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216</v>
      </c>
      <c r="R298" s="67" t="s">
        <v>830</v>
      </c>
      <c r="S298" s="60"/>
    </row>
    <row r="299" spans="1:19" hidden="1">
      <c r="A299" s="62" t="s">
        <v>1751</v>
      </c>
      <c r="B299" s="149" t="str">
        <f>IFERROR(VLOOKUP(Proc[[#This Row],[App]],Table2[],3,0),"open")</f>
        <v>ok</v>
      </c>
      <c r="C299" s="62" t="s">
        <v>369</v>
      </c>
      <c r="D299" t="s">
        <v>1765</v>
      </c>
      <c r="E299" t="s">
        <v>1808</v>
      </c>
      <c r="F299" s="117" t="s">
        <v>1808</v>
      </c>
      <c r="G299" s="62" t="s">
        <v>400</v>
      </c>
      <c r="H299" s="60" t="str">
        <f>IF(Proc[[#This Row],[type]]="LFF (MDG-F)",MID(Proc[[#This Row],[Obj]],13,10),"")</f>
        <v/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LS</v>
      </c>
      <c r="L299" s="60" t="s">
        <v>509</v>
      </c>
      <c r="M299" s="71">
        <v>45693.65792824074</v>
      </c>
      <c r="P299" s="67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216</v>
      </c>
      <c r="R299" s="67" t="s">
        <v>830</v>
      </c>
      <c r="S299" s="60"/>
    </row>
    <row r="300" spans="1:19" hidden="1">
      <c r="A300" s="62" t="s">
        <v>1751</v>
      </c>
      <c r="B300" s="149" t="str">
        <f>IFERROR(VLOOKUP(Proc[[#This Row],[App]],Table2[],3,0),"open")</f>
        <v>ok</v>
      </c>
      <c r="C300" s="62" t="s">
        <v>369</v>
      </c>
      <c r="D300" t="s">
        <v>1766</v>
      </c>
      <c r="E300" t="s">
        <v>1808</v>
      </c>
      <c r="F300" s="117" t="s">
        <v>1808</v>
      </c>
      <c r="G300" s="62" t="s">
        <v>400</v>
      </c>
      <c r="H300" s="60" t="str">
        <f>IF(Proc[[#This Row],[type]]="LFF (MDG-F)",MID(Proc[[#This Row],[Obj]],13,10),"")</f>
        <v/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LS</v>
      </c>
      <c r="L300" s="60" t="s">
        <v>509</v>
      </c>
      <c r="M300" s="71">
        <v>45693.65792824074</v>
      </c>
      <c r="P300" s="67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216</v>
      </c>
      <c r="R300" s="67" t="s">
        <v>830</v>
      </c>
      <c r="S300" s="60"/>
    </row>
    <row r="301" spans="1:19" hidden="1">
      <c r="A301" s="62" t="s">
        <v>1751</v>
      </c>
      <c r="B301" s="149" t="str">
        <f>IFERROR(VLOOKUP(Proc[[#This Row],[App]],Table2[],3,0),"open")</f>
        <v>ok</v>
      </c>
      <c r="C301" s="62" t="s">
        <v>369</v>
      </c>
      <c r="D301" t="s">
        <v>1767</v>
      </c>
      <c r="E301" t="s">
        <v>1808</v>
      </c>
      <c r="F301" s="117" t="s">
        <v>1808</v>
      </c>
      <c r="G301" s="62" t="s">
        <v>400</v>
      </c>
      <c r="H301" s="60" t="str">
        <f>IF(Proc[[#This Row],[type]]="LFF (MDG-F)",MID(Proc[[#This Row],[Obj]],13,10),"")</f>
        <v/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LS</v>
      </c>
      <c r="L301" s="60" t="s">
        <v>509</v>
      </c>
      <c r="M301" s="71">
        <v>45693.65792824074</v>
      </c>
      <c r="P301" s="67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216</v>
      </c>
      <c r="R301" s="67" t="s">
        <v>830</v>
      </c>
      <c r="S301" s="60"/>
    </row>
    <row r="302" spans="1:19" hidden="1">
      <c r="A302" s="62" t="s">
        <v>1751</v>
      </c>
      <c r="B302" s="149" t="str">
        <f>IFERROR(VLOOKUP(Proc[[#This Row],[App]],Table2[],3,0),"open")</f>
        <v>ok</v>
      </c>
      <c r="C302" s="62" t="s">
        <v>369</v>
      </c>
      <c r="D302" t="s">
        <v>1768</v>
      </c>
      <c r="E302" t="s">
        <v>1808</v>
      </c>
      <c r="F302" s="117" t="s">
        <v>1808</v>
      </c>
      <c r="G302" s="62" t="s">
        <v>400</v>
      </c>
      <c r="H302" s="60" t="str">
        <f>IF(Proc[[#This Row],[type]]="LFF (MDG-F)",MID(Proc[[#This Row],[Obj]],13,10),"")</f>
        <v/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LS</v>
      </c>
      <c r="L302" s="60" t="s">
        <v>509</v>
      </c>
      <c r="M302" s="71">
        <v>45693.65792824074</v>
      </c>
      <c r="P302" s="67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216</v>
      </c>
      <c r="R302" s="67" t="s">
        <v>830</v>
      </c>
      <c r="S302" s="60"/>
    </row>
    <row r="303" spans="1:19" hidden="1">
      <c r="A303" s="62" t="s">
        <v>1751</v>
      </c>
      <c r="B303" s="149" t="str">
        <f>IFERROR(VLOOKUP(Proc[[#This Row],[App]],Table2[],3,0),"open")</f>
        <v>ok</v>
      </c>
      <c r="C303" s="62" t="s">
        <v>369</v>
      </c>
      <c r="D303" t="s">
        <v>1769</v>
      </c>
      <c r="E303" t="s">
        <v>1808</v>
      </c>
      <c r="F303" s="117" t="s">
        <v>1808</v>
      </c>
      <c r="G303" s="62" t="s">
        <v>400</v>
      </c>
      <c r="H303" s="60" t="str">
        <f>IF(Proc[[#This Row],[type]]="LFF (MDG-F)",MID(Proc[[#This Row],[Obj]],13,10),"")</f>
        <v/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LS</v>
      </c>
      <c r="L303" s="60" t="s">
        <v>509</v>
      </c>
      <c r="M303" s="71">
        <v>45693.65792824074</v>
      </c>
      <c r="P303" s="67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216</v>
      </c>
      <c r="R303" s="67" t="s">
        <v>830</v>
      </c>
      <c r="S303" s="60"/>
    </row>
    <row r="304" spans="1:19" hidden="1">
      <c r="A304" s="62" t="s">
        <v>1751</v>
      </c>
      <c r="B304" s="149" t="str">
        <f>IFERROR(VLOOKUP(Proc[[#This Row],[App]],Table2[],3,0),"open")</f>
        <v>ok</v>
      </c>
      <c r="C304" s="62" t="s">
        <v>369</v>
      </c>
      <c r="D304" t="s">
        <v>1770</v>
      </c>
      <c r="E304" t="s">
        <v>1808</v>
      </c>
      <c r="F304" s="117" t="s">
        <v>1808</v>
      </c>
      <c r="G304" s="62" t="s">
        <v>400</v>
      </c>
      <c r="H304" s="60" t="str">
        <f>IF(Proc[[#This Row],[type]]="LFF (MDG-F)",MID(Proc[[#This Row],[Obj]],13,10),"")</f>
        <v/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LS</v>
      </c>
      <c r="L304" s="60" t="s">
        <v>509</v>
      </c>
      <c r="M304" s="71">
        <v>45693.65792824074</v>
      </c>
      <c r="P304" s="67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216</v>
      </c>
      <c r="R304" s="67" t="s">
        <v>830</v>
      </c>
      <c r="S304" s="60"/>
    </row>
    <row r="305" spans="1:19" hidden="1">
      <c r="A305" s="62" t="s">
        <v>1751</v>
      </c>
      <c r="B305" s="149" t="str">
        <f>IFERROR(VLOOKUP(Proc[[#This Row],[App]],Table2[],3,0),"open")</f>
        <v>ok</v>
      </c>
      <c r="C305" s="62" t="s">
        <v>369</v>
      </c>
      <c r="D305" t="s">
        <v>1771</v>
      </c>
      <c r="E305" t="s">
        <v>1808</v>
      </c>
      <c r="F305" s="117" t="s">
        <v>1808</v>
      </c>
      <c r="G305" s="62" t="s">
        <v>400</v>
      </c>
      <c r="H305" s="60" t="str">
        <f>IF(Proc[[#This Row],[type]]="LFF (MDG-F)",MID(Proc[[#This Row],[Obj]],13,10),"")</f>
        <v/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LS</v>
      </c>
      <c r="L305" s="60" t="s">
        <v>509</v>
      </c>
      <c r="M305" s="71">
        <v>45693.65792824074</v>
      </c>
      <c r="P305" s="67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216</v>
      </c>
      <c r="R305" s="67" t="s">
        <v>830</v>
      </c>
      <c r="S305" s="60"/>
    </row>
    <row r="306" spans="1:19" hidden="1">
      <c r="A306" s="62" t="s">
        <v>1751</v>
      </c>
      <c r="B306" s="149" t="str">
        <f>IFERROR(VLOOKUP(Proc[[#This Row],[App]],Table2[],3,0),"open")</f>
        <v>ok</v>
      </c>
      <c r="C306" s="62" t="s">
        <v>369</v>
      </c>
      <c r="D306" t="s">
        <v>1772</v>
      </c>
      <c r="E306" t="s">
        <v>1808</v>
      </c>
      <c r="F306" s="117" t="s">
        <v>1808</v>
      </c>
      <c r="G306" s="62" t="s">
        <v>400</v>
      </c>
      <c r="H306" s="60" t="str">
        <f>IF(Proc[[#This Row],[type]]="LFF (MDG-F)",MID(Proc[[#This Row],[Obj]],13,10),"")</f>
        <v/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LS</v>
      </c>
      <c r="L306" s="60" t="s">
        <v>509</v>
      </c>
      <c r="M306" s="71">
        <v>45693.65792824074</v>
      </c>
      <c r="P306" s="67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216</v>
      </c>
      <c r="R306" s="67" t="s">
        <v>830</v>
      </c>
      <c r="S306" s="60"/>
    </row>
    <row r="307" spans="1:19" hidden="1">
      <c r="A307" s="62" t="s">
        <v>1751</v>
      </c>
      <c r="B307" s="149" t="str">
        <f>IFERROR(VLOOKUP(Proc[[#This Row],[App]],Table2[],3,0),"open")</f>
        <v>ok</v>
      </c>
      <c r="C307" s="62" t="s">
        <v>369</v>
      </c>
      <c r="D307" t="s">
        <v>1773</v>
      </c>
      <c r="E307" t="s">
        <v>1808</v>
      </c>
      <c r="F307" s="117" t="s">
        <v>1808</v>
      </c>
      <c r="G307" s="62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45693.65792824074</v>
      </c>
      <c r="P307" s="67" t="str">
        <f ca="1">IF(Proc[[#This Row],[DaysAgeing]]&gt;5,"yep","on track")</f>
        <v>yep</v>
      </c>
      <c r="Q307" s="3">
        <f ca="1">IF(Proc[[#This Row],[DateClosed]]="",ABS(NETWORKDAYS(Proc[[#This Row],[DateOpened]],TODAY()))-1,ABS(NETWORKDAYS(Proc[[#This Row],[DateOpened]],Proc[[#This Row],[DateClosed]]))-1)</f>
        <v>216</v>
      </c>
      <c r="R307" s="67" t="s">
        <v>830</v>
      </c>
      <c r="S307" s="60"/>
    </row>
    <row r="308" spans="1:19" hidden="1">
      <c r="A308" s="62" t="s">
        <v>1751</v>
      </c>
      <c r="B308" s="149" t="str">
        <f>IFERROR(VLOOKUP(Proc[[#This Row],[App]],Table2[],3,0),"open")</f>
        <v>ok</v>
      </c>
      <c r="C308" s="62" t="s">
        <v>369</v>
      </c>
      <c r="D308" t="s">
        <v>1774</v>
      </c>
      <c r="E308" t="s">
        <v>1808</v>
      </c>
      <c r="F308" s="117" t="s">
        <v>1808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45693.65792824074</v>
      </c>
      <c r="P308" s="67" t="str">
        <f ca="1">IF(Proc[[#This Row],[DaysAgeing]]&gt;5,"yep","on track")</f>
        <v>yep</v>
      </c>
      <c r="Q308" s="3">
        <f ca="1">IF(Proc[[#This Row],[DateClosed]]="",ABS(NETWORKDAYS(Proc[[#This Row],[DateOpened]],TODAY()))-1,ABS(NETWORKDAYS(Proc[[#This Row],[DateOpened]],Proc[[#This Row],[DateClosed]]))-1)</f>
        <v>216</v>
      </c>
      <c r="R308" s="67" t="s">
        <v>830</v>
      </c>
      <c r="S308" s="60"/>
    </row>
    <row r="309" spans="1:19" hidden="1">
      <c r="A309" s="62" t="s">
        <v>1751</v>
      </c>
      <c r="B309" s="149" t="str">
        <f>IFERROR(VLOOKUP(Proc[[#This Row],[App]],Table2[],3,0),"open")</f>
        <v>ok</v>
      </c>
      <c r="C309" s="62" t="s">
        <v>369</v>
      </c>
      <c r="D309" t="s">
        <v>1775</v>
      </c>
      <c r="E309" t="s">
        <v>1808</v>
      </c>
      <c r="F309" s="117" t="s">
        <v>1808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45693.65792824074</v>
      </c>
      <c r="P309" s="67" t="str">
        <f ca="1">IF(Proc[[#This Row],[DaysAgeing]]&gt;5,"yep","on track")</f>
        <v>yep</v>
      </c>
      <c r="Q309" s="3">
        <f ca="1">IF(Proc[[#This Row],[DateClosed]]="",ABS(NETWORKDAYS(Proc[[#This Row],[DateOpened]],TODAY()))-1,ABS(NETWORKDAYS(Proc[[#This Row],[DateOpened]],Proc[[#This Row],[DateClosed]]))-1)</f>
        <v>216</v>
      </c>
      <c r="R309" s="67" t="s">
        <v>830</v>
      </c>
      <c r="S309" s="60"/>
    </row>
    <row r="310" spans="1:19" hidden="1">
      <c r="A310" s="62" t="s">
        <v>1751</v>
      </c>
      <c r="B310" s="149" t="str">
        <f>IFERROR(VLOOKUP(Proc[[#This Row],[App]],Table2[],3,0),"open")</f>
        <v>ok</v>
      </c>
      <c r="C310" s="62" t="s">
        <v>369</v>
      </c>
      <c r="D310" t="s">
        <v>1776</v>
      </c>
      <c r="E310" t="s">
        <v>1808</v>
      </c>
      <c r="F310" s="117" t="s">
        <v>1808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45693.65792824074</v>
      </c>
      <c r="P310" s="67" t="str">
        <f ca="1">IF(Proc[[#This Row],[DaysAgeing]]&gt;5,"yep","on track")</f>
        <v>yep</v>
      </c>
      <c r="Q310" s="3">
        <f ca="1">IF(Proc[[#This Row],[DateClosed]]="",ABS(NETWORKDAYS(Proc[[#This Row],[DateOpened]],TODAY()))-1,ABS(NETWORKDAYS(Proc[[#This Row],[DateOpened]],Proc[[#This Row],[DateClosed]]))-1)</f>
        <v>216</v>
      </c>
      <c r="R310" s="67" t="s">
        <v>830</v>
      </c>
      <c r="S310" s="60"/>
    </row>
    <row r="311" spans="1:19" hidden="1">
      <c r="A311" s="62" t="s">
        <v>1751</v>
      </c>
      <c r="B311" s="149" t="str">
        <f>IFERROR(VLOOKUP(Proc[[#This Row],[App]],Table2[],3,0),"open")</f>
        <v>ok</v>
      </c>
      <c r="C311" s="62" t="s">
        <v>369</v>
      </c>
      <c r="D311" t="s">
        <v>1777</v>
      </c>
      <c r="E311" t="s">
        <v>1808</v>
      </c>
      <c r="F311" s="117" t="s">
        <v>1808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45693.65792824074</v>
      </c>
      <c r="P311" s="67" t="str">
        <f ca="1">IF(Proc[[#This Row],[DaysAgeing]]&gt;5,"yep","on track")</f>
        <v>yep</v>
      </c>
      <c r="Q311" s="3">
        <f ca="1">IF(Proc[[#This Row],[DateClosed]]="",ABS(NETWORKDAYS(Proc[[#This Row],[DateOpened]],TODAY()))-1,ABS(NETWORKDAYS(Proc[[#This Row],[DateOpened]],Proc[[#This Row],[DateClosed]]))-1)</f>
        <v>216</v>
      </c>
      <c r="R311" s="67" t="s">
        <v>830</v>
      </c>
      <c r="S311" s="60"/>
    </row>
    <row r="312" spans="1:19" hidden="1">
      <c r="A312" s="62" t="s">
        <v>1751</v>
      </c>
      <c r="B312" s="149" t="str">
        <f>IFERROR(VLOOKUP(Proc[[#This Row],[App]],Table2[],3,0),"open")</f>
        <v>ok</v>
      </c>
      <c r="C312" s="62" t="s">
        <v>369</v>
      </c>
      <c r="D312" t="s">
        <v>1778</v>
      </c>
      <c r="E312" t="s">
        <v>1808</v>
      </c>
      <c r="F312" s="117" t="s">
        <v>1808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45693.65792824074</v>
      </c>
      <c r="P312" s="67" t="str">
        <f ca="1">IF(Proc[[#This Row],[DaysAgeing]]&gt;5,"yep","on track")</f>
        <v>yep</v>
      </c>
      <c r="Q312" s="3">
        <f ca="1">IF(Proc[[#This Row],[DateClosed]]="",ABS(NETWORKDAYS(Proc[[#This Row],[DateOpened]],TODAY()))-1,ABS(NETWORKDAYS(Proc[[#This Row],[DateOpened]],Proc[[#This Row],[DateClosed]]))-1)</f>
        <v>216</v>
      </c>
      <c r="R312" s="67" t="s">
        <v>830</v>
      </c>
      <c r="S312" s="60"/>
    </row>
    <row r="313" spans="1:19" hidden="1">
      <c r="A313" s="62" t="s">
        <v>1751</v>
      </c>
      <c r="B313" s="149" t="str">
        <f>IFERROR(VLOOKUP(Proc[[#This Row],[App]],Table2[],3,0),"open")</f>
        <v>ok</v>
      </c>
      <c r="C313" s="62" t="s">
        <v>369</v>
      </c>
      <c r="D313" t="s">
        <v>1779</v>
      </c>
      <c r="E313" t="s">
        <v>1808</v>
      </c>
      <c r="F313" s="117" t="s">
        <v>1808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45693.65792824074</v>
      </c>
      <c r="P313" s="67" t="str">
        <f ca="1">IF(Proc[[#This Row],[DaysAgeing]]&gt;5,"yep","on track")</f>
        <v>yep</v>
      </c>
      <c r="Q313" s="3">
        <f ca="1">IF(Proc[[#This Row],[DateClosed]]="",ABS(NETWORKDAYS(Proc[[#This Row],[DateOpened]],TODAY()))-1,ABS(NETWORKDAYS(Proc[[#This Row],[DateOpened]],Proc[[#This Row],[DateClosed]]))-1)</f>
        <v>216</v>
      </c>
      <c r="R313" s="67" t="s">
        <v>830</v>
      </c>
      <c r="S313" s="60"/>
    </row>
    <row r="314" spans="1:19" hidden="1">
      <c r="A314" s="62" t="s">
        <v>1751</v>
      </c>
      <c r="B314" s="149" t="str">
        <f>IFERROR(VLOOKUP(Proc[[#This Row],[App]],Table2[],3,0),"open")</f>
        <v>ok</v>
      </c>
      <c r="C314" s="62" t="s">
        <v>369</v>
      </c>
      <c r="D314" t="s">
        <v>1780</v>
      </c>
      <c r="E314" t="s">
        <v>1808</v>
      </c>
      <c r="F314" s="117" t="s">
        <v>1808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LS</v>
      </c>
      <c r="L314" s="60" t="s">
        <v>509</v>
      </c>
      <c r="M314" s="71">
        <v>45693.65792824074</v>
      </c>
      <c r="P314" s="67" t="str">
        <f ca="1">IF(Proc[[#This Row],[DaysAgeing]]&gt;5,"yep","on track")</f>
        <v>yep</v>
      </c>
      <c r="Q314" s="3">
        <f ca="1">IF(Proc[[#This Row],[DateClosed]]="",ABS(NETWORKDAYS(Proc[[#This Row],[DateOpened]],TODAY()))-1,ABS(NETWORKDAYS(Proc[[#This Row],[DateOpened]],Proc[[#This Row],[DateClosed]]))-1)</f>
        <v>216</v>
      </c>
      <c r="R314" s="67" t="s">
        <v>830</v>
      </c>
      <c r="S314" s="60"/>
    </row>
    <row r="315" spans="1:19" hidden="1">
      <c r="A315" s="62" t="s">
        <v>1751</v>
      </c>
      <c r="B315" s="149" t="str">
        <f>IFERROR(VLOOKUP(Proc[[#This Row],[App]],Table2[],3,0),"open")</f>
        <v>ok</v>
      </c>
      <c r="C315" s="62" t="s">
        <v>369</v>
      </c>
      <c r="D315" t="s">
        <v>1781</v>
      </c>
      <c r="E315" t="s">
        <v>1808</v>
      </c>
      <c r="F315" s="117" t="s">
        <v>1808</v>
      </c>
      <c r="G315" s="62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LS</v>
      </c>
      <c r="L315" s="60" t="s">
        <v>509</v>
      </c>
      <c r="M315" s="71">
        <v>45693.65792824074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216</v>
      </c>
      <c r="R315" s="67" t="s">
        <v>830</v>
      </c>
      <c r="S315" s="60"/>
    </row>
    <row r="316" spans="1:19" hidden="1">
      <c r="A316" s="62" t="s">
        <v>1751</v>
      </c>
      <c r="B316" s="149" t="str">
        <f>IFERROR(VLOOKUP(Proc[[#This Row],[App]],Table2[],3,0),"open")</f>
        <v>ok</v>
      </c>
      <c r="C316" s="62" t="s">
        <v>369</v>
      </c>
      <c r="D316" t="s">
        <v>1782</v>
      </c>
      <c r="E316" t="s">
        <v>1808</v>
      </c>
      <c r="F316" s="117" t="s">
        <v>1808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45693.65792824074</v>
      </c>
      <c r="P316" s="67" t="str">
        <f ca="1">IF(Proc[[#This Row],[DaysAgeing]]&gt;5,"yep","on track")</f>
        <v>yep</v>
      </c>
      <c r="Q316" s="3">
        <f ca="1">IF(Proc[[#This Row],[DateClosed]]="",ABS(NETWORKDAYS(Proc[[#This Row],[DateOpened]],TODAY()))-1,ABS(NETWORKDAYS(Proc[[#This Row],[DateOpened]],Proc[[#This Row],[DateClosed]]))-1)</f>
        <v>216</v>
      </c>
      <c r="R316" s="67" t="s">
        <v>830</v>
      </c>
      <c r="S316" s="60"/>
    </row>
    <row r="317" spans="1:19" hidden="1">
      <c r="A317" s="62" t="s">
        <v>1751</v>
      </c>
      <c r="B317" s="149" t="str">
        <f>IFERROR(VLOOKUP(Proc[[#This Row],[App]],Table2[],3,0),"open")</f>
        <v>ok</v>
      </c>
      <c r="C317" s="62" t="s">
        <v>369</v>
      </c>
      <c r="D317" t="s">
        <v>1783</v>
      </c>
      <c r="E317" t="s">
        <v>1808</v>
      </c>
      <c r="F317" s="117" t="s">
        <v>1808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45693.65792824074</v>
      </c>
      <c r="P317" s="67" t="str">
        <f ca="1">IF(Proc[[#This Row],[DaysAgeing]]&gt;5,"yep","on track")</f>
        <v>yep</v>
      </c>
      <c r="Q317" s="3">
        <f ca="1">IF(Proc[[#This Row],[DateClosed]]="",ABS(NETWORKDAYS(Proc[[#This Row],[DateOpened]],TODAY()))-1,ABS(NETWORKDAYS(Proc[[#This Row],[DateOpened]],Proc[[#This Row],[DateClosed]]))-1)</f>
        <v>216</v>
      </c>
      <c r="R317" s="67" t="s">
        <v>830</v>
      </c>
      <c r="S317" s="60"/>
    </row>
    <row r="318" spans="1:19" hidden="1">
      <c r="A318" s="62" t="s">
        <v>1751</v>
      </c>
      <c r="B318" s="149" t="str">
        <f>IFERROR(VLOOKUP(Proc[[#This Row],[App]],Table2[],3,0),"open")</f>
        <v>ok</v>
      </c>
      <c r="C318" s="62" t="s">
        <v>369</v>
      </c>
      <c r="D318" t="s">
        <v>1784</v>
      </c>
      <c r="E318" t="s">
        <v>1808</v>
      </c>
      <c r="F318" s="117" t="s">
        <v>1808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45693.65792824074</v>
      </c>
      <c r="P318" s="67" t="str">
        <f ca="1">IF(Proc[[#This Row],[DaysAgeing]]&gt;5,"yep","on track")</f>
        <v>yep</v>
      </c>
      <c r="Q318" s="3">
        <f ca="1">IF(Proc[[#This Row],[DateClosed]]="",ABS(NETWORKDAYS(Proc[[#This Row],[DateOpened]],TODAY()))-1,ABS(NETWORKDAYS(Proc[[#This Row],[DateOpened]],Proc[[#This Row],[DateClosed]]))-1)</f>
        <v>216</v>
      </c>
      <c r="R318" s="67" t="s">
        <v>830</v>
      </c>
      <c r="S318" s="60"/>
    </row>
    <row r="319" spans="1:19" hidden="1">
      <c r="A319" s="62" t="s">
        <v>1751</v>
      </c>
      <c r="B319" s="149" t="str">
        <f>IFERROR(VLOOKUP(Proc[[#This Row],[App]],Table2[],3,0),"open")</f>
        <v>ok</v>
      </c>
      <c r="C319" s="62" t="s">
        <v>369</v>
      </c>
      <c r="D319" t="s">
        <v>1785</v>
      </c>
      <c r="E319" t="s">
        <v>1808</v>
      </c>
      <c r="F319" s="117" t="s">
        <v>1808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45693.65792824074</v>
      </c>
      <c r="P319" s="67" t="str">
        <f ca="1">IF(Proc[[#This Row],[DaysAgeing]]&gt;5,"yep","on track")</f>
        <v>yep</v>
      </c>
      <c r="Q319" s="3">
        <f ca="1">IF(Proc[[#This Row],[DateClosed]]="",ABS(NETWORKDAYS(Proc[[#This Row],[DateOpened]],TODAY()))-1,ABS(NETWORKDAYS(Proc[[#This Row],[DateOpened]],Proc[[#This Row],[DateClosed]]))-1)</f>
        <v>216</v>
      </c>
      <c r="R319" s="67" t="s">
        <v>830</v>
      </c>
      <c r="S319" s="60"/>
    </row>
    <row r="320" spans="1:19" hidden="1">
      <c r="A320" s="62" t="s">
        <v>1751</v>
      </c>
      <c r="B320" s="149" t="str">
        <f>IFERROR(VLOOKUP(Proc[[#This Row],[App]],Table2[],3,0),"open")</f>
        <v>ok</v>
      </c>
      <c r="C320" s="62" t="s">
        <v>369</v>
      </c>
      <c r="D320" t="s">
        <v>1786</v>
      </c>
      <c r="E320" t="s">
        <v>1808</v>
      </c>
      <c r="F320" s="117" t="s">
        <v>1808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45693.65792824074</v>
      </c>
      <c r="P320" s="67" t="str">
        <f ca="1">IF(Proc[[#This Row],[DaysAgeing]]&gt;5,"yep","on track")</f>
        <v>yep</v>
      </c>
      <c r="Q320" s="3">
        <f ca="1">IF(Proc[[#This Row],[DateClosed]]="",ABS(NETWORKDAYS(Proc[[#This Row],[DateOpened]],TODAY()))-1,ABS(NETWORKDAYS(Proc[[#This Row],[DateOpened]],Proc[[#This Row],[DateClosed]]))-1)</f>
        <v>216</v>
      </c>
      <c r="R320" s="67" t="s">
        <v>830</v>
      </c>
      <c r="S320" s="60"/>
    </row>
    <row r="321" spans="1:19" hidden="1">
      <c r="A321" s="62" t="s">
        <v>1751</v>
      </c>
      <c r="B321" s="149" t="str">
        <f>IFERROR(VLOOKUP(Proc[[#This Row],[App]],Table2[],3,0),"open")</f>
        <v>ok</v>
      </c>
      <c r="C321" s="62" t="s">
        <v>369</v>
      </c>
      <c r="D321" t="s">
        <v>1787</v>
      </c>
      <c r="E321" t="s">
        <v>1808</v>
      </c>
      <c r="F321" s="117" t="s">
        <v>1808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45693.65792824074</v>
      </c>
      <c r="P321" s="67" t="str">
        <f ca="1">IF(Proc[[#This Row],[DaysAgeing]]&gt;5,"yep","on track")</f>
        <v>yep</v>
      </c>
      <c r="Q321" s="3">
        <f ca="1">IF(Proc[[#This Row],[DateClosed]]="",ABS(NETWORKDAYS(Proc[[#This Row],[DateOpened]],TODAY()))-1,ABS(NETWORKDAYS(Proc[[#This Row],[DateOpened]],Proc[[#This Row],[DateClosed]]))-1)</f>
        <v>216</v>
      </c>
      <c r="R321" s="67" t="s">
        <v>830</v>
      </c>
      <c r="S321" s="60"/>
    </row>
    <row r="322" spans="1:19" hidden="1">
      <c r="A322" s="62" t="s">
        <v>1751</v>
      </c>
      <c r="B322" s="149" t="str">
        <f>IFERROR(VLOOKUP(Proc[[#This Row],[App]],Table2[],3,0),"open")</f>
        <v>ok</v>
      </c>
      <c r="C322" s="62" t="s">
        <v>369</v>
      </c>
      <c r="D322" t="s">
        <v>1788</v>
      </c>
      <c r="E322" t="s">
        <v>1808</v>
      </c>
      <c r="F322" s="117" t="s">
        <v>1808</v>
      </c>
      <c r="G322" s="6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LS</v>
      </c>
      <c r="L322" s="60" t="s">
        <v>509</v>
      </c>
      <c r="M322" s="71">
        <v>45693.65792824074</v>
      </c>
      <c r="P322" s="67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216</v>
      </c>
      <c r="R322" s="67" t="s">
        <v>830</v>
      </c>
      <c r="S322" s="60"/>
    </row>
    <row r="323" spans="1:19" hidden="1">
      <c r="A323" s="62" t="s">
        <v>1751</v>
      </c>
      <c r="B323" s="149" t="str">
        <f>IFERROR(VLOOKUP(Proc[[#This Row],[App]],Table2[],3,0),"open")</f>
        <v>ok</v>
      </c>
      <c r="C323" s="62" t="s">
        <v>369</v>
      </c>
      <c r="D323" t="s">
        <v>1789</v>
      </c>
      <c r="E323" t="s">
        <v>1808</v>
      </c>
      <c r="F323" s="117" t="s">
        <v>1808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LS</v>
      </c>
      <c r="L323" s="60" t="s">
        <v>509</v>
      </c>
      <c r="M323" s="71">
        <v>45693.65792824074</v>
      </c>
      <c r="P323" s="67" t="str">
        <f ca="1">IF(Proc[[#This Row],[DaysAgeing]]&gt;5,"yep","on track")</f>
        <v>yep</v>
      </c>
      <c r="Q323" s="3">
        <f ca="1">IF(Proc[[#This Row],[DateClosed]]="",ABS(NETWORKDAYS(Proc[[#This Row],[DateOpened]],TODAY()))-1,ABS(NETWORKDAYS(Proc[[#This Row],[DateOpened]],Proc[[#This Row],[DateClosed]]))-1)</f>
        <v>216</v>
      </c>
      <c r="R323" s="67" t="s">
        <v>830</v>
      </c>
      <c r="S323" s="60"/>
    </row>
    <row r="324" spans="1:19" hidden="1">
      <c r="A324" s="62" t="s">
        <v>1751</v>
      </c>
      <c r="B324" s="149" t="str">
        <f>IFERROR(VLOOKUP(Proc[[#This Row],[App]],Table2[],3,0),"open")</f>
        <v>ok</v>
      </c>
      <c r="C324" s="62" t="s">
        <v>369</v>
      </c>
      <c r="D324" t="s">
        <v>1790</v>
      </c>
      <c r="E324" t="s">
        <v>1808</v>
      </c>
      <c r="F324" s="117" t="s">
        <v>1808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LS</v>
      </c>
      <c r="L324" s="60" t="s">
        <v>509</v>
      </c>
      <c r="M324" s="71">
        <v>45693.65792824074</v>
      </c>
      <c r="P324" s="67" t="str">
        <f ca="1">IF(Proc[[#This Row],[DaysAgeing]]&gt;5,"yep","on track")</f>
        <v>yep</v>
      </c>
      <c r="Q324" s="3">
        <f ca="1">IF(Proc[[#This Row],[DateClosed]]="",ABS(NETWORKDAYS(Proc[[#This Row],[DateOpened]],TODAY()))-1,ABS(NETWORKDAYS(Proc[[#This Row],[DateOpened]],Proc[[#This Row],[DateClosed]]))-1)</f>
        <v>216</v>
      </c>
      <c r="R324" s="67" t="s">
        <v>830</v>
      </c>
      <c r="S324" s="60"/>
    </row>
    <row r="325" spans="1:19" hidden="1">
      <c r="A325" s="62" t="s">
        <v>1751</v>
      </c>
      <c r="B325" s="149" t="str">
        <f>IFERROR(VLOOKUP(Proc[[#This Row],[App]],Table2[],3,0),"open")</f>
        <v>ok</v>
      </c>
      <c r="C325" s="62" t="s">
        <v>369</v>
      </c>
      <c r="D325" t="s">
        <v>1791</v>
      </c>
      <c r="E325" t="s">
        <v>1808</v>
      </c>
      <c r="F325" s="117" t="s">
        <v>1808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LS</v>
      </c>
      <c r="L325" s="60" t="s">
        <v>509</v>
      </c>
      <c r="M325" s="71">
        <v>45693.65792824074</v>
      </c>
      <c r="P325" s="67" t="str">
        <f ca="1">IF(Proc[[#This Row],[DaysAgeing]]&gt;5,"yep","on track")</f>
        <v>yep</v>
      </c>
      <c r="Q325" s="3">
        <f ca="1">IF(Proc[[#This Row],[DateClosed]]="",ABS(NETWORKDAYS(Proc[[#This Row],[DateOpened]],TODAY()))-1,ABS(NETWORKDAYS(Proc[[#This Row],[DateOpened]],Proc[[#This Row],[DateClosed]]))-1)</f>
        <v>216</v>
      </c>
      <c r="R325" s="67" t="s">
        <v>830</v>
      </c>
      <c r="S325" s="60"/>
    </row>
    <row r="326" spans="1:19" hidden="1">
      <c r="A326" s="62" t="s">
        <v>1751</v>
      </c>
      <c r="B326" s="149" t="str">
        <f>IFERROR(VLOOKUP(Proc[[#This Row],[App]],Table2[],3,0),"open")</f>
        <v>ok</v>
      </c>
      <c r="C326" s="62" t="s">
        <v>369</v>
      </c>
      <c r="D326" t="s">
        <v>1792</v>
      </c>
      <c r="E326" t="s">
        <v>1808</v>
      </c>
      <c r="F326" s="117" t="s">
        <v>1808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LS</v>
      </c>
      <c r="L326" s="60" t="s">
        <v>509</v>
      </c>
      <c r="M326" s="71">
        <v>45693.65792824074</v>
      </c>
      <c r="P326" s="67" t="str">
        <f ca="1">IF(Proc[[#This Row],[DaysAgeing]]&gt;5,"yep","on track")</f>
        <v>yep</v>
      </c>
      <c r="Q326" s="3">
        <f ca="1">IF(Proc[[#This Row],[DateClosed]]="",ABS(NETWORKDAYS(Proc[[#This Row],[DateOpened]],TODAY()))-1,ABS(NETWORKDAYS(Proc[[#This Row],[DateOpened]],Proc[[#This Row],[DateClosed]]))-1)</f>
        <v>216</v>
      </c>
      <c r="R326" s="67" t="s">
        <v>830</v>
      </c>
      <c r="S326" s="60"/>
    </row>
    <row r="327" spans="1:19" hidden="1">
      <c r="A327" s="62" t="s">
        <v>1751</v>
      </c>
      <c r="B327" s="149" t="str">
        <f>IFERROR(VLOOKUP(Proc[[#This Row],[App]],Table2[],3,0),"open")</f>
        <v>ok</v>
      </c>
      <c r="C327" s="62" t="s">
        <v>369</v>
      </c>
      <c r="D327" t="s">
        <v>1793</v>
      </c>
      <c r="E327" t="s">
        <v>1808</v>
      </c>
      <c r="F327" s="117" t="s">
        <v>1808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LS</v>
      </c>
      <c r="L327" s="60" t="s">
        <v>509</v>
      </c>
      <c r="M327" s="71">
        <v>45693.65792824074</v>
      </c>
      <c r="P327" s="67" t="str">
        <f ca="1">IF(Proc[[#This Row],[DaysAgeing]]&gt;5,"yep","on track")</f>
        <v>yep</v>
      </c>
      <c r="Q327" s="3">
        <f ca="1">IF(Proc[[#This Row],[DateClosed]]="",ABS(NETWORKDAYS(Proc[[#This Row],[DateOpened]],TODAY()))-1,ABS(NETWORKDAYS(Proc[[#This Row],[DateOpened]],Proc[[#This Row],[DateClosed]]))-1)</f>
        <v>216</v>
      </c>
      <c r="R327" s="67" t="s">
        <v>830</v>
      </c>
      <c r="S327" s="60"/>
    </row>
    <row r="328" spans="1:19" hidden="1">
      <c r="A328" s="62" t="s">
        <v>1751</v>
      </c>
      <c r="B328" s="149" t="str">
        <f>IFERROR(VLOOKUP(Proc[[#This Row],[App]],Table2[],3,0),"open")</f>
        <v>ok</v>
      </c>
      <c r="C328" s="62" t="s">
        <v>369</v>
      </c>
      <c r="D328" t="s">
        <v>1794</v>
      </c>
      <c r="E328" t="s">
        <v>1808</v>
      </c>
      <c r="F328" s="117" t="s">
        <v>1808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LS</v>
      </c>
      <c r="L328" s="60" t="s">
        <v>509</v>
      </c>
      <c r="M328" s="71">
        <v>45693.65792824074</v>
      </c>
      <c r="P328" s="67" t="str">
        <f ca="1">IF(Proc[[#This Row],[DaysAgeing]]&gt;5,"yep","on track")</f>
        <v>yep</v>
      </c>
      <c r="Q328" s="3">
        <f ca="1">IF(Proc[[#This Row],[DateClosed]]="",ABS(NETWORKDAYS(Proc[[#This Row],[DateOpened]],TODAY()))-1,ABS(NETWORKDAYS(Proc[[#This Row],[DateOpened]],Proc[[#This Row],[DateClosed]]))-1)</f>
        <v>216</v>
      </c>
      <c r="R328" s="67" t="s">
        <v>830</v>
      </c>
      <c r="S328" s="60"/>
    </row>
    <row r="329" spans="1:19" hidden="1">
      <c r="A329" s="62" t="s">
        <v>1751</v>
      </c>
      <c r="B329" s="149" t="str">
        <f>IFERROR(VLOOKUP(Proc[[#This Row],[App]],Table2[],3,0),"open")</f>
        <v>ok</v>
      </c>
      <c r="C329" s="62" t="s">
        <v>369</v>
      </c>
      <c r="D329" t="s">
        <v>1795</v>
      </c>
      <c r="E329" t="s">
        <v>1808</v>
      </c>
      <c r="F329" s="117" t="s">
        <v>1808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LS</v>
      </c>
      <c r="L329" s="60" t="s">
        <v>509</v>
      </c>
      <c r="M329" s="71">
        <v>45693.65792824074</v>
      </c>
      <c r="P329" s="67" t="str">
        <f ca="1">IF(Proc[[#This Row],[DaysAgeing]]&gt;5,"yep","on track")</f>
        <v>yep</v>
      </c>
      <c r="Q329" s="3">
        <f ca="1">IF(Proc[[#This Row],[DateClosed]]="",ABS(NETWORKDAYS(Proc[[#This Row],[DateOpened]],TODAY()))-1,ABS(NETWORKDAYS(Proc[[#This Row],[DateOpened]],Proc[[#This Row],[DateClosed]]))-1)</f>
        <v>216</v>
      </c>
      <c r="R329" s="67" t="s">
        <v>830</v>
      </c>
      <c r="S329" s="60"/>
    </row>
    <row r="330" spans="1:19" hidden="1">
      <c r="A330" s="62" t="s">
        <v>1751</v>
      </c>
      <c r="B330" s="149" t="str">
        <f>IFERROR(VLOOKUP(Proc[[#This Row],[App]],Table2[],3,0),"open")</f>
        <v>ok</v>
      </c>
      <c r="C330" s="62" t="s">
        <v>369</v>
      </c>
      <c r="D330" t="s">
        <v>1796</v>
      </c>
      <c r="E330" t="s">
        <v>1808</v>
      </c>
      <c r="F330" s="117" t="s">
        <v>1808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LS</v>
      </c>
      <c r="L330" s="60" t="s">
        <v>509</v>
      </c>
      <c r="M330" s="71">
        <v>45693.65792824074</v>
      </c>
      <c r="P330" s="67" t="str">
        <f ca="1">IF(Proc[[#This Row],[DaysAgeing]]&gt;5,"yep","on track")</f>
        <v>yep</v>
      </c>
      <c r="Q330" s="3">
        <f ca="1">IF(Proc[[#This Row],[DateClosed]]="",ABS(NETWORKDAYS(Proc[[#This Row],[DateOpened]],TODAY()))-1,ABS(NETWORKDAYS(Proc[[#This Row],[DateOpened]],Proc[[#This Row],[DateClosed]]))-1)</f>
        <v>216</v>
      </c>
      <c r="R330" s="67" t="s">
        <v>830</v>
      </c>
      <c r="S330" s="60"/>
    </row>
    <row r="331" spans="1:19" hidden="1">
      <c r="A331" s="62" t="s">
        <v>1751</v>
      </c>
      <c r="B331" s="149" t="str">
        <f>IFERROR(VLOOKUP(Proc[[#This Row],[App]],Table2[],3,0),"open")</f>
        <v>ok</v>
      </c>
      <c r="C331" s="62" t="s">
        <v>369</v>
      </c>
      <c r="D331" t="s">
        <v>1797</v>
      </c>
      <c r="E331" t="s">
        <v>1808</v>
      </c>
      <c r="F331" s="117" t="s">
        <v>1808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LS</v>
      </c>
      <c r="L331" s="60" t="s">
        <v>509</v>
      </c>
      <c r="M331" s="71">
        <v>45693.65792824074</v>
      </c>
      <c r="P331" s="67" t="str">
        <f ca="1">IF(Proc[[#This Row],[DaysAgeing]]&gt;5,"yep","on track")</f>
        <v>yep</v>
      </c>
      <c r="Q331" s="3">
        <f ca="1">IF(Proc[[#This Row],[DateClosed]]="",ABS(NETWORKDAYS(Proc[[#This Row],[DateOpened]],TODAY()))-1,ABS(NETWORKDAYS(Proc[[#This Row],[DateOpened]],Proc[[#This Row],[DateClosed]]))-1)</f>
        <v>216</v>
      </c>
      <c r="R331" s="67" t="s">
        <v>830</v>
      </c>
      <c r="S331" s="60"/>
    </row>
    <row r="332" spans="1:19" hidden="1">
      <c r="A332" s="62" t="s">
        <v>1751</v>
      </c>
      <c r="B332" s="149" t="str">
        <f>IFERROR(VLOOKUP(Proc[[#This Row],[App]],Table2[],3,0),"open")</f>
        <v>ok</v>
      </c>
      <c r="C332" s="62" t="s">
        <v>369</v>
      </c>
      <c r="D332" t="s">
        <v>1798</v>
      </c>
      <c r="E332" t="s">
        <v>1808</v>
      </c>
      <c r="F332" s="117" t="s">
        <v>1808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LS</v>
      </c>
      <c r="L332" s="60" t="s">
        <v>509</v>
      </c>
      <c r="M332" s="71">
        <v>45693.65792824074</v>
      </c>
      <c r="P332" s="67" t="str">
        <f ca="1">IF(Proc[[#This Row],[DaysAgeing]]&gt;5,"yep","on track")</f>
        <v>yep</v>
      </c>
      <c r="Q332" s="3">
        <f ca="1">IF(Proc[[#This Row],[DateClosed]]="",ABS(NETWORKDAYS(Proc[[#This Row],[DateOpened]],TODAY()))-1,ABS(NETWORKDAYS(Proc[[#This Row],[DateOpened]],Proc[[#This Row],[DateClosed]]))-1)</f>
        <v>216</v>
      </c>
      <c r="R332" s="67" t="s">
        <v>830</v>
      </c>
      <c r="S332" s="60"/>
    </row>
    <row r="333" spans="1:19" hidden="1">
      <c r="A333" s="62" t="s">
        <v>1751</v>
      </c>
      <c r="B333" s="149" t="str">
        <f>IFERROR(VLOOKUP(Proc[[#This Row],[App]],Table2[],3,0),"open")</f>
        <v>ok</v>
      </c>
      <c r="C333" s="62" t="s">
        <v>369</v>
      </c>
      <c r="D333" t="s">
        <v>1799</v>
      </c>
      <c r="E333" t="s">
        <v>1808</v>
      </c>
      <c r="F333" s="117" t="s">
        <v>1808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LS</v>
      </c>
      <c r="L333" s="60" t="s">
        <v>509</v>
      </c>
      <c r="M333" s="71">
        <v>45693.65792824074</v>
      </c>
      <c r="P333" s="67" t="str">
        <f ca="1">IF(Proc[[#This Row],[DaysAgeing]]&gt;5,"yep","on track")</f>
        <v>yep</v>
      </c>
      <c r="Q333" s="3">
        <f ca="1">IF(Proc[[#This Row],[DateClosed]]="",ABS(NETWORKDAYS(Proc[[#This Row],[DateOpened]],TODAY()))-1,ABS(NETWORKDAYS(Proc[[#This Row],[DateOpened]],Proc[[#This Row],[DateClosed]]))-1)</f>
        <v>216</v>
      </c>
      <c r="R333" s="67" t="s">
        <v>830</v>
      </c>
      <c r="S333" s="60"/>
    </row>
    <row r="334" spans="1:19" hidden="1">
      <c r="A334" s="62" t="s">
        <v>1751</v>
      </c>
      <c r="B334" s="149" t="str">
        <f>IFERROR(VLOOKUP(Proc[[#This Row],[App]],Table2[],3,0),"open")</f>
        <v>ok</v>
      </c>
      <c r="C334" s="62" t="s">
        <v>369</v>
      </c>
      <c r="D334" t="s">
        <v>1800</v>
      </c>
      <c r="E334" t="s">
        <v>1808</v>
      </c>
      <c r="F334" s="117" t="s">
        <v>1808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LS</v>
      </c>
      <c r="L334" s="60" t="s">
        <v>509</v>
      </c>
      <c r="M334" s="71">
        <v>45693.65792824074</v>
      </c>
      <c r="P334" s="67" t="str">
        <f ca="1">IF(Proc[[#This Row],[DaysAgeing]]&gt;5,"yep","on track")</f>
        <v>yep</v>
      </c>
      <c r="Q334" s="3">
        <f ca="1">IF(Proc[[#This Row],[DateClosed]]="",ABS(NETWORKDAYS(Proc[[#This Row],[DateOpened]],TODAY()))-1,ABS(NETWORKDAYS(Proc[[#This Row],[DateOpened]],Proc[[#This Row],[DateClosed]]))-1)</f>
        <v>216</v>
      </c>
      <c r="R334" s="67" t="s">
        <v>830</v>
      </c>
      <c r="S334" s="60"/>
    </row>
    <row r="335" spans="1:19" hidden="1">
      <c r="A335" s="62" t="s">
        <v>1751</v>
      </c>
      <c r="B335" s="149" t="str">
        <f>IFERROR(VLOOKUP(Proc[[#This Row],[App]],Table2[],3,0),"open")</f>
        <v>ok</v>
      </c>
      <c r="C335" s="62" t="s">
        <v>369</v>
      </c>
      <c r="D335" t="s">
        <v>1801</v>
      </c>
      <c r="E335" t="s">
        <v>1808</v>
      </c>
      <c r="F335" s="117" t="s">
        <v>1808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LS</v>
      </c>
      <c r="L335" s="60" t="s">
        <v>509</v>
      </c>
      <c r="M335" s="71">
        <v>45693.65792824074</v>
      </c>
      <c r="P335" s="67" t="str">
        <f ca="1">IF(Proc[[#This Row],[DaysAgeing]]&gt;5,"yep","on track")</f>
        <v>yep</v>
      </c>
      <c r="Q335" s="3">
        <f ca="1">IF(Proc[[#This Row],[DateClosed]]="",ABS(NETWORKDAYS(Proc[[#This Row],[DateOpened]],TODAY()))-1,ABS(NETWORKDAYS(Proc[[#This Row],[DateOpened]],Proc[[#This Row],[DateClosed]]))-1)</f>
        <v>216</v>
      </c>
      <c r="R335" s="67" t="s">
        <v>830</v>
      </c>
      <c r="S335" s="60"/>
    </row>
    <row r="336" spans="1:19" hidden="1">
      <c r="A336" s="62" t="s">
        <v>1751</v>
      </c>
      <c r="B336" s="149" t="str">
        <f>IFERROR(VLOOKUP(Proc[[#This Row],[App]],Table2[],3,0),"open")</f>
        <v>ok</v>
      </c>
      <c r="C336" s="62" t="s">
        <v>369</v>
      </c>
      <c r="D336" t="s">
        <v>1802</v>
      </c>
      <c r="E336" t="s">
        <v>1808</v>
      </c>
      <c r="F336" s="117" t="s">
        <v>1808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LS</v>
      </c>
      <c r="L336" s="60" t="s">
        <v>509</v>
      </c>
      <c r="M336" s="71">
        <v>45693.65792824074</v>
      </c>
      <c r="P336" s="67" t="str">
        <f ca="1">IF(Proc[[#This Row],[DaysAgeing]]&gt;5,"yep","on track")</f>
        <v>yep</v>
      </c>
      <c r="Q336" s="3">
        <f ca="1">IF(Proc[[#This Row],[DateClosed]]="",ABS(NETWORKDAYS(Proc[[#This Row],[DateOpened]],TODAY()))-1,ABS(NETWORKDAYS(Proc[[#This Row],[DateOpened]],Proc[[#This Row],[DateClosed]]))-1)</f>
        <v>216</v>
      </c>
      <c r="R336" s="67" t="s">
        <v>830</v>
      </c>
      <c r="S336" s="60"/>
    </row>
    <row r="337" spans="1:19" hidden="1">
      <c r="A337" s="62" t="s">
        <v>1751</v>
      </c>
      <c r="B337" s="149" t="str">
        <f>IFERROR(VLOOKUP(Proc[[#This Row],[App]],Table2[],3,0),"open")</f>
        <v>ok</v>
      </c>
      <c r="C337" s="62" t="s">
        <v>369</v>
      </c>
      <c r="D337" t="s">
        <v>1803</v>
      </c>
      <c r="E337" t="s">
        <v>1808</v>
      </c>
      <c r="F337" s="117" t="s">
        <v>1808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LS</v>
      </c>
      <c r="L337" s="60" t="s">
        <v>509</v>
      </c>
      <c r="M337" s="71">
        <v>45693.65792824074</v>
      </c>
      <c r="P337" s="67" t="str">
        <f ca="1">IF(Proc[[#This Row],[DaysAgeing]]&gt;5,"yep","on track")</f>
        <v>yep</v>
      </c>
      <c r="Q337" s="3">
        <f ca="1">IF(Proc[[#This Row],[DateClosed]]="",ABS(NETWORKDAYS(Proc[[#This Row],[DateOpened]],TODAY()))-1,ABS(NETWORKDAYS(Proc[[#This Row],[DateOpened]],Proc[[#This Row],[DateClosed]]))-1)</f>
        <v>216</v>
      </c>
      <c r="R337" s="67" t="s">
        <v>830</v>
      </c>
      <c r="S337" s="60"/>
    </row>
    <row r="338" spans="1:19" hidden="1">
      <c r="A338" s="62" t="s">
        <v>1751</v>
      </c>
      <c r="B338" s="149" t="str">
        <f>IFERROR(VLOOKUP(Proc[[#This Row],[App]],Table2[],3,0),"open")</f>
        <v>ok</v>
      </c>
      <c r="C338" s="62" t="s">
        <v>369</v>
      </c>
      <c r="D338" t="s">
        <v>1804</v>
      </c>
      <c r="E338" t="s">
        <v>1808</v>
      </c>
      <c r="F338" s="117" t="s">
        <v>1808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LS</v>
      </c>
      <c r="L338" s="60" t="s">
        <v>509</v>
      </c>
      <c r="M338" s="71">
        <v>45693.65792824074</v>
      </c>
      <c r="P338" s="67" t="str">
        <f ca="1">IF(Proc[[#This Row],[DaysAgeing]]&gt;5,"yep","on track")</f>
        <v>yep</v>
      </c>
      <c r="Q338" s="3">
        <f ca="1">IF(Proc[[#This Row],[DateClosed]]="",ABS(NETWORKDAYS(Proc[[#This Row],[DateOpened]],TODAY()))-1,ABS(NETWORKDAYS(Proc[[#This Row],[DateOpened]],Proc[[#This Row],[DateClosed]]))-1)</f>
        <v>216</v>
      </c>
      <c r="R338" s="67" t="s">
        <v>830</v>
      </c>
      <c r="S338" s="60"/>
    </row>
    <row r="339" spans="1:19" hidden="1">
      <c r="A339" t="s">
        <v>1751</v>
      </c>
      <c r="B339" s="149" t="str">
        <f>IFERROR(VLOOKUP(Proc[[#This Row],[App]],Table2[],3,0),"open")</f>
        <v>ok</v>
      </c>
      <c r="C339" s="62" t="s">
        <v>369</v>
      </c>
      <c r="D339" t="s">
        <v>1805</v>
      </c>
      <c r="E339" t="s">
        <v>1808</v>
      </c>
      <c r="F339" s="117" t="s">
        <v>1808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LS</v>
      </c>
      <c r="L339" s="60" t="s">
        <v>509</v>
      </c>
      <c r="M339" s="71">
        <v>45693.65792824074</v>
      </c>
      <c r="P339" s="67" t="str">
        <f ca="1">IF(Proc[[#This Row],[DaysAgeing]]&gt;5,"yep","on track")</f>
        <v>yep</v>
      </c>
      <c r="Q339" s="3">
        <f ca="1">IF(Proc[[#This Row],[DateClosed]]="",ABS(NETWORKDAYS(Proc[[#This Row],[DateOpened]],TODAY()))-1,ABS(NETWORKDAYS(Proc[[#This Row],[DateOpened]],Proc[[#This Row],[DateClosed]]))-1)</f>
        <v>216</v>
      </c>
      <c r="R339" s="67" t="s">
        <v>830</v>
      </c>
      <c r="S339" s="60"/>
    </row>
    <row r="340" spans="1:19" hidden="1">
      <c r="A340" s="62" t="s">
        <v>1751</v>
      </c>
      <c r="B340" s="149" t="str">
        <f>IFERROR(VLOOKUP(Proc[[#This Row],[App]],Table2[],3,0),"open")</f>
        <v>ok</v>
      </c>
      <c r="C340" s="62" t="s">
        <v>369</v>
      </c>
      <c r="D340" t="s">
        <v>1806</v>
      </c>
      <c r="E340" t="s">
        <v>1808</v>
      </c>
      <c r="F340" s="117" t="s">
        <v>1808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LS</v>
      </c>
      <c r="L340" s="60" t="s">
        <v>509</v>
      </c>
      <c r="M340" s="71">
        <v>45693.65792824074</v>
      </c>
      <c r="P340" s="67" t="str">
        <f ca="1">IF(Proc[[#This Row],[DaysAgeing]]&gt;5,"yep","on track")</f>
        <v>yep</v>
      </c>
      <c r="Q340" s="3">
        <f ca="1">IF(Proc[[#This Row],[DateClosed]]="",ABS(NETWORKDAYS(Proc[[#This Row],[DateOpened]],TODAY()))-1,ABS(NETWORKDAYS(Proc[[#This Row],[DateOpened]],Proc[[#This Row],[DateClosed]]))-1)</f>
        <v>216</v>
      </c>
      <c r="R340" s="67" t="s">
        <v>830</v>
      </c>
      <c r="S340" s="60"/>
    </row>
    <row r="341" spans="1:19" hidden="1">
      <c r="A341" s="62" t="s">
        <v>1751</v>
      </c>
      <c r="B341" s="149" t="str">
        <f>IFERROR(VLOOKUP(Proc[[#This Row],[App]],Table2[],3,0),"open")</f>
        <v>ok</v>
      </c>
      <c r="C341" s="62" t="s">
        <v>369</v>
      </c>
      <c r="D341" t="s">
        <v>1807</v>
      </c>
      <c r="E341" t="s">
        <v>1808</v>
      </c>
      <c r="F341" s="117" t="s">
        <v>1808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45693.65792824074</v>
      </c>
      <c r="P341" s="67" t="str">
        <f ca="1">IF(Proc[[#This Row],[DaysAgeing]]&gt;5,"yep","on track")</f>
        <v>yep</v>
      </c>
      <c r="Q341" s="3">
        <f ca="1">IF(Proc[[#This Row],[DateClosed]]="",ABS(NETWORKDAYS(Proc[[#This Row],[DateOpened]],TODAY()))-1,ABS(NETWORKDAYS(Proc[[#This Row],[DateOpened]],Proc[[#This Row],[DateClosed]]))-1)</f>
        <v>216</v>
      </c>
      <c r="R341" s="67" t="s">
        <v>830</v>
      </c>
      <c r="S341" s="60"/>
    </row>
    <row r="342" spans="1:19" hidden="1">
      <c r="A342" t="s">
        <v>1818</v>
      </c>
      <c r="B342" s="149" t="str">
        <f>IFERROR(VLOOKUP(Proc[[#This Row],[App]],Table2[],3,0),"open")</f>
        <v>ok</v>
      </c>
      <c r="C342" t="s">
        <v>369</v>
      </c>
      <c r="D342" t="s">
        <v>1813</v>
      </c>
      <c r="E342" t="s">
        <v>662</v>
      </c>
      <c r="F342" s="117" t="s">
        <v>662</v>
      </c>
      <c r="G342" s="62" t="s">
        <v>406</v>
      </c>
      <c r="H342" s="60" t="str">
        <f>IF(Proc[[#This Row],[type]]="LFF (MDG-F)",MID(Proc[[#This Row],[Obj]],13,10),"")</f>
        <v>ZA50GIT10C</v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MGF</v>
      </c>
      <c r="L342" s="60" t="s">
        <v>509</v>
      </c>
      <c r="M342" s="71">
        <v>45694.6015162037</v>
      </c>
      <c r="P342" s="67" t="str">
        <f ca="1">IF(Proc[[#This Row],[DaysAgeing]]&gt;5,"yep","on track")</f>
        <v>yep</v>
      </c>
      <c r="Q342" s="3">
        <f ca="1">IF(Proc[[#This Row],[DateClosed]]="",ABS(NETWORKDAYS(Proc[[#This Row],[DateOpened]],TODAY()))-1,ABS(NETWORKDAYS(Proc[[#This Row],[DateOpened]],Proc[[#This Row],[DateClosed]]))-1)</f>
        <v>215</v>
      </c>
      <c r="R342" s="67" t="s">
        <v>1459</v>
      </c>
      <c r="S342" s="60"/>
    </row>
    <row r="343" spans="1:19" hidden="1">
      <c r="A343" s="62" t="s">
        <v>1818</v>
      </c>
      <c r="B343" s="149" t="str">
        <f>IFERROR(VLOOKUP(Proc[[#This Row],[App]],Table2[],3,0),"open")</f>
        <v>ok</v>
      </c>
      <c r="C343" s="62" t="s">
        <v>369</v>
      </c>
      <c r="D343" t="s">
        <v>1814</v>
      </c>
      <c r="E343" t="s">
        <v>443</v>
      </c>
      <c r="F343" s="117" t="s">
        <v>443</v>
      </c>
      <c r="G343" s="62" t="s">
        <v>406</v>
      </c>
      <c r="H343" s="60" t="str">
        <f>IF(Proc[[#This Row],[type]]="LFF (MDG-F)",MID(Proc[[#This Row],[Obj]],13,10),"")</f>
        <v>EE50GIT00C</v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MGF</v>
      </c>
      <c r="L343" s="60" t="s">
        <v>509</v>
      </c>
      <c r="M343" s="71">
        <v>45694.6015162037</v>
      </c>
      <c r="P343" s="67" t="str">
        <f ca="1">IF(Proc[[#This Row],[DaysAgeing]]&gt;5,"yep","on track")</f>
        <v>yep</v>
      </c>
      <c r="Q343" s="3">
        <f ca="1">IF(Proc[[#This Row],[DateClosed]]="",ABS(NETWORKDAYS(Proc[[#This Row],[DateOpened]],TODAY()))-1,ABS(NETWORKDAYS(Proc[[#This Row],[DateOpened]],Proc[[#This Row],[DateClosed]]))-1)</f>
        <v>215</v>
      </c>
      <c r="R343" s="67" t="s">
        <v>1459</v>
      </c>
      <c r="S343" s="60"/>
    </row>
    <row r="344" spans="1:19" hidden="1">
      <c r="A344" s="62" t="s">
        <v>1818</v>
      </c>
      <c r="B344" s="149" t="str">
        <f>IFERROR(VLOOKUP(Proc[[#This Row],[App]],Table2[],3,0),"open")</f>
        <v>ok</v>
      </c>
      <c r="C344" s="62" t="s">
        <v>369</v>
      </c>
      <c r="D344" t="s">
        <v>1815</v>
      </c>
      <c r="E344" t="s">
        <v>427</v>
      </c>
      <c r="F344" s="117" t="s">
        <v>427</v>
      </c>
      <c r="G344" s="62" t="s">
        <v>406</v>
      </c>
      <c r="H344" s="60" t="str">
        <f>IF(Proc[[#This Row],[type]]="LFF (MDG-F)",MID(Proc[[#This Row],[Obj]],13,10),"")</f>
        <v>KE50GIT10B</v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MGF</v>
      </c>
      <c r="L344" s="60" t="s">
        <v>509</v>
      </c>
      <c r="M344" s="71">
        <v>45694.6015162037</v>
      </c>
      <c r="P344" s="67" t="str">
        <f ca="1">IF(Proc[[#This Row],[DaysAgeing]]&gt;5,"yep","on track")</f>
        <v>yep</v>
      </c>
      <c r="Q344" s="3">
        <f ca="1">IF(Proc[[#This Row],[DateClosed]]="",ABS(NETWORKDAYS(Proc[[#This Row],[DateOpened]],TODAY()))-1,ABS(NETWORKDAYS(Proc[[#This Row],[DateOpened]],Proc[[#This Row],[DateClosed]]))-1)</f>
        <v>215</v>
      </c>
      <c r="R344" s="67" t="s">
        <v>1459</v>
      </c>
      <c r="S344" s="60"/>
    </row>
    <row r="345" spans="1:19" hidden="1">
      <c r="A345" s="62" t="s">
        <v>1818</v>
      </c>
      <c r="B345" s="149" t="str">
        <f>IFERROR(VLOOKUP(Proc[[#This Row],[App]],Table2[],3,0),"open")</f>
        <v>ok</v>
      </c>
      <c r="C345" s="62" t="s">
        <v>369</v>
      </c>
      <c r="D345" t="s">
        <v>1816</v>
      </c>
      <c r="E345" t="s">
        <v>443</v>
      </c>
      <c r="F345" s="117" t="s">
        <v>443</v>
      </c>
      <c r="G345" s="62" t="s">
        <v>406</v>
      </c>
      <c r="H345" s="60" t="str">
        <f>IF(Proc[[#This Row],[type]]="LFF (MDG-F)",MID(Proc[[#This Row],[Obj]],13,10),"")</f>
        <v>KE50GIT10C</v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MGF</v>
      </c>
      <c r="L345" s="60" t="s">
        <v>509</v>
      </c>
      <c r="M345" s="71">
        <v>45694.6015162037</v>
      </c>
      <c r="P345" s="67" t="str">
        <f ca="1">IF(Proc[[#This Row],[DaysAgeing]]&gt;5,"yep","on track")</f>
        <v>yep</v>
      </c>
      <c r="Q345" s="3">
        <f ca="1">IF(Proc[[#This Row],[DateClosed]]="",ABS(NETWORKDAYS(Proc[[#This Row],[DateOpened]],TODAY()))-1,ABS(NETWORKDAYS(Proc[[#This Row],[DateOpened]],Proc[[#This Row],[DateClosed]]))-1)</f>
        <v>215</v>
      </c>
      <c r="R345" s="67" t="s">
        <v>1459</v>
      </c>
      <c r="S345" s="60"/>
    </row>
    <row r="346" spans="1:19" hidden="1">
      <c r="A346" s="62" t="s">
        <v>1818</v>
      </c>
      <c r="B346" s="149" t="str">
        <f>IFERROR(VLOOKUP(Proc[[#This Row],[App]],Table2[],3,0),"open")</f>
        <v>ok</v>
      </c>
      <c r="C346" s="62" t="s">
        <v>369</v>
      </c>
      <c r="D346" t="s">
        <v>1817</v>
      </c>
      <c r="E346" t="s">
        <v>1232</v>
      </c>
      <c r="F346" s="117" t="s">
        <v>1232</v>
      </c>
      <c r="G346" s="62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MGF</v>
      </c>
      <c r="L346" s="60" t="s">
        <v>509</v>
      </c>
      <c r="M346" s="71">
        <v>45694.6015162037</v>
      </c>
      <c r="P346" s="67" t="str">
        <f ca="1">IF(Proc[[#This Row],[DaysAgeing]]&gt;5,"yep","on track")</f>
        <v>yep</v>
      </c>
      <c r="Q346" s="3">
        <f ca="1">IF(Proc[[#This Row],[DateClosed]]="",ABS(NETWORKDAYS(Proc[[#This Row],[DateOpened]],TODAY()))-1,ABS(NETWORKDAYS(Proc[[#This Row],[DateOpened]],Proc[[#This Row],[DateClosed]]))-1)</f>
        <v>215</v>
      </c>
      <c r="R346" s="67" t="s">
        <v>1459</v>
      </c>
      <c r="S346" s="60"/>
    </row>
    <row r="347" spans="1:19" hidden="1">
      <c r="A347" t="s">
        <v>1819</v>
      </c>
      <c r="B347" s="149" t="str">
        <f>IFERROR(VLOOKUP(Proc[[#This Row],[App]],Table2[],3,0),"open")</f>
        <v>ok</v>
      </c>
      <c r="C347" t="s">
        <v>369</v>
      </c>
      <c r="D347" t="s">
        <v>1132</v>
      </c>
      <c r="E347" t="s">
        <v>2046</v>
      </c>
      <c r="F347" s="117" t="s">
        <v>2046</v>
      </c>
      <c r="G347" t="s">
        <v>400</v>
      </c>
      <c r="H347" s="60" t="str">
        <f>IF(Proc[[#This Row],[type]]="LFF (MDG-F)",MID(Proc[[#This Row],[Obj]],13,10),"")</f>
        <v/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45695.560960648145</v>
      </c>
      <c r="P347" s="67" t="str">
        <f ca="1">IF(Proc[[#This Row],[DaysAgeing]]&gt;5,"yep","on track")</f>
        <v>yep</v>
      </c>
      <c r="Q347" s="3">
        <f ca="1">IF(Proc[[#This Row],[DateClosed]]="",ABS(NETWORKDAYS(Proc[[#This Row],[DateOpened]],TODAY()))-1,ABS(NETWORKDAYS(Proc[[#This Row],[DateOpened]],Proc[[#This Row],[DateClosed]]))-1)</f>
        <v>214</v>
      </c>
      <c r="R347" s="67" t="s">
        <v>515</v>
      </c>
      <c r="S347" s="60"/>
    </row>
    <row r="348" spans="1:19" hidden="1">
      <c r="A348" s="62" t="s">
        <v>1819</v>
      </c>
      <c r="B348" s="149" t="str">
        <f>IFERROR(VLOOKUP(Proc[[#This Row],[App]],Table2[],3,0),"open")</f>
        <v>ok</v>
      </c>
      <c r="C348" s="68" t="s">
        <v>377</v>
      </c>
      <c r="D348" t="s">
        <v>1820</v>
      </c>
      <c r="E348" t="s">
        <v>2046</v>
      </c>
      <c r="F348" s="103" t="s">
        <v>2046</v>
      </c>
      <c r="G348" t="s">
        <v>406</v>
      </c>
      <c r="H348" s="60" t="str">
        <f>IF(Proc[[#This Row],[type]]="LFF (MDG-F)",MID(Proc[[#This Row],[Obj]],13,10),"")</f>
        <v>DE10G69660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45695.560960648145</v>
      </c>
      <c r="P348" s="67" t="str">
        <f ca="1">IF(Proc[[#This Row],[DaysAgeing]]&gt;5,"yep","on track")</f>
        <v>yep</v>
      </c>
      <c r="Q348" s="3">
        <f ca="1">IF(Proc[[#This Row],[DateClosed]]="",ABS(NETWORKDAYS(Proc[[#This Row],[DateOpened]],TODAY()))-1,ABS(NETWORKDAYS(Proc[[#This Row],[DateOpened]],Proc[[#This Row],[DateClosed]]))-1)</f>
        <v>214</v>
      </c>
      <c r="R348" s="67" t="s">
        <v>515</v>
      </c>
      <c r="S348" s="94" t="e">
        <f>VLOOKUP(Proc[[#This Row],[Obj]],#REF!,2,0)</f>
        <v>#REF!</v>
      </c>
    </row>
    <row r="349" spans="1:19" hidden="1">
      <c r="A349" t="s">
        <v>1822</v>
      </c>
      <c r="B349" s="149" t="str">
        <f>IFERROR(VLOOKUP(Proc[[#This Row],[App]],Table2[],3,0),"open")</f>
        <v>ok</v>
      </c>
      <c r="C349" t="s">
        <v>369</v>
      </c>
      <c r="D349" t="s">
        <v>1821</v>
      </c>
      <c r="E349" s="62" t="s">
        <v>1823</v>
      </c>
      <c r="F349" s="117" t="s">
        <v>1823</v>
      </c>
      <c r="G349" s="62" t="s">
        <v>406</v>
      </c>
      <c r="H349" s="60" t="str">
        <f>IF(Proc[[#This Row],[type]]="LFF (MDG-F)",MID(Proc[[#This Row],[Obj]],13,10),"")</f>
        <v>DE20506400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45698.416030092594</v>
      </c>
      <c r="N349" s="71">
        <v>45701</v>
      </c>
      <c r="O349" s="71">
        <v>45701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3</v>
      </c>
      <c r="R349" s="67" t="s">
        <v>549</v>
      </c>
      <c r="S349" s="60"/>
    </row>
    <row r="350" spans="1:19" hidden="1">
      <c r="A350" t="s">
        <v>1824</v>
      </c>
      <c r="B350" s="149" t="str">
        <f>IFERROR(VLOOKUP(Proc[[#This Row],[App]],Table2[],3,0),"open")</f>
        <v>ok</v>
      </c>
      <c r="C350" s="62" t="s">
        <v>369</v>
      </c>
      <c r="D350" t="s">
        <v>527</v>
      </c>
      <c r="E350" t="s">
        <v>466</v>
      </c>
      <c r="F350" s="117" t="s">
        <v>466</v>
      </c>
      <c r="G350" s="62" t="s">
        <v>406</v>
      </c>
      <c r="H350" s="60" t="str">
        <f>IF(Proc[[#This Row],[type]]="LFF (MDG-F)",MID(Proc[[#This Row],[Obj]],13,10),"")</f>
        <v>DE10624905</v>
      </c>
      <c r="I350" t="s">
        <v>1825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45699.166770833333</v>
      </c>
      <c r="P350" s="67" t="str">
        <f ca="1">IF(Proc[[#This Row],[DaysAgeing]]&gt;5,"yep","on track")</f>
        <v>yep</v>
      </c>
      <c r="Q350" s="3">
        <f ca="1">IF(Proc[[#This Row],[DateClosed]]="",ABS(NETWORKDAYS(Proc[[#This Row],[DateOpened]],TODAY()))-1,ABS(NETWORKDAYS(Proc[[#This Row],[DateOpened]],Proc[[#This Row],[DateClosed]]))-1)</f>
        <v>212</v>
      </c>
      <c r="R350" s="67" t="s">
        <v>515</v>
      </c>
      <c r="S350" s="60"/>
    </row>
    <row r="351" spans="1:19" hidden="1">
      <c r="A351" s="62" t="s">
        <v>1824</v>
      </c>
      <c r="B351" s="149" t="str">
        <f>IFERROR(VLOOKUP(Proc[[#This Row],[App]],Table2[],3,0),"open")</f>
        <v>ok</v>
      </c>
      <c r="C351" s="68" t="s">
        <v>369</v>
      </c>
      <c r="D351" t="s">
        <v>528</v>
      </c>
      <c r="E351" t="s">
        <v>466</v>
      </c>
      <c r="F351" s="117" t="s">
        <v>466</v>
      </c>
      <c r="G351" s="62" t="s">
        <v>406</v>
      </c>
      <c r="H351" s="60" t="str">
        <f>IF(Proc[[#This Row],[type]]="LFF (MDG-F)",MID(Proc[[#This Row],[Obj]],13,10),"")</f>
        <v>DE10624906</v>
      </c>
      <c r="I351" s="62"/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45699.166770833333</v>
      </c>
      <c r="P351" s="67" t="str">
        <f ca="1">IF(Proc[[#This Row],[DaysAgeing]]&gt;5,"yep","on track")</f>
        <v>yep</v>
      </c>
      <c r="Q351" s="3">
        <f ca="1">IF(Proc[[#This Row],[DateClosed]]="",ABS(NETWORKDAYS(Proc[[#This Row],[DateOpened]],TODAY()))-1,ABS(NETWORKDAYS(Proc[[#This Row],[DateOpened]],Proc[[#This Row],[DateClosed]]))-1)</f>
        <v>212</v>
      </c>
      <c r="R351" s="67" t="s">
        <v>515</v>
      </c>
      <c r="S351" s="60"/>
    </row>
    <row r="352" spans="1:19" hidden="1">
      <c r="A352" t="s">
        <v>1826</v>
      </c>
      <c r="B352" s="149" t="str">
        <f>IFERROR(VLOOKUP(Proc[[#This Row],[App]],Table2[],3,0),"open")</f>
        <v>ok</v>
      </c>
      <c r="C352" s="68" t="s">
        <v>369</v>
      </c>
      <c r="D352" t="s">
        <v>1827</v>
      </c>
      <c r="E352" s="68" t="s">
        <v>1828</v>
      </c>
      <c r="F352" s="117" t="s">
        <v>1828</v>
      </c>
      <c r="G352" s="68" t="s">
        <v>406</v>
      </c>
      <c r="H352" s="69" t="str">
        <f>IF(Proc[[#This Row],[type]]="LFF (MDG-F)",MID(Proc[[#This Row],[Obj]],13,10),"")</f>
        <v>DE10GIT04K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9" t="s">
        <v>509</v>
      </c>
      <c r="M352" s="71">
        <v>45700.166770833333</v>
      </c>
      <c r="P352" s="67" t="str">
        <f ca="1">IF(Proc[[#This Row],[DaysAgeing]]&gt;5,"yep","on track")</f>
        <v>yep</v>
      </c>
      <c r="Q352" s="3">
        <f ca="1">IF(Proc[[#This Row],[DateClosed]]="",ABS(NETWORKDAYS(Proc[[#This Row],[DateOpened]],TODAY()))-1,ABS(NETWORKDAYS(Proc[[#This Row],[DateOpened]],Proc[[#This Row],[DateClosed]]))-1)</f>
        <v>211</v>
      </c>
      <c r="R352" s="67" t="s">
        <v>1459</v>
      </c>
      <c r="S352" s="60"/>
    </row>
    <row r="353" spans="1:19" hidden="1">
      <c r="A353" t="s">
        <v>1831</v>
      </c>
      <c r="B353" s="149" t="str">
        <f>IFERROR(VLOOKUP(Proc[[#This Row],[App]],Table2[],3,0),"open")</f>
        <v>ok</v>
      </c>
      <c r="C353" s="68" t="s">
        <v>369</v>
      </c>
      <c r="D353" t="s">
        <v>1829</v>
      </c>
      <c r="E353" t="s">
        <v>1830</v>
      </c>
      <c r="F353" s="117" t="s">
        <v>1830</v>
      </c>
      <c r="G353" s="68" t="s">
        <v>406</v>
      </c>
      <c r="H353" s="69" t="str">
        <f>IF(Proc[[#This Row],[type]]="LFF (MDG-F)",MID(Proc[[#This Row],[Obj]],13,10),"")</f>
        <v>2034C00019</v>
      </c>
      <c r="J353" s="69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LS</v>
      </c>
      <c r="L353" s="69" t="s">
        <v>509</v>
      </c>
      <c r="M353" s="71">
        <v>45701.389467592591</v>
      </c>
      <c r="N353" s="71">
        <v>45712</v>
      </c>
      <c r="O353" s="71">
        <v>45712</v>
      </c>
      <c r="P353" s="70" t="str">
        <f ca="1">IF(Proc[[#This Row],[DaysAgeing]]&gt;5,"yep","on track")</f>
        <v>yep</v>
      </c>
      <c r="Q353" s="3">
        <f ca="1">IF(Proc[[#This Row],[DateClosed]]="",ABS(NETWORKDAYS(Proc[[#This Row],[DateOpened]],TODAY()))-1,ABS(NETWORKDAYS(Proc[[#This Row],[DateOpened]],Proc[[#This Row],[DateClosed]]))-1)</f>
        <v>7</v>
      </c>
      <c r="R353" s="70" t="s">
        <v>830</v>
      </c>
      <c r="S353" s="69"/>
    </row>
    <row r="354" spans="1:19" hidden="1">
      <c r="A354" t="s">
        <v>1832</v>
      </c>
      <c r="B354" s="149" t="str">
        <f>IFERROR(VLOOKUP(Proc[[#This Row],[App]],Table2[],3,0),"open")</f>
        <v>ok</v>
      </c>
      <c r="C354" s="68" t="s">
        <v>369</v>
      </c>
      <c r="D354" t="s">
        <v>1976</v>
      </c>
      <c r="E354" t="s">
        <v>1985</v>
      </c>
      <c r="F354" s="117" t="s">
        <v>1985</v>
      </c>
      <c r="G354" t="s">
        <v>400</v>
      </c>
      <c r="H354" s="69" t="str">
        <f>IF(Proc[[#This Row],[type]]="LFF (MDG-F)",MID(Proc[[#This Row],[Obj]],13,10),"")</f>
        <v/>
      </c>
      <c r="I354" t="s">
        <v>1834</v>
      </c>
      <c r="J354" s="69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LS</v>
      </c>
      <c r="L354" s="69" t="s">
        <v>509</v>
      </c>
      <c r="M354" s="71">
        <v>45701.611967592595</v>
      </c>
      <c r="N354" s="71">
        <v>45706</v>
      </c>
      <c r="O354" s="71">
        <v>45706</v>
      </c>
      <c r="P354" s="70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3</v>
      </c>
      <c r="R354" s="70" t="s">
        <v>1833</v>
      </c>
      <c r="S354" s="69"/>
    </row>
    <row r="355" spans="1:19" hidden="1">
      <c r="A355" s="68" t="s">
        <v>1832</v>
      </c>
      <c r="B355" s="149" t="str">
        <f>IFERROR(VLOOKUP(Proc[[#This Row],[App]],Table2[],3,0),"open")</f>
        <v>ok</v>
      </c>
      <c r="C355" s="68" t="s">
        <v>369</v>
      </c>
      <c r="D355" t="s">
        <v>1977</v>
      </c>
      <c r="E355" s="68" t="s">
        <v>1985</v>
      </c>
      <c r="F355" s="117" t="s">
        <v>1985</v>
      </c>
      <c r="G355" s="68" t="s">
        <v>400</v>
      </c>
      <c r="H355" s="69" t="str">
        <f>IF(Proc[[#This Row],[type]]="LFF (MDG-F)",MID(Proc[[#This Row],[Obj]],13,10),"")</f>
        <v/>
      </c>
      <c r="I355" s="68" t="s">
        <v>1834</v>
      </c>
      <c r="J355" s="69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LS</v>
      </c>
      <c r="L355" s="69" t="s">
        <v>509</v>
      </c>
      <c r="M355" s="71">
        <v>45701.611967592595</v>
      </c>
      <c r="N355" s="71">
        <v>45706</v>
      </c>
      <c r="O355" s="71">
        <v>45706</v>
      </c>
      <c r="P355" s="70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3</v>
      </c>
      <c r="R355" s="70" t="s">
        <v>1833</v>
      </c>
      <c r="S355" s="69"/>
    </row>
    <row r="356" spans="1:19" hidden="1">
      <c r="A356" s="68" t="s">
        <v>1832</v>
      </c>
      <c r="B356" s="149" t="str">
        <f>IFERROR(VLOOKUP(Proc[[#This Row],[App]],Table2[],3,0),"open")</f>
        <v>ok</v>
      </c>
      <c r="C356" s="68" t="s">
        <v>369</v>
      </c>
      <c r="D356" t="s">
        <v>1978</v>
      </c>
      <c r="E356" s="68" t="s">
        <v>1985</v>
      </c>
      <c r="F356" s="117" t="s">
        <v>1985</v>
      </c>
      <c r="G356" s="68" t="s">
        <v>400</v>
      </c>
      <c r="H356" s="69" t="str">
        <f>IF(Proc[[#This Row],[type]]="LFF (MDG-F)",MID(Proc[[#This Row],[Obj]],13,10),"")</f>
        <v/>
      </c>
      <c r="I356" s="68" t="s">
        <v>1834</v>
      </c>
      <c r="J356" s="69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LS</v>
      </c>
      <c r="L356" s="69" t="s">
        <v>509</v>
      </c>
      <c r="M356" s="71">
        <v>45701.611967592595</v>
      </c>
      <c r="N356" s="71">
        <v>45706</v>
      </c>
      <c r="O356" s="71">
        <v>45706</v>
      </c>
      <c r="P356" s="70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3</v>
      </c>
      <c r="R356" s="70" t="s">
        <v>1833</v>
      </c>
      <c r="S356" s="69"/>
    </row>
    <row r="357" spans="1:19" hidden="1">
      <c r="A357" s="68" t="s">
        <v>1832</v>
      </c>
      <c r="B357" s="149" t="str">
        <f>IFERROR(VLOOKUP(Proc[[#This Row],[App]],Table2[],3,0),"open")</f>
        <v>ok</v>
      </c>
      <c r="C357" s="68" t="s">
        <v>369</v>
      </c>
      <c r="D357" t="s">
        <v>1979</v>
      </c>
      <c r="E357" t="s">
        <v>1986</v>
      </c>
      <c r="F357" s="117" t="s">
        <v>1986</v>
      </c>
      <c r="G357" s="68" t="s">
        <v>400</v>
      </c>
      <c r="H357" s="69" t="str">
        <f>IF(Proc[[#This Row],[type]]="LFF (MDG-F)",MID(Proc[[#This Row],[Obj]],13,10),"")</f>
        <v/>
      </c>
      <c r="I357" s="68" t="s">
        <v>1834</v>
      </c>
      <c r="J357" s="69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LS</v>
      </c>
      <c r="L357" s="69" t="s">
        <v>509</v>
      </c>
      <c r="M357" s="71">
        <v>45701.611967592595</v>
      </c>
      <c r="N357" s="71">
        <v>45706</v>
      </c>
      <c r="O357" s="71">
        <v>45706</v>
      </c>
      <c r="P357" s="70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3</v>
      </c>
      <c r="R357" s="70" t="s">
        <v>1833</v>
      </c>
      <c r="S357" s="69"/>
    </row>
    <row r="358" spans="1:19" hidden="1">
      <c r="A358" s="68" t="s">
        <v>1832</v>
      </c>
      <c r="B358" s="149" t="str">
        <f>IFERROR(VLOOKUP(Proc[[#This Row],[App]],Table2[],3,0),"open")</f>
        <v>ok</v>
      </c>
      <c r="C358" s="68" t="s">
        <v>369</v>
      </c>
      <c r="D358" t="s">
        <v>1981</v>
      </c>
      <c r="E358" s="68" t="s">
        <v>1986</v>
      </c>
      <c r="F358" s="117" t="s">
        <v>1986</v>
      </c>
      <c r="G358" s="68" t="s">
        <v>400</v>
      </c>
      <c r="H358" s="69" t="str">
        <f>IF(Proc[[#This Row],[type]]="LFF (MDG-F)",MID(Proc[[#This Row],[Obj]],13,10),"")</f>
        <v/>
      </c>
      <c r="I358" s="68" t="s">
        <v>1834</v>
      </c>
      <c r="J358" s="69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LS</v>
      </c>
      <c r="L358" s="69" t="s">
        <v>509</v>
      </c>
      <c r="M358" s="71">
        <v>45701.611967592595</v>
      </c>
      <c r="N358" s="71">
        <v>45706</v>
      </c>
      <c r="O358" s="71">
        <v>45706</v>
      </c>
      <c r="P358" s="70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3</v>
      </c>
      <c r="R358" s="70" t="s">
        <v>1833</v>
      </c>
      <c r="S358" s="69"/>
    </row>
    <row r="359" spans="1:19" hidden="1">
      <c r="A359" s="68" t="s">
        <v>1832</v>
      </c>
      <c r="B359" s="149" t="str">
        <f>IFERROR(VLOOKUP(Proc[[#This Row],[App]],Table2[],3,0),"open")</f>
        <v>ok</v>
      </c>
      <c r="C359" s="68" t="s">
        <v>369</v>
      </c>
      <c r="D359" t="s">
        <v>1980</v>
      </c>
      <c r="E359" s="68" t="s">
        <v>1986</v>
      </c>
      <c r="F359" s="117" t="s">
        <v>1986</v>
      </c>
      <c r="G359" s="68" t="s">
        <v>400</v>
      </c>
      <c r="H359" s="69" t="str">
        <f>IF(Proc[[#This Row],[type]]="LFF (MDG-F)",MID(Proc[[#This Row],[Obj]],13,10),"")</f>
        <v/>
      </c>
      <c r="I359" s="68" t="s">
        <v>1834</v>
      </c>
      <c r="J359" s="69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LS</v>
      </c>
      <c r="L359" s="69" t="s">
        <v>509</v>
      </c>
      <c r="M359" s="71">
        <v>45701.611967592595</v>
      </c>
      <c r="N359" s="71">
        <v>45706</v>
      </c>
      <c r="O359" s="71">
        <v>45706</v>
      </c>
      <c r="P359" s="70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3</v>
      </c>
      <c r="R359" s="70" t="s">
        <v>1833</v>
      </c>
      <c r="S359" s="69"/>
    </row>
    <row r="360" spans="1:19" hidden="1">
      <c r="A360" s="68" t="s">
        <v>1832</v>
      </c>
      <c r="B360" s="149" t="str">
        <f>IFERROR(VLOOKUP(Proc[[#This Row],[App]],Table2[],3,0),"open")</f>
        <v>ok</v>
      </c>
      <c r="C360" s="68" t="s">
        <v>369</v>
      </c>
      <c r="D360" t="s">
        <v>1982</v>
      </c>
      <c r="E360" s="68" t="s">
        <v>1986</v>
      </c>
      <c r="F360" s="117" t="s">
        <v>1986</v>
      </c>
      <c r="G360" s="68" t="s">
        <v>400</v>
      </c>
      <c r="H360" s="69" t="str">
        <f>IF(Proc[[#This Row],[type]]="LFF (MDG-F)",MID(Proc[[#This Row],[Obj]],13,10),"")</f>
        <v/>
      </c>
      <c r="I360" s="68" t="s">
        <v>1834</v>
      </c>
      <c r="J360" s="69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9" t="s">
        <v>509</v>
      </c>
      <c r="M360" s="71">
        <v>45701.611967592595</v>
      </c>
      <c r="N360" s="71">
        <v>45706</v>
      </c>
      <c r="O360" s="71">
        <v>45706</v>
      </c>
      <c r="P360" s="70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3</v>
      </c>
      <c r="R360" s="70" t="s">
        <v>1833</v>
      </c>
      <c r="S360" s="69"/>
    </row>
    <row r="361" spans="1:19" hidden="1">
      <c r="A361" s="68" t="s">
        <v>1832</v>
      </c>
      <c r="B361" s="149" t="str">
        <f>IFERROR(VLOOKUP(Proc[[#This Row],[App]],Table2[],3,0),"open")</f>
        <v>ok</v>
      </c>
      <c r="C361" s="68" t="s">
        <v>369</v>
      </c>
      <c r="D361" t="s">
        <v>1983</v>
      </c>
      <c r="E361" s="68" t="s">
        <v>1986</v>
      </c>
      <c r="F361" s="117" t="s">
        <v>1986</v>
      </c>
      <c r="G361" s="68" t="s">
        <v>400</v>
      </c>
      <c r="H361" s="69" t="str">
        <f>IF(Proc[[#This Row],[type]]="LFF (MDG-F)",MID(Proc[[#This Row],[Obj]],13,10),"")</f>
        <v/>
      </c>
      <c r="I361" s="68" t="s">
        <v>1834</v>
      </c>
      <c r="J361" s="69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9" t="s">
        <v>509</v>
      </c>
      <c r="M361" s="71">
        <v>45701.611967592595</v>
      </c>
      <c r="N361" s="71">
        <v>45706</v>
      </c>
      <c r="O361" s="71">
        <v>45706</v>
      </c>
      <c r="P361" s="70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3</v>
      </c>
      <c r="R361" s="70" t="s">
        <v>1833</v>
      </c>
      <c r="S361" s="69"/>
    </row>
    <row r="362" spans="1:19" hidden="1">
      <c r="A362" s="68" t="s">
        <v>1832</v>
      </c>
      <c r="B362" s="149" t="str">
        <f>IFERROR(VLOOKUP(Proc[[#This Row],[App]],Table2[],3,0),"open")</f>
        <v>ok</v>
      </c>
      <c r="C362" s="68" t="s">
        <v>369</v>
      </c>
      <c r="D362" t="s">
        <v>1984</v>
      </c>
      <c r="E362" s="68" t="s">
        <v>1986</v>
      </c>
      <c r="F362" s="117" t="s">
        <v>1986</v>
      </c>
      <c r="G362" s="68" t="s">
        <v>400</v>
      </c>
      <c r="H362" s="69" t="str">
        <f>IF(Proc[[#This Row],[type]]="LFF (MDG-F)",MID(Proc[[#This Row],[Obj]],13,10),"")</f>
        <v/>
      </c>
      <c r="I362" s="68" t="s">
        <v>1834</v>
      </c>
      <c r="J362" s="69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9" t="s">
        <v>509</v>
      </c>
      <c r="M362" s="71">
        <v>45701.611967592595</v>
      </c>
      <c r="N362" s="71">
        <v>45706</v>
      </c>
      <c r="O362" s="71">
        <v>45706</v>
      </c>
      <c r="P362" s="70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3</v>
      </c>
      <c r="R362" s="70" t="s">
        <v>1833</v>
      </c>
      <c r="S362" s="69"/>
    </row>
    <row r="363" spans="1:19" hidden="1">
      <c r="A363" t="s">
        <v>1839</v>
      </c>
      <c r="B363" s="149" t="str">
        <f>IFERROR(VLOOKUP(Proc[[#This Row],[App]],Table2[],3,0),"open")</f>
        <v>ok</v>
      </c>
      <c r="C363" s="68" t="s">
        <v>369</v>
      </c>
      <c r="D363" t="s">
        <v>1835</v>
      </c>
      <c r="E363" t="s">
        <v>429</v>
      </c>
      <c r="F363" s="117" t="s">
        <v>429</v>
      </c>
      <c r="G363" s="68" t="s">
        <v>400</v>
      </c>
      <c r="H363" s="69" t="str">
        <f>IF(Proc[[#This Row],[type]]="LFF (MDG-F)",MID(Proc[[#This Row],[Obj]],13,10),"")</f>
        <v/>
      </c>
      <c r="J363" s="69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MGF</v>
      </c>
      <c r="L363" s="69" t="s">
        <v>509</v>
      </c>
      <c r="M363" s="71">
        <v>45702.505925925929</v>
      </c>
      <c r="N363" s="71">
        <v>45705</v>
      </c>
      <c r="O363" s="71">
        <v>45705</v>
      </c>
      <c r="P363" s="70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1459</v>
      </c>
      <c r="S363" s="69"/>
    </row>
    <row r="364" spans="1:19" hidden="1">
      <c r="A364" s="68" t="s">
        <v>1839</v>
      </c>
      <c r="B364" s="149" t="str">
        <f>IFERROR(VLOOKUP(Proc[[#This Row],[App]],Table2[],3,0),"open")</f>
        <v>ok</v>
      </c>
      <c r="C364" s="68" t="s">
        <v>369</v>
      </c>
      <c r="D364" t="s">
        <v>1836</v>
      </c>
      <c r="E364" t="s">
        <v>1232</v>
      </c>
      <c r="F364" s="117" t="s">
        <v>1232</v>
      </c>
      <c r="G364" s="68" t="s">
        <v>400</v>
      </c>
      <c r="H364" s="69" t="str">
        <f>IF(Proc[[#This Row],[type]]="LFF (MDG-F)",MID(Proc[[#This Row],[Obj]],13,10),"")</f>
        <v/>
      </c>
      <c r="J364" s="69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9" t="s">
        <v>509</v>
      </c>
      <c r="M364" s="71">
        <v>45702.505925925929</v>
      </c>
      <c r="N364" s="71">
        <v>45705</v>
      </c>
      <c r="O364" s="71">
        <v>45705</v>
      </c>
      <c r="P364" s="70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1459</v>
      </c>
      <c r="S364" s="69"/>
    </row>
    <row r="365" spans="1:19" hidden="1">
      <c r="A365" s="68" t="s">
        <v>1839</v>
      </c>
      <c r="B365" s="149" t="str">
        <f>IFERROR(VLOOKUP(Proc[[#This Row],[App]],Table2[],3,0),"open")</f>
        <v>ok</v>
      </c>
      <c r="C365" s="68" t="s">
        <v>369</v>
      </c>
      <c r="D365" t="s">
        <v>1837</v>
      </c>
      <c r="E365" t="s">
        <v>1232</v>
      </c>
      <c r="F365" s="117" t="s">
        <v>1232</v>
      </c>
      <c r="G365" s="68" t="s">
        <v>400</v>
      </c>
      <c r="H365" s="69" t="str">
        <f>IF(Proc[[#This Row],[type]]="LFF (MDG-F)",MID(Proc[[#This Row],[Obj]],13,10),"")</f>
        <v/>
      </c>
      <c r="J365" s="69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9" t="s">
        <v>509</v>
      </c>
      <c r="M365" s="71">
        <v>45702.505925925929</v>
      </c>
      <c r="N365" s="71">
        <v>45705</v>
      </c>
      <c r="O365" s="71">
        <v>45705</v>
      </c>
      <c r="P365" s="70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1</v>
      </c>
      <c r="R365" s="67" t="s">
        <v>1459</v>
      </c>
      <c r="S365" s="69"/>
    </row>
    <row r="366" spans="1:19" hidden="1">
      <c r="A366" s="68" t="s">
        <v>1839</v>
      </c>
      <c r="B366" s="149" t="str">
        <f>IFERROR(VLOOKUP(Proc[[#This Row],[App]],Table2[],3,0),"open")</f>
        <v>ok</v>
      </c>
      <c r="C366" s="68" t="s">
        <v>369</v>
      </c>
      <c r="D366" t="s">
        <v>1838</v>
      </c>
      <c r="E366" t="s">
        <v>1232</v>
      </c>
      <c r="F366" s="117" t="s">
        <v>1232</v>
      </c>
      <c r="G366" s="68" t="s">
        <v>400</v>
      </c>
      <c r="H366" s="69" t="str">
        <f>IF(Proc[[#This Row],[type]]="LFF (MDG-F)",MID(Proc[[#This Row],[Obj]],13,10),"")</f>
        <v/>
      </c>
      <c r="J366" s="69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9" t="s">
        <v>509</v>
      </c>
      <c r="M366" s="71">
        <v>45702.505925925929</v>
      </c>
      <c r="N366" s="71">
        <v>45705</v>
      </c>
      <c r="O366" s="71">
        <v>45705</v>
      </c>
      <c r="P366" s="70" t="str">
        <f ca="1">IF(Proc[[#This Row],[DaysAgeing]]&gt;5,"yep","on track")</f>
        <v>on track</v>
      </c>
      <c r="Q366" s="3">
        <f ca="1">IF(Proc[[#This Row],[DateClosed]]="",ABS(NETWORKDAYS(Proc[[#This Row],[DateOpened]],TODAY()))-1,ABS(NETWORKDAYS(Proc[[#This Row],[DateOpened]],Proc[[#This Row],[DateClosed]]))-1)</f>
        <v>1</v>
      </c>
      <c r="R366" s="67" t="s">
        <v>1459</v>
      </c>
      <c r="S366" s="69"/>
    </row>
    <row r="367" spans="1:19" hidden="1">
      <c r="A367" t="s">
        <v>1841</v>
      </c>
      <c r="B367" s="149" t="str">
        <f>IFERROR(VLOOKUP(Proc[[#This Row],[App]],Table2[],3,0),"open")</f>
        <v>ok</v>
      </c>
      <c r="C367" s="68" t="s">
        <v>369</v>
      </c>
      <c r="D367" t="s">
        <v>1840</v>
      </c>
      <c r="E367" t="s">
        <v>1842</v>
      </c>
      <c r="F367" s="117" t="s">
        <v>1842</v>
      </c>
      <c r="G367" s="68" t="s">
        <v>400</v>
      </c>
      <c r="H367" s="69" t="str">
        <f>IF(Proc[[#This Row],[type]]="LFF (MDG-F)",MID(Proc[[#This Row],[Obj]],13,10),"")</f>
        <v/>
      </c>
      <c r="J367" s="69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9" t="s">
        <v>509</v>
      </c>
      <c r="M367" s="71">
        <v>45702.571388888886</v>
      </c>
      <c r="N367" s="71">
        <v>45705</v>
      </c>
      <c r="O367" s="71">
        <v>45705</v>
      </c>
      <c r="P367" s="70" t="str">
        <f ca="1">IF(Proc[[#This Row],[DaysAgeing]]&gt;5,"yep","on track")</f>
        <v>on track</v>
      </c>
      <c r="Q367" s="3">
        <f ca="1">IF(Proc[[#This Row],[DateClosed]]="",ABS(NETWORKDAYS(Proc[[#This Row],[DateOpened]],TODAY()))-1,ABS(NETWORKDAYS(Proc[[#This Row],[DateOpened]],Proc[[#This Row],[DateClosed]]))-1)</f>
        <v>1</v>
      </c>
      <c r="R367" s="67" t="s">
        <v>1459</v>
      </c>
      <c r="S367" s="69"/>
    </row>
    <row r="368" spans="1:19" hidden="1">
      <c r="A368" t="s">
        <v>1843</v>
      </c>
      <c r="B368" s="149" t="str">
        <f>IFERROR(VLOOKUP(Proc[[#This Row],[App]],Table2[],3,0),"open")</f>
        <v>ok</v>
      </c>
      <c r="C368" t="s">
        <v>369</v>
      </c>
      <c r="D368" t="s">
        <v>1844</v>
      </c>
      <c r="E368" t="s">
        <v>1942</v>
      </c>
      <c r="F368" s="117" t="s">
        <v>1942</v>
      </c>
      <c r="G368" t="s">
        <v>406</v>
      </c>
      <c r="H368" s="69" t="str">
        <f>IF(Proc[[#This Row],[type]]="LFF (MDG-F)",MID(Proc[[#This Row],[Obj]],13,10),"")</f>
        <v>2123L28514</v>
      </c>
      <c r="J368" s="69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9" t="s">
        <v>509</v>
      </c>
      <c r="M368" s="71">
        <v>45702.63349537037</v>
      </c>
      <c r="N368" s="71">
        <v>45712</v>
      </c>
      <c r="O368" s="71">
        <v>45712</v>
      </c>
      <c r="P368" s="70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6</v>
      </c>
      <c r="R368" s="70" t="s">
        <v>515</v>
      </c>
      <c r="S368" s="69"/>
    </row>
    <row r="369" spans="1:19" hidden="1">
      <c r="A369" s="68" t="s">
        <v>1843</v>
      </c>
      <c r="B369" s="149" t="str">
        <f>IFERROR(VLOOKUP(Proc[[#This Row],[App]],Table2[],3,0),"open")</f>
        <v>ok</v>
      </c>
      <c r="C369" s="68" t="s">
        <v>369</v>
      </c>
      <c r="D369" t="s">
        <v>1845</v>
      </c>
      <c r="E369" t="s">
        <v>1943</v>
      </c>
      <c r="F369" s="117" t="s">
        <v>1943</v>
      </c>
      <c r="G369" s="68" t="s">
        <v>406</v>
      </c>
      <c r="H369" s="69" t="str">
        <f>IF(Proc[[#This Row],[type]]="LFF (MDG-F)",MID(Proc[[#This Row],[Obj]],13,10),"")</f>
        <v>2123OF0002</v>
      </c>
      <c r="J369" s="69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9" t="s">
        <v>509</v>
      </c>
      <c r="M369" s="71">
        <v>45702.63349537037</v>
      </c>
      <c r="N369" s="71">
        <v>45712</v>
      </c>
      <c r="O369" s="71">
        <v>45712</v>
      </c>
      <c r="P369" s="70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6</v>
      </c>
      <c r="R369" s="70" t="s">
        <v>515</v>
      </c>
      <c r="S369" s="69"/>
    </row>
    <row r="370" spans="1:19" hidden="1">
      <c r="A370" s="68" t="s">
        <v>1843</v>
      </c>
      <c r="B370" s="149" t="str">
        <f>IFERROR(VLOOKUP(Proc[[#This Row],[App]],Table2[],3,0),"open")</f>
        <v>ok</v>
      </c>
      <c r="C370" s="68" t="s">
        <v>369</v>
      </c>
      <c r="D370" t="s">
        <v>1846</v>
      </c>
      <c r="E370" t="s">
        <v>1943</v>
      </c>
      <c r="F370" s="117" t="s">
        <v>1943</v>
      </c>
      <c r="G370" s="68" t="s">
        <v>406</v>
      </c>
      <c r="H370" s="69" t="str">
        <f>IF(Proc[[#This Row],[type]]="LFF (MDG-F)",MID(Proc[[#This Row],[Obj]],13,10),"")</f>
        <v>2123OF0004</v>
      </c>
      <c r="J370" s="69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9" t="s">
        <v>509</v>
      </c>
      <c r="M370" s="71">
        <v>45702.63349537037</v>
      </c>
      <c r="N370" s="71">
        <v>45712</v>
      </c>
      <c r="O370" s="71">
        <v>45712</v>
      </c>
      <c r="P370" s="70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6</v>
      </c>
      <c r="R370" s="70" t="s">
        <v>515</v>
      </c>
      <c r="S370" s="69"/>
    </row>
    <row r="371" spans="1:19" hidden="1">
      <c r="A371" s="68" t="s">
        <v>1843</v>
      </c>
      <c r="B371" s="149" t="str">
        <f>IFERROR(VLOOKUP(Proc[[#This Row],[App]],Table2[],3,0),"open")</f>
        <v>ok</v>
      </c>
      <c r="C371" s="68" t="s">
        <v>369</v>
      </c>
      <c r="D371" t="s">
        <v>1847</v>
      </c>
      <c r="E371" t="s">
        <v>1944</v>
      </c>
      <c r="F371" s="117" t="s">
        <v>1944</v>
      </c>
      <c r="G371" t="s">
        <v>400</v>
      </c>
      <c r="H371" s="69" t="str">
        <f>IF(Proc[[#This Row],[type]]="LFF (MDG-F)",MID(Proc[[#This Row],[Obj]],13,10),"")</f>
        <v/>
      </c>
      <c r="J371" s="69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9" t="s">
        <v>509</v>
      </c>
      <c r="M371" s="71">
        <v>45702.63349537037</v>
      </c>
      <c r="N371" s="71">
        <v>45712</v>
      </c>
      <c r="O371" s="71">
        <v>45712</v>
      </c>
      <c r="P371" s="70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6</v>
      </c>
      <c r="R371" s="70" t="s">
        <v>515</v>
      </c>
      <c r="S371" s="69"/>
    </row>
    <row r="372" spans="1:19" hidden="1">
      <c r="A372" s="68" t="s">
        <v>1843</v>
      </c>
      <c r="B372" s="149" t="str">
        <f>IFERROR(VLOOKUP(Proc[[#This Row],[App]],Table2[],3,0),"open")</f>
        <v>ok</v>
      </c>
      <c r="C372" s="68" t="s">
        <v>369</v>
      </c>
      <c r="D372" t="s">
        <v>1848</v>
      </c>
      <c r="E372" t="s">
        <v>1944</v>
      </c>
      <c r="F372" s="117" t="s">
        <v>1944</v>
      </c>
      <c r="G372" s="68" t="s">
        <v>406</v>
      </c>
      <c r="H372" s="69" t="str">
        <f>IF(Proc[[#This Row],[type]]="LFF (MDG-F)",MID(Proc[[#This Row],[Obj]],13,10),"")</f>
        <v>2123L70001</v>
      </c>
      <c r="J372" s="69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9" t="s">
        <v>509</v>
      </c>
      <c r="M372" s="71">
        <v>45702.63349537037</v>
      </c>
      <c r="N372" s="71">
        <v>45712</v>
      </c>
      <c r="O372" s="71">
        <v>45712</v>
      </c>
      <c r="P372" s="70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6</v>
      </c>
      <c r="R372" s="70" t="s">
        <v>515</v>
      </c>
      <c r="S372" s="69"/>
    </row>
    <row r="373" spans="1:19" hidden="1">
      <c r="A373" s="68" t="s">
        <v>1843</v>
      </c>
      <c r="B373" s="149" t="str">
        <f>IFERROR(VLOOKUP(Proc[[#This Row],[App]],Table2[],3,0),"open")</f>
        <v>ok</v>
      </c>
      <c r="C373" s="68" t="s">
        <v>369</v>
      </c>
      <c r="D373" t="s">
        <v>1849</v>
      </c>
      <c r="E373" t="s">
        <v>1945</v>
      </c>
      <c r="F373" s="117" t="s">
        <v>1945</v>
      </c>
      <c r="G373" s="68" t="s">
        <v>406</v>
      </c>
      <c r="H373" s="69" t="str">
        <f>IF(Proc[[#This Row],[type]]="LFF (MDG-F)",MID(Proc[[#This Row],[Obj]],13,10),"")</f>
        <v>2123C00113</v>
      </c>
      <c r="J373" s="69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9" t="s">
        <v>509</v>
      </c>
      <c r="M373" s="71">
        <v>45702.63349537037</v>
      </c>
      <c r="N373" s="71">
        <v>45712</v>
      </c>
      <c r="O373" s="71">
        <v>45712</v>
      </c>
      <c r="P373" s="70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6</v>
      </c>
      <c r="R373" s="70" t="s">
        <v>515</v>
      </c>
      <c r="S373" s="69"/>
    </row>
    <row r="374" spans="1:19" hidden="1">
      <c r="A374" s="68" t="s">
        <v>1843</v>
      </c>
      <c r="B374" s="149" t="str">
        <f>IFERROR(VLOOKUP(Proc[[#This Row],[App]],Table2[],3,0),"open")</f>
        <v>ok</v>
      </c>
      <c r="C374" s="68" t="s">
        <v>369</v>
      </c>
      <c r="D374" t="s">
        <v>1850</v>
      </c>
      <c r="E374" t="s">
        <v>1946</v>
      </c>
      <c r="F374" s="117" t="s">
        <v>1946</v>
      </c>
      <c r="G374" s="68" t="s">
        <v>406</v>
      </c>
      <c r="H374" s="69" t="str">
        <f>IF(Proc[[#This Row],[type]]="LFF (MDG-F)",MID(Proc[[#This Row],[Obj]],13,10),"")</f>
        <v>2123C00108</v>
      </c>
      <c r="J374" s="69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9" t="s">
        <v>509</v>
      </c>
      <c r="M374" s="71">
        <v>45702.63349537037</v>
      </c>
      <c r="N374" s="71">
        <v>45712</v>
      </c>
      <c r="O374" s="71">
        <v>45712</v>
      </c>
      <c r="P374" s="70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6</v>
      </c>
      <c r="R374" s="70" t="s">
        <v>515</v>
      </c>
      <c r="S374" s="69"/>
    </row>
    <row r="375" spans="1:19" hidden="1">
      <c r="A375" s="68" t="s">
        <v>1843</v>
      </c>
      <c r="B375" s="149" t="str">
        <f>IFERROR(VLOOKUP(Proc[[#This Row],[App]],Table2[],3,0),"open")</f>
        <v>ok</v>
      </c>
      <c r="C375" s="68" t="s">
        <v>369</v>
      </c>
      <c r="D375" t="s">
        <v>1851</v>
      </c>
      <c r="E375" t="s">
        <v>1946</v>
      </c>
      <c r="F375" s="117" t="s">
        <v>1946</v>
      </c>
      <c r="G375" s="68" t="s">
        <v>406</v>
      </c>
      <c r="H375" s="69" t="str">
        <f>IF(Proc[[#This Row],[type]]="LFF (MDG-F)",MID(Proc[[#This Row],[Obj]],13,10),"")</f>
        <v>2123C00070</v>
      </c>
      <c r="J375" s="69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9" t="s">
        <v>509</v>
      </c>
      <c r="M375" s="71">
        <v>45702.63349537037</v>
      </c>
      <c r="N375" s="71">
        <v>45712</v>
      </c>
      <c r="O375" s="71">
        <v>45712</v>
      </c>
      <c r="P375" s="70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6</v>
      </c>
      <c r="R375" s="70" t="s">
        <v>515</v>
      </c>
      <c r="S375" s="69"/>
    </row>
    <row r="376" spans="1:19" hidden="1">
      <c r="A376" s="68" t="s">
        <v>1843</v>
      </c>
      <c r="B376" s="149" t="str">
        <f>IFERROR(VLOOKUP(Proc[[#This Row],[App]],Table2[],3,0),"open")</f>
        <v>ok</v>
      </c>
      <c r="C376" s="68" t="s">
        <v>369</v>
      </c>
      <c r="D376" t="s">
        <v>1852</v>
      </c>
      <c r="E376" t="s">
        <v>1947</v>
      </c>
      <c r="F376" s="117" t="s">
        <v>1947</v>
      </c>
      <c r="G376" s="68" t="s">
        <v>406</v>
      </c>
      <c r="H376" s="69" t="str">
        <f>IF(Proc[[#This Row],[type]]="LFF (MDG-F)",MID(Proc[[#This Row],[Obj]],13,10),"")</f>
        <v>2123C00028</v>
      </c>
      <c r="J376" s="69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9" t="s">
        <v>509</v>
      </c>
      <c r="M376" s="71">
        <v>45702.63349537037</v>
      </c>
      <c r="N376" s="71">
        <v>45712</v>
      </c>
      <c r="O376" s="71">
        <v>45712</v>
      </c>
      <c r="P376" s="70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6</v>
      </c>
      <c r="R376" s="70" t="s">
        <v>515</v>
      </c>
      <c r="S376" s="69"/>
    </row>
    <row r="377" spans="1:19" hidden="1">
      <c r="A377" s="68" t="s">
        <v>1843</v>
      </c>
      <c r="B377" s="149" t="str">
        <f>IFERROR(VLOOKUP(Proc[[#This Row],[App]],Table2[],3,0),"open")</f>
        <v>ok</v>
      </c>
      <c r="C377" s="68" t="s">
        <v>369</v>
      </c>
      <c r="D377" t="s">
        <v>1853</v>
      </c>
      <c r="E377" t="s">
        <v>1946</v>
      </c>
      <c r="F377" s="117" t="s">
        <v>1946</v>
      </c>
      <c r="G377" s="68" t="s">
        <v>406</v>
      </c>
      <c r="H377" s="69" t="str">
        <f>IF(Proc[[#This Row],[type]]="LFF (MDG-F)",MID(Proc[[#This Row],[Obj]],13,10),"")</f>
        <v>2123C00053</v>
      </c>
      <c r="J377" s="69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9" t="s">
        <v>509</v>
      </c>
      <c r="M377" s="71">
        <v>45702.63349537037</v>
      </c>
      <c r="N377" s="71">
        <v>45712</v>
      </c>
      <c r="O377" s="71">
        <v>45712</v>
      </c>
      <c r="P377" s="70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6</v>
      </c>
      <c r="R377" s="70" t="s">
        <v>515</v>
      </c>
      <c r="S377" s="69"/>
    </row>
    <row r="378" spans="1:19" hidden="1">
      <c r="A378" s="68" t="s">
        <v>1843</v>
      </c>
      <c r="B378" s="149" t="str">
        <f>IFERROR(VLOOKUP(Proc[[#This Row],[App]],Table2[],3,0),"open")</f>
        <v>ok</v>
      </c>
      <c r="C378" s="68" t="s">
        <v>369</v>
      </c>
      <c r="D378" t="s">
        <v>1854</v>
      </c>
      <c r="E378" t="s">
        <v>1946</v>
      </c>
      <c r="F378" s="117" t="s">
        <v>1946</v>
      </c>
      <c r="G378" s="68" t="s">
        <v>406</v>
      </c>
      <c r="H378" s="69" t="str">
        <f>IF(Proc[[#This Row],[type]]="LFF (MDG-F)",MID(Proc[[#This Row],[Obj]],13,10),"")</f>
        <v>2123C00056</v>
      </c>
      <c r="J378" s="69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9" t="s">
        <v>509</v>
      </c>
      <c r="M378" s="71">
        <v>45702.63349537037</v>
      </c>
      <c r="N378" s="71">
        <v>45712</v>
      </c>
      <c r="O378" s="71">
        <v>45712</v>
      </c>
      <c r="P378" s="70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6</v>
      </c>
      <c r="R378" s="70" t="s">
        <v>515</v>
      </c>
      <c r="S378" s="69"/>
    </row>
    <row r="379" spans="1:19" hidden="1">
      <c r="A379" s="68" t="s">
        <v>1843</v>
      </c>
      <c r="B379" s="149" t="str">
        <f>IFERROR(VLOOKUP(Proc[[#This Row],[App]],Table2[],3,0),"open")</f>
        <v>ok</v>
      </c>
      <c r="C379" s="68" t="s">
        <v>369</v>
      </c>
      <c r="D379" t="s">
        <v>1855</v>
      </c>
      <c r="E379" t="s">
        <v>1946</v>
      </c>
      <c r="F379" s="117" t="s">
        <v>1946</v>
      </c>
      <c r="G379" s="68" t="s">
        <v>406</v>
      </c>
      <c r="H379" s="69" t="str">
        <f>IF(Proc[[#This Row],[type]]="LFF (MDG-F)",MID(Proc[[#This Row],[Obj]],13,10),"")</f>
        <v>2123OF0011</v>
      </c>
      <c r="J379" s="69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9" t="s">
        <v>509</v>
      </c>
      <c r="M379" s="71">
        <v>45702.63349537037</v>
      </c>
      <c r="N379" s="71">
        <v>45712</v>
      </c>
      <c r="O379" s="71">
        <v>45712</v>
      </c>
      <c r="P379" s="70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6</v>
      </c>
      <c r="R379" s="70" t="s">
        <v>515</v>
      </c>
      <c r="S379" s="69"/>
    </row>
    <row r="380" spans="1:19" hidden="1">
      <c r="A380" s="68" t="s">
        <v>1843</v>
      </c>
      <c r="B380" s="149" t="str">
        <f>IFERROR(VLOOKUP(Proc[[#This Row],[App]],Table2[],3,0),"open")</f>
        <v>ok</v>
      </c>
      <c r="C380" s="68" t="s">
        <v>369</v>
      </c>
      <c r="D380" t="s">
        <v>1856</v>
      </c>
      <c r="E380" t="s">
        <v>1948</v>
      </c>
      <c r="F380" s="117" t="s">
        <v>1948</v>
      </c>
      <c r="G380" s="68" t="s">
        <v>406</v>
      </c>
      <c r="H380" s="69" t="str">
        <f>IF(Proc[[#This Row],[type]]="LFF (MDG-F)",MID(Proc[[#This Row],[Obj]],13,10),"")</f>
        <v>2123C00071</v>
      </c>
      <c r="J380" s="69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9" t="s">
        <v>509</v>
      </c>
      <c r="M380" s="71">
        <v>45702.63349537037</v>
      </c>
      <c r="N380" s="71">
        <v>45712</v>
      </c>
      <c r="O380" s="71">
        <v>45712</v>
      </c>
      <c r="P380" s="70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6</v>
      </c>
      <c r="R380" s="70" t="s">
        <v>515</v>
      </c>
      <c r="S380" s="69"/>
    </row>
    <row r="381" spans="1:19" hidden="1">
      <c r="A381" s="68" t="s">
        <v>1843</v>
      </c>
      <c r="B381" s="149" t="str">
        <f>IFERROR(VLOOKUP(Proc[[#This Row],[App]],Table2[],3,0),"open")</f>
        <v>ok</v>
      </c>
      <c r="C381" s="68" t="s">
        <v>369</v>
      </c>
      <c r="D381" t="s">
        <v>1857</v>
      </c>
      <c r="E381" t="s">
        <v>1948</v>
      </c>
      <c r="F381" s="117" t="s">
        <v>1948</v>
      </c>
      <c r="G381" s="68" t="s">
        <v>406</v>
      </c>
      <c r="H381" s="69" t="str">
        <f>IF(Proc[[#This Row],[type]]="LFF (MDG-F)",MID(Proc[[#This Row],[Obj]],13,10),"")</f>
        <v>2123C00080</v>
      </c>
      <c r="J381" s="69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9" t="s">
        <v>509</v>
      </c>
      <c r="M381" s="71">
        <v>45702.63349537037</v>
      </c>
      <c r="N381" s="71">
        <v>45712</v>
      </c>
      <c r="O381" s="71">
        <v>45712</v>
      </c>
      <c r="P381" s="70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6</v>
      </c>
      <c r="R381" s="70" t="s">
        <v>515</v>
      </c>
      <c r="S381" s="69"/>
    </row>
    <row r="382" spans="1:19" hidden="1">
      <c r="A382" s="68" t="s">
        <v>1843</v>
      </c>
      <c r="B382" s="149" t="str">
        <f>IFERROR(VLOOKUP(Proc[[#This Row],[App]],Table2[],3,0),"open")</f>
        <v>ok</v>
      </c>
      <c r="C382" s="68" t="s">
        <v>369</v>
      </c>
      <c r="D382" t="s">
        <v>1858</v>
      </c>
      <c r="E382" t="s">
        <v>1949</v>
      </c>
      <c r="F382" s="117" t="s">
        <v>1949</v>
      </c>
      <c r="G382" s="68" t="s">
        <v>406</v>
      </c>
      <c r="H382" s="69" t="str">
        <f>IF(Proc[[#This Row],[type]]="LFF (MDG-F)",MID(Proc[[#This Row],[Obj]],13,10),"")</f>
        <v>2123C00079</v>
      </c>
      <c r="J382" s="69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9" t="s">
        <v>509</v>
      </c>
      <c r="M382" s="71">
        <v>45702.63349537037</v>
      </c>
      <c r="N382" s="71">
        <v>45712</v>
      </c>
      <c r="O382" s="71">
        <v>45712</v>
      </c>
      <c r="P382" s="70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6</v>
      </c>
      <c r="R382" s="70" t="s">
        <v>515</v>
      </c>
      <c r="S382" s="69"/>
    </row>
    <row r="383" spans="1:19" hidden="1">
      <c r="A383" s="68" t="s">
        <v>1843</v>
      </c>
      <c r="B383" s="149" t="str">
        <f>IFERROR(VLOOKUP(Proc[[#This Row],[App]],Table2[],3,0),"open")</f>
        <v>ok</v>
      </c>
      <c r="C383" s="68" t="s">
        <v>369</v>
      </c>
      <c r="D383" t="s">
        <v>1859</v>
      </c>
      <c r="E383" t="s">
        <v>1948</v>
      </c>
      <c r="F383" s="117" t="s">
        <v>1948</v>
      </c>
      <c r="G383" s="68" t="s">
        <v>406</v>
      </c>
      <c r="H383" s="69" t="str">
        <f>IF(Proc[[#This Row],[type]]="LFF (MDG-F)",MID(Proc[[#This Row],[Obj]],13,10),"")</f>
        <v>2123C00075</v>
      </c>
      <c r="J383" s="69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MGF</v>
      </c>
      <c r="L383" s="69" t="s">
        <v>509</v>
      </c>
      <c r="M383" s="71">
        <v>45702.63349537037</v>
      </c>
      <c r="N383" s="71">
        <v>45712</v>
      </c>
      <c r="O383" s="71">
        <v>45712</v>
      </c>
      <c r="P383" s="70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6</v>
      </c>
      <c r="R383" s="70" t="s">
        <v>515</v>
      </c>
      <c r="S383" s="69"/>
    </row>
    <row r="384" spans="1:19" hidden="1">
      <c r="A384" s="68" t="s">
        <v>1843</v>
      </c>
      <c r="B384" s="149" t="str">
        <f>IFERROR(VLOOKUP(Proc[[#This Row],[App]],Table2[],3,0),"open")</f>
        <v>ok</v>
      </c>
      <c r="C384" s="68" t="s">
        <v>369</v>
      </c>
      <c r="D384" t="s">
        <v>1860</v>
      </c>
      <c r="E384" t="s">
        <v>1950</v>
      </c>
      <c r="F384" s="117" t="s">
        <v>1950</v>
      </c>
      <c r="G384" s="68" t="s">
        <v>406</v>
      </c>
      <c r="H384" s="69" t="str">
        <f>IF(Proc[[#This Row],[type]]="LFF (MDG-F)",MID(Proc[[#This Row],[Obj]],13,10),"")</f>
        <v>2123C00094</v>
      </c>
      <c r="J384" s="69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MGF</v>
      </c>
      <c r="L384" s="69" t="s">
        <v>509</v>
      </c>
      <c r="M384" s="71">
        <v>45702.63349537037</v>
      </c>
      <c r="N384" s="71">
        <v>45712</v>
      </c>
      <c r="O384" s="71">
        <v>45712</v>
      </c>
      <c r="P384" s="70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6</v>
      </c>
      <c r="R384" s="70" t="s">
        <v>515</v>
      </c>
      <c r="S384" s="69"/>
    </row>
    <row r="385" spans="1:19" hidden="1">
      <c r="A385" s="68" t="s">
        <v>1843</v>
      </c>
      <c r="B385" s="149" t="str">
        <f>IFERROR(VLOOKUP(Proc[[#This Row],[App]],Table2[],3,0),"open")</f>
        <v>ok</v>
      </c>
      <c r="C385" s="68" t="s">
        <v>369</v>
      </c>
      <c r="D385" t="s">
        <v>1861</v>
      </c>
      <c r="E385" t="s">
        <v>1951</v>
      </c>
      <c r="F385" s="117" t="s">
        <v>1951</v>
      </c>
      <c r="G385" s="68" t="s">
        <v>406</v>
      </c>
      <c r="H385" s="69" t="str">
        <f>IF(Proc[[#This Row],[type]]="LFF (MDG-F)",MID(Proc[[#This Row],[Obj]],13,10),"")</f>
        <v>2123C00067</v>
      </c>
      <c r="J385" s="69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MGF</v>
      </c>
      <c r="L385" s="69" t="s">
        <v>509</v>
      </c>
      <c r="M385" s="71">
        <v>45702.63349537037</v>
      </c>
      <c r="N385" s="71">
        <v>45712</v>
      </c>
      <c r="O385" s="71">
        <v>45712</v>
      </c>
      <c r="P385" s="70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6</v>
      </c>
      <c r="R385" s="70" t="s">
        <v>515</v>
      </c>
      <c r="S385" s="69"/>
    </row>
    <row r="386" spans="1:19" hidden="1">
      <c r="A386" s="68" t="s">
        <v>1843</v>
      </c>
      <c r="B386" s="149" t="str">
        <f>IFERROR(VLOOKUP(Proc[[#This Row],[App]],Table2[],3,0),"open")</f>
        <v>ok</v>
      </c>
      <c r="C386" s="68" t="s">
        <v>369</v>
      </c>
      <c r="D386" t="s">
        <v>1862</v>
      </c>
      <c r="E386" t="s">
        <v>1951</v>
      </c>
      <c r="F386" s="117" t="s">
        <v>1951</v>
      </c>
      <c r="G386" s="68" t="s">
        <v>406</v>
      </c>
      <c r="H386" s="69" t="str">
        <f>IF(Proc[[#This Row],[type]]="LFF (MDG-F)",MID(Proc[[#This Row],[Obj]],13,10),"")</f>
        <v>2123CS0001</v>
      </c>
      <c r="J386" s="69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MGF</v>
      </c>
      <c r="L386" s="69" t="s">
        <v>509</v>
      </c>
      <c r="M386" s="71">
        <v>45702.63349537037</v>
      </c>
      <c r="N386" s="71">
        <v>45712</v>
      </c>
      <c r="O386" s="71">
        <v>45712</v>
      </c>
      <c r="P386" s="70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6</v>
      </c>
      <c r="R386" s="70" t="s">
        <v>515</v>
      </c>
      <c r="S386" s="69"/>
    </row>
    <row r="387" spans="1:19" hidden="1">
      <c r="A387" s="68" t="s">
        <v>1843</v>
      </c>
      <c r="B387" s="149" t="str">
        <f>IFERROR(VLOOKUP(Proc[[#This Row],[App]],Table2[],3,0),"open")</f>
        <v>ok</v>
      </c>
      <c r="C387" s="68" t="s">
        <v>369</v>
      </c>
      <c r="D387" t="s">
        <v>1863</v>
      </c>
      <c r="E387" t="s">
        <v>1951</v>
      </c>
      <c r="F387" s="117" t="s">
        <v>1951</v>
      </c>
      <c r="G387" s="68" t="s">
        <v>406</v>
      </c>
      <c r="H387" s="69" t="str">
        <f>IF(Proc[[#This Row],[type]]="LFF (MDG-F)",MID(Proc[[#This Row],[Obj]],13,10),"")</f>
        <v>2123CS0003</v>
      </c>
      <c r="J387" s="69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MGF</v>
      </c>
      <c r="L387" s="69" t="s">
        <v>509</v>
      </c>
      <c r="M387" s="71">
        <v>45702.63349537037</v>
      </c>
      <c r="N387" s="71">
        <v>45712</v>
      </c>
      <c r="O387" s="71">
        <v>45712</v>
      </c>
      <c r="P387" s="70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6</v>
      </c>
      <c r="R387" s="70" t="s">
        <v>515</v>
      </c>
      <c r="S387" s="69"/>
    </row>
    <row r="388" spans="1:19" hidden="1">
      <c r="A388" s="68" t="s">
        <v>1843</v>
      </c>
      <c r="B388" s="149" t="str">
        <f>IFERROR(VLOOKUP(Proc[[#This Row],[App]],Table2[],3,0),"open")</f>
        <v>ok</v>
      </c>
      <c r="C388" s="68" t="s">
        <v>369</v>
      </c>
      <c r="D388" t="s">
        <v>1864</v>
      </c>
      <c r="E388" t="s">
        <v>1951</v>
      </c>
      <c r="F388" s="117" t="s">
        <v>1951</v>
      </c>
      <c r="G388" s="68" t="s">
        <v>406</v>
      </c>
      <c r="H388" s="69" t="str">
        <f>IF(Proc[[#This Row],[type]]="LFF (MDG-F)",MID(Proc[[#This Row],[Obj]],13,10),"")</f>
        <v>2123CS0057</v>
      </c>
      <c r="J388" s="69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9" t="s">
        <v>509</v>
      </c>
      <c r="M388" s="71">
        <v>45702.63349537037</v>
      </c>
      <c r="N388" s="71">
        <v>45712</v>
      </c>
      <c r="O388" s="71">
        <v>45712</v>
      </c>
      <c r="P388" s="70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6</v>
      </c>
      <c r="R388" s="70" t="s">
        <v>515</v>
      </c>
      <c r="S388" s="69"/>
    </row>
    <row r="389" spans="1:19" hidden="1">
      <c r="A389" s="68" t="s">
        <v>1843</v>
      </c>
      <c r="B389" s="149" t="str">
        <f>IFERROR(VLOOKUP(Proc[[#This Row],[App]],Table2[],3,0),"open")</f>
        <v>ok</v>
      </c>
      <c r="C389" s="68" t="s">
        <v>369</v>
      </c>
      <c r="D389" t="s">
        <v>1865</v>
      </c>
      <c r="E389" t="s">
        <v>1951</v>
      </c>
      <c r="F389" s="117" t="s">
        <v>1951</v>
      </c>
      <c r="G389" s="68" t="s">
        <v>406</v>
      </c>
      <c r="H389" s="69" t="str">
        <f>IF(Proc[[#This Row],[type]]="LFF (MDG-F)",MID(Proc[[#This Row],[Obj]],13,10),"")</f>
        <v>2123R00007</v>
      </c>
      <c r="J389" s="69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9" t="s">
        <v>509</v>
      </c>
      <c r="M389" s="71">
        <v>45702.63349537037</v>
      </c>
      <c r="N389" s="71">
        <v>45712</v>
      </c>
      <c r="O389" s="71">
        <v>45712</v>
      </c>
      <c r="P389" s="70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6</v>
      </c>
      <c r="R389" s="70" t="s">
        <v>515</v>
      </c>
      <c r="S389" s="69"/>
    </row>
    <row r="390" spans="1:19" hidden="1">
      <c r="A390" s="68" t="s">
        <v>1843</v>
      </c>
      <c r="B390" s="149" t="str">
        <f>IFERROR(VLOOKUP(Proc[[#This Row],[App]],Table2[],3,0),"open")</f>
        <v>ok</v>
      </c>
      <c r="C390" s="68" t="s">
        <v>369</v>
      </c>
      <c r="D390" t="s">
        <v>1866</v>
      </c>
      <c r="E390" t="s">
        <v>1952</v>
      </c>
      <c r="F390" s="117" t="s">
        <v>1952</v>
      </c>
      <c r="G390" s="68" t="s">
        <v>406</v>
      </c>
      <c r="H390" s="69" t="str">
        <f>IF(Proc[[#This Row],[type]]="LFF (MDG-F)",MID(Proc[[#This Row],[Obj]],13,10),"")</f>
        <v>2123C00023</v>
      </c>
      <c r="J390" s="69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9" t="s">
        <v>509</v>
      </c>
      <c r="M390" s="71">
        <v>45702.63349537037</v>
      </c>
      <c r="N390" s="71">
        <v>45712</v>
      </c>
      <c r="O390" s="71">
        <v>45712</v>
      </c>
      <c r="P390" s="70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6</v>
      </c>
      <c r="R390" s="70" t="s">
        <v>515</v>
      </c>
      <c r="S390" s="69"/>
    </row>
    <row r="391" spans="1:19" hidden="1">
      <c r="A391" s="68" t="s">
        <v>1843</v>
      </c>
      <c r="B391" s="149" t="str">
        <f>IFERROR(VLOOKUP(Proc[[#This Row],[App]],Table2[],3,0),"open")</f>
        <v>ok</v>
      </c>
      <c r="C391" s="68" t="s">
        <v>369</v>
      </c>
      <c r="D391" t="s">
        <v>1867</v>
      </c>
      <c r="E391" t="s">
        <v>1952</v>
      </c>
      <c r="F391" s="117" t="s">
        <v>1952</v>
      </c>
      <c r="G391" s="68" t="s">
        <v>406</v>
      </c>
      <c r="H391" s="69" t="str">
        <f>IF(Proc[[#This Row],[type]]="LFF (MDG-F)",MID(Proc[[#This Row],[Obj]],13,10),"")</f>
        <v>2123C00029</v>
      </c>
      <c r="J391" s="69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9" t="s">
        <v>509</v>
      </c>
      <c r="M391" s="71">
        <v>45702.63349537037</v>
      </c>
      <c r="N391" s="71">
        <v>45712</v>
      </c>
      <c r="O391" s="71">
        <v>45712</v>
      </c>
      <c r="P391" s="70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6</v>
      </c>
      <c r="R391" s="70" t="s">
        <v>515</v>
      </c>
      <c r="S391" s="69"/>
    </row>
    <row r="392" spans="1:19" hidden="1">
      <c r="A392" s="68" t="s">
        <v>1843</v>
      </c>
      <c r="B392" s="149" t="str">
        <f>IFERROR(VLOOKUP(Proc[[#This Row],[App]],Table2[],3,0),"open")</f>
        <v>ok</v>
      </c>
      <c r="C392" s="68" t="s">
        <v>369</v>
      </c>
      <c r="D392" t="s">
        <v>1868</v>
      </c>
      <c r="E392" t="s">
        <v>1952</v>
      </c>
      <c r="F392" s="117" t="s">
        <v>1952</v>
      </c>
      <c r="G392" s="68" t="s">
        <v>406</v>
      </c>
      <c r="H392" s="69" t="str">
        <f>IF(Proc[[#This Row],[type]]="LFF (MDG-F)",MID(Proc[[#This Row],[Obj]],13,10),"")</f>
        <v>2123C08497</v>
      </c>
      <c r="J392" s="69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9" t="s">
        <v>509</v>
      </c>
      <c r="M392" s="71">
        <v>45702.63349537037</v>
      </c>
      <c r="N392" s="71">
        <v>45712</v>
      </c>
      <c r="O392" s="71">
        <v>45712</v>
      </c>
      <c r="P392" s="70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6</v>
      </c>
      <c r="R392" s="70" t="s">
        <v>515</v>
      </c>
      <c r="S392" s="69"/>
    </row>
    <row r="393" spans="1:19" hidden="1">
      <c r="A393" s="68" t="s">
        <v>1843</v>
      </c>
      <c r="B393" s="149" t="str">
        <f>IFERROR(VLOOKUP(Proc[[#This Row],[App]],Table2[],3,0),"open")</f>
        <v>ok</v>
      </c>
      <c r="C393" s="68" t="s">
        <v>369</v>
      </c>
      <c r="D393" t="s">
        <v>1869</v>
      </c>
      <c r="E393" t="s">
        <v>1952</v>
      </c>
      <c r="F393" s="117" t="s">
        <v>1952</v>
      </c>
      <c r="G393" s="68" t="s">
        <v>406</v>
      </c>
      <c r="H393" s="69" t="str">
        <f>IF(Proc[[#This Row],[type]]="LFF (MDG-F)",MID(Proc[[#This Row],[Obj]],13,10),"")</f>
        <v>2123C08528</v>
      </c>
      <c r="J393" s="69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9" t="s">
        <v>509</v>
      </c>
      <c r="M393" s="71">
        <v>45702.63349537037</v>
      </c>
      <c r="N393" s="71">
        <v>45712</v>
      </c>
      <c r="O393" s="71">
        <v>45712</v>
      </c>
      <c r="P393" s="70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6</v>
      </c>
      <c r="R393" s="70" t="s">
        <v>515</v>
      </c>
      <c r="S393" s="69"/>
    </row>
    <row r="394" spans="1:19" hidden="1">
      <c r="A394" s="68" t="s">
        <v>1843</v>
      </c>
      <c r="B394" s="149" t="str">
        <f>IFERROR(VLOOKUP(Proc[[#This Row],[App]],Table2[],3,0),"open")</f>
        <v>ok</v>
      </c>
      <c r="C394" s="68" t="s">
        <v>377</v>
      </c>
      <c r="D394" t="s">
        <v>1870</v>
      </c>
      <c r="E394" t="s">
        <v>1952</v>
      </c>
      <c r="F394" s="103" t="s">
        <v>1952</v>
      </c>
      <c r="G394" t="s">
        <v>400</v>
      </c>
      <c r="H394" s="69" t="str">
        <f>IF(Proc[[#This Row],[type]]="LFF (MDG-F)",MID(Proc[[#This Row],[Obj]],13,10),"")</f>
        <v/>
      </c>
      <c r="I394" t="s">
        <v>1975</v>
      </c>
      <c r="J394" s="69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9" t="s">
        <v>509</v>
      </c>
      <c r="M394" s="71">
        <v>45702.63349537037</v>
      </c>
      <c r="N394" s="71">
        <v>45712</v>
      </c>
      <c r="O394" s="71">
        <v>45712</v>
      </c>
      <c r="P394" s="70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6</v>
      </c>
      <c r="R394" s="70" t="s">
        <v>515</v>
      </c>
      <c r="S394" s="94" t="e">
        <f>VLOOKUP(Proc[[#This Row],[Obj]],#REF!,2,0)</f>
        <v>#REF!</v>
      </c>
    </row>
    <row r="395" spans="1:19" hidden="1">
      <c r="A395" s="68" t="s">
        <v>1843</v>
      </c>
      <c r="B395" s="149" t="str">
        <f>IFERROR(VLOOKUP(Proc[[#This Row],[App]],Table2[],3,0),"open")</f>
        <v>ok</v>
      </c>
      <c r="C395" s="68" t="s">
        <v>369</v>
      </c>
      <c r="D395" t="s">
        <v>1871</v>
      </c>
      <c r="E395" t="s">
        <v>1952</v>
      </c>
      <c r="F395" s="117" t="s">
        <v>1952</v>
      </c>
      <c r="G395" s="68" t="s">
        <v>400</v>
      </c>
      <c r="H395" s="69" t="str">
        <f>IF(Proc[[#This Row],[type]]="LFF (MDG-F)",MID(Proc[[#This Row],[Obj]],13,10),"")</f>
        <v/>
      </c>
      <c r="J395" s="69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9" t="s">
        <v>509</v>
      </c>
      <c r="M395" s="71">
        <v>45702.63349537037</v>
      </c>
      <c r="N395" s="71">
        <v>45712</v>
      </c>
      <c r="O395" s="71">
        <v>45712</v>
      </c>
      <c r="P395" s="70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6</v>
      </c>
      <c r="R395" s="70" t="s">
        <v>515</v>
      </c>
      <c r="S395" s="69"/>
    </row>
    <row r="396" spans="1:19" hidden="1">
      <c r="A396" s="68" t="s">
        <v>1843</v>
      </c>
      <c r="B396" s="149" t="str">
        <f>IFERROR(VLOOKUP(Proc[[#This Row],[App]],Table2[],3,0),"open")</f>
        <v>ok</v>
      </c>
      <c r="C396" s="68" t="s">
        <v>369</v>
      </c>
      <c r="D396" t="s">
        <v>1872</v>
      </c>
      <c r="E396" t="s">
        <v>1953</v>
      </c>
      <c r="F396" s="117" t="s">
        <v>1953</v>
      </c>
      <c r="G396" s="68" t="s">
        <v>406</v>
      </c>
      <c r="H396" s="69" t="str">
        <f>IF(Proc[[#This Row],[type]]="LFF (MDG-F)",MID(Proc[[#This Row],[Obj]],13,10),"")</f>
        <v>2123C00031</v>
      </c>
      <c r="J396" s="69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9" t="s">
        <v>509</v>
      </c>
      <c r="M396" s="71">
        <v>45702.63349537037</v>
      </c>
      <c r="N396" s="71">
        <v>45712</v>
      </c>
      <c r="O396" s="71">
        <v>45712</v>
      </c>
      <c r="P396" s="70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6</v>
      </c>
      <c r="R396" s="70" t="s">
        <v>515</v>
      </c>
      <c r="S396" s="69"/>
    </row>
    <row r="397" spans="1:19" hidden="1">
      <c r="A397" s="68" t="s">
        <v>1843</v>
      </c>
      <c r="B397" s="149" t="str">
        <f>IFERROR(VLOOKUP(Proc[[#This Row],[App]],Table2[],3,0),"open")</f>
        <v>ok</v>
      </c>
      <c r="C397" s="68" t="s">
        <v>369</v>
      </c>
      <c r="D397" t="s">
        <v>1873</v>
      </c>
      <c r="E397" t="s">
        <v>1953</v>
      </c>
      <c r="F397" s="117" t="s">
        <v>1953</v>
      </c>
      <c r="G397" s="68" t="s">
        <v>406</v>
      </c>
      <c r="H397" s="69" t="str">
        <f>IF(Proc[[#This Row],[type]]="LFF (MDG-F)",MID(Proc[[#This Row],[Obj]],13,10),"")</f>
        <v>2123C00033</v>
      </c>
      <c r="J397" s="69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9" t="s">
        <v>509</v>
      </c>
      <c r="M397" s="71">
        <v>45702.63349537037</v>
      </c>
      <c r="N397" s="71">
        <v>45712</v>
      </c>
      <c r="O397" s="71">
        <v>45712</v>
      </c>
      <c r="P397" s="70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6</v>
      </c>
      <c r="R397" s="70" t="s">
        <v>515</v>
      </c>
      <c r="S397" s="69"/>
    </row>
    <row r="398" spans="1:19" hidden="1">
      <c r="A398" s="68" t="s">
        <v>1843</v>
      </c>
      <c r="B398" s="149" t="str">
        <f>IFERROR(VLOOKUP(Proc[[#This Row],[App]],Table2[],3,0),"open")</f>
        <v>ok</v>
      </c>
      <c r="C398" s="68" t="s">
        <v>369</v>
      </c>
      <c r="D398" t="s">
        <v>1874</v>
      </c>
      <c r="E398" t="s">
        <v>1953</v>
      </c>
      <c r="F398" s="117" t="s">
        <v>1953</v>
      </c>
      <c r="G398" s="68" t="s">
        <v>406</v>
      </c>
      <c r="H398" s="69" t="str">
        <f>IF(Proc[[#This Row],[type]]="LFF (MDG-F)",MID(Proc[[#This Row],[Obj]],13,10),"")</f>
        <v>2123C00034</v>
      </c>
      <c r="J398" s="69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9" t="s">
        <v>509</v>
      </c>
      <c r="M398" s="71">
        <v>45702.63349537037</v>
      </c>
      <c r="N398" s="71">
        <v>45712</v>
      </c>
      <c r="O398" s="71">
        <v>45712</v>
      </c>
      <c r="P398" s="70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6</v>
      </c>
      <c r="R398" s="70" t="s">
        <v>515</v>
      </c>
      <c r="S398" s="69"/>
    </row>
    <row r="399" spans="1:19" hidden="1">
      <c r="A399" s="68" t="s">
        <v>1843</v>
      </c>
      <c r="B399" s="149" t="str">
        <f>IFERROR(VLOOKUP(Proc[[#This Row],[App]],Table2[],3,0),"open")</f>
        <v>ok</v>
      </c>
      <c r="C399" s="68" t="s">
        <v>369</v>
      </c>
      <c r="D399" t="s">
        <v>1875</v>
      </c>
      <c r="E399" t="s">
        <v>1953</v>
      </c>
      <c r="F399" s="117" t="s">
        <v>1953</v>
      </c>
      <c r="G399" s="68" t="s">
        <v>406</v>
      </c>
      <c r="H399" s="69" t="str">
        <f>IF(Proc[[#This Row],[type]]="LFF (MDG-F)",MID(Proc[[#This Row],[Obj]],13,10),"")</f>
        <v>2123C00062</v>
      </c>
      <c r="J399" s="69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9" t="s">
        <v>509</v>
      </c>
      <c r="M399" s="71">
        <v>45702.63349537037</v>
      </c>
      <c r="N399" s="71">
        <v>45712</v>
      </c>
      <c r="O399" s="71">
        <v>45712</v>
      </c>
      <c r="P399" s="70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6</v>
      </c>
      <c r="R399" s="70" t="s">
        <v>515</v>
      </c>
      <c r="S399" s="69"/>
    </row>
    <row r="400" spans="1:19" hidden="1">
      <c r="A400" s="68" t="s">
        <v>1843</v>
      </c>
      <c r="B400" s="149" t="str">
        <f>IFERROR(VLOOKUP(Proc[[#This Row],[App]],Table2[],3,0),"open")</f>
        <v>ok</v>
      </c>
      <c r="C400" s="68" t="s">
        <v>369</v>
      </c>
      <c r="D400" t="s">
        <v>1876</v>
      </c>
      <c r="E400" t="s">
        <v>1953</v>
      </c>
      <c r="F400" s="117" t="s">
        <v>1953</v>
      </c>
      <c r="G400" s="68" t="s">
        <v>406</v>
      </c>
      <c r="H400" s="69" t="str">
        <f>IF(Proc[[#This Row],[type]]="LFF (MDG-F)",MID(Proc[[#This Row],[Obj]],13,10),"")</f>
        <v>2123C00072</v>
      </c>
      <c r="J400" s="69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9" t="s">
        <v>509</v>
      </c>
      <c r="M400" s="71">
        <v>45702.63349537037</v>
      </c>
      <c r="N400" s="71">
        <v>45712</v>
      </c>
      <c r="O400" s="71">
        <v>45712</v>
      </c>
      <c r="P400" s="70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6</v>
      </c>
      <c r="R400" s="70" t="s">
        <v>515</v>
      </c>
      <c r="S400" s="69"/>
    </row>
    <row r="401" spans="1:19" hidden="1">
      <c r="A401" s="68" t="s">
        <v>1843</v>
      </c>
      <c r="B401" s="149" t="str">
        <f>IFERROR(VLOOKUP(Proc[[#This Row],[App]],Table2[],3,0),"open")</f>
        <v>ok</v>
      </c>
      <c r="C401" s="68" t="s">
        <v>369</v>
      </c>
      <c r="D401" t="s">
        <v>1877</v>
      </c>
      <c r="E401" t="s">
        <v>1953</v>
      </c>
      <c r="F401" s="117" t="s">
        <v>1953</v>
      </c>
      <c r="G401" s="68" t="s">
        <v>406</v>
      </c>
      <c r="H401" s="69" t="str">
        <f>IF(Proc[[#This Row],[type]]="LFF (MDG-F)",MID(Proc[[#This Row],[Obj]],13,10),"")</f>
        <v>2123C00142</v>
      </c>
      <c r="J401" s="69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9" t="s">
        <v>509</v>
      </c>
      <c r="M401" s="71">
        <v>45702.63349537037</v>
      </c>
      <c r="N401" s="71">
        <v>45712</v>
      </c>
      <c r="O401" s="71">
        <v>45712</v>
      </c>
      <c r="P401" s="70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6</v>
      </c>
      <c r="R401" s="70" t="s">
        <v>515</v>
      </c>
      <c r="S401" s="69"/>
    </row>
    <row r="402" spans="1:19" hidden="1">
      <c r="A402" s="68" t="s">
        <v>1843</v>
      </c>
      <c r="B402" s="149" t="str">
        <f>IFERROR(VLOOKUP(Proc[[#This Row],[App]],Table2[],3,0),"open")</f>
        <v>ok</v>
      </c>
      <c r="C402" s="68" t="s">
        <v>369</v>
      </c>
      <c r="D402" t="s">
        <v>1878</v>
      </c>
      <c r="E402" t="s">
        <v>1953</v>
      </c>
      <c r="F402" s="117" t="s">
        <v>1953</v>
      </c>
      <c r="G402" s="68" t="s">
        <v>406</v>
      </c>
      <c r="H402" s="69" t="str">
        <f>IF(Proc[[#This Row],[type]]="LFF (MDG-F)",MID(Proc[[#This Row],[Obj]],13,10),"")</f>
        <v>2123C08515</v>
      </c>
      <c r="J402" s="69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9" t="s">
        <v>509</v>
      </c>
      <c r="M402" s="71">
        <v>45702.63349537037</v>
      </c>
      <c r="N402" s="71">
        <v>45712</v>
      </c>
      <c r="O402" s="71">
        <v>45712</v>
      </c>
      <c r="P402" s="70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6</v>
      </c>
      <c r="R402" s="70" t="s">
        <v>515</v>
      </c>
      <c r="S402" s="69"/>
    </row>
    <row r="403" spans="1:19" hidden="1">
      <c r="A403" s="68" t="s">
        <v>1843</v>
      </c>
      <c r="B403" s="149" t="str">
        <f>IFERROR(VLOOKUP(Proc[[#This Row],[App]],Table2[],3,0),"open")</f>
        <v>ok</v>
      </c>
      <c r="C403" s="68" t="s">
        <v>369</v>
      </c>
      <c r="D403" t="s">
        <v>1879</v>
      </c>
      <c r="E403" t="s">
        <v>1954</v>
      </c>
      <c r="F403" s="117" t="s">
        <v>1954</v>
      </c>
      <c r="G403" s="68" t="s">
        <v>406</v>
      </c>
      <c r="H403" s="69" t="str">
        <f>IF(Proc[[#This Row],[type]]="LFF (MDG-F)",MID(Proc[[#This Row],[Obj]],13,10),"")</f>
        <v>2123C00002</v>
      </c>
      <c r="J403" s="69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9" t="s">
        <v>509</v>
      </c>
      <c r="M403" s="71">
        <v>45702.63349537037</v>
      </c>
      <c r="N403" s="71">
        <v>45712</v>
      </c>
      <c r="O403" s="71">
        <v>45712</v>
      </c>
      <c r="P403" s="70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6</v>
      </c>
      <c r="R403" s="70" t="s">
        <v>515</v>
      </c>
      <c r="S403" s="69"/>
    </row>
    <row r="404" spans="1:19" hidden="1">
      <c r="A404" s="68" t="s">
        <v>1843</v>
      </c>
      <c r="B404" s="149" t="str">
        <f>IFERROR(VLOOKUP(Proc[[#This Row],[App]],Table2[],3,0),"open")</f>
        <v>ok</v>
      </c>
      <c r="C404" s="68" t="s">
        <v>369</v>
      </c>
      <c r="D404" t="s">
        <v>1880</v>
      </c>
      <c r="E404" t="s">
        <v>1954</v>
      </c>
      <c r="F404" s="117" t="s">
        <v>1954</v>
      </c>
      <c r="G404" s="68" t="s">
        <v>406</v>
      </c>
      <c r="H404" s="69" t="str">
        <f>IF(Proc[[#This Row],[type]]="LFF (MDG-F)",MID(Proc[[#This Row],[Obj]],13,10),"")</f>
        <v>2123C00003</v>
      </c>
      <c r="J404" s="69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9" t="s">
        <v>509</v>
      </c>
      <c r="M404" s="71">
        <v>45702.63349537037</v>
      </c>
      <c r="N404" s="71">
        <v>45712</v>
      </c>
      <c r="O404" s="71">
        <v>45712</v>
      </c>
      <c r="P404" s="70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6</v>
      </c>
      <c r="R404" s="70" t="s">
        <v>515</v>
      </c>
      <c r="S404" s="69"/>
    </row>
    <row r="405" spans="1:19" hidden="1">
      <c r="A405" s="68" t="s">
        <v>1843</v>
      </c>
      <c r="B405" s="149" t="str">
        <f>IFERROR(VLOOKUP(Proc[[#This Row],[App]],Table2[],3,0),"open")</f>
        <v>ok</v>
      </c>
      <c r="C405" s="68" t="s">
        <v>369</v>
      </c>
      <c r="D405" t="s">
        <v>1881</v>
      </c>
      <c r="E405" t="s">
        <v>1954</v>
      </c>
      <c r="F405" s="117" t="s">
        <v>1954</v>
      </c>
      <c r="G405" s="68" t="s">
        <v>406</v>
      </c>
      <c r="H405" s="69" t="str">
        <f>IF(Proc[[#This Row],[type]]="LFF (MDG-F)",MID(Proc[[#This Row],[Obj]],13,10),"")</f>
        <v>2123C00005</v>
      </c>
      <c r="J405" s="69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9" t="s">
        <v>509</v>
      </c>
      <c r="M405" s="71">
        <v>45702.63349537037</v>
      </c>
      <c r="N405" s="71">
        <v>45712</v>
      </c>
      <c r="O405" s="71">
        <v>45712</v>
      </c>
      <c r="P405" s="70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6</v>
      </c>
      <c r="R405" s="70" t="s">
        <v>515</v>
      </c>
      <c r="S405" s="69"/>
    </row>
    <row r="406" spans="1:19" hidden="1">
      <c r="A406" s="68" t="s">
        <v>1843</v>
      </c>
      <c r="B406" s="149" t="str">
        <f>IFERROR(VLOOKUP(Proc[[#This Row],[App]],Table2[],3,0),"open")</f>
        <v>ok</v>
      </c>
      <c r="C406" s="68" t="s">
        <v>369</v>
      </c>
      <c r="D406" t="s">
        <v>1882</v>
      </c>
      <c r="E406" t="s">
        <v>1954</v>
      </c>
      <c r="F406" s="117" t="s">
        <v>1954</v>
      </c>
      <c r="G406" s="68" t="s">
        <v>406</v>
      </c>
      <c r="H406" s="69" t="str">
        <f>IF(Proc[[#This Row],[type]]="LFF (MDG-F)",MID(Proc[[#This Row],[Obj]],13,10),"")</f>
        <v>2123C00058</v>
      </c>
      <c r="J406" s="69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9" t="s">
        <v>509</v>
      </c>
      <c r="M406" s="71">
        <v>45702.63349537037</v>
      </c>
      <c r="N406" s="71">
        <v>45712</v>
      </c>
      <c r="O406" s="71">
        <v>45712</v>
      </c>
      <c r="P406" s="70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6</v>
      </c>
      <c r="R406" s="70" t="s">
        <v>515</v>
      </c>
      <c r="S406" s="69"/>
    </row>
    <row r="407" spans="1:19" hidden="1">
      <c r="A407" s="68" t="s">
        <v>1843</v>
      </c>
      <c r="B407" s="149" t="str">
        <f>IFERROR(VLOOKUP(Proc[[#This Row],[App]],Table2[],3,0),"open")</f>
        <v>ok</v>
      </c>
      <c r="C407" s="68" t="s">
        <v>369</v>
      </c>
      <c r="D407" t="s">
        <v>1883</v>
      </c>
      <c r="E407" t="s">
        <v>1954</v>
      </c>
      <c r="F407" s="117" t="s">
        <v>1954</v>
      </c>
      <c r="G407" s="68" t="s">
        <v>406</v>
      </c>
      <c r="H407" s="69" t="str">
        <f>IF(Proc[[#This Row],[type]]="LFF (MDG-F)",MID(Proc[[#This Row],[Obj]],13,10),"")</f>
        <v>2123C00063</v>
      </c>
      <c r="J407" s="69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9" t="s">
        <v>509</v>
      </c>
      <c r="M407" s="71">
        <v>45702.63349537037</v>
      </c>
      <c r="N407" s="71">
        <v>45712</v>
      </c>
      <c r="O407" s="71">
        <v>45712</v>
      </c>
      <c r="P407" s="70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6</v>
      </c>
      <c r="R407" s="70" t="s">
        <v>515</v>
      </c>
      <c r="S407" s="69"/>
    </row>
    <row r="408" spans="1:19" hidden="1">
      <c r="A408" s="68" t="s">
        <v>1843</v>
      </c>
      <c r="B408" s="149" t="str">
        <f>IFERROR(VLOOKUP(Proc[[#This Row],[App]],Table2[],3,0),"open")</f>
        <v>ok</v>
      </c>
      <c r="C408" s="68" t="s">
        <v>369</v>
      </c>
      <c r="D408" t="s">
        <v>1884</v>
      </c>
      <c r="E408" t="s">
        <v>1954</v>
      </c>
      <c r="F408" s="117" t="s">
        <v>1954</v>
      </c>
      <c r="G408" s="68" t="s">
        <v>406</v>
      </c>
      <c r="H408" s="69" t="str">
        <f>IF(Proc[[#This Row],[type]]="LFF (MDG-F)",MID(Proc[[#This Row],[Obj]],13,10),"")</f>
        <v>2123C00066</v>
      </c>
      <c r="J408" s="69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9" t="s">
        <v>509</v>
      </c>
      <c r="M408" s="71">
        <v>45702.63349537037</v>
      </c>
      <c r="N408" s="71">
        <v>45712</v>
      </c>
      <c r="O408" s="71">
        <v>45712</v>
      </c>
      <c r="P408" s="70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6</v>
      </c>
      <c r="R408" s="70" t="s">
        <v>515</v>
      </c>
      <c r="S408" s="69"/>
    </row>
    <row r="409" spans="1:19" hidden="1">
      <c r="A409" s="68" t="s">
        <v>1843</v>
      </c>
      <c r="B409" s="149" t="str">
        <f>IFERROR(VLOOKUP(Proc[[#This Row],[App]],Table2[],3,0),"open")</f>
        <v>ok</v>
      </c>
      <c r="C409" s="68" t="s">
        <v>369</v>
      </c>
      <c r="D409" t="s">
        <v>1885</v>
      </c>
      <c r="E409" t="s">
        <v>1954</v>
      </c>
      <c r="F409" s="117" t="s">
        <v>1954</v>
      </c>
      <c r="G409" s="68" t="s">
        <v>406</v>
      </c>
      <c r="H409" s="69" t="str">
        <f>IF(Proc[[#This Row],[type]]="LFF (MDG-F)",MID(Proc[[#This Row],[Obj]],13,10),"")</f>
        <v>2123C08471</v>
      </c>
      <c r="J409" s="69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9" t="s">
        <v>509</v>
      </c>
      <c r="M409" s="71">
        <v>45702.63349537037</v>
      </c>
      <c r="N409" s="71">
        <v>45712</v>
      </c>
      <c r="O409" s="71">
        <v>45712</v>
      </c>
      <c r="P409" s="70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6</v>
      </c>
      <c r="R409" s="70" t="s">
        <v>515</v>
      </c>
      <c r="S409" s="69"/>
    </row>
    <row r="410" spans="1:19" hidden="1">
      <c r="A410" s="68" t="s">
        <v>1843</v>
      </c>
      <c r="B410" s="149" t="str">
        <f>IFERROR(VLOOKUP(Proc[[#This Row],[App]],Table2[],3,0),"open")</f>
        <v>ok</v>
      </c>
      <c r="C410" s="68" t="s">
        <v>369</v>
      </c>
      <c r="D410" t="s">
        <v>1886</v>
      </c>
      <c r="E410" t="s">
        <v>1954</v>
      </c>
      <c r="F410" s="117" t="s">
        <v>1954</v>
      </c>
      <c r="G410" s="68" t="s">
        <v>406</v>
      </c>
      <c r="H410" s="69" t="str">
        <f>IF(Proc[[#This Row],[type]]="LFF (MDG-F)",MID(Proc[[#This Row],[Obj]],13,10),"")</f>
        <v>2123C0BS03</v>
      </c>
      <c r="J410" s="69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9" t="s">
        <v>509</v>
      </c>
      <c r="M410" s="71">
        <v>45702.63349537037</v>
      </c>
      <c r="N410" s="71">
        <v>45712</v>
      </c>
      <c r="O410" s="71">
        <v>45712</v>
      </c>
      <c r="P410" s="70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6</v>
      </c>
      <c r="R410" s="70" t="s">
        <v>515</v>
      </c>
      <c r="S410" s="69"/>
    </row>
    <row r="411" spans="1:19" hidden="1">
      <c r="A411" s="68" t="s">
        <v>1843</v>
      </c>
      <c r="B411" s="149" t="str">
        <f>IFERROR(VLOOKUP(Proc[[#This Row],[App]],Table2[],3,0),"open")</f>
        <v>ok</v>
      </c>
      <c r="C411" s="68" t="s">
        <v>369</v>
      </c>
      <c r="D411" t="s">
        <v>1887</v>
      </c>
      <c r="E411" t="s">
        <v>1954</v>
      </c>
      <c r="F411" s="117" t="s">
        <v>1954</v>
      </c>
      <c r="G411" s="68" t="s">
        <v>406</v>
      </c>
      <c r="H411" s="69" t="str">
        <f>IF(Proc[[#This Row],[type]]="LFF (MDG-F)",MID(Proc[[#This Row],[Obj]],13,10),"")</f>
        <v>2123C0BS04</v>
      </c>
      <c r="J411" s="69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9" t="s">
        <v>509</v>
      </c>
      <c r="M411" s="71">
        <v>45702.63349537037</v>
      </c>
      <c r="N411" s="71">
        <v>45712</v>
      </c>
      <c r="O411" s="71">
        <v>45712</v>
      </c>
      <c r="P411" s="70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6</v>
      </c>
      <c r="R411" s="70" t="s">
        <v>515</v>
      </c>
      <c r="S411" s="69"/>
    </row>
    <row r="412" spans="1:19" hidden="1">
      <c r="A412" s="68" t="s">
        <v>1843</v>
      </c>
      <c r="B412" s="149" t="str">
        <f>IFERROR(VLOOKUP(Proc[[#This Row],[App]],Table2[],3,0),"open")</f>
        <v>ok</v>
      </c>
      <c r="C412" s="68" t="s">
        <v>369</v>
      </c>
      <c r="D412" t="s">
        <v>1888</v>
      </c>
      <c r="E412" t="s">
        <v>1954</v>
      </c>
      <c r="F412" s="117" t="s">
        <v>1954</v>
      </c>
      <c r="G412" s="68" t="s">
        <v>406</v>
      </c>
      <c r="H412" s="69" t="str">
        <f>IF(Proc[[#This Row],[type]]="LFF (MDG-F)",MID(Proc[[#This Row],[Obj]],13,10),"")</f>
        <v>2123C0BS08</v>
      </c>
      <c r="J412" s="69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9" t="s">
        <v>509</v>
      </c>
      <c r="M412" s="71">
        <v>45702.63349537037</v>
      </c>
      <c r="N412" s="71">
        <v>45712</v>
      </c>
      <c r="O412" s="71">
        <v>45712</v>
      </c>
      <c r="P412" s="70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6</v>
      </c>
      <c r="R412" s="70" t="s">
        <v>515</v>
      </c>
      <c r="S412" s="69"/>
    </row>
    <row r="413" spans="1:19" hidden="1">
      <c r="A413" s="68" t="s">
        <v>1843</v>
      </c>
      <c r="B413" s="149" t="str">
        <f>IFERROR(VLOOKUP(Proc[[#This Row],[App]],Table2[],3,0),"open")</f>
        <v>ok</v>
      </c>
      <c r="C413" s="68" t="s">
        <v>369</v>
      </c>
      <c r="D413" t="s">
        <v>1889</v>
      </c>
      <c r="E413" t="s">
        <v>1954</v>
      </c>
      <c r="F413" s="117" t="s">
        <v>1954</v>
      </c>
      <c r="G413" s="68" t="s">
        <v>406</v>
      </c>
      <c r="H413" s="69" t="str">
        <f>IF(Proc[[#This Row],[type]]="LFF (MDG-F)",MID(Proc[[#This Row],[Obj]],13,10),"")</f>
        <v>2123C0BS09</v>
      </c>
      <c r="J413" s="69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9" t="s">
        <v>509</v>
      </c>
      <c r="M413" s="71">
        <v>45702.63349537037</v>
      </c>
      <c r="N413" s="71">
        <v>45712</v>
      </c>
      <c r="O413" s="71">
        <v>45712</v>
      </c>
      <c r="P413" s="70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6</v>
      </c>
      <c r="R413" s="70" t="s">
        <v>515</v>
      </c>
      <c r="S413" s="69"/>
    </row>
    <row r="414" spans="1:19" hidden="1">
      <c r="A414" s="68" t="s">
        <v>1843</v>
      </c>
      <c r="B414" s="149" t="str">
        <f>IFERROR(VLOOKUP(Proc[[#This Row],[App]],Table2[],3,0),"open")</f>
        <v>ok</v>
      </c>
      <c r="C414" s="68" t="s">
        <v>369</v>
      </c>
      <c r="D414" t="s">
        <v>1890</v>
      </c>
      <c r="E414" t="s">
        <v>1955</v>
      </c>
      <c r="F414" s="117" t="s">
        <v>1955</v>
      </c>
      <c r="G414" s="68" t="s">
        <v>406</v>
      </c>
      <c r="H414" s="69" t="str">
        <f>IF(Proc[[#This Row],[type]]="LFF (MDG-F)",MID(Proc[[#This Row],[Obj]],13,10),"")</f>
        <v>2123C00042</v>
      </c>
      <c r="J414" s="69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9" t="s">
        <v>509</v>
      </c>
      <c r="M414" s="71">
        <v>45702.63349537037</v>
      </c>
      <c r="N414" s="71">
        <v>45712</v>
      </c>
      <c r="O414" s="71">
        <v>45712</v>
      </c>
      <c r="P414" s="70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6</v>
      </c>
      <c r="R414" s="70" t="s">
        <v>515</v>
      </c>
      <c r="S414" s="69"/>
    </row>
    <row r="415" spans="1:19" hidden="1">
      <c r="A415" s="68" t="s">
        <v>1843</v>
      </c>
      <c r="B415" s="149" t="str">
        <f>IFERROR(VLOOKUP(Proc[[#This Row],[App]],Table2[],3,0),"open")</f>
        <v>ok</v>
      </c>
      <c r="C415" s="68" t="s">
        <v>369</v>
      </c>
      <c r="D415" t="s">
        <v>1891</v>
      </c>
      <c r="E415" t="s">
        <v>1955</v>
      </c>
      <c r="F415" s="117" t="s">
        <v>1955</v>
      </c>
      <c r="G415" s="68" t="s">
        <v>406</v>
      </c>
      <c r="H415" s="69" t="str">
        <f>IF(Proc[[#This Row],[type]]="LFF (MDG-F)",MID(Proc[[#This Row],[Obj]],13,10),"")</f>
        <v>2123C00050</v>
      </c>
      <c r="J415" s="69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9" t="s">
        <v>509</v>
      </c>
      <c r="M415" s="71">
        <v>45702.63349537037</v>
      </c>
      <c r="N415" s="71">
        <v>45712</v>
      </c>
      <c r="O415" s="71">
        <v>45712</v>
      </c>
      <c r="P415" s="70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6</v>
      </c>
      <c r="R415" s="70" t="s">
        <v>515</v>
      </c>
      <c r="S415" s="69"/>
    </row>
    <row r="416" spans="1:19" hidden="1">
      <c r="A416" s="68" t="s">
        <v>1843</v>
      </c>
      <c r="B416" s="149" t="str">
        <f>IFERROR(VLOOKUP(Proc[[#This Row],[App]],Table2[],3,0),"open")</f>
        <v>ok</v>
      </c>
      <c r="C416" s="68" t="s">
        <v>369</v>
      </c>
      <c r="D416" t="s">
        <v>1892</v>
      </c>
      <c r="E416" t="s">
        <v>1955</v>
      </c>
      <c r="F416" s="117" t="s">
        <v>1955</v>
      </c>
      <c r="G416" s="68" t="s">
        <v>406</v>
      </c>
      <c r="H416" s="69" t="str">
        <f>IF(Proc[[#This Row],[type]]="LFF (MDG-F)",MID(Proc[[#This Row],[Obj]],13,10),"")</f>
        <v>2123C00061</v>
      </c>
      <c r="J416" s="69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9" t="s">
        <v>509</v>
      </c>
      <c r="M416" s="71">
        <v>45702.63349537037</v>
      </c>
      <c r="N416" s="71">
        <v>45712</v>
      </c>
      <c r="O416" s="71">
        <v>45712</v>
      </c>
      <c r="P416" s="70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6</v>
      </c>
      <c r="R416" s="70" t="s">
        <v>515</v>
      </c>
      <c r="S416" s="69"/>
    </row>
    <row r="417" spans="1:19" hidden="1">
      <c r="A417" s="68" t="s">
        <v>1843</v>
      </c>
      <c r="B417" s="149" t="str">
        <f>IFERROR(VLOOKUP(Proc[[#This Row],[App]],Table2[],3,0),"open")</f>
        <v>ok</v>
      </c>
      <c r="C417" s="68" t="s">
        <v>369</v>
      </c>
      <c r="D417" t="s">
        <v>1893</v>
      </c>
      <c r="E417" t="s">
        <v>1955</v>
      </c>
      <c r="F417" s="117" t="s">
        <v>1955</v>
      </c>
      <c r="G417" s="68" t="s">
        <v>406</v>
      </c>
      <c r="H417" s="69" t="str">
        <f>IF(Proc[[#This Row],[type]]="LFF (MDG-F)",MID(Proc[[#This Row],[Obj]],13,10),"")</f>
        <v>2123C00068</v>
      </c>
      <c r="J417" s="69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9" t="s">
        <v>509</v>
      </c>
      <c r="M417" s="71">
        <v>45702.63349537037</v>
      </c>
      <c r="N417" s="71">
        <v>45712</v>
      </c>
      <c r="O417" s="71">
        <v>45712</v>
      </c>
      <c r="P417" s="70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6</v>
      </c>
      <c r="R417" s="70" t="s">
        <v>515</v>
      </c>
      <c r="S417" s="69"/>
    </row>
    <row r="418" spans="1:19" hidden="1">
      <c r="A418" s="68" t="s">
        <v>1843</v>
      </c>
      <c r="B418" s="149" t="str">
        <f>IFERROR(VLOOKUP(Proc[[#This Row],[App]],Table2[],3,0),"open")</f>
        <v>ok</v>
      </c>
      <c r="C418" s="68" t="s">
        <v>369</v>
      </c>
      <c r="D418" t="s">
        <v>1894</v>
      </c>
      <c r="E418" t="s">
        <v>1955</v>
      </c>
      <c r="F418" s="117" t="s">
        <v>1955</v>
      </c>
      <c r="G418" s="68" t="s">
        <v>406</v>
      </c>
      <c r="H418" s="69" t="str">
        <f>IF(Proc[[#This Row],[type]]="LFF (MDG-F)",MID(Proc[[#This Row],[Obj]],13,10),"")</f>
        <v>2123C00082</v>
      </c>
      <c r="J418" s="69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9" t="s">
        <v>509</v>
      </c>
      <c r="M418" s="71">
        <v>45702.63349537037</v>
      </c>
      <c r="N418" s="71">
        <v>45712</v>
      </c>
      <c r="O418" s="71">
        <v>45712</v>
      </c>
      <c r="P418" s="70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6</v>
      </c>
      <c r="R418" s="70" t="s">
        <v>515</v>
      </c>
      <c r="S418" s="69"/>
    </row>
    <row r="419" spans="1:19" hidden="1">
      <c r="A419" s="68" t="s">
        <v>1843</v>
      </c>
      <c r="B419" s="149" t="str">
        <f>IFERROR(VLOOKUP(Proc[[#This Row],[App]],Table2[],3,0),"open")</f>
        <v>ok</v>
      </c>
      <c r="C419" s="68" t="s">
        <v>369</v>
      </c>
      <c r="D419" t="s">
        <v>1895</v>
      </c>
      <c r="E419" t="s">
        <v>1956</v>
      </c>
      <c r="F419" s="117" t="s">
        <v>1956</v>
      </c>
      <c r="G419" s="68" t="s">
        <v>406</v>
      </c>
      <c r="H419" s="69" t="str">
        <f>IF(Proc[[#This Row],[type]]="LFF (MDG-F)",MID(Proc[[#This Row],[Obj]],13,10),"")</f>
        <v>2123C00004</v>
      </c>
      <c r="J419" s="69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9" t="s">
        <v>509</v>
      </c>
      <c r="M419" s="71">
        <v>45702.63349537037</v>
      </c>
      <c r="N419" s="71">
        <v>45712</v>
      </c>
      <c r="O419" s="71">
        <v>45712</v>
      </c>
      <c r="P419" s="70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6</v>
      </c>
      <c r="R419" s="70" t="s">
        <v>515</v>
      </c>
      <c r="S419" s="69"/>
    </row>
    <row r="420" spans="1:19" hidden="1">
      <c r="A420" s="68" t="s">
        <v>1843</v>
      </c>
      <c r="B420" s="149" t="str">
        <f>IFERROR(VLOOKUP(Proc[[#This Row],[App]],Table2[],3,0),"open")</f>
        <v>ok</v>
      </c>
      <c r="C420" s="68" t="s">
        <v>369</v>
      </c>
      <c r="D420" t="s">
        <v>1896</v>
      </c>
      <c r="E420" t="s">
        <v>1956</v>
      </c>
      <c r="F420" s="117" t="s">
        <v>1956</v>
      </c>
      <c r="G420" s="68" t="s">
        <v>406</v>
      </c>
      <c r="H420" s="69" t="str">
        <f>IF(Proc[[#This Row],[type]]="LFF (MDG-F)",MID(Proc[[#This Row],[Obj]],13,10),"")</f>
        <v>2123C00007</v>
      </c>
      <c r="J420" s="69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9" t="s">
        <v>509</v>
      </c>
      <c r="M420" s="71">
        <v>45702.63349537037</v>
      </c>
      <c r="N420" s="71">
        <v>45712</v>
      </c>
      <c r="O420" s="71">
        <v>45712</v>
      </c>
      <c r="P420" s="70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6</v>
      </c>
      <c r="R420" s="70" t="s">
        <v>515</v>
      </c>
      <c r="S420" s="69"/>
    </row>
    <row r="421" spans="1:19" hidden="1">
      <c r="A421" s="68" t="s">
        <v>1843</v>
      </c>
      <c r="B421" s="149" t="str">
        <f>IFERROR(VLOOKUP(Proc[[#This Row],[App]],Table2[],3,0),"open")</f>
        <v>ok</v>
      </c>
      <c r="C421" s="68" t="s">
        <v>369</v>
      </c>
      <c r="D421" t="s">
        <v>1897</v>
      </c>
      <c r="E421" t="s">
        <v>1956</v>
      </c>
      <c r="F421" s="117" t="s">
        <v>1956</v>
      </c>
      <c r="G421" s="68" t="s">
        <v>406</v>
      </c>
      <c r="H421" s="69" t="str">
        <f>IF(Proc[[#This Row],[type]]="LFF (MDG-F)",MID(Proc[[#This Row],[Obj]],13,10),"")</f>
        <v>2123C00043</v>
      </c>
      <c r="J421" s="69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9" t="s">
        <v>509</v>
      </c>
      <c r="M421" s="71">
        <v>45702.63349537037</v>
      </c>
      <c r="N421" s="71">
        <v>45712</v>
      </c>
      <c r="O421" s="71">
        <v>45712</v>
      </c>
      <c r="P421" s="70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6</v>
      </c>
      <c r="R421" s="70" t="s">
        <v>515</v>
      </c>
      <c r="S421" s="69"/>
    </row>
    <row r="422" spans="1:19" hidden="1">
      <c r="A422" s="68" t="s">
        <v>1843</v>
      </c>
      <c r="B422" s="149" t="str">
        <f>IFERROR(VLOOKUP(Proc[[#This Row],[App]],Table2[],3,0),"open")</f>
        <v>ok</v>
      </c>
      <c r="C422" s="68" t="s">
        <v>369</v>
      </c>
      <c r="D422" t="s">
        <v>1898</v>
      </c>
      <c r="E422" t="s">
        <v>1956</v>
      </c>
      <c r="F422" s="117" t="s">
        <v>1956</v>
      </c>
      <c r="G422" s="68" t="s">
        <v>406</v>
      </c>
      <c r="H422" s="69" t="str">
        <f>IF(Proc[[#This Row],[type]]="LFF (MDG-F)",MID(Proc[[#This Row],[Obj]],13,10),"")</f>
        <v>2123C00044</v>
      </c>
      <c r="J422" s="69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9" t="s">
        <v>509</v>
      </c>
      <c r="M422" s="71">
        <v>45702.63349537037</v>
      </c>
      <c r="N422" s="71">
        <v>45712</v>
      </c>
      <c r="O422" s="71">
        <v>45712</v>
      </c>
      <c r="P422" s="70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6</v>
      </c>
      <c r="R422" s="70" t="s">
        <v>515</v>
      </c>
      <c r="S422" s="69"/>
    </row>
    <row r="423" spans="1:19" hidden="1">
      <c r="A423" s="68" t="s">
        <v>1843</v>
      </c>
      <c r="B423" s="149" t="str">
        <f>IFERROR(VLOOKUP(Proc[[#This Row],[App]],Table2[],3,0),"open")</f>
        <v>ok</v>
      </c>
      <c r="C423" s="68" t="s">
        <v>369</v>
      </c>
      <c r="D423" t="s">
        <v>1899</v>
      </c>
      <c r="E423" t="s">
        <v>1956</v>
      </c>
      <c r="F423" s="117" t="s">
        <v>1956</v>
      </c>
      <c r="G423" s="68" t="s">
        <v>406</v>
      </c>
      <c r="H423" s="69" t="str">
        <f>IF(Proc[[#This Row],[type]]="LFF (MDG-F)",MID(Proc[[#This Row],[Obj]],13,10),"")</f>
        <v>2123C00045</v>
      </c>
      <c r="J423" s="69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9" t="s">
        <v>509</v>
      </c>
      <c r="M423" s="71">
        <v>45702.63349537037</v>
      </c>
      <c r="N423" s="71">
        <v>45712</v>
      </c>
      <c r="O423" s="71">
        <v>45712</v>
      </c>
      <c r="P423" s="70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6</v>
      </c>
      <c r="R423" s="70" t="s">
        <v>515</v>
      </c>
      <c r="S423" s="69"/>
    </row>
    <row r="424" spans="1:19" hidden="1">
      <c r="A424" s="68" t="s">
        <v>1843</v>
      </c>
      <c r="B424" s="149" t="str">
        <f>IFERROR(VLOOKUP(Proc[[#This Row],[App]],Table2[],3,0),"open")</f>
        <v>ok</v>
      </c>
      <c r="C424" s="68" t="s">
        <v>369</v>
      </c>
      <c r="D424" t="s">
        <v>1900</v>
      </c>
      <c r="E424" t="s">
        <v>1956</v>
      </c>
      <c r="F424" s="117" t="s">
        <v>1956</v>
      </c>
      <c r="G424" s="68" t="s">
        <v>406</v>
      </c>
      <c r="H424" s="69" t="str">
        <f>IF(Proc[[#This Row],[type]]="LFF (MDG-F)",MID(Proc[[#This Row],[Obj]],13,10),"")</f>
        <v>2123C00074</v>
      </c>
      <c r="J424" s="69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9" t="s">
        <v>509</v>
      </c>
      <c r="M424" s="71">
        <v>45702.63349537037</v>
      </c>
      <c r="N424" s="71">
        <v>45712</v>
      </c>
      <c r="O424" s="71">
        <v>45712</v>
      </c>
      <c r="P424" s="70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6</v>
      </c>
      <c r="R424" s="70" t="s">
        <v>515</v>
      </c>
      <c r="S424" s="69"/>
    </row>
    <row r="425" spans="1:19" hidden="1">
      <c r="A425" s="68" t="s">
        <v>1843</v>
      </c>
      <c r="B425" s="149" t="str">
        <f>IFERROR(VLOOKUP(Proc[[#This Row],[App]],Table2[],3,0),"open")</f>
        <v>ok</v>
      </c>
      <c r="C425" s="68" t="s">
        <v>369</v>
      </c>
      <c r="D425" t="s">
        <v>1901</v>
      </c>
      <c r="E425" t="s">
        <v>1956</v>
      </c>
      <c r="F425" s="117" t="s">
        <v>1956</v>
      </c>
      <c r="G425" s="68" t="s">
        <v>406</v>
      </c>
      <c r="H425" s="69" t="str">
        <f>IF(Proc[[#This Row],[type]]="LFF (MDG-F)",MID(Proc[[#This Row],[Obj]],13,10),"")</f>
        <v>2123C00085</v>
      </c>
      <c r="J425" s="69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9" t="s">
        <v>509</v>
      </c>
      <c r="M425" s="71">
        <v>45702.63349537037</v>
      </c>
      <c r="N425" s="71">
        <v>45712</v>
      </c>
      <c r="O425" s="71">
        <v>45712</v>
      </c>
      <c r="P425" s="70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6</v>
      </c>
      <c r="R425" s="70" t="s">
        <v>515</v>
      </c>
      <c r="S425" s="69"/>
    </row>
    <row r="426" spans="1:19" hidden="1">
      <c r="A426" s="68" t="s">
        <v>1843</v>
      </c>
      <c r="B426" s="149" t="str">
        <f>IFERROR(VLOOKUP(Proc[[#This Row],[App]],Table2[],3,0),"open")</f>
        <v>ok</v>
      </c>
      <c r="C426" s="68" t="s">
        <v>369</v>
      </c>
      <c r="D426" t="s">
        <v>1902</v>
      </c>
      <c r="E426" t="s">
        <v>1956</v>
      </c>
      <c r="F426" s="117" t="s">
        <v>1956</v>
      </c>
      <c r="G426" s="68" t="s">
        <v>406</v>
      </c>
      <c r="H426" s="69" t="str">
        <f>IF(Proc[[#This Row],[type]]="LFF (MDG-F)",MID(Proc[[#This Row],[Obj]],13,10),"")</f>
        <v>2123C00091</v>
      </c>
      <c r="J426" s="69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9" t="s">
        <v>509</v>
      </c>
      <c r="M426" s="71">
        <v>45702.63349537037</v>
      </c>
      <c r="N426" s="71">
        <v>45712</v>
      </c>
      <c r="O426" s="71">
        <v>45712</v>
      </c>
      <c r="P426" s="70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6</v>
      </c>
      <c r="R426" s="70" t="s">
        <v>515</v>
      </c>
      <c r="S426" s="69"/>
    </row>
    <row r="427" spans="1:19" hidden="1">
      <c r="A427" s="68" t="s">
        <v>1843</v>
      </c>
      <c r="B427" s="149" t="str">
        <f>IFERROR(VLOOKUP(Proc[[#This Row],[App]],Table2[],3,0),"open")</f>
        <v>ok</v>
      </c>
      <c r="C427" s="68" t="s">
        <v>369</v>
      </c>
      <c r="D427" t="s">
        <v>1903</v>
      </c>
      <c r="E427" t="s">
        <v>1956</v>
      </c>
      <c r="F427" s="117" t="s">
        <v>1956</v>
      </c>
      <c r="G427" s="68" t="s">
        <v>406</v>
      </c>
      <c r="H427" s="69" t="str">
        <f>IF(Proc[[#This Row],[type]]="LFF (MDG-F)",MID(Proc[[#This Row],[Obj]],13,10),"")</f>
        <v>2123C08478</v>
      </c>
      <c r="J427" s="69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9" t="s">
        <v>509</v>
      </c>
      <c r="M427" s="71">
        <v>45702.63349537037</v>
      </c>
      <c r="N427" s="71">
        <v>45712</v>
      </c>
      <c r="O427" s="71">
        <v>45712</v>
      </c>
      <c r="P427" s="70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6</v>
      </c>
      <c r="R427" s="70" t="s">
        <v>515</v>
      </c>
      <c r="S427" s="69"/>
    </row>
    <row r="428" spans="1:19" hidden="1">
      <c r="A428" s="68" t="s">
        <v>1843</v>
      </c>
      <c r="B428" s="149" t="str">
        <f>IFERROR(VLOOKUP(Proc[[#This Row],[App]],Table2[],3,0),"open")</f>
        <v>ok</v>
      </c>
      <c r="C428" s="68" t="s">
        <v>369</v>
      </c>
      <c r="D428" t="s">
        <v>1904</v>
      </c>
      <c r="E428" t="s">
        <v>1956</v>
      </c>
      <c r="F428" s="117" t="s">
        <v>1956</v>
      </c>
      <c r="G428" s="68" t="s">
        <v>406</v>
      </c>
      <c r="H428" s="69" t="str">
        <f>IF(Proc[[#This Row],[type]]="LFF (MDG-F)",MID(Proc[[#This Row],[Obj]],13,10),"")</f>
        <v>2123C08504</v>
      </c>
      <c r="J428" s="69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9" t="s">
        <v>509</v>
      </c>
      <c r="M428" s="71">
        <v>45702.63349537037</v>
      </c>
      <c r="N428" s="71">
        <v>45712</v>
      </c>
      <c r="O428" s="71">
        <v>45712</v>
      </c>
      <c r="P428" s="70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6</v>
      </c>
      <c r="R428" s="70" t="s">
        <v>515</v>
      </c>
      <c r="S428" s="69"/>
    </row>
    <row r="429" spans="1:19" hidden="1">
      <c r="A429" s="68" t="s">
        <v>1843</v>
      </c>
      <c r="B429" s="149" t="str">
        <f>IFERROR(VLOOKUP(Proc[[#This Row],[App]],Table2[],3,0),"open")</f>
        <v>ok</v>
      </c>
      <c r="C429" s="68" t="s">
        <v>369</v>
      </c>
      <c r="D429" t="s">
        <v>1905</v>
      </c>
      <c r="E429" t="s">
        <v>1956</v>
      </c>
      <c r="F429" s="117" t="s">
        <v>1956</v>
      </c>
      <c r="G429" s="68" t="s">
        <v>406</v>
      </c>
      <c r="H429" s="69" t="str">
        <f>IF(Proc[[#This Row],[type]]="LFF (MDG-F)",MID(Proc[[#This Row],[Obj]],13,10),"")</f>
        <v>2123C0BS05</v>
      </c>
      <c r="J429" s="69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9" t="s">
        <v>509</v>
      </c>
      <c r="M429" s="71">
        <v>45702.63349537037</v>
      </c>
      <c r="N429" s="71">
        <v>45712</v>
      </c>
      <c r="O429" s="71">
        <v>45712</v>
      </c>
      <c r="P429" s="70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6</v>
      </c>
      <c r="R429" s="70" t="s">
        <v>515</v>
      </c>
      <c r="S429" s="69"/>
    </row>
    <row r="430" spans="1:19" hidden="1">
      <c r="A430" s="68" t="s">
        <v>1843</v>
      </c>
      <c r="B430" s="149" t="str">
        <f>IFERROR(VLOOKUP(Proc[[#This Row],[App]],Table2[],3,0),"open")</f>
        <v>ok</v>
      </c>
      <c r="C430" s="68" t="s">
        <v>369</v>
      </c>
      <c r="D430" t="s">
        <v>1906</v>
      </c>
      <c r="E430" t="s">
        <v>1956</v>
      </c>
      <c r="F430" s="117" t="s">
        <v>1956</v>
      </c>
      <c r="G430" s="68" t="s">
        <v>406</v>
      </c>
      <c r="H430" s="69" t="str">
        <f>IF(Proc[[#This Row],[type]]="LFF (MDG-F)",MID(Proc[[#This Row],[Obj]],13,10),"")</f>
        <v>2123C0BS06</v>
      </c>
      <c r="J430" s="69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9" t="s">
        <v>509</v>
      </c>
      <c r="M430" s="71">
        <v>45702.63349537037</v>
      </c>
      <c r="N430" s="71">
        <v>45712</v>
      </c>
      <c r="O430" s="71">
        <v>45712</v>
      </c>
      <c r="P430" s="70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6</v>
      </c>
      <c r="R430" s="70" t="s">
        <v>515</v>
      </c>
      <c r="S430" s="69"/>
    </row>
    <row r="431" spans="1:19" hidden="1">
      <c r="A431" s="68" t="s">
        <v>1843</v>
      </c>
      <c r="B431" s="149" t="str">
        <f>IFERROR(VLOOKUP(Proc[[#This Row],[App]],Table2[],3,0),"open")</f>
        <v>ok</v>
      </c>
      <c r="C431" s="68" t="s">
        <v>369</v>
      </c>
      <c r="D431" t="s">
        <v>1907</v>
      </c>
      <c r="E431" t="s">
        <v>1956</v>
      </c>
      <c r="F431" s="117" t="s">
        <v>1956</v>
      </c>
      <c r="G431" s="68" t="s">
        <v>406</v>
      </c>
      <c r="H431" s="69" t="str">
        <f>IF(Proc[[#This Row],[type]]="LFF (MDG-F)",MID(Proc[[#This Row],[Obj]],13,10),"")</f>
        <v>2123C0BS07</v>
      </c>
      <c r="J431" s="69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9" t="s">
        <v>509</v>
      </c>
      <c r="M431" s="71">
        <v>45702.63349537037</v>
      </c>
      <c r="N431" s="71">
        <v>45712</v>
      </c>
      <c r="O431" s="71">
        <v>45712</v>
      </c>
      <c r="P431" s="70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6</v>
      </c>
      <c r="R431" s="70" t="s">
        <v>515</v>
      </c>
      <c r="S431" s="69"/>
    </row>
    <row r="432" spans="1:19" hidden="1">
      <c r="A432" s="68" t="s">
        <v>1843</v>
      </c>
      <c r="B432" s="149" t="str">
        <f>IFERROR(VLOOKUP(Proc[[#This Row],[App]],Table2[],3,0),"open")</f>
        <v>ok</v>
      </c>
      <c r="C432" s="68" t="s">
        <v>377</v>
      </c>
      <c r="D432" t="s">
        <v>1908</v>
      </c>
      <c r="E432" t="s">
        <v>1956</v>
      </c>
      <c r="F432" s="103" t="s">
        <v>1956</v>
      </c>
      <c r="G432" t="s">
        <v>400</v>
      </c>
      <c r="H432" s="69" t="str">
        <f>IF(Proc[[#This Row],[type]]="LFF (MDG-F)",MID(Proc[[#This Row],[Obj]],13,10),"")</f>
        <v/>
      </c>
      <c r="I432" s="68" t="s">
        <v>1975</v>
      </c>
      <c r="J432" s="69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MGF</v>
      </c>
      <c r="L432" s="69" t="s">
        <v>509</v>
      </c>
      <c r="M432" s="71">
        <v>45702.63349537037</v>
      </c>
      <c r="N432" s="71">
        <v>45712</v>
      </c>
      <c r="O432" s="71">
        <v>45712</v>
      </c>
      <c r="P432" s="70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6</v>
      </c>
      <c r="R432" s="70" t="s">
        <v>515</v>
      </c>
      <c r="S432" s="94" t="e">
        <f>VLOOKUP(Proc[[#This Row],[Obj]],#REF!,2,0)</f>
        <v>#REF!</v>
      </c>
    </row>
    <row r="433" spans="1:19" hidden="1">
      <c r="A433" s="68" t="s">
        <v>1843</v>
      </c>
      <c r="B433" s="149" t="str">
        <f>IFERROR(VLOOKUP(Proc[[#This Row],[App]],Table2[],3,0),"open")</f>
        <v>ok</v>
      </c>
      <c r="C433" s="68" t="s">
        <v>369</v>
      </c>
      <c r="D433" t="s">
        <v>1909</v>
      </c>
      <c r="E433" t="s">
        <v>1956</v>
      </c>
      <c r="F433" s="117" t="s">
        <v>1956</v>
      </c>
      <c r="G433" s="68" t="s">
        <v>400</v>
      </c>
      <c r="H433" s="69" t="str">
        <f>IF(Proc[[#This Row],[type]]="LFF (MDG-F)",MID(Proc[[#This Row],[Obj]],13,10),"")</f>
        <v/>
      </c>
      <c r="J433" s="69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MGF</v>
      </c>
      <c r="L433" s="69" t="s">
        <v>509</v>
      </c>
      <c r="M433" s="71">
        <v>45702.63349537037</v>
      </c>
      <c r="N433" s="71">
        <v>45712</v>
      </c>
      <c r="O433" s="71">
        <v>45712</v>
      </c>
      <c r="P433" s="70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6</v>
      </c>
      <c r="R433" s="70" t="s">
        <v>515</v>
      </c>
      <c r="S433" s="69"/>
    </row>
    <row r="434" spans="1:19" hidden="1">
      <c r="A434" s="68" t="s">
        <v>1843</v>
      </c>
      <c r="B434" s="149" t="str">
        <f>IFERROR(VLOOKUP(Proc[[#This Row],[App]],Table2[],3,0),"open")</f>
        <v>ok</v>
      </c>
      <c r="C434" s="68" t="s">
        <v>369</v>
      </c>
      <c r="D434" t="s">
        <v>1910</v>
      </c>
      <c r="E434" t="s">
        <v>1957</v>
      </c>
      <c r="F434" s="117" t="s">
        <v>1957</v>
      </c>
      <c r="G434" s="68" t="s">
        <v>406</v>
      </c>
      <c r="H434" s="69" t="str">
        <f>IF(Proc[[#This Row],[type]]="LFF (MDG-F)",MID(Proc[[#This Row],[Obj]],13,10),"")</f>
        <v>2123C00011</v>
      </c>
      <c r="J434" s="69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MGF</v>
      </c>
      <c r="L434" s="69" t="s">
        <v>509</v>
      </c>
      <c r="M434" s="71">
        <v>45702.63349537037</v>
      </c>
      <c r="N434" s="71">
        <v>45712</v>
      </c>
      <c r="O434" s="71">
        <v>45712</v>
      </c>
      <c r="P434" s="70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6</v>
      </c>
      <c r="R434" s="70" t="s">
        <v>515</v>
      </c>
      <c r="S434" s="69"/>
    </row>
    <row r="435" spans="1:19" hidden="1">
      <c r="A435" s="68" t="s">
        <v>1843</v>
      </c>
      <c r="B435" s="149" t="str">
        <f>IFERROR(VLOOKUP(Proc[[#This Row],[App]],Table2[],3,0),"open")</f>
        <v>ok</v>
      </c>
      <c r="C435" s="68" t="s">
        <v>369</v>
      </c>
      <c r="D435" t="s">
        <v>1911</v>
      </c>
      <c r="E435" t="s">
        <v>1957</v>
      </c>
      <c r="F435" s="117" t="s">
        <v>1957</v>
      </c>
      <c r="G435" s="68" t="s">
        <v>406</v>
      </c>
      <c r="H435" s="69" t="str">
        <f>IF(Proc[[#This Row],[type]]="LFF (MDG-F)",MID(Proc[[#This Row],[Obj]],13,10),"")</f>
        <v>2123C00078</v>
      </c>
      <c r="J435" s="69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MGF</v>
      </c>
      <c r="L435" s="69" t="s">
        <v>509</v>
      </c>
      <c r="M435" s="71">
        <v>45702.63349537037</v>
      </c>
      <c r="N435" s="71">
        <v>45712</v>
      </c>
      <c r="O435" s="71">
        <v>45712</v>
      </c>
      <c r="P435" s="70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6</v>
      </c>
      <c r="R435" s="70" t="s">
        <v>515</v>
      </c>
      <c r="S435" s="69"/>
    </row>
    <row r="436" spans="1:19" hidden="1">
      <c r="A436" s="68" t="s">
        <v>1843</v>
      </c>
      <c r="B436" s="149" t="str">
        <f>IFERROR(VLOOKUP(Proc[[#This Row],[App]],Table2[],3,0),"open")</f>
        <v>ok</v>
      </c>
      <c r="C436" s="68" t="s">
        <v>369</v>
      </c>
      <c r="D436" t="s">
        <v>1912</v>
      </c>
      <c r="E436" t="s">
        <v>1957</v>
      </c>
      <c r="F436" s="117" t="s">
        <v>1957</v>
      </c>
      <c r="G436" s="68" t="s">
        <v>406</v>
      </c>
      <c r="H436" s="69" t="str">
        <f>IF(Proc[[#This Row],[type]]="LFF (MDG-F)",MID(Proc[[#This Row],[Obj]],13,10),"")</f>
        <v>2123C08519</v>
      </c>
      <c r="J436" s="69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MGF</v>
      </c>
      <c r="L436" s="69" t="s">
        <v>509</v>
      </c>
      <c r="M436" s="71">
        <v>45702.63349537037</v>
      </c>
      <c r="N436" s="71">
        <v>45712</v>
      </c>
      <c r="O436" s="71">
        <v>45712</v>
      </c>
      <c r="P436" s="70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6</v>
      </c>
      <c r="R436" s="70" t="s">
        <v>515</v>
      </c>
      <c r="S436" s="69"/>
    </row>
    <row r="437" spans="1:19" hidden="1">
      <c r="A437" s="68" t="s">
        <v>1843</v>
      </c>
      <c r="B437" s="149" t="str">
        <f>IFERROR(VLOOKUP(Proc[[#This Row],[App]],Table2[],3,0),"open")</f>
        <v>ok</v>
      </c>
      <c r="C437" s="68" t="s">
        <v>369</v>
      </c>
      <c r="D437" t="s">
        <v>1913</v>
      </c>
      <c r="E437" t="s">
        <v>1958</v>
      </c>
      <c r="F437" s="117" t="s">
        <v>1958</v>
      </c>
      <c r="G437" s="68" t="s">
        <v>406</v>
      </c>
      <c r="H437" s="69" t="str">
        <f>IF(Proc[[#This Row],[type]]="LFF (MDG-F)",MID(Proc[[#This Row],[Obj]],13,10),"")</f>
        <v>2123OF0010</v>
      </c>
      <c r="J437" s="69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MGF</v>
      </c>
      <c r="L437" s="69" t="s">
        <v>509</v>
      </c>
      <c r="M437" s="71">
        <v>45702.63349537037</v>
      </c>
      <c r="N437" s="71">
        <v>45712</v>
      </c>
      <c r="O437" s="71">
        <v>45712</v>
      </c>
      <c r="P437" s="70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6</v>
      </c>
      <c r="R437" s="70" t="s">
        <v>515</v>
      </c>
      <c r="S437" s="69"/>
    </row>
    <row r="438" spans="1:19" hidden="1">
      <c r="A438" s="68" t="s">
        <v>1843</v>
      </c>
      <c r="B438" s="149" t="str">
        <f>IFERROR(VLOOKUP(Proc[[#This Row],[App]],Table2[],3,0),"open")</f>
        <v>ok</v>
      </c>
      <c r="C438" s="68" t="s">
        <v>369</v>
      </c>
      <c r="D438" t="s">
        <v>1914</v>
      </c>
      <c r="E438" t="s">
        <v>1959</v>
      </c>
      <c r="F438" s="117" t="s">
        <v>1959</v>
      </c>
      <c r="G438" s="68" t="s">
        <v>406</v>
      </c>
      <c r="H438" s="69" t="str">
        <f>IF(Proc[[#This Row],[type]]="LFF (MDG-F)",MID(Proc[[#This Row],[Obj]],13,10),"")</f>
        <v>2123OF0018</v>
      </c>
      <c r="J438" s="69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MGF</v>
      </c>
      <c r="L438" s="69" t="s">
        <v>509</v>
      </c>
      <c r="M438" s="71">
        <v>45702.63349537037</v>
      </c>
      <c r="N438" s="71">
        <v>45712</v>
      </c>
      <c r="O438" s="71">
        <v>45712</v>
      </c>
      <c r="P438" s="70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6</v>
      </c>
      <c r="R438" s="70" t="s">
        <v>515</v>
      </c>
      <c r="S438" s="69"/>
    </row>
    <row r="439" spans="1:19" hidden="1">
      <c r="A439" s="68" t="s">
        <v>1843</v>
      </c>
      <c r="B439" s="149" t="str">
        <f>IFERROR(VLOOKUP(Proc[[#This Row],[App]],Table2[],3,0),"open")</f>
        <v>ok</v>
      </c>
      <c r="C439" s="68" t="s">
        <v>369</v>
      </c>
      <c r="D439" t="s">
        <v>1915</v>
      </c>
      <c r="E439" t="s">
        <v>1960</v>
      </c>
      <c r="F439" s="117" t="s">
        <v>1960</v>
      </c>
      <c r="G439" s="68" t="s">
        <v>406</v>
      </c>
      <c r="H439" s="69" t="str">
        <f>IF(Proc[[#This Row],[type]]="LFF (MDG-F)",MID(Proc[[#This Row],[Obj]],13,10),"")</f>
        <v>2123C00009</v>
      </c>
      <c r="J439" s="69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MGF</v>
      </c>
      <c r="L439" s="69" t="s">
        <v>509</v>
      </c>
      <c r="M439" s="71">
        <v>45702.63349537037</v>
      </c>
      <c r="N439" s="71">
        <v>45712</v>
      </c>
      <c r="O439" s="71">
        <v>45712</v>
      </c>
      <c r="P439" s="70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6</v>
      </c>
      <c r="R439" s="70" t="s">
        <v>515</v>
      </c>
      <c r="S439" s="69"/>
    </row>
    <row r="440" spans="1:19" hidden="1">
      <c r="A440" s="68" t="s">
        <v>1843</v>
      </c>
      <c r="B440" s="149" t="str">
        <f>IFERROR(VLOOKUP(Proc[[#This Row],[App]],Table2[],3,0),"open")</f>
        <v>ok</v>
      </c>
      <c r="C440" s="68" t="s">
        <v>369</v>
      </c>
      <c r="D440" t="s">
        <v>1916</v>
      </c>
      <c r="E440" t="s">
        <v>1961</v>
      </c>
      <c r="F440" s="117" t="s">
        <v>1961</v>
      </c>
      <c r="G440" s="68" t="s">
        <v>406</v>
      </c>
      <c r="H440" s="69" t="str">
        <f>IF(Proc[[#This Row],[type]]="LFF (MDG-F)",MID(Proc[[#This Row],[Obj]],13,10),"")</f>
        <v>2123C00022</v>
      </c>
      <c r="J440" s="69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MGF</v>
      </c>
      <c r="L440" s="69" t="s">
        <v>509</v>
      </c>
      <c r="M440" s="71">
        <v>45702.63349537037</v>
      </c>
      <c r="N440" s="71">
        <v>45712</v>
      </c>
      <c r="O440" s="71">
        <v>45712</v>
      </c>
      <c r="P440" s="70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6</v>
      </c>
      <c r="R440" s="70" t="s">
        <v>515</v>
      </c>
      <c r="S440" s="69"/>
    </row>
    <row r="441" spans="1:19" hidden="1">
      <c r="A441" s="68" t="s">
        <v>1843</v>
      </c>
      <c r="B441" s="149" t="str">
        <f>IFERROR(VLOOKUP(Proc[[#This Row],[App]],Table2[],3,0),"open")</f>
        <v>ok</v>
      </c>
      <c r="C441" s="68" t="s">
        <v>369</v>
      </c>
      <c r="D441" t="s">
        <v>1917</v>
      </c>
      <c r="E441" t="s">
        <v>1961</v>
      </c>
      <c r="F441" s="117" t="s">
        <v>1961</v>
      </c>
      <c r="G441" s="68" t="s">
        <v>406</v>
      </c>
      <c r="H441" s="69" t="str">
        <f>IF(Proc[[#This Row],[type]]="LFF (MDG-F)",MID(Proc[[#This Row],[Obj]],13,10),"")</f>
        <v>2123C00098</v>
      </c>
      <c r="J441" s="69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MGF</v>
      </c>
      <c r="L441" s="69" t="s">
        <v>509</v>
      </c>
      <c r="M441" s="71">
        <v>45702.63349537037</v>
      </c>
      <c r="N441" s="71">
        <v>45712</v>
      </c>
      <c r="O441" s="71">
        <v>45712</v>
      </c>
      <c r="P441" s="70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6</v>
      </c>
      <c r="R441" s="70" t="s">
        <v>515</v>
      </c>
      <c r="S441" s="69"/>
    </row>
    <row r="442" spans="1:19" hidden="1">
      <c r="A442" s="68" t="s">
        <v>1843</v>
      </c>
      <c r="B442" s="149" t="str">
        <f>IFERROR(VLOOKUP(Proc[[#This Row],[App]],Table2[],3,0),"open")</f>
        <v>ok</v>
      </c>
      <c r="C442" s="68" t="s">
        <v>369</v>
      </c>
      <c r="D442" t="s">
        <v>1918</v>
      </c>
      <c r="E442" t="s">
        <v>1960</v>
      </c>
      <c r="F442" s="117" t="s">
        <v>1960</v>
      </c>
      <c r="G442" s="68" t="s">
        <v>406</v>
      </c>
      <c r="H442" s="69" t="str">
        <f>IF(Proc[[#This Row],[type]]="LFF (MDG-F)",MID(Proc[[#This Row],[Obj]],13,10),"")</f>
        <v>2123C00103</v>
      </c>
      <c r="J442" s="69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MGF</v>
      </c>
      <c r="L442" s="69" t="s">
        <v>509</v>
      </c>
      <c r="M442" s="71">
        <v>45702.63349537037</v>
      </c>
      <c r="N442" s="71">
        <v>45712</v>
      </c>
      <c r="O442" s="71">
        <v>45712</v>
      </c>
      <c r="P442" s="70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6</v>
      </c>
      <c r="R442" s="70" t="s">
        <v>515</v>
      </c>
      <c r="S442" s="69"/>
    </row>
    <row r="443" spans="1:19" hidden="1">
      <c r="A443" s="68" t="s">
        <v>1843</v>
      </c>
      <c r="B443" s="149" t="str">
        <f>IFERROR(VLOOKUP(Proc[[#This Row],[App]],Table2[],3,0),"open")</f>
        <v>ok</v>
      </c>
      <c r="C443" s="68" t="s">
        <v>369</v>
      </c>
      <c r="D443" t="s">
        <v>1919</v>
      </c>
      <c r="E443" t="s">
        <v>1945</v>
      </c>
      <c r="F443" s="117" t="s">
        <v>1945</v>
      </c>
      <c r="G443" s="68" t="s">
        <v>406</v>
      </c>
      <c r="H443" s="69" t="str">
        <f>IF(Proc[[#This Row],[type]]="LFF (MDG-F)",MID(Proc[[#This Row],[Obj]],13,10),"")</f>
        <v>2123C00102</v>
      </c>
      <c r="J443" s="69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MGF</v>
      </c>
      <c r="L443" s="69" t="s">
        <v>509</v>
      </c>
      <c r="M443" s="71">
        <v>45702.63349537037</v>
      </c>
      <c r="N443" s="71">
        <v>45712</v>
      </c>
      <c r="O443" s="71">
        <v>45712</v>
      </c>
      <c r="P443" s="70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6</v>
      </c>
      <c r="R443" s="70" t="s">
        <v>515</v>
      </c>
      <c r="S443" s="69"/>
    </row>
    <row r="444" spans="1:19" hidden="1">
      <c r="A444" s="68" t="s">
        <v>1843</v>
      </c>
      <c r="B444" s="149" t="str">
        <f>IFERROR(VLOOKUP(Proc[[#This Row],[App]],Table2[],3,0),"open")</f>
        <v>ok</v>
      </c>
      <c r="C444" s="68" t="s">
        <v>369</v>
      </c>
      <c r="D444" t="s">
        <v>1920</v>
      </c>
      <c r="E444" t="s">
        <v>1945</v>
      </c>
      <c r="F444" s="117" t="s">
        <v>1945</v>
      </c>
      <c r="G444" s="68" t="s">
        <v>406</v>
      </c>
      <c r="H444" s="69" t="str">
        <f>IF(Proc[[#This Row],[type]]="LFF (MDG-F)",MID(Proc[[#This Row],[Obj]],13,10),"")</f>
        <v>2123OF0009</v>
      </c>
      <c r="J444" s="69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MGF</v>
      </c>
      <c r="L444" s="69" t="s">
        <v>509</v>
      </c>
      <c r="M444" s="71">
        <v>45702.63349537037</v>
      </c>
      <c r="N444" s="71">
        <v>45712</v>
      </c>
      <c r="O444" s="71">
        <v>45712</v>
      </c>
      <c r="P444" s="70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6</v>
      </c>
      <c r="R444" s="70" t="s">
        <v>515</v>
      </c>
      <c r="S444" s="69"/>
    </row>
    <row r="445" spans="1:19" hidden="1">
      <c r="A445" s="68" t="s">
        <v>1843</v>
      </c>
      <c r="B445" s="149" t="str">
        <f>IFERROR(VLOOKUP(Proc[[#This Row],[App]],Table2[],3,0),"open")</f>
        <v>ok</v>
      </c>
      <c r="C445" s="68" t="s">
        <v>369</v>
      </c>
      <c r="D445" t="s">
        <v>1921</v>
      </c>
      <c r="E445" t="s">
        <v>1962</v>
      </c>
      <c r="F445" s="117" t="s">
        <v>1962</v>
      </c>
      <c r="G445" s="68" t="s">
        <v>406</v>
      </c>
      <c r="H445" s="69" t="str">
        <f>IF(Proc[[#This Row],[type]]="LFF (MDG-F)",MID(Proc[[#This Row],[Obj]],13,10),"")</f>
        <v>2123TPSZ91</v>
      </c>
      <c r="J445" s="69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MGF</v>
      </c>
      <c r="L445" s="69" t="s">
        <v>509</v>
      </c>
      <c r="M445" s="71">
        <v>45702.63349537037</v>
      </c>
      <c r="N445" s="71">
        <v>45712</v>
      </c>
      <c r="O445" s="71">
        <v>45712</v>
      </c>
      <c r="P445" s="70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6</v>
      </c>
      <c r="R445" s="70" t="s">
        <v>515</v>
      </c>
      <c r="S445" s="69"/>
    </row>
    <row r="446" spans="1:19" hidden="1">
      <c r="A446" s="68" t="s">
        <v>1843</v>
      </c>
      <c r="B446" s="149" t="str">
        <f>IFERROR(VLOOKUP(Proc[[#This Row],[App]],Table2[],3,0),"open")</f>
        <v>ok</v>
      </c>
      <c r="C446" s="68" t="s">
        <v>369</v>
      </c>
      <c r="D446" t="s">
        <v>1922</v>
      </c>
      <c r="E446" t="s">
        <v>1963</v>
      </c>
      <c r="F446" s="117" t="s">
        <v>1963</v>
      </c>
      <c r="G446" s="68" t="s">
        <v>406</v>
      </c>
      <c r="H446" s="69" t="str">
        <f>IF(Proc[[#This Row],[type]]="LFF (MDG-F)",MID(Proc[[#This Row],[Obj]],13,10),"")</f>
        <v>2123TPSZ93</v>
      </c>
      <c r="J446" s="69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MGF</v>
      </c>
      <c r="L446" s="69" t="s">
        <v>509</v>
      </c>
      <c r="M446" s="71">
        <v>45702.63349537037</v>
      </c>
      <c r="N446" s="71">
        <v>45712</v>
      </c>
      <c r="O446" s="71">
        <v>45712</v>
      </c>
      <c r="P446" s="70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6</v>
      </c>
      <c r="R446" s="70" t="s">
        <v>515</v>
      </c>
      <c r="S446" s="69"/>
    </row>
    <row r="447" spans="1:19" hidden="1">
      <c r="A447" s="68" t="s">
        <v>1843</v>
      </c>
      <c r="B447" s="149" t="str">
        <f>IFERROR(VLOOKUP(Proc[[#This Row],[App]],Table2[],3,0),"open")</f>
        <v>ok</v>
      </c>
      <c r="C447" s="68" t="s">
        <v>369</v>
      </c>
      <c r="D447" t="s">
        <v>1923</v>
      </c>
      <c r="E447" t="s">
        <v>1964</v>
      </c>
      <c r="F447" s="117" t="s">
        <v>1964</v>
      </c>
      <c r="G447" s="68" t="s">
        <v>406</v>
      </c>
      <c r="H447" s="69" t="str">
        <f>IF(Proc[[#This Row],[type]]="LFF (MDG-F)",MID(Proc[[#This Row],[Obj]],13,10),"")</f>
        <v>2123L80001</v>
      </c>
      <c r="J447" s="69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MGF</v>
      </c>
      <c r="L447" s="69" t="s">
        <v>509</v>
      </c>
      <c r="M447" s="71">
        <v>45702.63349537037</v>
      </c>
      <c r="N447" s="71">
        <v>45712</v>
      </c>
      <c r="O447" s="71">
        <v>45712</v>
      </c>
      <c r="P447" s="70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6</v>
      </c>
      <c r="R447" s="70" t="s">
        <v>515</v>
      </c>
      <c r="S447" s="69"/>
    </row>
    <row r="448" spans="1:19" hidden="1">
      <c r="A448" s="68" t="s">
        <v>1843</v>
      </c>
      <c r="B448" s="149" t="str">
        <f>IFERROR(VLOOKUP(Proc[[#This Row],[App]],Table2[],3,0),"open")</f>
        <v>ok</v>
      </c>
      <c r="C448" s="68" t="s">
        <v>369</v>
      </c>
      <c r="D448" t="s">
        <v>1924</v>
      </c>
      <c r="E448" t="s">
        <v>1964</v>
      </c>
      <c r="F448" s="117" t="s">
        <v>1964</v>
      </c>
      <c r="G448" s="68" t="s">
        <v>406</v>
      </c>
      <c r="H448" s="69" t="str">
        <f>IF(Proc[[#This Row],[type]]="LFF (MDG-F)",MID(Proc[[#This Row],[Obj]],13,10),"")</f>
        <v>2123TPSZ90</v>
      </c>
      <c r="J448" s="69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MGF</v>
      </c>
      <c r="L448" s="69" t="s">
        <v>509</v>
      </c>
      <c r="M448" s="71">
        <v>45702.63349537037</v>
      </c>
      <c r="N448" s="71">
        <v>45712</v>
      </c>
      <c r="O448" s="71">
        <v>45712</v>
      </c>
      <c r="P448" s="70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6</v>
      </c>
      <c r="R448" s="70" t="s">
        <v>515</v>
      </c>
      <c r="S448" s="69"/>
    </row>
    <row r="449" spans="1:19" hidden="1">
      <c r="A449" s="68" t="s">
        <v>1843</v>
      </c>
      <c r="B449" s="149" t="str">
        <f>IFERROR(VLOOKUP(Proc[[#This Row],[App]],Table2[],3,0),"open")</f>
        <v>ok</v>
      </c>
      <c r="C449" s="68" t="s">
        <v>369</v>
      </c>
      <c r="D449" t="s">
        <v>1925</v>
      </c>
      <c r="E449" t="s">
        <v>1965</v>
      </c>
      <c r="F449" s="117" t="s">
        <v>1965</v>
      </c>
      <c r="G449" s="68" t="s">
        <v>406</v>
      </c>
      <c r="H449" s="69" t="str">
        <f>IF(Proc[[#This Row],[type]]="LFF (MDG-F)",MID(Proc[[#This Row],[Obj]],13,10),"")</f>
        <v>2123TQJZ94</v>
      </c>
      <c r="J449" s="69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MGF</v>
      </c>
      <c r="L449" s="69" t="s">
        <v>509</v>
      </c>
      <c r="M449" s="71">
        <v>45702.63349537037</v>
      </c>
      <c r="N449" s="71">
        <v>45712</v>
      </c>
      <c r="O449" s="71">
        <v>45712</v>
      </c>
      <c r="P449" s="70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6</v>
      </c>
      <c r="R449" s="70" t="s">
        <v>515</v>
      </c>
      <c r="S449" s="69"/>
    </row>
    <row r="450" spans="1:19" hidden="1">
      <c r="A450" s="68" t="s">
        <v>1843</v>
      </c>
      <c r="B450" s="149" t="str">
        <f>IFERROR(VLOOKUP(Proc[[#This Row],[App]],Table2[],3,0),"open")</f>
        <v>ok</v>
      </c>
      <c r="C450" s="68" t="s">
        <v>369</v>
      </c>
      <c r="D450" t="s">
        <v>1926</v>
      </c>
      <c r="E450" t="s">
        <v>1966</v>
      </c>
      <c r="F450" s="117" t="s">
        <v>1966</v>
      </c>
      <c r="G450" s="68" t="s">
        <v>406</v>
      </c>
      <c r="H450" s="69" t="str">
        <f>IF(Proc[[#This Row],[type]]="LFF (MDG-F)",MID(Proc[[#This Row],[Obj]],13,10),"")</f>
        <v>2123OF0015</v>
      </c>
      <c r="J450" s="69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MGF</v>
      </c>
      <c r="L450" s="69" t="s">
        <v>509</v>
      </c>
      <c r="M450" s="71">
        <v>45702.63349537037</v>
      </c>
      <c r="N450" s="71">
        <v>45712</v>
      </c>
      <c r="O450" s="71">
        <v>45712</v>
      </c>
      <c r="P450" s="70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6</v>
      </c>
      <c r="R450" s="70" t="s">
        <v>515</v>
      </c>
      <c r="S450" s="69"/>
    </row>
    <row r="451" spans="1:19" hidden="1">
      <c r="A451" s="68" t="s">
        <v>1843</v>
      </c>
      <c r="B451" s="149" t="str">
        <f>IFERROR(VLOOKUP(Proc[[#This Row],[App]],Table2[],3,0),"open")</f>
        <v>ok</v>
      </c>
      <c r="C451" s="68" t="s">
        <v>369</v>
      </c>
      <c r="D451" t="s">
        <v>1927</v>
      </c>
      <c r="E451" t="s">
        <v>1967</v>
      </c>
      <c r="F451" s="117" t="s">
        <v>1967</v>
      </c>
      <c r="G451" s="68" t="s">
        <v>406</v>
      </c>
      <c r="H451" s="69" t="str">
        <f>IF(Proc[[#This Row],[type]]="LFF (MDG-F)",MID(Proc[[#This Row],[Obj]],13,10),"")</f>
        <v>2123L50024</v>
      </c>
      <c r="J451" s="69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MGF</v>
      </c>
      <c r="L451" s="69" t="s">
        <v>509</v>
      </c>
      <c r="M451" s="71">
        <v>45702.63349537037</v>
      </c>
      <c r="N451" s="71">
        <v>45712</v>
      </c>
      <c r="O451" s="71">
        <v>45712</v>
      </c>
      <c r="P451" s="70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6</v>
      </c>
      <c r="R451" s="70" t="s">
        <v>515</v>
      </c>
      <c r="S451" s="69"/>
    </row>
    <row r="452" spans="1:19" hidden="1">
      <c r="A452" s="68" t="s">
        <v>1843</v>
      </c>
      <c r="B452" s="149" t="str">
        <f>IFERROR(VLOOKUP(Proc[[#This Row],[App]],Table2[],3,0),"open")</f>
        <v>ok</v>
      </c>
      <c r="C452" s="68" t="s">
        <v>369</v>
      </c>
      <c r="D452" t="s">
        <v>1928</v>
      </c>
      <c r="E452" t="s">
        <v>1967</v>
      </c>
      <c r="F452" s="117" t="s">
        <v>1967</v>
      </c>
      <c r="G452" s="68" t="s">
        <v>406</v>
      </c>
      <c r="H452" s="69" t="str">
        <f>IF(Proc[[#This Row],[type]]="LFF (MDG-F)",MID(Proc[[#This Row],[Obj]],13,10),"")</f>
        <v>2123L58472</v>
      </c>
      <c r="J452" s="69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MGF</v>
      </c>
      <c r="L452" s="69" t="s">
        <v>509</v>
      </c>
      <c r="M452" s="71">
        <v>45702.63349537037</v>
      </c>
      <c r="N452" s="71">
        <v>45712</v>
      </c>
      <c r="O452" s="71">
        <v>45712</v>
      </c>
      <c r="P452" s="70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6</v>
      </c>
      <c r="R452" s="70" t="s">
        <v>515</v>
      </c>
      <c r="S452" s="69"/>
    </row>
    <row r="453" spans="1:19" hidden="1">
      <c r="A453" s="68" t="s">
        <v>1843</v>
      </c>
      <c r="B453" s="149" t="str">
        <f>IFERROR(VLOOKUP(Proc[[#This Row],[App]],Table2[],3,0),"open")</f>
        <v>ok</v>
      </c>
      <c r="C453" s="68" t="s">
        <v>369</v>
      </c>
      <c r="D453" t="s">
        <v>1929</v>
      </c>
      <c r="E453" t="s">
        <v>1967</v>
      </c>
      <c r="F453" s="117" t="s">
        <v>1967</v>
      </c>
      <c r="G453" s="68" t="s">
        <v>406</v>
      </c>
      <c r="H453" s="69" t="str">
        <f>IF(Proc[[#This Row],[type]]="LFF (MDG-F)",MID(Proc[[#This Row],[Obj]],13,10),"")</f>
        <v>2123L50006</v>
      </c>
      <c r="J453" s="69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MGF</v>
      </c>
      <c r="L453" s="69" t="s">
        <v>509</v>
      </c>
      <c r="M453" s="71">
        <v>45702.63349537037</v>
      </c>
      <c r="N453" s="71">
        <v>45712</v>
      </c>
      <c r="O453" s="71">
        <v>45712</v>
      </c>
      <c r="P453" s="70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6</v>
      </c>
      <c r="R453" s="70" t="s">
        <v>515</v>
      </c>
      <c r="S453" s="69"/>
    </row>
    <row r="454" spans="1:19" hidden="1">
      <c r="A454" s="68" t="s">
        <v>1843</v>
      </c>
      <c r="B454" s="149" t="str">
        <f>IFERROR(VLOOKUP(Proc[[#This Row],[App]],Table2[],3,0),"open")</f>
        <v>ok</v>
      </c>
      <c r="C454" s="68" t="s">
        <v>369</v>
      </c>
      <c r="D454" t="s">
        <v>1930</v>
      </c>
      <c r="E454" t="s">
        <v>1968</v>
      </c>
      <c r="F454" s="117" t="s">
        <v>1968</v>
      </c>
      <c r="G454" s="68" t="s">
        <v>406</v>
      </c>
      <c r="H454" s="69" t="str">
        <f>IF(Proc[[#This Row],[type]]="LFF (MDG-F)",MID(Proc[[#This Row],[Obj]],13,10),"")</f>
        <v>2123L50005</v>
      </c>
      <c r="J454" s="69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MGF</v>
      </c>
      <c r="L454" s="69" t="s">
        <v>509</v>
      </c>
      <c r="M454" s="71">
        <v>45702.63349537037</v>
      </c>
      <c r="N454" s="71">
        <v>45712</v>
      </c>
      <c r="O454" s="71">
        <v>45712</v>
      </c>
      <c r="P454" s="70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6</v>
      </c>
      <c r="R454" s="70" t="s">
        <v>515</v>
      </c>
      <c r="S454" s="69"/>
    </row>
    <row r="455" spans="1:19" hidden="1">
      <c r="A455" s="68" t="s">
        <v>1843</v>
      </c>
      <c r="B455" s="149" t="str">
        <f>IFERROR(VLOOKUP(Proc[[#This Row],[App]],Table2[],3,0),"open")</f>
        <v>ok</v>
      </c>
      <c r="C455" s="68" t="s">
        <v>369</v>
      </c>
      <c r="D455" t="s">
        <v>1931</v>
      </c>
      <c r="E455" t="s">
        <v>1967</v>
      </c>
      <c r="F455" s="117" t="s">
        <v>1967</v>
      </c>
      <c r="G455" s="68" t="s">
        <v>406</v>
      </c>
      <c r="H455" s="69" t="str">
        <f>IF(Proc[[#This Row],[type]]="LFF (MDG-F)",MID(Proc[[#This Row],[Obj]],13,10),"")</f>
        <v>2123L50003</v>
      </c>
      <c r="J455" s="69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MGF</v>
      </c>
      <c r="L455" s="69" t="s">
        <v>509</v>
      </c>
      <c r="M455" s="71">
        <v>45702.63349537037</v>
      </c>
      <c r="N455" s="71">
        <v>45712</v>
      </c>
      <c r="O455" s="71">
        <v>45712</v>
      </c>
      <c r="P455" s="70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6</v>
      </c>
      <c r="R455" s="70" t="s">
        <v>515</v>
      </c>
      <c r="S455" s="69"/>
    </row>
    <row r="456" spans="1:19" hidden="1">
      <c r="A456" s="68" t="s">
        <v>1843</v>
      </c>
      <c r="B456" s="149" t="str">
        <f>IFERROR(VLOOKUP(Proc[[#This Row],[App]],Table2[],3,0),"open")</f>
        <v>ok</v>
      </c>
      <c r="C456" s="68" t="s">
        <v>369</v>
      </c>
      <c r="D456" t="s">
        <v>1932</v>
      </c>
      <c r="E456" t="s">
        <v>1967</v>
      </c>
      <c r="F456" s="117" t="s">
        <v>1967</v>
      </c>
      <c r="G456" s="68" t="s">
        <v>406</v>
      </c>
      <c r="H456" s="69" t="str">
        <f>IF(Proc[[#This Row],[type]]="LFF (MDG-F)",MID(Proc[[#This Row],[Obj]],13,10),"")</f>
        <v>2123L50004</v>
      </c>
      <c r="J456" s="69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MGF</v>
      </c>
      <c r="L456" s="69" t="s">
        <v>509</v>
      </c>
      <c r="M456" s="71">
        <v>45702.63349537037</v>
      </c>
      <c r="N456" s="71">
        <v>45712</v>
      </c>
      <c r="O456" s="71">
        <v>45712</v>
      </c>
      <c r="P456" s="70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6</v>
      </c>
      <c r="R456" s="70" t="s">
        <v>515</v>
      </c>
      <c r="S456" s="69"/>
    </row>
    <row r="457" spans="1:19" hidden="1">
      <c r="A457" s="68" t="s">
        <v>1843</v>
      </c>
      <c r="B457" s="149" t="str">
        <f>IFERROR(VLOOKUP(Proc[[#This Row],[App]],Table2[],3,0),"open")</f>
        <v>ok</v>
      </c>
      <c r="C457" s="68" t="s">
        <v>369</v>
      </c>
      <c r="D457" t="s">
        <v>1933</v>
      </c>
      <c r="E457" t="s">
        <v>1969</v>
      </c>
      <c r="F457" s="117" t="s">
        <v>1969</v>
      </c>
      <c r="G457" s="68" t="s">
        <v>406</v>
      </c>
      <c r="H457" s="69" t="str">
        <f>IF(Proc[[#This Row],[type]]="LFF (MDG-F)",MID(Proc[[#This Row],[Obj]],13,10),"")</f>
        <v>2123C00112</v>
      </c>
      <c r="J457" s="69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MGF</v>
      </c>
      <c r="L457" s="69" t="s">
        <v>509</v>
      </c>
      <c r="M457" s="71">
        <v>45702.63349537037</v>
      </c>
      <c r="N457" s="71">
        <v>45712</v>
      </c>
      <c r="O457" s="71">
        <v>45712</v>
      </c>
      <c r="P457" s="70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6</v>
      </c>
      <c r="R457" s="70" t="s">
        <v>515</v>
      </c>
      <c r="S457" s="69"/>
    </row>
    <row r="458" spans="1:19" hidden="1">
      <c r="A458" s="68" t="s">
        <v>1843</v>
      </c>
      <c r="B458" s="149" t="str">
        <f>IFERROR(VLOOKUP(Proc[[#This Row],[App]],Table2[],3,0),"open")</f>
        <v>ok</v>
      </c>
      <c r="C458" s="68" t="s">
        <v>369</v>
      </c>
      <c r="D458" t="s">
        <v>1934</v>
      </c>
      <c r="E458" t="s">
        <v>1970</v>
      </c>
      <c r="F458" s="117" t="s">
        <v>1970</v>
      </c>
      <c r="G458" s="68" t="s">
        <v>406</v>
      </c>
      <c r="H458" s="69" t="str">
        <f>IF(Proc[[#This Row],[type]]="LFF (MDG-F)",MID(Proc[[#This Row],[Obj]],13,10),"")</f>
        <v>2123OF0025</v>
      </c>
      <c r="J458" s="69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MGF</v>
      </c>
      <c r="L458" s="69" t="s">
        <v>509</v>
      </c>
      <c r="M458" s="71">
        <v>45702.63349537037</v>
      </c>
      <c r="N458" s="71">
        <v>45712</v>
      </c>
      <c r="O458" s="71">
        <v>45712</v>
      </c>
      <c r="P458" s="70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6</v>
      </c>
      <c r="R458" s="70" t="s">
        <v>515</v>
      </c>
      <c r="S458" s="69"/>
    </row>
    <row r="459" spans="1:19" hidden="1">
      <c r="A459" s="68" t="s">
        <v>1843</v>
      </c>
      <c r="B459" s="149" t="str">
        <f>IFERROR(VLOOKUP(Proc[[#This Row],[App]],Table2[],3,0),"open")</f>
        <v>ok</v>
      </c>
      <c r="C459" s="68" t="s">
        <v>369</v>
      </c>
      <c r="D459" t="s">
        <v>1935</v>
      </c>
      <c r="E459" t="s">
        <v>1971</v>
      </c>
      <c r="F459" s="117" t="s">
        <v>1971</v>
      </c>
      <c r="G459" s="68" t="s">
        <v>406</v>
      </c>
      <c r="H459" s="69" t="str">
        <f>IF(Proc[[#This Row],[type]]="LFF (MDG-F)",MID(Proc[[#This Row],[Obj]],13,10),"")</f>
        <v>2123OF0024</v>
      </c>
      <c r="J459" s="69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MGF</v>
      </c>
      <c r="L459" s="69" t="s">
        <v>509</v>
      </c>
      <c r="M459" s="71">
        <v>45702.63349537037</v>
      </c>
      <c r="N459" s="71">
        <v>45712</v>
      </c>
      <c r="O459" s="71">
        <v>45712</v>
      </c>
      <c r="P459" s="70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6</v>
      </c>
      <c r="R459" s="70" t="s">
        <v>515</v>
      </c>
      <c r="S459" s="69"/>
    </row>
    <row r="460" spans="1:19" hidden="1">
      <c r="A460" s="68" t="s">
        <v>1843</v>
      </c>
      <c r="B460" s="149" t="str">
        <f>IFERROR(VLOOKUP(Proc[[#This Row],[App]],Table2[],3,0),"open")</f>
        <v>ok</v>
      </c>
      <c r="C460" s="68" t="s">
        <v>369</v>
      </c>
      <c r="D460" t="s">
        <v>1936</v>
      </c>
      <c r="E460" t="s">
        <v>1972</v>
      </c>
      <c r="F460" s="117" t="s">
        <v>1972</v>
      </c>
      <c r="G460" s="68" t="s">
        <v>406</v>
      </c>
      <c r="H460" s="69" t="str">
        <f>IF(Proc[[#This Row],[type]]="LFF (MDG-F)",MID(Proc[[#This Row],[Obj]],13,10),"")</f>
        <v>2123OF0021</v>
      </c>
      <c r="J460" s="69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MGF</v>
      </c>
      <c r="L460" s="69" t="s">
        <v>509</v>
      </c>
      <c r="M460" s="71">
        <v>45702.63349537037</v>
      </c>
      <c r="N460" s="71">
        <v>45712</v>
      </c>
      <c r="O460" s="71">
        <v>45712</v>
      </c>
      <c r="P460" s="70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6</v>
      </c>
      <c r="R460" s="70" t="s">
        <v>515</v>
      </c>
      <c r="S460" s="69"/>
    </row>
    <row r="461" spans="1:19" hidden="1">
      <c r="A461" s="68" t="s">
        <v>1843</v>
      </c>
      <c r="B461" s="149" t="str">
        <f>IFERROR(VLOOKUP(Proc[[#This Row],[App]],Table2[],3,0),"open")</f>
        <v>ok</v>
      </c>
      <c r="C461" s="68" t="s">
        <v>369</v>
      </c>
      <c r="D461" t="s">
        <v>1937</v>
      </c>
      <c r="E461" t="s">
        <v>1973</v>
      </c>
      <c r="F461" s="117" t="s">
        <v>1973</v>
      </c>
      <c r="G461" s="68" t="s">
        <v>400</v>
      </c>
      <c r="H461" s="69" t="str">
        <f>IF(Proc[[#This Row],[type]]="LFF (MDG-F)",MID(Proc[[#This Row],[Obj]],13,10),"")</f>
        <v/>
      </c>
      <c r="J461" s="69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MGF</v>
      </c>
      <c r="L461" s="69" t="s">
        <v>509</v>
      </c>
      <c r="M461" s="71">
        <v>45702.63349537037</v>
      </c>
      <c r="N461" s="71">
        <v>45712</v>
      </c>
      <c r="O461" s="71">
        <v>45712</v>
      </c>
      <c r="P461" s="70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6</v>
      </c>
      <c r="R461" s="70" t="s">
        <v>515</v>
      </c>
      <c r="S461" s="69"/>
    </row>
    <row r="462" spans="1:19" hidden="1">
      <c r="A462" s="68" t="s">
        <v>1843</v>
      </c>
      <c r="B462" s="149" t="str">
        <f>IFERROR(VLOOKUP(Proc[[#This Row],[App]],Table2[],3,0),"open")</f>
        <v>ok</v>
      </c>
      <c r="C462" s="68" t="s">
        <v>369</v>
      </c>
      <c r="D462" t="s">
        <v>1938</v>
      </c>
      <c r="E462" t="s">
        <v>1973</v>
      </c>
      <c r="F462" s="117" t="s">
        <v>1973</v>
      </c>
      <c r="G462" s="68" t="s">
        <v>400</v>
      </c>
      <c r="H462" s="69" t="str">
        <f>IF(Proc[[#This Row],[type]]="LFF (MDG-F)",MID(Proc[[#This Row],[Obj]],13,10),"")</f>
        <v/>
      </c>
      <c r="J462" s="69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MGF</v>
      </c>
      <c r="L462" s="69" t="s">
        <v>509</v>
      </c>
      <c r="M462" s="71">
        <v>45702.63349537037</v>
      </c>
      <c r="N462" s="71">
        <v>45712</v>
      </c>
      <c r="O462" s="71">
        <v>45712</v>
      </c>
      <c r="P462" s="70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6</v>
      </c>
      <c r="R462" s="70" t="s">
        <v>515</v>
      </c>
      <c r="S462" s="69"/>
    </row>
    <row r="463" spans="1:19" hidden="1">
      <c r="A463" s="68" t="s">
        <v>1843</v>
      </c>
      <c r="B463" s="149" t="str">
        <f>IFERROR(VLOOKUP(Proc[[#This Row],[App]],Table2[],3,0),"open")</f>
        <v>ok</v>
      </c>
      <c r="C463" s="68" t="s">
        <v>369</v>
      </c>
      <c r="D463" t="s">
        <v>1939</v>
      </c>
      <c r="E463" t="s">
        <v>1973</v>
      </c>
      <c r="F463" s="117" t="s">
        <v>1973</v>
      </c>
      <c r="G463" s="68" t="s">
        <v>400</v>
      </c>
      <c r="H463" s="69" t="str">
        <f>IF(Proc[[#This Row],[type]]="LFF (MDG-F)",MID(Proc[[#This Row],[Obj]],13,10),"")</f>
        <v/>
      </c>
      <c r="J463" s="69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MGF</v>
      </c>
      <c r="L463" s="69" t="s">
        <v>509</v>
      </c>
      <c r="M463" s="71">
        <v>45702.63349537037</v>
      </c>
      <c r="N463" s="71">
        <v>45712</v>
      </c>
      <c r="O463" s="71">
        <v>45712</v>
      </c>
      <c r="P463" s="70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6</v>
      </c>
      <c r="R463" s="70" t="s">
        <v>515</v>
      </c>
      <c r="S463" s="69"/>
    </row>
    <row r="464" spans="1:19" hidden="1">
      <c r="A464" s="68" t="s">
        <v>1843</v>
      </c>
      <c r="B464" s="149" t="str">
        <f>IFERROR(VLOOKUP(Proc[[#This Row],[App]],Table2[],3,0),"open")</f>
        <v>ok</v>
      </c>
      <c r="C464" s="68" t="s">
        <v>369</v>
      </c>
      <c r="D464" t="s">
        <v>1940</v>
      </c>
      <c r="E464" t="s">
        <v>1973</v>
      </c>
      <c r="F464" s="117" t="s">
        <v>1973</v>
      </c>
      <c r="G464" s="68" t="s">
        <v>400</v>
      </c>
      <c r="H464" s="69" t="str">
        <f>IF(Proc[[#This Row],[type]]="LFF (MDG-F)",MID(Proc[[#This Row],[Obj]],13,10),"")</f>
        <v/>
      </c>
      <c r="J464" s="69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MGF</v>
      </c>
      <c r="L464" s="69" t="s">
        <v>509</v>
      </c>
      <c r="M464" s="71">
        <v>45702.63349537037</v>
      </c>
      <c r="N464" s="71">
        <v>45712</v>
      </c>
      <c r="O464" s="71">
        <v>45712</v>
      </c>
      <c r="P464" s="70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6</v>
      </c>
      <c r="R464" s="70" t="s">
        <v>515</v>
      </c>
      <c r="S464" s="69"/>
    </row>
    <row r="465" spans="1:19" hidden="1">
      <c r="A465" s="68" t="s">
        <v>1843</v>
      </c>
      <c r="B465" s="149" t="str">
        <f>IFERROR(VLOOKUP(Proc[[#This Row],[App]],Table2[],3,0),"open")</f>
        <v>ok</v>
      </c>
      <c r="C465" s="68" t="s">
        <v>369</v>
      </c>
      <c r="D465" t="s">
        <v>1941</v>
      </c>
      <c r="E465" t="s">
        <v>1973</v>
      </c>
      <c r="F465" s="117" t="s">
        <v>1973</v>
      </c>
      <c r="G465" s="68" t="s">
        <v>400</v>
      </c>
      <c r="H465" s="69" t="str">
        <f>IF(Proc[[#This Row],[type]]="LFF (MDG-F)",MID(Proc[[#This Row],[Obj]],13,10),"")</f>
        <v/>
      </c>
      <c r="J465" s="69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MGF</v>
      </c>
      <c r="L465" s="69" t="s">
        <v>509</v>
      </c>
      <c r="M465" s="71">
        <v>45702.63349537037</v>
      </c>
      <c r="N465" s="71">
        <v>45712</v>
      </c>
      <c r="O465" s="71">
        <v>45712</v>
      </c>
      <c r="P465" s="70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6</v>
      </c>
      <c r="R465" s="70" t="s">
        <v>515</v>
      </c>
      <c r="S465" s="69"/>
    </row>
    <row r="466" spans="1:19" hidden="1">
      <c r="A466" t="s">
        <v>1998</v>
      </c>
      <c r="B466" s="149" t="str">
        <f>IFERROR(VLOOKUP(Proc[[#This Row],[App]],Table2[],3,0),"open")</f>
        <v>ok</v>
      </c>
      <c r="C466" s="68" t="s">
        <v>377</v>
      </c>
      <c r="D466" t="s">
        <v>1987</v>
      </c>
      <c r="E466" t="s">
        <v>735</v>
      </c>
      <c r="F466" s="103" t="s">
        <v>735</v>
      </c>
      <c r="G466" t="s">
        <v>406</v>
      </c>
      <c r="H466" s="69" t="str">
        <f>IF(Proc[[#This Row],[type]]="LFF (MDG-F)",MID(Proc[[#This Row],[Obj]],13,10),"")</f>
        <v>US20Z01000</v>
      </c>
      <c r="I466" t="s">
        <v>822</v>
      </c>
      <c r="J466" s="69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MGF</v>
      </c>
      <c r="L466" s="69" t="s">
        <v>509</v>
      </c>
      <c r="M466" s="71">
        <v>45705.641203703701</v>
      </c>
      <c r="P466" s="70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208</v>
      </c>
      <c r="R466" s="70" t="s">
        <v>1076</v>
      </c>
      <c r="S466" s="94" t="e">
        <f>VLOOKUP(Proc[[#This Row],[Obj]],#REF!,2,0)</f>
        <v>#REF!</v>
      </c>
    </row>
    <row r="467" spans="1:19" hidden="1">
      <c r="A467" s="68" t="s">
        <v>1998</v>
      </c>
      <c r="B467" s="149" t="str">
        <f>IFERROR(VLOOKUP(Proc[[#This Row],[App]],Table2[],3,0),"open")</f>
        <v>ok</v>
      </c>
      <c r="C467" s="68" t="s">
        <v>377</v>
      </c>
      <c r="D467" t="s">
        <v>1988</v>
      </c>
      <c r="E467" t="s">
        <v>735</v>
      </c>
      <c r="F467" s="103" t="s">
        <v>735</v>
      </c>
      <c r="G467" s="68" t="s">
        <v>406</v>
      </c>
      <c r="H467" s="69" t="str">
        <f>IF(Proc[[#This Row],[type]]="LFF (MDG-F)",MID(Proc[[#This Row],[Obj]],13,10),"")</f>
        <v>US16Z01000</v>
      </c>
      <c r="I467" s="68" t="s">
        <v>822</v>
      </c>
      <c r="J467" s="69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MGF</v>
      </c>
      <c r="L467" s="69" t="s">
        <v>509</v>
      </c>
      <c r="M467" s="71">
        <v>45705.641203703701</v>
      </c>
      <c r="P467" s="70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208</v>
      </c>
      <c r="R467" s="70" t="s">
        <v>1076</v>
      </c>
      <c r="S467" s="94" t="e">
        <f>VLOOKUP(Proc[[#This Row],[Obj]],#REF!,2,0)</f>
        <v>#REF!</v>
      </c>
    </row>
    <row r="468" spans="1:19" hidden="1">
      <c r="A468" s="68" t="s">
        <v>1998</v>
      </c>
      <c r="B468" s="149" t="str">
        <f>IFERROR(VLOOKUP(Proc[[#This Row],[App]],Table2[],3,0),"open")</f>
        <v>ok</v>
      </c>
      <c r="C468" s="68" t="s">
        <v>377</v>
      </c>
      <c r="D468" t="s">
        <v>1989</v>
      </c>
      <c r="E468" t="s">
        <v>735</v>
      </c>
      <c r="F468" s="103" t="s">
        <v>735</v>
      </c>
      <c r="G468" s="68" t="s">
        <v>406</v>
      </c>
      <c r="H468" s="69" t="str">
        <f>IF(Proc[[#This Row],[type]]="LFF (MDG-F)",MID(Proc[[#This Row],[Obj]],13,10),"")</f>
        <v>US14Z01000</v>
      </c>
      <c r="I468" s="68" t="s">
        <v>822</v>
      </c>
      <c r="J468" s="69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MGF</v>
      </c>
      <c r="L468" s="69" t="s">
        <v>509</v>
      </c>
      <c r="M468" s="71">
        <v>45705.641203703701</v>
      </c>
      <c r="P468" s="70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208</v>
      </c>
      <c r="R468" s="70" t="s">
        <v>1076</v>
      </c>
      <c r="S468" s="94" t="e">
        <f>VLOOKUP(Proc[[#This Row],[Obj]],#REF!,2,0)</f>
        <v>#REF!</v>
      </c>
    </row>
    <row r="469" spans="1:19" hidden="1">
      <c r="A469" s="68" t="s">
        <v>1998</v>
      </c>
      <c r="B469" s="149" t="str">
        <f>IFERROR(VLOOKUP(Proc[[#This Row],[App]],Table2[],3,0),"open")</f>
        <v>ok</v>
      </c>
      <c r="C469" s="68" t="s">
        <v>377</v>
      </c>
      <c r="D469" t="s">
        <v>1990</v>
      </c>
      <c r="E469" t="s">
        <v>735</v>
      </c>
      <c r="F469" s="103" t="s">
        <v>735</v>
      </c>
      <c r="G469" s="68" t="s">
        <v>406</v>
      </c>
      <c r="H469" s="69" t="str">
        <f>IF(Proc[[#This Row],[type]]="LFF (MDG-F)",MID(Proc[[#This Row],[Obj]],13,10),"")</f>
        <v>US15Z01000</v>
      </c>
      <c r="I469" s="68" t="s">
        <v>822</v>
      </c>
      <c r="J469" s="69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MGF</v>
      </c>
      <c r="L469" s="69" t="s">
        <v>509</v>
      </c>
      <c r="M469" s="71">
        <v>45705.641203703701</v>
      </c>
      <c r="P469" s="70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208</v>
      </c>
      <c r="R469" s="70" t="s">
        <v>1076</v>
      </c>
      <c r="S469" s="94" t="e">
        <f>VLOOKUP(Proc[[#This Row],[Obj]],#REF!,2,0)</f>
        <v>#REF!</v>
      </c>
    </row>
    <row r="470" spans="1:19" hidden="1">
      <c r="A470" s="68" t="s">
        <v>1998</v>
      </c>
      <c r="B470" s="149" t="str">
        <f>IFERROR(VLOOKUP(Proc[[#This Row],[App]],Table2[],3,0),"open")</f>
        <v>ok</v>
      </c>
      <c r="C470" s="68" t="s">
        <v>377</v>
      </c>
      <c r="D470" t="s">
        <v>1991</v>
      </c>
      <c r="E470" t="s">
        <v>1999</v>
      </c>
      <c r="F470" s="103" t="s">
        <v>1999</v>
      </c>
      <c r="G470" s="68" t="s">
        <v>406</v>
      </c>
      <c r="H470" s="69" t="str">
        <f>IF(Proc[[#This Row],[type]]="LFF (MDG-F)",MID(Proc[[#This Row],[Obj]],13,10),"")</f>
        <v>US01TNHZ06</v>
      </c>
      <c r="I470" s="68" t="s">
        <v>2220</v>
      </c>
      <c r="J470" s="69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MGF</v>
      </c>
      <c r="L470" s="69" t="s">
        <v>509</v>
      </c>
      <c r="M470" s="71">
        <v>45705.641203703701</v>
      </c>
      <c r="P470" s="70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208</v>
      </c>
      <c r="R470" s="70" t="s">
        <v>1076</v>
      </c>
      <c r="S470" s="94" t="e">
        <f>VLOOKUP(Proc[[#This Row],[Obj]],#REF!,2,0)</f>
        <v>#REF!</v>
      </c>
    </row>
    <row r="471" spans="1:19" hidden="1">
      <c r="A471" s="68" t="s">
        <v>1998</v>
      </c>
      <c r="B471" s="149" t="str">
        <f>IFERROR(VLOOKUP(Proc[[#This Row],[App]],Table2[],3,0),"open")</f>
        <v>ok</v>
      </c>
      <c r="C471" s="68" t="s">
        <v>377</v>
      </c>
      <c r="D471" t="s">
        <v>1992</v>
      </c>
      <c r="E471" t="s">
        <v>1999</v>
      </c>
      <c r="F471" s="103" t="s">
        <v>1999</v>
      </c>
      <c r="G471" s="68" t="s">
        <v>406</v>
      </c>
      <c r="H471" s="69" t="str">
        <f>IF(Proc[[#This Row],[type]]="LFF (MDG-F)",MID(Proc[[#This Row],[Obj]],13,10),"")</f>
        <v>TW03TOKA00</v>
      </c>
      <c r="I471" s="68" t="s">
        <v>2220</v>
      </c>
      <c r="J471" s="69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MGF</v>
      </c>
      <c r="L471" s="69" t="s">
        <v>509</v>
      </c>
      <c r="M471" s="71">
        <v>45705.641203703701</v>
      </c>
      <c r="P471" s="70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208</v>
      </c>
      <c r="R471" s="70" t="s">
        <v>1076</v>
      </c>
      <c r="S471" s="94" t="e">
        <f>VLOOKUP(Proc[[#This Row],[Obj]],#REF!,2,0)</f>
        <v>#REF!</v>
      </c>
    </row>
    <row r="472" spans="1:19" hidden="1">
      <c r="A472" s="68" t="s">
        <v>1998</v>
      </c>
      <c r="B472" s="149" t="str">
        <f>IFERROR(VLOOKUP(Proc[[#This Row],[App]],Table2[],3,0),"open")</f>
        <v>ok</v>
      </c>
      <c r="C472" s="68" t="s">
        <v>377</v>
      </c>
      <c r="D472" t="s">
        <v>1993</v>
      </c>
      <c r="E472" t="s">
        <v>1018</v>
      </c>
      <c r="F472" s="103" t="s">
        <v>1018</v>
      </c>
      <c r="G472" s="68" t="s">
        <v>406</v>
      </c>
      <c r="H472" s="69" t="str">
        <f>IF(Proc[[#This Row],[type]]="LFF (MDG-F)",MID(Proc[[#This Row],[Obj]],13,10),"")</f>
        <v>US01TNHZ05</v>
      </c>
      <c r="I472" s="68" t="s">
        <v>2220</v>
      </c>
      <c r="J472" s="69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MGF</v>
      </c>
      <c r="L472" s="69" t="s">
        <v>509</v>
      </c>
      <c r="M472" s="71">
        <v>45705.641203703701</v>
      </c>
      <c r="P472" s="70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208</v>
      </c>
      <c r="R472" s="70" t="s">
        <v>1076</v>
      </c>
      <c r="S472" s="94" t="e">
        <f>VLOOKUP(Proc[[#This Row],[Obj]],#REF!,2,0)</f>
        <v>#REF!</v>
      </c>
    </row>
    <row r="473" spans="1:19" hidden="1">
      <c r="A473" s="68" t="s">
        <v>1998</v>
      </c>
      <c r="B473" s="149" t="str">
        <f>IFERROR(VLOOKUP(Proc[[#This Row],[App]],Table2[],3,0),"open")</f>
        <v>ok</v>
      </c>
      <c r="C473" s="68" t="s">
        <v>369</v>
      </c>
      <c r="D473" t="s">
        <v>1994</v>
      </c>
      <c r="E473" t="s">
        <v>2000</v>
      </c>
      <c r="F473" s="117" t="s">
        <v>2000</v>
      </c>
      <c r="G473" s="68" t="s">
        <v>406</v>
      </c>
      <c r="H473" s="69" t="str">
        <f>IF(Proc[[#This Row],[type]]="LFF (MDG-F)",MID(Proc[[#This Row],[Obj]],13,10),"")</f>
        <v>US01TN0001</v>
      </c>
      <c r="J473" s="69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MGF</v>
      </c>
      <c r="L473" s="69" t="s">
        <v>509</v>
      </c>
      <c r="M473" s="71">
        <v>45705.641203703701</v>
      </c>
      <c r="P473" s="70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208</v>
      </c>
      <c r="R473" s="70" t="s">
        <v>1076</v>
      </c>
      <c r="S473" s="69"/>
    </row>
    <row r="474" spans="1:19" hidden="1">
      <c r="A474" s="68" t="s">
        <v>1998</v>
      </c>
      <c r="B474" s="149" t="str">
        <f>IFERROR(VLOOKUP(Proc[[#This Row],[App]],Table2[],3,0),"open")</f>
        <v>ok</v>
      </c>
      <c r="C474" s="68" t="s">
        <v>369</v>
      </c>
      <c r="D474" t="s">
        <v>1995</v>
      </c>
      <c r="E474" t="s">
        <v>2000</v>
      </c>
      <c r="F474" s="117" t="s">
        <v>2000</v>
      </c>
      <c r="G474" s="68" t="s">
        <v>406</v>
      </c>
      <c r="H474" s="69" t="str">
        <f>IF(Proc[[#This Row],[type]]="LFF (MDG-F)",MID(Proc[[#This Row],[Obj]],13,10),"")</f>
        <v>US10TN2100</v>
      </c>
      <c r="J474" s="69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MGF</v>
      </c>
      <c r="L474" s="69" t="s">
        <v>509</v>
      </c>
      <c r="M474" s="71">
        <v>45705.641203703701</v>
      </c>
      <c r="P474" s="70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208</v>
      </c>
      <c r="R474" s="70" t="s">
        <v>1076</v>
      </c>
      <c r="S474" s="69"/>
    </row>
    <row r="475" spans="1:19" hidden="1">
      <c r="A475" s="68" t="s">
        <v>1998</v>
      </c>
      <c r="B475" s="149" t="str">
        <f>IFERROR(VLOOKUP(Proc[[#This Row],[App]],Table2[],3,0),"open")</f>
        <v>ok</v>
      </c>
      <c r="C475" s="68" t="s">
        <v>369</v>
      </c>
      <c r="D475" t="s">
        <v>1996</v>
      </c>
      <c r="E475" t="s">
        <v>2001</v>
      </c>
      <c r="F475" s="117" t="s">
        <v>2001</v>
      </c>
      <c r="G475" s="68" t="s">
        <v>406</v>
      </c>
      <c r="H475" s="69" t="str">
        <f>IF(Proc[[#This Row],[type]]="LFF (MDG-F)",MID(Proc[[#This Row],[Obj]],13,10),"")</f>
        <v>CN10C01004</v>
      </c>
      <c r="J475" s="69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MGF</v>
      </c>
      <c r="L475" s="69" t="s">
        <v>509</v>
      </c>
      <c r="M475" s="71">
        <v>45705.641203703701</v>
      </c>
      <c r="P475" s="70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208</v>
      </c>
      <c r="R475" s="70" t="s">
        <v>1076</v>
      </c>
      <c r="S475" s="69"/>
    </row>
    <row r="476" spans="1:19" hidden="1">
      <c r="A476" s="68" t="s">
        <v>1998</v>
      </c>
      <c r="B476" s="149" t="str">
        <f>IFERROR(VLOOKUP(Proc[[#This Row],[App]],Table2[],3,0),"open")</f>
        <v>ok</v>
      </c>
      <c r="C476" s="68" t="s">
        <v>369</v>
      </c>
      <c r="D476" t="s">
        <v>1997</v>
      </c>
      <c r="E476" t="s">
        <v>2002</v>
      </c>
      <c r="F476" s="117" t="s">
        <v>2002</v>
      </c>
      <c r="G476" s="68" t="s">
        <v>400</v>
      </c>
      <c r="H476" s="69" t="str">
        <f>IF(Proc[[#This Row],[type]]="LFF (MDG-F)",MID(Proc[[#This Row],[Obj]],13,10),"")</f>
        <v/>
      </c>
      <c r="J476" s="69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MGF</v>
      </c>
      <c r="L476" s="69" t="s">
        <v>509</v>
      </c>
      <c r="M476" s="71">
        <v>45705.641203703701</v>
      </c>
      <c r="P476" s="70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208</v>
      </c>
      <c r="R476" s="70" t="s">
        <v>1076</v>
      </c>
      <c r="S476" s="69"/>
    </row>
    <row r="477" spans="1:19" hidden="1">
      <c r="A477" t="s">
        <v>2009</v>
      </c>
      <c r="B477" s="149" t="str">
        <f>IFERROR(VLOOKUP(Proc[[#This Row],[App]],Table2[],3,0),"open")</f>
        <v>ok</v>
      </c>
      <c r="C477" s="68" t="s">
        <v>369</v>
      </c>
      <c r="D477" t="s">
        <v>2010</v>
      </c>
      <c r="E477" t="s">
        <v>2016</v>
      </c>
      <c r="F477" s="117" t="s">
        <v>2016</v>
      </c>
      <c r="G477" s="68" t="s">
        <v>400</v>
      </c>
      <c r="H477" s="69" t="str">
        <f>IF(Proc[[#This Row],[type]]="LFF (MDG-F)",MID(Proc[[#This Row],[Obj]],13,10),"")</f>
        <v/>
      </c>
      <c r="J477" s="69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EL</v>
      </c>
      <c r="L477" s="69" t="s">
        <v>509</v>
      </c>
      <c r="M477" s="71">
        <v>45705.645752314813</v>
      </c>
      <c r="P477" s="70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208</v>
      </c>
      <c r="R477" s="70" t="s">
        <v>1001</v>
      </c>
      <c r="S477" s="69"/>
    </row>
    <row r="478" spans="1:19" hidden="1">
      <c r="A478" s="68" t="s">
        <v>2009</v>
      </c>
      <c r="B478" s="149" t="str">
        <f>IFERROR(VLOOKUP(Proc[[#This Row],[App]],Table2[],3,0),"open")</f>
        <v>ok</v>
      </c>
      <c r="C478" s="68" t="s">
        <v>369</v>
      </c>
      <c r="D478" t="s">
        <v>2011</v>
      </c>
      <c r="E478" t="s">
        <v>1604</v>
      </c>
      <c r="F478" s="117" t="s">
        <v>1604</v>
      </c>
      <c r="G478" s="68" t="s">
        <v>400</v>
      </c>
      <c r="H478" s="69" t="str">
        <f>IF(Proc[[#This Row],[type]]="LFF (MDG-F)",MID(Proc[[#This Row],[Obj]],13,10),"")</f>
        <v/>
      </c>
      <c r="J478" s="69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EL</v>
      </c>
      <c r="L478" s="69" t="s">
        <v>509</v>
      </c>
      <c r="M478" s="71">
        <v>45705.645752314813</v>
      </c>
      <c r="P478" s="70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208</v>
      </c>
      <c r="R478" s="70" t="s">
        <v>1001</v>
      </c>
      <c r="S478" s="69"/>
    </row>
    <row r="479" spans="1:19" hidden="1">
      <c r="A479" s="68" t="s">
        <v>2009</v>
      </c>
      <c r="B479" s="149" t="str">
        <f>IFERROR(VLOOKUP(Proc[[#This Row],[App]],Table2[],3,0),"open")</f>
        <v>ok</v>
      </c>
      <c r="C479" s="68" t="s">
        <v>369</v>
      </c>
      <c r="D479" t="s">
        <v>2012</v>
      </c>
      <c r="E479" t="s">
        <v>2017</v>
      </c>
      <c r="F479" s="117" t="s">
        <v>2017</v>
      </c>
      <c r="G479" s="68" t="s">
        <v>400</v>
      </c>
      <c r="H479" s="69" t="str">
        <f>IF(Proc[[#This Row],[type]]="LFF (MDG-F)",MID(Proc[[#This Row],[Obj]],13,10),"")</f>
        <v/>
      </c>
      <c r="J479" s="69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EL</v>
      </c>
      <c r="L479" s="69" t="s">
        <v>509</v>
      </c>
      <c r="M479" s="71">
        <v>45705.645752314813</v>
      </c>
      <c r="P479" s="70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208</v>
      </c>
      <c r="R479" s="70" t="s">
        <v>1001</v>
      </c>
      <c r="S479" s="69"/>
    </row>
    <row r="480" spans="1:19" hidden="1">
      <c r="A480" s="68" t="s">
        <v>2009</v>
      </c>
      <c r="B480" s="149" t="str">
        <f>IFERROR(VLOOKUP(Proc[[#This Row],[App]],Table2[],3,0),"open")</f>
        <v>ok</v>
      </c>
      <c r="C480" s="68" t="s">
        <v>369</v>
      </c>
      <c r="D480" t="s">
        <v>2013</v>
      </c>
      <c r="E480" t="s">
        <v>2018</v>
      </c>
      <c r="F480" s="117" t="s">
        <v>2018</v>
      </c>
      <c r="G480" s="68" t="s">
        <v>400</v>
      </c>
      <c r="H480" s="69" t="str">
        <f>IF(Proc[[#This Row],[type]]="LFF (MDG-F)",MID(Proc[[#This Row],[Obj]],13,10),"")</f>
        <v/>
      </c>
      <c r="J480" s="69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EL</v>
      </c>
      <c r="L480" s="69" t="s">
        <v>509</v>
      </c>
      <c r="M480" s="71">
        <v>45705.645752314813</v>
      </c>
      <c r="P480" s="70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208</v>
      </c>
      <c r="R480" s="70" t="s">
        <v>1001</v>
      </c>
      <c r="S480" s="69"/>
    </row>
    <row r="481" spans="1:19" hidden="1">
      <c r="A481" s="68" t="s">
        <v>2009</v>
      </c>
      <c r="B481" s="149" t="str">
        <f>IFERROR(VLOOKUP(Proc[[#This Row],[App]],Table2[],3,0),"open")</f>
        <v>ok</v>
      </c>
      <c r="C481" s="68" t="s">
        <v>369</v>
      </c>
      <c r="D481" t="s">
        <v>2014</v>
      </c>
      <c r="E481" t="s">
        <v>2018</v>
      </c>
      <c r="F481" s="117" t="s">
        <v>2018</v>
      </c>
      <c r="G481" s="68" t="s">
        <v>400</v>
      </c>
      <c r="H481" s="69" t="str">
        <f>IF(Proc[[#This Row],[type]]="LFF (MDG-F)",MID(Proc[[#This Row],[Obj]],13,10),"")</f>
        <v/>
      </c>
      <c r="J481" s="69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EL</v>
      </c>
      <c r="L481" s="69" t="s">
        <v>509</v>
      </c>
      <c r="M481" s="71">
        <v>45705.645752314813</v>
      </c>
      <c r="P481" s="70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208</v>
      </c>
      <c r="R481" s="70" t="s">
        <v>1001</v>
      </c>
      <c r="S481" s="69"/>
    </row>
    <row r="482" spans="1:19" hidden="1">
      <c r="A482" t="s">
        <v>2009</v>
      </c>
      <c r="B482" s="149" t="str">
        <f>IFERROR(VLOOKUP(Proc[[#This Row],[App]],Table2[],3,0),"open")</f>
        <v>ok</v>
      </c>
      <c r="C482" s="68" t="s">
        <v>369</v>
      </c>
      <c r="D482" t="s">
        <v>2015</v>
      </c>
      <c r="E482" t="s">
        <v>2018</v>
      </c>
      <c r="F482" s="117" t="s">
        <v>2018</v>
      </c>
      <c r="G482" s="68" t="s">
        <v>400</v>
      </c>
      <c r="H482" s="69" t="str">
        <f>IF(Proc[[#This Row],[type]]="LFF (MDG-F)",MID(Proc[[#This Row],[Obj]],13,10),"")</f>
        <v/>
      </c>
      <c r="J482" s="69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EL</v>
      </c>
      <c r="L482" s="69" t="s">
        <v>509</v>
      </c>
      <c r="M482" s="71">
        <v>45705.645752314813</v>
      </c>
      <c r="P482" s="70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208</v>
      </c>
      <c r="R482" s="70" t="s">
        <v>1001</v>
      </c>
      <c r="S482" s="69"/>
    </row>
    <row r="483" spans="1:19" hidden="1">
      <c r="A483" s="68" t="s">
        <v>2009</v>
      </c>
      <c r="B483" s="149" t="str">
        <f>IFERROR(VLOOKUP(Proc[[#This Row],[App]],Table2[],3,0),"open")</f>
        <v>ok</v>
      </c>
      <c r="C483" s="68" t="s">
        <v>369</v>
      </c>
      <c r="D483" t="s">
        <v>1592</v>
      </c>
      <c r="E483" t="s">
        <v>2019</v>
      </c>
      <c r="F483" s="117" t="s">
        <v>2019</v>
      </c>
      <c r="G483" s="68" t="s">
        <v>400</v>
      </c>
      <c r="H483" s="69" t="str">
        <f>IF(Proc[[#This Row],[type]]="LFF (MDG-F)",MID(Proc[[#This Row],[Obj]],13,10),"")</f>
        <v/>
      </c>
      <c r="J483" s="69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EL</v>
      </c>
      <c r="L483" s="69" t="s">
        <v>509</v>
      </c>
      <c r="M483" s="71">
        <v>45705.645752314813</v>
      </c>
      <c r="P483" s="70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208</v>
      </c>
      <c r="R483" s="70" t="s">
        <v>1001</v>
      </c>
      <c r="S483" s="69"/>
    </row>
    <row r="484" spans="1:19" hidden="1">
      <c r="A484" s="68" t="s">
        <v>2009</v>
      </c>
      <c r="B484" s="149" t="str">
        <f>IFERROR(VLOOKUP(Proc[[#This Row],[App]],Table2[],3,0),"open")</f>
        <v>ok</v>
      </c>
      <c r="C484" s="68" t="s">
        <v>369</v>
      </c>
      <c r="D484" t="s">
        <v>1598</v>
      </c>
      <c r="E484" t="s">
        <v>2019</v>
      </c>
      <c r="F484" s="117" t="s">
        <v>2019</v>
      </c>
      <c r="G484" s="68" t="s">
        <v>400</v>
      </c>
      <c r="H484" s="69" t="str">
        <f>IF(Proc[[#This Row],[type]]="LFF (MDG-F)",MID(Proc[[#This Row],[Obj]],13,10),"")</f>
        <v/>
      </c>
      <c r="J484" s="69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EL</v>
      </c>
      <c r="L484" s="69" t="s">
        <v>509</v>
      </c>
      <c r="M484" s="71">
        <v>45705.645752314813</v>
      </c>
      <c r="P484" s="70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208</v>
      </c>
      <c r="R484" s="70" t="s">
        <v>1001</v>
      </c>
      <c r="S484" s="69"/>
    </row>
    <row r="485" spans="1:19" hidden="1">
      <c r="A485" s="68" t="s">
        <v>2009</v>
      </c>
      <c r="B485" s="149" t="str">
        <f>IFERROR(VLOOKUP(Proc[[#This Row],[App]],Table2[],3,0),"open")</f>
        <v>ok</v>
      </c>
      <c r="C485" s="68" t="s">
        <v>369</v>
      </c>
      <c r="D485" t="s">
        <v>1593</v>
      </c>
      <c r="E485" t="s">
        <v>2020</v>
      </c>
      <c r="F485" s="117" t="s">
        <v>2020</v>
      </c>
      <c r="G485" s="68" t="s">
        <v>400</v>
      </c>
      <c r="H485" s="69" t="str">
        <f>IF(Proc[[#This Row],[type]]="LFF (MDG-F)",MID(Proc[[#This Row],[Obj]],13,10),"")</f>
        <v/>
      </c>
      <c r="J485" s="69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EL</v>
      </c>
      <c r="L485" s="69" t="s">
        <v>509</v>
      </c>
      <c r="M485" s="71">
        <v>45705.645752314813</v>
      </c>
      <c r="P485" s="70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208</v>
      </c>
      <c r="R485" s="70" t="s">
        <v>1001</v>
      </c>
      <c r="S485" s="69"/>
    </row>
    <row r="486" spans="1:19" hidden="1">
      <c r="A486" s="68" t="s">
        <v>2009</v>
      </c>
      <c r="B486" s="149" t="str">
        <f>IFERROR(VLOOKUP(Proc[[#This Row],[App]],Table2[],3,0),"open")</f>
        <v>ok</v>
      </c>
      <c r="C486" s="68" t="s">
        <v>369</v>
      </c>
      <c r="D486" t="s">
        <v>1599</v>
      </c>
      <c r="E486" t="s">
        <v>2020</v>
      </c>
      <c r="F486" s="117" t="s">
        <v>2020</v>
      </c>
      <c r="G486" s="68" t="s">
        <v>400</v>
      </c>
      <c r="H486" s="69" t="str">
        <f>IF(Proc[[#This Row],[type]]="LFF (MDG-F)",MID(Proc[[#This Row],[Obj]],13,10),"")</f>
        <v/>
      </c>
      <c r="J486" s="69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EL</v>
      </c>
      <c r="L486" s="69" t="s">
        <v>509</v>
      </c>
      <c r="M486" s="71">
        <v>45705.645752314813</v>
      </c>
      <c r="P486" s="70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208</v>
      </c>
      <c r="R486" s="70" t="s">
        <v>1001</v>
      </c>
      <c r="S486" s="69"/>
    </row>
    <row r="487" spans="1:19" hidden="1">
      <c r="A487" s="68" t="s">
        <v>2025</v>
      </c>
      <c r="B487" s="149" t="str">
        <f>IFERROR(VLOOKUP(Proc[[#This Row],[App]],Table2[],3,0),"open")</f>
        <v>ok</v>
      </c>
      <c r="C487" s="68" t="s">
        <v>369</v>
      </c>
      <c r="D487" t="s">
        <v>2021</v>
      </c>
      <c r="E487" t="s">
        <v>2023</v>
      </c>
      <c r="F487" s="117" t="s">
        <v>2023</v>
      </c>
      <c r="G487" s="68" t="s">
        <v>400</v>
      </c>
      <c r="H487" s="69" t="str">
        <f>IF(Proc[[#This Row],[type]]="LFF (MDG-F)",MID(Proc[[#This Row],[Obj]],13,10),"")</f>
        <v/>
      </c>
      <c r="J487" s="69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MGF</v>
      </c>
      <c r="L487" s="69" t="s">
        <v>509</v>
      </c>
      <c r="M487" s="71">
        <v>45705.71533564815</v>
      </c>
      <c r="N487" s="71">
        <v>45706</v>
      </c>
      <c r="O487" s="71">
        <v>45706</v>
      </c>
      <c r="P487" s="70" t="str">
        <f ca="1">IF(Proc[[#This Row],[DaysAgeing]]&gt;5,"yep","on track")</f>
        <v>on track</v>
      </c>
      <c r="Q487" s="3">
        <f ca="1">IF(Proc[[#This Row],[DateClosed]]="",ABS(NETWORKDAYS(Proc[[#This Row],[DateOpened]],TODAY()))-1,ABS(NETWORKDAYS(Proc[[#This Row],[DateOpened]],Proc[[#This Row],[DateClosed]]))-1)</f>
        <v>1</v>
      </c>
      <c r="R487" s="70" t="s">
        <v>515</v>
      </c>
      <c r="S487" s="69"/>
    </row>
    <row r="488" spans="1:19" hidden="1">
      <c r="A488" s="68" t="s">
        <v>2025</v>
      </c>
      <c r="B488" s="149" t="str">
        <f>IFERROR(VLOOKUP(Proc[[#This Row],[App]],Table2[],3,0),"open")</f>
        <v>ok</v>
      </c>
      <c r="C488" s="68" t="s">
        <v>369</v>
      </c>
      <c r="D488" t="s">
        <v>2022</v>
      </c>
      <c r="E488" t="s">
        <v>2024</v>
      </c>
      <c r="F488" s="117" t="s">
        <v>2024</v>
      </c>
      <c r="G488" s="68" t="s">
        <v>400</v>
      </c>
      <c r="H488" s="69" t="str">
        <f>IF(Proc[[#This Row],[type]]="LFF (MDG-F)",MID(Proc[[#This Row],[Obj]],13,10),"")</f>
        <v/>
      </c>
      <c r="J488" s="69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9" t="s">
        <v>509</v>
      </c>
      <c r="M488" s="71">
        <v>45705.71533564815</v>
      </c>
      <c r="N488" s="71">
        <v>45706</v>
      </c>
      <c r="O488" s="71">
        <v>45706</v>
      </c>
      <c r="P488" s="70" t="str">
        <f ca="1">IF(Proc[[#This Row],[DaysAgeing]]&gt;5,"yep","on track")</f>
        <v>on track</v>
      </c>
      <c r="Q488" s="3">
        <f ca="1">IF(Proc[[#This Row],[DateClosed]]="",ABS(NETWORKDAYS(Proc[[#This Row],[DateOpened]],TODAY()))-1,ABS(NETWORKDAYS(Proc[[#This Row],[DateOpened]],Proc[[#This Row],[DateClosed]]))-1)</f>
        <v>1</v>
      </c>
      <c r="R488" s="70" t="s">
        <v>515</v>
      </c>
      <c r="S488" s="69"/>
    </row>
    <row r="489" spans="1:19" hidden="1">
      <c r="A489" s="68" t="s">
        <v>2003</v>
      </c>
      <c r="B489" s="149" t="str">
        <f>IFERROR(VLOOKUP(Proc[[#This Row],[App]],Table2[],3,0),"open")</f>
        <v>ok</v>
      </c>
      <c r="C489" s="68" t="s">
        <v>369</v>
      </c>
      <c r="D489" t="s">
        <v>2004</v>
      </c>
      <c r="E489" t="s">
        <v>1522</v>
      </c>
      <c r="F489" s="117" t="s">
        <v>1522</v>
      </c>
      <c r="G489" s="68" t="s">
        <v>400</v>
      </c>
      <c r="H489" s="69" t="str">
        <f>IF(Proc[[#This Row],[type]]="LFF (MDG-F)",MID(Proc[[#This Row],[Obj]],13,10),"")</f>
        <v/>
      </c>
      <c r="J489" s="69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LS</v>
      </c>
      <c r="L489" s="69" t="s">
        <v>509</v>
      </c>
      <c r="M489" s="71">
        <v>45706.262858796297</v>
      </c>
      <c r="P489" s="70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207</v>
      </c>
      <c r="R489" s="70" t="s">
        <v>830</v>
      </c>
      <c r="S489" s="69"/>
    </row>
    <row r="490" spans="1:19" hidden="1">
      <c r="A490" s="68" t="s">
        <v>2003</v>
      </c>
      <c r="B490" s="149" t="str">
        <f>IFERROR(VLOOKUP(Proc[[#This Row],[App]],Table2[],3,0),"open")</f>
        <v>ok</v>
      </c>
      <c r="C490" s="68" t="s">
        <v>369</v>
      </c>
      <c r="D490" t="s">
        <v>2005</v>
      </c>
      <c r="E490" t="s">
        <v>1522</v>
      </c>
      <c r="F490" s="117" t="s">
        <v>1522</v>
      </c>
      <c r="G490" s="68" t="s">
        <v>400</v>
      </c>
      <c r="H490" s="69" t="str">
        <f>IF(Proc[[#This Row],[type]]="LFF (MDG-F)",MID(Proc[[#This Row],[Obj]],13,10),"")</f>
        <v/>
      </c>
      <c r="J490" s="69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LS</v>
      </c>
      <c r="L490" s="69" t="s">
        <v>509</v>
      </c>
      <c r="M490" s="71">
        <v>45706.262858796297</v>
      </c>
      <c r="P490" s="70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207</v>
      </c>
      <c r="R490" s="70" t="s">
        <v>830</v>
      </c>
      <c r="S490" s="69"/>
    </row>
    <row r="491" spans="1:19" hidden="1">
      <c r="A491" s="68" t="s">
        <v>2003</v>
      </c>
      <c r="B491" s="149" t="str">
        <f>IFERROR(VLOOKUP(Proc[[#This Row],[App]],Table2[],3,0),"open")</f>
        <v>ok</v>
      </c>
      <c r="C491" s="68" t="s">
        <v>369</v>
      </c>
      <c r="D491" t="s">
        <v>2006</v>
      </c>
      <c r="E491" t="s">
        <v>1522</v>
      </c>
      <c r="F491" s="117" t="s">
        <v>1522</v>
      </c>
      <c r="G491" s="68" t="s">
        <v>400</v>
      </c>
      <c r="H491" s="69" t="str">
        <f>IF(Proc[[#This Row],[type]]="LFF (MDG-F)",MID(Proc[[#This Row],[Obj]],13,10),"")</f>
        <v/>
      </c>
      <c r="J491" s="69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LS</v>
      </c>
      <c r="L491" s="69" t="s">
        <v>509</v>
      </c>
      <c r="M491" s="71">
        <v>45706.262858796297</v>
      </c>
      <c r="P491" s="70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207</v>
      </c>
      <c r="R491" s="70" t="s">
        <v>830</v>
      </c>
      <c r="S491" s="69"/>
    </row>
    <row r="492" spans="1:19" hidden="1">
      <c r="A492" t="s">
        <v>2003</v>
      </c>
      <c r="B492" s="149" t="str">
        <f>IFERROR(VLOOKUP(Proc[[#This Row],[App]],Table2[],3,0),"open")</f>
        <v>ok</v>
      </c>
      <c r="C492" s="68" t="s">
        <v>369</v>
      </c>
      <c r="D492" t="s">
        <v>2007</v>
      </c>
      <c r="E492" t="s">
        <v>1522</v>
      </c>
      <c r="F492" s="117" t="s">
        <v>1522</v>
      </c>
      <c r="G492" s="68" t="s">
        <v>400</v>
      </c>
      <c r="H492" s="69" t="str">
        <f>IF(Proc[[#This Row],[type]]="LFF (MDG-F)",MID(Proc[[#This Row],[Obj]],13,10),"")</f>
        <v/>
      </c>
      <c r="J492" s="69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LS</v>
      </c>
      <c r="L492" s="69" t="s">
        <v>509</v>
      </c>
      <c r="M492" s="71">
        <v>45706.262858796297</v>
      </c>
      <c r="P492" s="70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207</v>
      </c>
      <c r="R492" s="70" t="s">
        <v>830</v>
      </c>
      <c r="S492" s="69"/>
    </row>
    <row r="493" spans="1:19" hidden="1">
      <c r="A493" t="s">
        <v>2003</v>
      </c>
      <c r="B493" s="149" t="str">
        <f>IFERROR(VLOOKUP(Proc[[#This Row],[App]],Table2[],3,0),"open")</f>
        <v>ok</v>
      </c>
      <c r="C493" s="68" t="s">
        <v>369</v>
      </c>
      <c r="D493" t="s">
        <v>2008</v>
      </c>
      <c r="E493" t="s">
        <v>1522</v>
      </c>
      <c r="F493" s="117" t="s">
        <v>1522</v>
      </c>
      <c r="G493" s="68" t="s">
        <v>400</v>
      </c>
      <c r="H493" s="69" t="str">
        <f>IF(Proc[[#This Row],[type]]="LFF (MDG-F)",MID(Proc[[#This Row],[Obj]],13,10),"")</f>
        <v/>
      </c>
      <c r="J493" s="69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LS</v>
      </c>
      <c r="L493" s="69" t="s">
        <v>509</v>
      </c>
      <c r="M493" s="71">
        <v>45706.262858796297</v>
      </c>
      <c r="P493" s="70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207</v>
      </c>
      <c r="R493" s="70" t="s">
        <v>830</v>
      </c>
      <c r="S493" s="69"/>
    </row>
    <row r="494" spans="1:19" hidden="1">
      <c r="A494" t="s">
        <v>2026</v>
      </c>
      <c r="B494" s="149" t="str">
        <f>IFERROR(VLOOKUP(Proc[[#This Row],[App]],Table2[],3,0),"open")</f>
        <v>ok</v>
      </c>
      <c r="C494" t="s">
        <v>369</v>
      </c>
      <c r="D494" t="s">
        <v>2027</v>
      </c>
      <c r="E494" t="s">
        <v>2029</v>
      </c>
      <c r="F494" s="117" t="s">
        <v>2029</v>
      </c>
      <c r="G494" t="s">
        <v>406</v>
      </c>
      <c r="H494" s="69" t="str">
        <f>IF(Proc[[#This Row],[type]]="LFF (MDG-F)",MID(Proc[[#This Row],[Obj]],13,10),"")</f>
        <v>DE20538341</v>
      </c>
      <c r="J494" s="69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9" t="s">
        <v>509</v>
      </c>
      <c r="M494" s="71">
        <v>45706.507418981484</v>
      </c>
      <c r="N494" s="71">
        <v>45709</v>
      </c>
      <c r="O494" s="71">
        <v>45709</v>
      </c>
      <c r="P494" s="70" t="str">
        <f ca="1">IF(Proc[[#This Row],[DaysAgeing]]&gt;5,"yep","on track")</f>
        <v>on track</v>
      </c>
      <c r="Q494" s="3">
        <f ca="1">IF(Proc[[#This Row],[DateClosed]]="",ABS(NETWORKDAYS(Proc[[#This Row],[DateOpened]],TODAY()))-1,ABS(NETWORKDAYS(Proc[[#This Row],[DateOpened]],Proc[[#This Row],[DateClosed]]))-1)</f>
        <v>3</v>
      </c>
      <c r="R494" s="70" t="s">
        <v>549</v>
      </c>
      <c r="S494" s="69"/>
    </row>
    <row r="495" spans="1:19" hidden="1">
      <c r="A495" s="68" t="s">
        <v>2026</v>
      </c>
      <c r="B495" s="149" t="str">
        <f>IFERROR(VLOOKUP(Proc[[#This Row],[App]],Table2[],3,0),"open")</f>
        <v>ok</v>
      </c>
      <c r="C495" s="68" t="s">
        <v>369</v>
      </c>
      <c r="D495" t="s">
        <v>2028</v>
      </c>
      <c r="E495" t="s">
        <v>2030</v>
      </c>
      <c r="F495" s="117" t="s">
        <v>2030</v>
      </c>
      <c r="G495" s="68" t="s">
        <v>406</v>
      </c>
      <c r="H495" s="69" t="str">
        <f>IF(Proc[[#This Row],[type]]="LFF (MDG-F)",MID(Proc[[#This Row],[Obj]],13,10),"")</f>
        <v>DE10538341</v>
      </c>
      <c r="J495" s="69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9" t="s">
        <v>509</v>
      </c>
      <c r="M495" s="71">
        <v>45706.507418981484</v>
      </c>
      <c r="N495" s="71">
        <v>45709</v>
      </c>
      <c r="O495" s="71">
        <v>45709</v>
      </c>
      <c r="P495" s="70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70" t="s">
        <v>549</v>
      </c>
      <c r="S495" s="69"/>
    </row>
    <row r="496" spans="1:19" hidden="1">
      <c r="A496" t="s">
        <v>2031</v>
      </c>
      <c r="B496" s="149" t="str">
        <f>IFERROR(VLOOKUP(Proc[[#This Row],[App]],Table2[],3,0),"open")</f>
        <v>ok</v>
      </c>
      <c r="C496" t="s">
        <v>369</v>
      </c>
      <c r="D496" s="68" t="s">
        <v>1820</v>
      </c>
      <c r="E496" s="68" t="s">
        <v>2046</v>
      </c>
      <c r="F496" s="117" t="s">
        <v>2046</v>
      </c>
      <c r="G496" t="s">
        <v>406</v>
      </c>
      <c r="H496" s="69" t="str">
        <f>IF(Proc[[#This Row],[type]]="LFF (MDG-F)",MID(Proc[[#This Row],[Obj]],13,10),"")</f>
        <v>DE10G69660</v>
      </c>
      <c r="J496" s="69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9" t="s">
        <v>509</v>
      </c>
      <c r="M496" s="71">
        <v>45707.167048611111</v>
      </c>
      <c r="N496" s="71">
        <v>45709</v>
      </c>
      <c r="O496" s="71">
        <v>45709</v>
      </c>
      <c r="P496" s="70" t="str">
        <f ca="1">IF(Proc[[#This Row],[DaysAgeing]]&gt;5,"yep","on track")</f>
        <v>on track</v>
      </c>
      <c r="Q496" s="3">
        <f ca="1">IF(Proc[[#This Row],[DateClosed]]="",ABS(NETWORKDAYS(Proc[[#This Row],[DateOpened]],TODAY()))-1,ABS(NETWORKDAYS(Proc[[#This Row],[DateOpened]],Proc[[#This Row],[DateClosed]]))-1)</f>
        <v>2</v>
      </c>
      <c r="R496" s="70" t="s">
        <v>515</v>
      </c>
      <c r="S496" s="69"/>
    </row>
    <row r="497" spans="1:19" hidden="1">
      <c r="A497" t="s">
        <v>2048</v>
      </c>
      <c r="B497" s="149" t="str">
        <f>IFERROR(VLOOKUP(Proc[[#This Row],[App]],Table2[],3,0),"open")</f>
        <v>ok</v>
      </c>
      <c r="C497" t="s">
        <v>369</v>
      </c>
      <c r="D497" t="s">
        <v>2047</v>
      </c>
      <c r="E497" t="s">
        <v>2049</v>
      </c>
      <c r="F497" s="117" t="s">
        <v>2049</v>
      </c>
      <c r="G497" t="s">
        <v>406</v>
      </c>
      <c r="H497" s="69" t="str">
        <f>IF(Proc[[#This Row],[type]]="LFF (MDG-F)",MID(Proc[[#This Row],[Obj]],13,10),"")</f>
        <v>ZA50GM2260</v>
      </c>
      <c r="J497" s="69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9" t="s">
        <v>509</v>
      </c>
      <c r="M497" s="71">
        <v>45708.455127314817</v>
      </c>
      <c r="N497" s="71">
        <v>45712</v>
      </c>
      <c r="O497" s="71">
        <v>45712</v>
      </c>
      <c r="P497" s="70" t="str">
        <f ca="1">IF(Proc[[#This Row],[DaysAgeing]]&gt;5,"yep","on track")</f>
        <v>on track</v>
      </c>
      <c r="Q497" s="3">
        <f ca="1">IF(Proc[[#This Row],[DateClosed]]="",ABS(NETWORKDAYS(Proc[[#This Row],[DateOpened]],TODAY()))-1,ABS(NETWORKDAYS(Proc[[#This Row],[DateOpened]],Proc[[#This Row],[DateClosed]]))-1)</f>
        <v>2</v>
      </c>
      <c r="R497" s="70" t="s">
        <v>515</v>
      </c>
      <c r="S497" s="69"/>
    </row>
    <row r="498" spans="1:19" hidden="1">
      <c r="A498" t="s">
        <v>2045</v>
      </c>
      <c r="B498" s="149" t="str">
        <f>IFERROR(VLOOKUP(Proc[[#This Row],[App]],Table2[],3,0),"open")</f>
        <v>ok</v>
      </c>
      <c r="C498" s="68" t="s">
        <v>369</v>
      </c>
      <c r="D498" t="s">
        <v>2035</v>
      </c>
      <c r="E498" t="s">
        <v>2041</v>
      </c>
      <c r="F498" s="117" t="s">
        <v>2041</v>
      </c>
      <c r="G498" s="68" t="s">
        <v>400</v>
      </c>
      <c r="H498" s="69" t="str">
        <f>IF(Proc[[#This Row],[type]]="LFF (MDG-F)",MID(Proc[[#This Row],[Obj]],13,10),"")</f>
        <v/>
      </c>
      <c r="J498" s="69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45708.624907407408</v>
      </c>
      <c r="N498" s="71">
        <v>45712</v>
      </c>
      <c r="O498" s="71">
        <v>45712</v>
      </c>
      <c r="P498" s="70" t="str">
        <f ca="1">IF(Proc[[#This Row],[DaysAgeing]]&gt;5,"yep","on track")</f>
        <v>on track</v>
      </c>
      <c r="Q498" s="3">
        <f ca="1">IF(Proc[[#This Row],[DateClosed]]="",ABS(NETWORKDAYS(Proc[[#This Row],[DateOpened]],TODAY()))-1,ABS(NETWORKDAYS(Proc[[#This Row],[DateOpened]],Proc[[#This Row],[DateClosed]]))-1)</f>
        <v>2</v>
      </c>
      <c r="R498" s="70" t="s">
        <v>1076</v>
      </c>
      <c r="S498" s="69"/>
    </row>
    <row r="499" spans="1:19" hidden="1">
      <c r="A499" s="68" t="s">
        <v>2045</v>
      </c>
      <c r="B499" s="149" t="str">
        <f>IFERROR(VLOOKUP(Proc[[#This Row],[App]],Table2[],3,0),"open")</f>
        <v>ok</v>
      </c>
      <c r="C499" s="68" t="s">
        <v>369</v>
      </c>
      <c r="D499" t="s">
        <v>1550</v>
      </c>
      <c r="E499" t="s">
        <v>418</v>
      </c>
      <c r="F499" s="117" t="s">
        <v>418</v>
      </c>
      <c r="G499" s="68" t="s">
        <v>400</v>
      </c>
      <c r="H499" s="69" t="str">
        <f>IF(Proc[[#This Row],[type]]="LFF (MDG-F)",MID(Proc[[#This Row],[Obj]],13,10),"")</f>
        <v/>
      </c>
      <c r="I499" t="s">
        <v>2050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MGF</v>
      </c>
      <c r="L499" s="69" t="s">
        <v>509</v>
      </c>
      <c r="M499" s="71">
        <v>45708.624907407408</v>
      </c>
      <c r="N499" s="71">
        <v>45712</v>
      </c>
      <c r="O499" s="71">
        <v>45712</v>
      </c>
      <c r="P499" s="70" t="str">
        <f ca="1">IF(Proc[[#This Row],[DaysAgeing]]&gt;5,"yep","on track")</f>
        <v>on track</v>
      </c>
      <c r="Q499" s="3">
        <f ca="1">IF(Proc[[#This Row],[DateClosed]]="",ABS(NETWORKDAYS(Proc[[#This Row],[DateOpened]],TODAY()))-1,ABS(NETWORKDAYS(Proc[[#This Row],[DateOpened]],Proc[[#This Row],[DateClosed]]))-1)</f>
        <v>2</v>
      </c>
      <c r="R499" s="70" t="s">
        <v>1076</v>
      </c>
      <c r="S499" s="69"/>
    </row>
    <row r="500" spans="1:19" hidden="1">
      <c r="A500" s="68" t="s">
        <v>2045</v>
      </c>
      <c r="B500" s="149" t="str">
        <f>IFERROR(VLOOKUP(Proc[[#This Row],[App]],Table2[],3,0),"open")</f>
        <v>ok</v>
      </c>
      <c r="C500" s="68" t="s">
        <v>369</v>
      </c>
      <c r="D500" t="s">
        <v>2036</v>
      </c>
      <c r="E500" t="s">
        <v>2042</v>
      </c>
      <c r="F500" s="117" t="s">
        <v>2042</v>
      </c>
      <c r="G500" t="s">
        <v>406</v>
      </c>
      <c r="H500" s="69" t="str">
        <f>IF(Proc[[#This Row],[type]]="LFF (MDG-F)",MID(Proc[[#This Row],[Obj]],13,10),"")</f>
        <v>KR03C00402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MGF</v>
      </c>
      <c r="L500" s="69" t="s">
        <v>509</v>
      </c>
      <c r="M500" s="71">
        <v>45708.624907407408</v>
      </c>
      <c r="N500" s="71">
        <v>45712</v>
      </c>
      <c r="O500" s="71">
        <v>45712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2</v>
      </c>
      <c r="R500" s="70" t="s">
        <v>1076</v>
      </c>
      <c r="S500" s="69"/>
    </row>
    <row r="501" spans="1:19" hidden="1">
      <c r="A501" s="68" t="s">
        <v>2045</v>
      </c>
      <c r="B501" s="149" t="str">
        <f>IFERROR(VLOOKUP(Proc[[#This Row],[App]],Table2[],3,0),"open")</f>
        <v>ok</v>
      </c>
      <c r="C501" s="68" t="s">
        <v>369</v>
      </c>
      <c r="D501" t="s">
        <v>2037</v>
      </c>
      <c r="E501" t="s">
        <v>2042</v>
      </c>
      <c r="F501" s="117" t="s">
        <v>2042</v>
      </c>
      <c r="G501" s="68" t="s">
        <v>406</v>
      </c>
      <c r="H501" s="69" t="str">
        <f>IF(Proc[[#This Row],[type]]="LFF (MDG-F)",MID(Proc[[#This Row],[Obj]],13,10),"")</f>
        <v>US01C01107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MGF</v>
      </c>
      <c r="L501" s="69" t="s">
        <v>509</v>
      </c>
      <c r="M501" s="71">
        <v>45708.624907407408</v>
      </c>
      <c r="N501" s="71">
        <v>45712</v>
      </c>
      <c r="O501" s="71">
        <v>45712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2</v>
      </c>
      <c r="R501" s="70" t="s">
        <v>1076</v>
      </c>
      <c r="S501" s="69"/>
    </row>
    <row r="502" spans="1:19" hidden="1">
      <c r="A502" s="68" t="s">
        <v>2045</v>
      </c>
      <c r="B502" s="149" t="str">
        <f>IFERROR(VLOOKUP(Proc[[#This Row],[App]],Table2[],3,0),"open")</f>
        <v>ok</v>
      </c>
      <c r="C502" s="68" t="s">
        <v>369</v>
      </c>
      <c r="D502" t="s">
        <v>2038</v>
      </c>
      <c r="E502" t="s">
        <v>2043</v>
      </c>
      <c r="F502" s="117" t="s">
        <v>2043</v>
      </c>
      <c r="G502" s="68" t="s">
        <v>400</v>
      </c>
      <c r="H502" s="69" t="str">
        <f>IF(Proc[[#This Row],[type]]="LFF (MDG-F)",MID(Proc[[#This Row],[Obj]],13,10),"")</f>
        <v/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MGF</v>
      </c>
      <c r="L502" s="69" t="s">
        <v>509</v>
      </c>
      <c r="M502" s="71">
        <v>45708.624907407408</v>
      </c>
      <c r="N502" s="71">
        <v>45712</v>
      </c>
      <c r="O502" s="71">
        <v>45712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2</v>
      </c>
      <c r="R502" s="70" t="s">
        <v>1076</v>
      </c>
      <c r="S502" s="69"/>
    </row>
    <row r="503" spans="1:19" hidden="1">
      <c r="A503" s="68" t="s">
        <v>2045</v>
      </c>
      <c r="B503" s="149" t="str">
        <f>IFERROR(VLOOKUP(Proc[[#This Row],[App]],Table2[],3,0),"open")</f>
        <v>ok</v>
      </c>
      <c r="C503" s="68" t="s">
        <v>369</v>
      </c>
      <c r="D503" t="s">
        <v>2039</v>
      </c>
      <c r="E503" t="s">
        <v>2043</v>
      </c>
      <c r="F503" s="117" t="s">
        <v>2043</v>
      </c>
      <c r="G503" s="68" t="s">
        <v>400</v>
      </c>
      <c r="H503" s="69" t="str">
        <f>IF(Proc[[#This Row],[type]]="LFF (MDG-F)",MID(Proc[[#This Row],[Obj]],13,10),"")</f>
        <v/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MGF</v>
      </c>
      <c r="L503" s="69" t="s">
        <v>509</v>
      </c>
      <c r="M503" s="71">
        <v>45708.624907407408</v>
      </c>
      <c r="N503" s="71">
        <v>45712</v>
      </c>
      <c r="O503" s="71">
        <v>45712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2</v>
      </c>
      <c r="R503" s="70" t="s">
        <v>1076</v>
      </c>
      <c r="S503" s="69"/>
    </row>
    <row r="504" spans="1:19" hidden="1">
      <c r="A504" s="68" t="s">
        <v>2045</v>
      </c>
      <c r="B504" s="149" t="str">
        <f>IFERROR(VLOOKUP(Proc[[#This Row],[App]],Table2[],3,0),"open")</f>
        <v>ok</v>
      </c>
      <c r="C504" s="68" t="s">
        <v>369</v>
      </c>
      <c r="D504" t="s">
        <v>2040</v>
      </c>
      <c r="E504" t="s">
        <v>2044</v>
      </c>
      <c r="F504" s="117" t="s">
        <v>2044</v>
      </c>
      <c r="G504" s="68" t="s">
        <v>400</v>
      </c>
      <c r="H504" s="69" t="str">
        <f>IF(Proc[[#This Row],[type]]="LFF (MDG-F)",MID(Proc[[#This Row],[Obj]],13,10),"")</f>
        <v/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MGF</v>
      </c>
      <c r="L504" s="69" t="s">
        <v>509</v>
      </c>
      <c r="M504" s="71">
        <v>45708.624907407408</v>
      </c>
      <c r="N504" s="71">
        <v>45712</v>
      </c>
      <c r="O504" s="71">
        <v>45712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2</v>
      </c>
      <c r="R504" s="70" t="s">
        <v>1076</v>
      </c>
      <c r="S504" s="69"/>
    </row>
    <row r="505" spans="1:19" hidden="1">
      <c r="A505" t="s">
        <v>2034</v>
      </c>
      <c r="B505" s="149" t="str">
        <f>IFERROR(VLOOKUP(Proc[[#This Row],[App]],Table2[],3,0),"open")</f>
        <v>ok</v>
      </c>
      <c r="C505" s="68" t="s">
        <v>369</v>
      </c>
      <c r="D505" t="s">
        <v>2032</v>
      </c>
      <c r="E505" t="s">
        <v>2033</v>
      </c>
      <c r="F505" s="117" t="s">
        <v>2033</v>
      </c>
      <c r="G505" t="s">
        <v>400</v>
      </c>
      <c r="H505" s="69" t="str">
        <f>IF(Proc[[#This Row],[type]]="LFF (MDG-F)",MID(Proc[[#This Row],[Obj]],13,10),"")</f>
        <v/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45708.640300925923</v>
      </c>
      <c r="N505" s="71">
        <v>45712</v>
      </c>
      <c r="O505" s="71">
        <v>45712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2</v>
      </c>
      <c r="R505" s="70" t="s">
        <v>1833</v>
      </c>
      <c r="S505" s="69"/>
    </row>
    <row r="506" spans="1:19" hidden="1">
      <c r="A506" t="s">
        <v>2051</v>
      </c>
      <c r="B506" s="149" t="str">
        <f>IFERROR(VLOOKUP(Proc[[#This Row],[App]],Table2[],3,0),"open")</f>
        <v>ok</v>
      </c>
      <c r="C506" t="s">
        <v>369</v>
      </c>
      <c r="D506" t="s">
        <v>2052</v>
      </c>
      <c r="E506" t="s">
        <v>466</v>
      </c>
      <c r="F506" s="117" t="s">
        <v>466</v>
      </c>
      <c r="G506" t="s">
        <v>406</v>
      </c>
      <c r="H506" s="69" t="str">
        <f>IF(Proc[[#This Row],[type]]="LFF (MDG-F)",MID(Proc[[#This Row],[Obj]],13,10),"")</f>
        <v>AE50GCO220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HC</v>
      </c>
      <c r="L506" s="69" t="s">
        <v>509</v>
      </c>
      <c r="M506" s="71">
        <v>45709.554386574076</v>
      </c>
      <c r="N506" s="71">
        <v>45713</v>
      </c>
      <c r="O506" s="71">
        <v>45713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2</v>
      </c>
      <c r="R506" s="70" t="s">
        <v>410</v>
      </c>
      <c r="S506" s="69"/>
    </row>
    <row r="507" spans="1:19" hidden="1">
      <c r="A507" t="s">
        <v>2062</v>
      </c>
      <c r="B507" s="149" t="str">
        <f>IFERROR(VLOOKUP(Proc[[#This Row],[App]],Table2[],3,0),"open")</f>
        <v>ok</v>
      </c>
      <c r="C507" s="68" t="s">
        <v>369</v>
      </c>
      <c r="D507" t="s">
        <v>2053</v>
      </c>
      <c r="E507" t="s">
        <v>2418</v>
      </c>
      <c r="F507" s="117" t="s">
        <v>2418</v>
      </c>
      <c r="G507" t="s">
        <v>400</v>
      </c>
      <c r="H507" s="69" t="str">
        <f>IF(Proc[[#This Row],[type]]="LFF (MDG-F)",MID(Proc[[#This Row],[Obj]],13,10),"")</f>
        <v/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32" t="s">
        <v>509</v>
      </c>
      <c r="M507" s="71">
        <v>45712.326793981483</v>
      </c>
      <c r="N507" s="71">
        <v>45713</v>
      </c>
      <c r="O507" s="71">
        <v>45713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1</v>
      </c>
      <c r="R507" s="70" t="s">
        <v>830</v>
      </c>
      <c r="S507" s="69"/>
    </row>
    <row r="508" spans="1:19" hidden="1">
      <c r="A508" s="68" t="s">
        <v>2062</v>
      </c>
      <c r="B508" s="149" t="str">
        <f>IFERROR(VLOOKUP(Proc[[#This Row],[App]],Table2[],3,0),"open")</f>
        <v>ok</v>
      </c>
      <c r="C508" s="68" t="s">
        <v>369</v>
      </c>
      <c r="D508" t="s">
        <v>2054</v>
      </c>
      <c r="E508" t="s">
        <v>2418</v>
      </c>
      <c r="F508" s="117" t="s">
        <v>2418</v>
      </c>
      <c r="G508" s="68" t="s">
        <v>400</v>
      </c>
      <c r="H508" s="69" t="str">
        <f>IF(Proc[[#This Row],[type]]="LFF (MDG-F)",MID(Proc[[#This Row],[Obj]],13,10),"")</f>
        <v/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32" t="s">
        <v>509</v>
      </c>
      <c r="M508" s="71">
        <v>45712.326793981483</v>
      </c>
      <c r="N508" s="71">
        <v>45713</v>
      </c>
      <c r="O508" s="71">
        <v>45713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1</v>
      </c>
      <c r="R508" s="70" t="s">
        <v>830</v>
      </c>
      <c r="S508" s="69"/>
    </row>
    <row r="509" spans="1:19" hidden="1">
      <c r="A509" s="68" t="s">
        <v>2062</v>
      </c>
      <c r="B509" s="149" t="str">
        <f>IFERROR(VLOOKUP(Proc[[#This Row],[App]],Table2[],3,0),"open")</f>
        <v>ok</v>
      </c>
      <c r="C509" s="68" t="s">
        <v>369</v>
      </c>
      <c r="D509" t="s">
        <v>2055</v>
      </c>
      <c r="E509" t="s">
        <v>1233</v>
      </c>
      <c r="F509" s="117" t="s">
        <v>1233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LS</v>
      </c>
      <c r="L509" s="32" t="s">
        <v>509</v>
      </c>
      <c r="M509" s="71">
        <v>45712.326793981483</v>
      </c>
      <c r="N509" s="71">
        <v>45713</v>
      </c>
      <c r="O509" s="71">
        <v>45713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70" t="s">
        <v>830</v>
      </c>
      <c r="S509" s="69"/>
    </row>
    <row r="510" spans="1:19" hidden="1">
      <c r="A510" s="68" t="s">
        <v>2062</v>
      </c>
      <c r="B510" s="149" t="str">
        <f>IFERROR(VLOOKUP(Proc[[#This Row],[App]],Table2[],3,0),"open")</f>
        <v>ok</v>
      </c>
      <c r="C510" s="68" t="s">
        <v>369</v>
      </c>
      <c r="D510" t="s">
        <v>2056</v>
      </c>
      <c r="E510" t="s">
        <v>2063</v>
      </c>
      <c r="F510" s="117" t="s">
        <v>2063</v>
      </c>
      <c r="G510" t="s">
        <v>406</v>
      </c>
      <c r="H510" s="69" t="str">
        <f>IF(Proc[[#This Row],[type]]="LFF (MDG-F)",MID(Proc[[#This Row],[Obj]],13,10),"")</f>
        <v>DE10OF0005</v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LS</v>
      </c>
      <c r="L510" s="32" t="s">
        <v>509</v>
      </c>
      <c r="M510" s="71">
        <v>45712.326793981483</v>
      </c>
      <c r="N510" s="71">
        <v>45713</v>
      </c>
      <c r="O510" s="71">
        <v>45713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70" t="s">
        <v>830</v>
      </c>
      <c r="S510" s="69"/>
    </row>
    <row r="511" spans="1:19" hidden="1">
      <c r="A511" s="68" t="s">
        <v>2062</v>
      </c>
      <c r="B511" s="149" t="str">
        <f>IFERROR(VLOOKUP(Proc[[#This Row],[App]],Table2[],3,0),"open")</f>
        <v>ok</v>
      </c>
      <c r="C511" s="68" t="s">
        <v>369</v>
      </c>
      <c r="D511" t="s">
        <v>2057</v>
      </c>
      <c r="E511" t="s">
        <v>2063</v>
      </c>
      <c r="F511" s="117" t="s">
        <v>2063</v>
      </c>
      <c r="G511" s="68" t="s">
        <v>406</v>
      </c>
      <c r="H511" s="69" t="str">
        <f>IF(Proc[[#This Row],[type]]="LFF (MDG-F)",MID(Proc[[#This Row],[Obj]],13,10),"")</f>
        <v>2123OF0029</v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LS</v>
      </c>
      <c r="L511" s="32" t="s">
        <v>509</v>
      </c>
      <c r="M511" s="71">
        <v>45712.326793981483</v>
      </c>
      <c r="N511" s="71">
        <v>45713</v>
      </c>
      <c r="O511" s="71">
        <v>45713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70" t="s">
        <v>830</v>
      </c>
      <c r="S511" s="69"/>
    </row>
    <row r="512" spans="1:19" hidden="1">
      <c r="A512" s="68" t="s">
        <v>2062</v>
      </c>
      <c r="B512" s="149" t="str">
        <f>IFERROR(VLOOKUP(Proc[[#This Row],[App]],Table2[],3,0),"open")</f>
        <v>ok</v>
      </c>
      <c r="C512" s="68" t="s">
        <v>369</v>
      </c>
      <c r="D512" t="s">
        <v>2058</v>
      </c>
      <c r="E512" t="s">
        <v>2063</v>
      </c>
      <c r="F512" s="117" t="s">
        <v>2063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LS</v>
      </c>
      <c r="L512" s="32" t="s">
        <v>509</v>
      </c>
      <c r="M512" s="71">
        <v>45712.326793981483</v>
      </c>
      <c r="N512" s="71">
        <v>45713</v>
      </c>
      <c r="O512" s="71">
        <v>45713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70" t="s">
        <v>830</v>
      </c>
      <c r="S512" s="69"/>
    </row>
    <row r="513" spans="1:19" hidden="1">
      <c r="A513" s="68" t="s">
        <v>2062</v>
      </c>
      <c r="B513" s="149" t="str">
        <f>IFERROR(VLOOKUP(Proc[[#This Row],[App]],Table2[],3,0),"open")</f>
        <v>ok</v>
      </c>
      <c r="C513" s="68" t="s">
        <v>369</v>
      </c>
      <c r="D513" t="s">
        <v>2059</v>
      </c>
      <c r="E513" t="s">
        <v>2063</v>
      </c>
      <c r="F513" s="117" t="s">
        <v>2063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LS</v>
      </c>
      <c r="L513" s="32" t="s">
        <v>509</v>
      </c>
      <c r="M513" s="71">
        <v>45712.326793981483</v>
      </c>
      <c r="N513" s="71">
        <v>45713</v>
      </c>
      <c r="O513" s="71">
        <v>45713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70" t="s">
        <v>830</v>
      </c>
      <c r="S513" s="69"/>
    </row>
    <row r="514" spans="1:19" hidden="1">
      <c r="A514" s="68" t="s">
        <v>2062</v>
      </c>
      <c r="B514" s="149" t="str">
        <f>IFERROR(VLOOKUP(Proc[[#This Row],[App]],Table2[],3,0),"open")</f>
        <v>ok</v>
      </c>
      <c r="C514" s="68" t="s">
        <v>369</v>
      </c>
      <c r="D514" t="s">
        <v>2060</v>
      </c>
      <c r="E514" t="s">
        <v>2063</v>
      </c>
      <c r="F514" s="117" t="s">
        <v>2063</v>
      </c>
      <c r="G514" s="68" t="s">
        <v>400</v>
      </c>
      <c r="H514" s="69" t="str">
        <f>IF(Proc[[#This Row],[type]]="LFF (MDG-F)",MID(Proc[[#This Row],[Obj]],13,10),"")</f>
        <v/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LS</v>
      </c>
      <c r="L514" s="32" t="s">
        <v>509</v>
      </c>
      <c r="M514" s="71">
        <v>45712.326793981483</v>
      </c>
      <c r="N514" s="71">
        <v>45713</v>
      </c>
      <c r="O514" s="71">
        <v>45713</v>
      </c>
      <c r="P514" s="70" t="str">
        <f ca="1">IF(Proc[[#This Row],[DaysAgeing]]&gt;5,"yep","on track")</f>
        <v>on track</v>
      </c>
      <c r="Q514" s="3">
        <f ca="1">IF(Proc[[#This Row],[DateClosed]]="",ABS(NETWORKDAYS(Proc[[#This Row],[DateOpened]],TODAY()))-1,ABS(NETWORKDAYS(Proc[[#This Row],[DateOpened]],Proc[[#This Row],[DateClosed]]))-1)</f>
        <v>1</v>
      </c>
      <c r="R514" s="70" t="s">
        <v>830</v>
      </c>
      <c r="S514" s="69"/>
    </row>
    <row r="515" spans="1:19" hidden="1">
      <c r="A515" s="68" t="s">
        <v>2062</v>
      </c>
      <c r="B515" s="149" t="str">
        <f>IFERROR(VLOOKUP(Proc[[#This Row],[App]],Table2[],3,0),"open")</f>
        <v>ok</v>
      </c>
      <c r="C515" s="68" t="s">
        <v>369</v>
      </c>
      <c r="D515" t="s">
        <v>2061</v>
      </c>
      <c r="E515" t="s">
        <v>2063</v>
      </c>
      <c r="F515" s="117" t="s">
        <v>2063</v>
      </c>
      <c r="G515" s="68" t="s">
        <v>400</v>
      </c>
      <c r="H515" s="69" t="str">
        <f>IF(Proc[[#This Row],[type]]="LFF (MDG-F)",MID(Proc[[#This Row],[Obj]],13,10),"")</f>
        <v/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LS</v>
      </c>
      <c r="L515" s="32" t="s">
        <v>509</v>
      </c>
      <c r="M515" s="71">
        <v>45712.326793981483</v>
      </c>
      <c r="N515" s="71">
        <v>45713</v>
      </c>
      <c r="O515" s="71">
        <v>45713</v>
      </c>
      <c r="P515" s="70" t="str">
        <f ca="1">IF(Proc[[#This Row],[DaysAgeing]]&gt;5,"yep","on track")</f>
        <v>on track</v>
      </c>
      <c r="Q515" s="3">
        <f ca="1">IF(Proc[[#This Row],[DateClosed]]="",ABS(NETWORKDAYS(Proc[[#This Row],[DateOpened]],TODAY()))-1,ABS(NETWORKDAYS(Proc[[#This Row],[DateOpened]],Proc[[#This Row],[DateClosed]]))-1)</f>
        <v>1</v>
      </c>
      <c r="R515" s="70" t="s">
        <v>830</v>
      </c>
      <c r="S515" s="69"/>
    </row>
    <row r="516" spans="1:19" hidden="1">
      <c r="A516" t="s">
        <v>2080</v>
      </c>
      <c r="B516" s="149" t="str">
        <f>IFERROR(VLOOKUP(Proc[[#This Row],[App]],Table2[],3,0),"open")</f>
        <v>ok</v>
      </c>
      <c r="C516" s="68" t="s">
        <v>369</v>
      </c>
      <c r="D516" t="s">
        <v>2081</v>
      </c>
      <c r="E516" t="s">
        <v>2085</v>
      </c>
      <c r="F516" s="117" t="s">
        <v>2085</v>
      </c>
      <c r="G516" t="s">
        <v>400</v>
      </c>
      <c r="H516" s="69" t="str">
        <f>IF(Proc[[#This Row],[type]]="LFF (MDG-F)",MID(Proc[[#This Row],[Obj]],13,10),"")</f>
        <v/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HC</v>
      </c>
      <c r="L516" s="32" t="s">
        <v>509</v>
      </c>
      <c r="M516" s="71">
        <v>45712.395381944443</v>
      </c>
      <c r="N516" s="71">
        <v>45713</v>
      </c>
      <c r="O516" s="71">
        <v>45713</v>
      </c>
      <c r="P516" s="70" t="str">
        <f ca="1">IF(Proc[[#This Row],[DaysAgeing]]&gt;5,"yep","on track")</f>
        <v>on track</v>
      </c>
      <c r="Q516" s="3">
        <f ca="1">IF(Proc[[#This Row],[DateClosed]]="",ABS(NETWORKDAYS(Proc[[#This Row],[DateOpened]],TODAY()))-1,ABS(NETWORKDAYS(Proc[[#This Row],[DateOpened]],Proc[[#This Row],[DateClosed]]))-1)</f>
        <v>1</v>
      </c>
      <c r="R516" s="70" t="s">
        <v>494</v>
      </c>
      <c r="S516" s="69"/>
    </row>
    <row r="517" spans="1:19" hidden="1">
      <c r="A517" s="68" t="s">
        <v>2080</v>
      </c>
      <c r="B517" s="149" t="str">
        <f>IFERROR(VLOOKUP(Proc[[#This Row],[App]],Table2[],3,0),"open")</f>
        <v>ok</v>
      </c>
      <c r="C517" s="68" t="s">
        <v>369</v>
      </c>
      <c r="D517" t="s">
        <v>2082</v>
      </c>
      <c r="E517" t="s">
        <v>2086</v>
      </c>
      <c r="F517" s="117" t="s">
        <v>2086</v>
      </c>
      <c r="G517" s="68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HC</v>
      </c>
      <c r="L517" s="32" t="s">
        <v>509</v>
      </c>
      <c r="M517" s="71">
        <v>45712.395381944443</v>
      </c>
      <c r="N517" s="71">
        <v>45713</v>
      </c>
      <c r="O517" s="71">
        <v>45713</v>
      </c>
      <c r="P517" s="70" t="str">
        <f ca="1">IF(Proc[[#This Row],[DaysAgeing]]&gt;5,"yep","on track")</f>
        <v>on track</v>
      </c>
      <c r="Q517" s="3">
        <f ca="1">IF(Proc[[#This Row],[DateClosed]]="",ABS(NETWORKDAYS(Proc[[#This Row],[DateOpened]],TODAY()))-1,ABS(NETWORKDAYS(Proc[[#This Row],[DateOpened]],Proc[[#This Row],[DateClosed]]))-1)</f>
        <v>1</v>
      </c>
      <c r="R517" s="70" t="s">
        <v>494</v>
      </c>
      <c r="S517" s="69"/>
    </row>
    <row r="518" spans="1:19" hidden="1">
      <c r="A518" s="68" t="s">
        <v>2080</v>
      </c>
      <c r="B518" s="149" t="str">
        <f>IFERROR(VLOOKUP(Proc[[#This Row],[App]],Table2[],3,0),"open")</f>
        <v>ok</v>
      </c>
      <c r="C518" s="68" t="s">
        <v>369</v>
      </c>
      <c r="D518" t="s">
        <v>2083</v>
      </c>
      <c r="E518" t="s">
        <v>2086</v>
      </c>
      <c r="F518" s="117" t="s">
        <v>2086</v>
      </c>
      <c r="G518" s="68" t="s">
        <v>400</v>
      </c>
      <c r="H518" s="69" t="str">
        <f>IF(Proc[[#This Row],[type]]="LFF (MDG-F)",MID(Proc[[#This Row],[Obj]],13,10),"")</f>
        <v/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HC</v>
      </c>
      <c r="L518" s="32" t="s">
        <v>509</v>
      </c>
      <c r="M518" s="71">
        <v>45712.395381944443</v>
      </c>
      <c r="N518" s="71">
        <v>45713</v>
      </c>
      <c r="O518" s="71">
        <v>45713</v>
      </c>
      <c r="P518" s="70" t="str">
        <f ca="1">IF(Proc[[#This Row],[DaysAgeing]]&gt;5,"yep","on track")</f>
        <v>on track</v>
      </c>
      <c r="Q518" s="3">
        <f ca="1">IF(Proc[[#This Row],[DateClosed]]="",ABS(NETWORKDAYS(Proc[[#This Row],[DateOpened]],TODAY()))-1,ABS(NETWORKDAYS(Proc[[#This Row],[DateOpened]],Proc[[#This Row],[DateClosed]]))-1)</f>
        <v>1</v>
      </c>
      <c r="R518" s="70" t="s">
        <v>494</v>
      </c>
      <c r="S518" s="69"/>
    </row>
    <row r="519" spans="1:19" hidden="1">
      <c r="A519" s="68" t="s">
        <v>2080</v>
      </c>
      <c r="B519" s="149" t="str">
        <f>IFERROR(VLOOKUP(Proc[[#This Row],[App]],Table2[],3,0),"open")</f>
        <v>ok</v>
      </c>
      <c r="C519" s="68" t="s">
        <v>369</v>
      </c>
      <c r="D519" t="s">
        <v>2084</v>
      </c>
      <c r="E519" t="s">
        <v>2086</v>
      </c>
      <c r="F519" s="117" t="s">
        <v>2086</v>
      </c>
      <c r="G519" s="68" t="s">
        <v>400</v>
      </c>
      <c r="H519" s="69" t="str">
        <f>IF(Proc[[#This Row],[type]]="LFF (MDG-F)",MID(Proc[[#This Row],[Obj]],13,10),"")</f>
        <v/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HC</v>
      </c>
      <c r="L519" s="32" t="s">
        <v>509</v>
      </c>
      <c r="M519" s="71">
        <v>45712.395381944443</v>
      </c>
      <c r="N519" s="71">
        <v>45713</v>
      </c>
      <c r="O519" s="71">
        <v>45713</v>
      </c>
      <c r="P519" s="70" t="str">
        <f ca="1">IF(Proc[[#This Row],[DaysAgeing]]&gt;5,"yep","on track")</f>
        <v>on track</v>
      </c>
      <c r="Q519" s="3">
        <f ca="1">IF(Proc[[#This Row],[DateClosed]]="",ABS(NETWORKDAYS(Proc[[#This Row],[DateOpened]],TODAY()))-1,ABS(NETWORKDAYS(Proc[[#This Row],[DateOpened]],Proc[[#This Row],[DateClosed]]))-1)</f>
        <v>1</v>
      </c>
      <c r="R519" s="70" t="s">
        <v>494</v>
      </c>
      <c r="S519" s="69"/>
    </row>
    <row r="520" spans="1:19" hidden="1">
      <c r="A520" s="68" t="s">
        <v>2064</v>
      </c>
      <c r="B520" s="149" t="str">
        <f>IFERROR(VLOOKUP(Proc[[#This Row],[App]],Table2[],3,0),"open")</f>
        <v>ok</v>
      </c>
      <c r="C520" s="68" t="s">
        <v>369</v>
      </c>
      <c r="D520" t="s">
        <v>2065</v>
      </c>
      <c r="E520" t="s">
        <v>2075</v>
      </c>
      <c r="F520" s="117" t="s">
        <v>2075</v>
      </c>
      <c r="G520" s="68" t="s">
        <v>406</v>
      </c>
      <c r="H520" s="69" t="str">
        <f>IF(Proc[[#This Row],[type]]="LFF (MDG-F)",MID(Proc[[#This Row],[Obj]],13,10),"")</f>
        <v>DE10GIN006</v>
      </c>
      <c r="I520" t="s">
        <v>2076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32" t="s">
        <v>509</v>
      </c>
      <c r="M520" s="71">
        <v>45712.411909722221</v>
      </c>
      <c r="N520" s="71">
        <v>45715</v>
      </c>
      <c r="O520" s="71">
        <v>45716</v>
      </c>
      <c r="P520" s="70" t="str">
        <f ca="1">IF(Proc[[#This Row],[DaysAgeing]]&gt;5,"yep","on track")</f>
        <v>on track</v>
      </c>
      <c r="Q520" s="3">
        <f ca="1">IF(Proc[[#This Row],[DateClosed]]="",ABS(NETWORKDAYS(Proc[[#This Row],[DateOpened]],TODAY()))-1,ABS(NETWORKDAYS(Proc[[#This Row],[DateOpened]],Proc[[#This Row],[DateClosed]]))-1)</f>
        <v>4</v>
      </c>
      <c r="R520" s="70" t="s">
        <v>515</v>
      </c>
      <c r="S520" s="69"/>
    </row>
    <row r="521" spans="1:19" hidden="1">
      <c r="A521" s="68" t="s">
        <v>2064</v>
      </c>
      <c r="B521" s="149" t="str">
        <f>IFERROR(VLOOKUP(Proc[[#This Row],[App]],Table2[],3,0),"open")</f>
        <v>ok</v>
      </c>
      <c r="C521" s="68" t="s">
        <v>369</v>
      </c>
      <c r="D521" t="s">
        <v>2066</v>
      </c>
      <c r="E521" t="s">
        <v>2075</v>
      </c>
      <c r="F521" s="117" t="s">
        <v>2075</v>
      </c>
      <c r="G521" s="68" t="s">
        <v>406</v>
      </c>
      <c r="H521" s="69" t="str">
        <f>IF(Proc[[#This Row],[type]]="LFF (MDG-F)",MID(Proc[[#This Row],[Obj]],13,10),"")</f>
        <v>DE10GM1008</v>
      </c>
      <c r="I521" t="s">
        <v>2077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32" t="s">
        <v>509</v>
      </c>
      <c r="M521" s="71">
        <v>45712.411909722221</v>
      </c>
      <c r="N521" s="71">
        <v>45715</v>
      </c>
      <c r="O521" s="71">
        <v>45716</v>
      </c>
      <c r="P521" s="70" t="str">
        <f ca="1">IF(Proc[[#This Row],[DaysAgeing]]&gt;5,"yep","on track")</f>
        <v>on track</v>
      </c>
      <c r="Q521" s="3">
        <f ca="1">IF(Proc[[#This Row],[DateClosed]]="",ABS(NETWORKDAYS(Proc[[#This Row],[DateOpened]],TODAY()))-1,ABS(NETWORKDAYS(Proc[[#This Row],[DateOpened]],Proc[[#This Row],[DateClosed]]))-1)</f>
        <v>4</v>
      </c>
      <c r="R521" s="70" t="s">
        <v>515</v>
      </c>
      <c r="S521" s="69"/>
    </row>
    <row r="522" spans="1:19" hidden="1">
      <c r="A522" s="68" t="s">
        <v>2064</v>
      </c>
      <c r="B522" s="149" t="str">
        <f>IFERROR(VLOOKUP(Proc[[#This Row],[App]],Table2[],3,0),"open")</f>
        <v>ok</v>
      </c>
      <c r="C522" s="68" t="s">
        <v>369</v>
      </c>
      <c r="D522" t="s">
        <v>2067</v>
      </c>
      <c r="E522" t="s">
        <v>2075</v>
      </c>
      <c r="F522" s="117" t="s">
        <v>2075</v>
      </c>
      <c r="G522" s="68" t="s">
        <v>406</v>
      </c>
      <c r="H522" s="69" t="str">
        <f>IF(Proc[[#This Row],[type]]="LFF (MDG-F)",MID(Proc[[#This Row],[Obj]],13,10),"")</f>
        <v>DE10GM2000</v>
      </c>
      <c r="I522" t="s">
        <v>2087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32" t="s">
        <v>509</v>
      </c>
      <c r="M522" s="71">
        <v>45712.411909722221</v>
      </c>
      <c r="N522" s="71">
        <v>45716</v>
      </c>
      <c r="O522" s="71">
        <v>45716</v>
      </c>
      <c r="P522" s="70" t="str">
        <f ca="1">IF(Proc[[#This Row],[DaysAgeing]]&gt;5,"yep","on track")</f>
        <v>on track</v>
      </c>
      <c r="Q522" s="3">
        <f ca="1">IF(Proc[[#This Row],[DateClosed]]="",ABS(NETWORKDAYS(Proc[[#This Row],[DateOpened]],TODAY()))-1,ABS(NETWORKDAYS(Proc[[#This Row],[DateOpened]],Proc[[#This Row],[DateClosed]]))-1)</f>
        <v>4</v>
      </c>
      <c r="R522" s="70" t="s">
        <v>515</v>
      </c>
      <c r="S522" s="69"/>
    </row>
    <row r="523" spans="1:19" hidden="1">
      <c r="A523" s="68" t="s">
        <v>2064</v>
      </c>
      <c r="B523" s="149" t="str">
        <f>IFERROR(VLOOKUP(Proc[[#This Row],[App]],Table2[],3,0),"open")</f>
        <v>ok</v>
      </c>
      <c r="C523" s="68" t="s">
        <v>369</v>
      </c>
      <c r="D523" t="s">
        <v>2068</v>
      </c>
      <c r="E523" t="s">
        <v>2075</v>
      </c>
      <c r="F523" s="117" t="s">
        <v>2075</v>
      </c>
      <c r="G523" s="68" t="s">
        <v>406</v>
      </c>
      <c r="H523" s="69" t="str">
        <f>IF(Proc[[#This Row],[type]]="LFF (MDG-F)",MID(Proc[[#This Row],[Obj]],13,10),"")</f>
        <v>DE10GM4009</v>
      </c>
      <c r="I523" t="s">
        <v>2078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32" t="s">
        <v>509</v>
      </c>
      <c r="M523" s="71">
        <v>45712.411909722221</v>
      </c>
      <c r="N523" s="71">
        <v>45715</v>
      </c>
      <c r="O523" s="71">
        <v>45716</v>
      </c>
      <c r="P523" s="70" t="str">
        <f ca="1">IF(Proc[[#This Row],[DaysAgeing]]&gt;5,"yep","on track")</f>
        <v>on track</v>
      </c>
      <c r="Q523" s="3">
        <f ca="1">IF(Proc[[#This Row],[DateClosed]]="",ABS(NETWORKDAYS(Proc[[#This Row],[DateOpened]],TODAY()))-1,ABS(NETWORKDAYS(Proc[[#This Row],[DateOpened]],Proc[[#This Row],[DateClosed]]))-1)</f>
        <v>4</v>
      </c>
      <c r="R523" s="70" t="s">
        <v>515</v>
      </c>
      <c r="S523" s="69"/>
    </row>
    <row r="524" spans="1:19" hidden="1">
      <c r="A524" s="68" t="s">
        <v>2064</v>
      </c>
      <c r="B524" s="149" t="str">
        <f>IFERROR(VLOOKUP(Proc[[#This Row],[App]],Table2[],3,0),"open")</f>
        <v>ok</v>
      </c>
      <c r="C524" s="68" t="s">
        <v>369</v>
      </c>
      <c r="D524" t="s">
        <v>2069</v>
      </c>
      <c r="E524" t="s">
        <v>2075</v>
      </c>
      <c r="F524" s="117" t="s">
        <v>2075</v>
      </c>
      <c r="G524" s="68" t="s">
        <v>406</v>
      </c>
      <c r="H524" s="69" t="str">
        <f>IF(Proc[[#This Row],[type]]="LFF (MDG-F)",MID(Proc[[#This Row],[Obj]],13,10),"")</f>
        <v>DE10GM8003</v>
      </c>
      <c r="I524" t="s">
        <v>2079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32" t="s">
        <v>509</v>
      </c>
      <c r="M524" s="71">
        <v>45712.411909722221</v>
      </c>
      <c r="N524" s="71">
        <v>45715</v>
      </c>
      <c r="O524" s="71">
        <v>45716</v>
      </c>
      <c r="P524" s="70" t="str">
        <f ca="1">IF(Proc[[#This Row],[DaysAgeing]]&gt;5,"yep","on track")</f>
        <v>on track</v>
      </c>
      <c r="Q524" s="3">
        <f ca="1">IF(Proc[[#This Row],[DateClosed]]="",ABS(NETWORKDAYS(Proc[[#This Row],[DateOpened]],TODAY()))-1,ABS(NETWORKDAYS(Proc[[#This Row],[DateOpened]],Proc[[#This Row],[DateClosed]]))-1)</f>
        <v>4</v>
      </c>
      <c r="R524" s="70" t="s">
        <v>515</v>
      </c>
      <c r="S524" s="69"/>
    </row>
    <row r="525" spans="1:19" hidden="1">
      <c r="A525" s="68" t="s">
        <v>2064</v>
      </c>
      <c r="B525" s="149" t="str">
        <f>IFERROR(VLOOKUP(Proc[[#This Row],[App]],Table2[],3,0),"open")</f>
        <v>ok</v>
      </c>
      <c r="C525" s="68" t="s">
        <v>369</v>
      </c>
      <c r="D525" t="s">
        <v>2070</v>
      </c>
      <c r="E525" t="s">
        <v>2075</v>
      </c>
      <c r="F525" s="117" t="s">
        <v>2075</v>
      </c>
      <c r="G525" s="68" t="s">
        <v>406</v>
      </c>
      <c r="H525" s="69" t="str">
        <f>IF(Proc[[#This Row],[type]]="LFF (MDG-F)",MID(Proc[[#This Row],[Obj]],13,10),"")</f>
        <v>KR08GLE009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32" t="s">
        <v>509</v>
      </c>
      <c r="M525" s="71">
        <v>45712.411909722221</v>
      </c>
      <c r="N525" s="71">
        <v>45715</v>
      </c>
      <c r="O525" s="71">
        <v>45716</v>
      </c>
      <c r="P525" s="70" t="str">
        <f ca="1">IF(Proc[[#This Row],[DaysAgeing]]&gt;5,"yep","on track")</f>
        <v>on track</v>
      </c>
      <c r="Q525" s="3">
        <f ca="1">IF(Proc[[#This Row],[DateClosed]]="",ABS(NETWORKDAYS(Proc[[#This Row],[DateOpened]],TODAY()))-1,ABS(NETWORKDAYS(Proc[[#This Row],[DateOpened]],Proc[[#This Row],[DateClosed]]))-1)</f>
        <v>4</v>
      </c>
      <c r="R525" s="70" t="s">
        <v>515</v>
      </c>
      <c r="S525" s="69"/>
    </row>
    <row r="526" spans="1:19" hidden="1">
      <c r="A526" s="68" t="s">
        <v>2064</v>
      </c>
      <c r="B526" s="149" t="str">
        <f>IFERROR(VLOOKUP(Proc[[#This Row],[App]],Table2[],3,0),"open")</f>
        <v>ok</v>
      </c>
      <c r="C526" s="68" t="s">
        <v>369</v>
      </c>
      <c r="D526" t="s">
        <v>2071</v>
      </c>
      <c r="E526" t="s">
        <v>2075</v>
      </c>
      <c r="F526" s="117" t="s">
        <v>2075</v>
      </c>
      <c r="G526" s="68" t="s">
        <v>406</v>
      </c>
      <c r="H526" s="69" t="str">
        <f>IF(Proc[[#This Row],[type]]="LFF (MDG-F)",MID(Proc[[#This Row],[Obj]],13,10),"")</f>
        <v>KR11GLE006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32" t="s">
        <v>509</v>
      </c>
      <c r="M526" s="71">
        <v>45712.411909722221</v>
      </c>
      <c r="N526" s="71">
        <v>45715</v>
      </c>
      <c r="O526" s="71">
        <v>45716</v>
      </c>
      <c r="P526" s="70" t="str">
        <f ca="1">IF(Proc[[#This Row],[DaysAgeing]]&gt;5,"yep","on track")</f>
        <v>on track</v>
      </c>
      <c r="Q526" s="3">
        <f ca="1">IF(Proc[[#This Row],[DateClosed]]="",ABS(NETWORKDAYS(Proc[[#This Row],[DateOpened]],TODAY()))-1,ABS(NETWORKDAYS(Proc[[#This Row],[DateOpened]],Proc[[#This Row],[DateClosed]]))-1)</f>
        <v>4</v>
      </c>
      <c r="R526" s="70" t="s">
        <v>515</v>
      </c>
      <c r="S526" s="69"/>
    </row>
    <row r="527" spans="1:19" hidden="1">
      <c r="A527" s="68" t="s">
        <v>2064</v>
      </c>
      <c r="B527" s="149" t="str">
        <f>IFERROR(VLOOKUP(Proc[[#This Row],[App]],Table2[],3,0),"open")</f>
        <v>ok</v>
      </c>
      <c r="C527" s="68" t="s">
        <v>369</v>
      </c>
      <c r="D527" t="s">
        <v>2072</v>
      </c>
      <c r="E527" t="s">
        <v>2075</v>
      </c>
      <c r="F527" s="117" t="s">
        <v>2075</v>
      </c>
      <c r="G527" s="68" t="s">
        <v>406</v>
      </c>
      <c r="H527" s="69" t="str">
        <f>IF(Proc[[#This Row],[type]]="LFF (MDG-F)",MID(Proc[[#This Row],[Obj]],13,10),"")</f>
        <v>KR15GLE006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32" t="s">
        <v>509</v>
      </c>
      <c r="M527" s="71">
        <v>45712.411909722221</v>
      </c>
      <c r="N527" s="71">
        <v>45715</v>
      </c>
      <c r="O527" s="71">
        <v>45716</v>
      </c>
      <c r="P527" s="70" t="str">
        <f ca="1">IF(Proc[[#This Row],[DaysAgeing]]&gt;5,"yep","on track")</f>
        <v>on track</v>
      </c>
      <c r="Q527" s="3">
        <f ca="1">IF(Proc[[#This Row],[DateClosed]]="",ABS(NETWORKDAYS(Proc[[#This Row],[DateOpened]],TODAY()))-1,ABS(NETWORKDAYS(Proc[[#This Row],[DateOpened]],Proc[[#This Row],[DateClosed]]))-1)</f>
        <v>4</v>
      </c>
      <c r="R527" s="70" t="s">
        <v>515</v>
      </c>
      <c r="S527" s="69"/>
    </row>
    <row r="528" spans="1:19" hidden="1">
      <c r="A528" t="s">
        <v>2064</v>
      </c>
      <c r="B528" s="149" t="str">
        <f>IFERROR(VLOOKUP(Proc[[#This Row],[App]],Table2[],3,0),"open")</f>
        <v>ok</v>
      </c>
      <c r="C528" s="68" t="s">
        <v>369</v>
      </c>
      <c r="D528" t="s">
        <v>2073</v>
      </c>
      <c r="E528" t="s">
        <v>2075</v>
      </c>
      <c r="F528" s="117" t="s">
        <v>2075</v>
      </c>
      <c r="G528" s="68" t="s">
        <v>406</v>
      </c>
      <c r="H528" s="69" t="str">
        <f>IF(Proc[[#This Row],[type]]="LFF (MDG-F)",MID(Proc[[#This Row],[Obj]],13,10),"")</f>
        <v>KR16GLE006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32" t="s">
        <v>509</v>
      </c>
      <c r="M528" s="71">
        <v>45712.411909722221</v>
      </c>
      <c r="N528" s="71">
        <v>45715</v>
      </c>
      <c r="O528" s="71">
        <v>45716</v>
      </c>
      <c r="P528" s="70" t="str">
        <f ca="1">IF(Proc[[#This Row],[DaysAgeing]]&gt;5,"yep","on track")</f>
        <v>on track</v>
      </c>
      <c r="Q528" s="3">
        <f ca="1">IF(Proc[[#This Row],[DateClosed]]="",ABS(NETWORKDAYS(Proc[[#This Row],[DateOpened]],TODAY()))-1,ABS(NETWORKDAYS(Proc[[#This Row],[DateOpened]],Proc[[#This Row],[DateClosed]]))-1)</f>
        <v>4</v>
      </c>
      <c r="R528" s="70" t="s">
        <v>515</v>
      </c>
      <c r="S528" s="69"/>
    </row>
    <row r="529" spans="1:19" hidden="1">
      <c r="A529" s="68" t="s">
        <v>2064</v>
      </c>
      <c r="B529" s="149" t="str">
        <f>IFERROR(VLOOKUP(Proc[[#This Row],[App]],Table2[],3,0),"open")</f>
        <v>ok</v>
      </c>
      <c r="C529" s="68" t="s">
        <v>369</v>
      </c>
      <c r="D529" t="s">
        <v>2074</v>
      </c>
      <c r="E529" t="s">
        <v>2075</v>
      </c>
      <c r="F529" s="117" t="s">
        <v>2075</v>
      </c>
      <c r="G529" s="68" t="s">
        <v>406</v>
      </c>
      <c r="H529" s="69" t="str">
        <f>IF(Proc[[#This Row],[type]]="LFF (MDG-F)",MID(Proc[[#This Row],[Obj]],13,10),"")</f>
        <v>SG10GM2004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32" t="s">
        <v>509</v>
      </c>
      <c r="M529" s="71">
        <v>45712.411909722221</v>
      </c>
      <c r="N529" s="71">
        <v>45715</v>
      </c>
      <c r="O529" s="71">
        <v>45716</v>
      </c>
      <c r="P529" s="70" t="str">
        <f ca="1">IF(Proc[[#This Row],[DaysAgeing]]&gt;5,"yep","on track")</f>
        <v>on track</v>
      </c>
      <c r="Q529" s="3">
        <f ca="1">IF(Proc[[#This Row],[DateClosed]]="",ABS(NETWORKDAYS(Proc[[#This Row],[DateOpened]],TODAY()))-1,ABS(NETWORKDAYS(Proc[[#This Row],[DateOpened]],Proc[[#This Row],[DateClosed]]))-1)</f>
        <v>4</v>
      </c>
      <c r="R529" s="70" t="s">
        <v>515</v>
      </c>
      <c r="S529" s="69"/>
    </row>
    <row r="530" spans="1:19" hidden="1">
      <c r="A530" t="s">
        <v>2176</v>
      </c>
      <c r="B530" s="149" t="str">
        <f>IFERROR(VLOOKUP(Proc[[#This Row],[App]],Table2[],3,0),"open")</f>
        <v>ok</v>
      </c>
      <c r="C530" t="s">
        <v>369</v>
      </c>
      <c r="D530" t="s">
        <v>2160</v>
      </c>
      <c r="E530" t="s">
        <v>2161</v>
      </c>
      <c r="F530" s="117" t="s">
        <v>2161</v>
      </c>
      <c r="G530" t="s">
        <v>400</v>
      </c>
      <c r="H530" s="69" t="str">
        <f>IF(Proc[[#This Row],[type]]="LFF (MDG-F)",MID(Proc[[#This Row],[Obj]],13,10),"")</f>
        <v/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HC</v>
      </c>
      <c r="L530" s="32" t="s">
        <v>509</v>
      </c>
      <c r="M530" s="71">
        <v>45713.21603009259</v>
      </c>
      <c r="N530" s="71">
        <v>45715</v>
      </c>
      <c r="O530" s="71">
        <v>45715</v>
      </c>
      <c r="P530" s="70" t="str">
        <f ca="1">IF(Proc[[#This Row],[DaysAgeing]]&gt;5,"yep","on track")</f>
        <v>on track</v>
      </c>
      <c r="Q530" s="3">
        <f ca="1">IF(Proc[[#This Row],[DateClosed]]="",ABS(NETWORKDAYS(Proc[[#This Row],[DateOpened]],TODAY()))-1,ABS(NETWORKDAYS(Proc[[#This Row],[DateOpened]],Proc[[#This Row],[DateClosed]]))-1)</f>
        <v>2</v>
      </c>
      <c r="R530" s="70" t="s">
        <v>478</v>
      </c>
      <c r="S530" s="69"/>
    </row>
    <row r="531" spans="1:19" hidden="1">
      <c r="A531" s="68" t="s">
        <v>2176</v>
      </c>
      <c r="B531" s="149" t="str">
        <f>IFERROR(VLOOKUP(Proc[[#This Row],[App]],Table2[],3,0),"open")</f>
        <v>ok</v>
      </c>
      <c r="C531" s="68" t="s">
        <v>369</v>
      </c>
      <c r="D531" t="s">
        <v>2162</v>
      </c>
      <c r="E531" t="s">
        <v>2161</v>
      </c>
      <c r="F531" s="117" t="s">
        <v>2161</v>
      </c>
      <c r="G531" s="68" t="s">
        <v>400</v>
      </c>
      <c r="H531" s="69" t="str">
        <f>IF(Proc[[#This Row],[type]]="LFF (MDG-F)",MID(Proc[[#This Row],[Obj]],13,10),"")</f>
        <v/>
      </c>
      <c r="I531" s="68"/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HC</v>
      </c>
      <c r="L531" s="32" t="s">
        <v>509</v>
      </c>
      <c r="M531" s="71">
        <v>45713.21603009259</v>
      </c>
      <c r="N531" s="71">
        <v>45715</v>
      </c>
      <c r="O531" s="71">
        <v>45715</v>
      </c>
      <c r="P531" s="70" t="str">
        <f ca="1">IF(Proc[[#This Row],[DaysAgeing]]&gt;5,"yep","on track")</f>
        <v>on track</v>
      </c>
      <c r="Q531" s="3">
        <f ca="1">IF(Proc[[#This Row],[DateClosed]]="",ABS(NETWORKDAYS(Proc[[#This Row],[DateOpened]],TODAY()))-1,ABS(NETWORKDAYS(Proc[[#This Row],[DateOpened]],Proc[[#This Row],[DateClosed]]))-1)</f>
        <v>2</v>
      </c>
      <c r="R531" s="70" t="s">
        <v>478</v>
      </c>
      <c r="S531" s="69"/>
    </row>
    <row r="532" spans="1:19" hidden="1">
      <c r="A532" s="68" t="s">
        <v>2176</v>
      </c>
      <c r="B532" s="149" t="str">
        <f>IFERROR(VLOOKUP(Proc[[#This Row],[App]],Table2[],3,0),"open")</f>
        <v>ok</v>
      </c>
      <c r="C532" s="68" t="s">
        <v>369</v>
      </c>
      <c r="D532" t="s">
        <v>2163</v>
      </c>
      <c r="E532" t="s">
        <v>2161</v>
      </c>
      <c r="F532" s="117" t="s">
        <v>2161</v>
      </c>
      <c r="G532" s="68" t="s">
        <v>400</v>
      </c>
      <c r="H532" s="69" t="str">
        <f>IF(Proc[[#This Row],[type]]="LFF (MDG-F)",MID(Proc[[#This Row],[Obj]],13,10),"")</f>
        <v/>
      </c>
      <c r="I532" s="68"/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HC</v>
      </c>
      <c r="L532" s="32" t="s">
        <v>509</v>
      </c>
      <c r="M532" s="71">
        <v>45713.21603009259</v>
      </c>
      <c r="N532" s="71">
        <v>45715</v>
      </c>
      <c r="O532" s="71">
        <v>45715</v>
      </c>
      <c r="P532" s="70" t="str">
        <f ca="1">IF(Proc[[#This Row],[DaysAgeing]]&gt;5,"yep","on track")</f>
        <v>on track</v>
      </c>
      <c r="Q532" s="3">
        <f ca="1">IF(Proc[[#This Row],[DateClosed]]="",ABS(NETWORKDAYS(Proc[[#This Row],[DateOpened]],TODAY()))-1,ABS(NETWORKDAYS(Proc[[#This Row],[DateOpened]],Proc[[#This Row],[DateClosed]]))-1)</f>
        <v>2</v>
      </c>
      <c r="R532" s="70" t="s">
        <v>478</v>
      </c>
      <c r="S532" s="69"/>
    </row>
    <row r="533" spans="1:19" hidden="1">
      <c r="A533" t="s">
        <v>2176</v>
      </c>
      <c r="B533" s="149" t="str">
        <f>IFERROR(VLOOKUP(Proc[[#This Row],[App]],Table2[],3,0),"open")</f>
        <v>ok</v>
      </c>
      <c r="C533" t="s">
        <v>369</v>
      </c>
      <c r="D533" t="s">
        <v>2164</v>
      </c>
      <c r="E533" t="s">
        <v>2161</v>
      </c>
      <c r="F533" s="117" t="s">
        <v>2161</v>
      </c>
      <c r="G533" s="68" t="s">
        <v>400</v>
      </c>
      <c r="H533" s="69" t="str">
        <f>IF(Proc[[#This Row],[type]]="LFF (MDG-F)",MID(Proc[[#This Row],[Obj]],13,10),"")</f>
        <v/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HC</v>
      </c>
      <c r="L533" s="32" t="s">
        <v>509</v>
      </c>
      <c r="M533" s="71">
        <v>45713.21603009259</v>
      </c>
      <c r="N533" s="71">
        <v>45715</v>
      </c>
      <c r="O533" s="71">
        <v>45715</v>
      </c>
      <c r="P533" s="70" t="str">
        <f ca="1">IF(Proc[[#This Row],[DaysAgeing]]&gt;5,"yep","on track")</f>
        <v>on track</v>
      </c>
      <c r="Q533" s="3">
        <f ca="1">IF(Proc[[#This Row],[DateClosed]]="",ABS(NETWORKDAYS(Proc[[#This Row],[DateOpened]],TODAY()))-1,ABS(NETWORKDAYS(Proc[[#This Row],[DateOpened]],Proc[[#This Row],[DateClosed]]))-1)</f>
        <v>2</v>
      </c>
      <c r="R533" s="70" t="s">
        <v>478</v>
      </c>
      <c r="S533" s="69"/>
    </row>
    <row r="534" spans="1:19" hidden="1">
      <c r="A534" s="68" t="s">
        <v>2176</v>
      </c>
      <c r="B534" s="149" t="str">
        <f>IFERROR(VLOOKUP(Proc[[#This Row],[App]],Table2[],3,0),"open")</f>
        <v>ok</v>
      </c>
      <c r="C534" s="68" t="s">
        <v>369</v>
      </c>
      <c r="D534" t="s">
        <v>2165</v>
      </c>
      <c r="E534" t="s">
        <v>2161</v>
      </c>
      <c r="F534" s="117" t="s">
        <v>2161</v>
      </c>
      <c r="G534" s="68" t="s">
        <v>400</v>
      </c>
      <c r="H534" s="69" t="str">
        <f>IF(Proc[[#This Row],[type]]="LFF (MDG-F)",MID(Proc[[#This Row],[Obj]],13,10),"")</f>
        <v/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HC</v>
      </c>
      <c r="L534" s="32" t="s">
        <v>509</v>
      </c>
      <c r="M534" s="71">
        <v>45713.21603009259</v>
      </c>
      <c r="N534" s="71">
        <v>45715</v>
      </c>
      <c r="O534" s="71">
        <v>45715</v>
      </c>
      <c r="P534" s="70" t="str">
        <f ca="1">IF(Proc[[#This Row],[DaysAgeing]]&gt;5,"yep","on track")</f>
        <v>on track</v>
      </c>
      <c r="Q534" s="3">
        <f ca="1">IF(Proc[[#This Row],[DateClosed]]="",ABS(NETWORKDAYS(Proc[[#This Row],[DateOpened]],TODAY()))-1,ABS(NETWORKDAYS(Proc[[#This Row],[DateOpened]],Proc[[#This Row],[DateClosed]]))-1)</f>
        <v>2</v>
      </c>
      <c r="R534" s="70" t="s">
        <v>478</v>
      </c>
      <c r="S534" s="69"/>
    </row>
    <row r="535" spans="1:19" hidden="1">
      <c r="A535" s="68" t="s">
        <v>2176</v>
      </c>
      <c r="B535" s="149" t="str">
        <f>IFERROR(VLOOKUP(Proc[[#This Row],[App]],Table2[],3,0),"open")</f>
        <v>ok</v>
      </c>
      <c r="C535" s="68" t="s">
        <v>369</v>
      </c>
      <c r="D535" t="s">
        <v>2166</v>
      </c>
      <c r="E535" t="s">
        <v>2161</v>
      </c>
      <c r="F535" s="117" t="s">
        <v>2161</v>
      </c>
      <c r="G535" s="68" t="s">
        <v>400</v>
      </c>
      <c r="H535" s="69" t="str">
        <f>IF(Proc[[#This Row],[type]]="LFF (MDG-F)",MID(Proc[[#This Row],[Obj]],13,10),"")</f>
        <v/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HC</v>
      </c>
      <c r="L535" s="32" t="s">
        <v>509</v>
      </c>
      <c r="M535" s="71">
        <v>45713.21603009259</v>
      </c>
      <c r="N535" s="71">
        <v>45715</v>
      </c>
      <c r="O535" s="71">
        <v>45715</v>
      </c>
      <c r="P535" s="70" t="str">
        <f ca="1">IF(Proc[[#This Row],[DaysAgeing]]&gt;5,"yep","on track")</f>
        <v>on track</v>
      </c>
      <c r="Q535" s="3">
        <f ca="1">IF(Proc[[#This Row],[DateClosed]]="",ABS(NETWORKDAYS(Proc[[#This Row],[DateOpened]],TODAY()))-1,ABS(NETWORKDAYS(Proc[[#This Row],[DateOpened]],Proc[[#This Row],[DateClosed]]))-1)</f>
        <v>2</v>
      </c>
      <c r="R535" s="70" t="s">
        <v>478</v>
      </c>
      <c r="S535" s="69"/>
    </row>
    <row r="536" spans="1:19" hidden="1">
      <c r="A536" s="68" t="s">
        <v>2176</v>
      </c>
      <c r="B536" s="149" t="str">
        <f>IFERROR(VLOOKUP(Proc[[#This Row],[App]],Table2[],3,0),"open")</f>
        <v>ok</v>
      </c>
      <c r="C536" s="68" t="s">
        <v>369</v>
      </c>
      <c r="D536" t="s">
        <v>2167</v>
      </c>
      <c r="E536" t="s">
        <v>2161</v>
      </c>
      <c r="F536" s="117" t="s">
        <v>2161</v>
      </c>
      <c r="G536" s="68" t="s">
        <v>400</v>
      </c>
      <c r="H536" s="69" t="str">
        <f>IF(Proc[[#This Row],[type]]="LFF (MDG-F)",MID(Proc[[#This Row],[Obj]],13,10),"")</f>
        <v/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HC</v>
      </c>
      <c r="L536" s="32" t="s">
        <v>509</v>
      </c>
      <c r="M536" s="71">
        <v>45713.21603009259</v>
      </c>
      <c r="N536" s="71">
        <v>45715</v>
      </c>
      <c r="O536" s="71">
        <v>45715</v>
      </c>
      <c r="P536" s="70" t="str">
        <f ca="1">IF(Proc[[#This Row],[DaysAgeing]]&gt;5,"yep","on track")</f>
        <v>on track</v>
      </c>
      <c r="Q536" s="3">
        <f ca="1">IF(Proc[[#This Row],[DateClosed]]="",ABS(NETWORKDAYS(Proc[[#This Row],[DateOpened]],TODAY()))-1,ABS(NETWORKDAYS(Proc[[#This Row],[DateOpened]],Proc[[#This Row],[DateClosed]]))-1)</f>
        <v>2</v>
      </c>
      <c r="R536" s="70" t="s">
        <v>478</v>
      </c>
      <c r="S536" s="69"/>
    </row>
    <row r="537" spans="1:19" hidden="1">
      <c r="A537" s="68" t="s">
        <v>2176</v>
      </c>
      <c r="B537" s="149" t="str">
        <f>IFERROR(VLOOKUP(Proc[[#This Row],[App]],Table2[],3,0),"open")</f>
        <v>ok</v>
      </c>
      <c r="C537" s="68" t="s">
        <v>369</v>
      </c>
      <c r="D537" t="s">
        <v>2168</v>
      </c>
      <c r="E537" t="s">
        <v>2161</v>
      </c>
      <c r="F537" s="117" t="s">
        <v>2161</v>
      </c>
      <c r="G537" s="68" t="s">
        <v>400</v>
      </c>
      <c r="H537" s="69" t="str">
        <f>IF(Proc[[#This Row],[type]]="LFF (MDG-F)",MID(Proc[[#This Row],[Obj]],13,10),"")</f>
        <v/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HC</v>
      </c>
      <c r="L537" s="32" t="s">
        <v>509</v>
      </c>
      <c r="M537" s="71">
        <v>45713.21603009259</v>
      </c>
      <c r="N537" s="71">
        <v>45715</v>
      </c>
      <c r="O537" s="71">
        <v>45715</v>
      </c>
      <c r="P537" s="70" t="str">
        <f ca="1">IF(Proc[[#This Row],[DaysAgeing]]&gt;5,"yep","on track")</f>
        <v>on track</v>
      </c>
      <c r="Q537" s="3">
        <f ca="1">IF(Proc[[#This Row],[DateClosed]]="",ABS(NETWORKDAYS(Proc[[#This Row],[DateOpened]],TODAY()))-1,ABS(NETWORKDAYS(Proc[[#This Row],[DateOpened]],Proc[[#This Row],[DateClosed]]))-1)</f>
        <v>2</v>
      </c>
      <c r="R537" s="70" t="s">
        <v>478</v>
      </c>
      <c r="S537" s="69"/>
    </row>
    <row r="538" spans="1:19" hidden="1">
      <c r="A538" s="68" t="s">
        <v>2176</v>
      </c>
      <c r="B538" s="149" t="str">
        <f>IFERROR(VLOOKUP(Proc[[#This Row],[App]],Table2[],3,0),"open")</f>
        <v>ok</v>
      </c>
      <c r="C538" s="68" t="s">
        <v>369</v>
      </c>
      <c r="D538" t="s">
        <v>2169</v>
      </c>
      <c r="E538" t="s">
        <v>2161</v>
      </c>
      <c r="F538" s="117" t="s">
        <v>2161</v>
      </c>
      <c r="G538" s="68" t="s">
        <v>400</v>
      </c>
      <c r="H538" s="69" t="str">
        <f>IF(Proc[[#This Row],[type]]="LFF (MDG-F)",MID(Proc[[#This Row],[Obj]],13,10),"")</f>
        <v/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HC</v>
      </c>
      <c r="L538" s="32" t="s">
        <v>509</v>
      </c>
      <c r="M538" s="71">
        <v>45713.21603009259</v>
      </c>
      <c r="N538" s="71">
        <v>45715</v>
      </c>
      <c r="O538" s="71">
        <v>45715</v>
      </c>
      <c r="P538" s="70" t="str">
        <f ca="1">IF(Proc[[#This Row],[DaysAgeing]]&gt;5,"yep","on track")</f>
        <v>on track</v>
      </c>
      <c r="Q538" s="3">
        <f ca="1">IF(Proc[[#This Row],[DateClosed]]="",ABS(NETWORKDAYS(Proc[[#This Row],[DateOpened]],TODAY()))-1,ABS(NETWORKDAYS(Proc[[#This Row],[DateOpened]],Proc[[#This Row],[DateClosed]]))-1)</f>
        <v>2</v>
      </c>
      <c r="R538" s="70" t="s">
        <v>478</v>
      </c>
      <c r="S538" s="69"/>
    </row>
    <row r="539" spans="1:19" hidden="1">
      <c r="A539" s="68" t="s">
        <v>2176</v>
      </c>
      <c r="B539" s="149" t="str">
        <f>IFERROR(VLOOKUP(Proc[[#This Row],[App]],Table2[],3,0),"open")</f>
        <v>ok</v>
      </c>
      <c r="C539" s="68" t="s">
        <v>369</v>
      </c>
      <c r="D539" t="s">
        <v>2170</v>
      </c>
      <c r="E539" t="s">
        <v>2161</v>
      </c>
      <c r="F539" s="117" t="s">
        <v>2161</v>
      </c>
      <c r="G539" s="68" t="s">
        <v>400</v>
      </c>
      <c r="H539" s="69" t="str">
        <f>IF(Proc[[#This Row],[type]]="LFF (MDG-F)",MID(Proc[[#This Row],[Obj]],13,10),"")</f>
        <v/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HC</v>
      </c>
      <c r="L539" s="32" t="s">
        <v>509</v>
      </c>
      <c r="M539" s="71">
        <v>45713.21603009259</v>
      </c>
      <c r="N539" s="71">
        <v>45715</v>
      </c>
      <c r="O539" s="71">
        <v>45715</v>
      </c>
      <c r="P539" s="70" t="str">
        <f ca="1">IF(Proc[[#This Row],[DaysAgeing]]&gt;5,"yep","on track")</f>
        <v>on track</v>
      </c>
      <c r="Q539" s="3">
        <f ca="1">IF(Proc[[#This Row],[DateClosed]]="",ABS(NETWORKDAYS(Proc[[#This Row],[DateOpened]],TODAY()))-1,ABS(NETWORKDAYS(Proc[[#This Row],[DateOpened]],Proc[[#This Row],[DateClosed]]))-1)</f>
        <v>2</v>
      </c>
      <c r="R539" s="70" t="s">
        <v>478</v>
      </c>
      <c r="S539" s="69"/>
    </row>
    <row r="540" spans="1:19" hidden="1">
      <c r="A540" s="68" t="s">
        <v>2176</v>
      </c>
      <c r="B540" s="149" t="str">
        <f>IFERROR(VLOOKUP(Proc[[#This Row],[App]],Table2[],3,0),"open")</f>
        <v>ok</v>
      </c>
      <c r="C540" s="68" t="s">
        <v>369</v>
      </c>
      <c r="D540" t="s">
        <v>2171</v>
      </c>
      <c r="E540" t="s">
        <v>2161</v>
      </c>
      <c r="F540" s="117" t="s">
        <v>2161</v>
      </c>
      <c r="G540" s="68" t="s">
        <v>400</v>
      </c>
      <c r="H540" s="69" t="str">
        <f>IF(Proc[[#This Row],[type]]="LFF (MDG-F)",MID(Proc[[#This Row],[Obj]],13,10),"")</f>
        <v/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HC</v>
      </c>
      <c r="L540" s="32" t="s">
        <v>509</v>
      </c>
      <c r="M540" s="71">
        <v>45713.21603009259</v>
      </c>
      <c r="N540" s="71">
        <v>45715</v>
      </c>
      <c r="O540" s="71">
        <v>45715</v>
      </c>
      <c r="P540" s="70" t="str">
        <f ca="1">IF(Proc[[#This Row],[DaysAgeing]]&gt;5,"yep","on track")</f>
        <v>on track</v>
      </c>
      <c r="Q540" s="3">
        <f ca="1">IF(Proc[[#This Row],[DateClosed]]="",ABS(NETWORKDAYS(Proc[[#This Row],[DateOpened]],TODAY()))-1,ABS(NETWORKDAYS(Proc[[#This Row],[DateOpened]],Proc[[#This Row],[DateClosed]]))-1)</f>
        <v>2</v>
      </c>
      <c r="R540" s="70" t="s">
        <v>478</v>
      </c>
      <c r="S540" s="69"/>
    </row>
    <row r="541" spans="1:19" hidden="1">
      <c r="A541" s="68" t="s">
        <v>2176</v>
      </c>
      <c r="B541" s="149" t="str">
        <f>IFERROR(VLOOKUP(Proc[[#This Row],[App]],Table2[],3,0),"open")</f>
        <v>ok</v>
      </c>
      <c r="C541" s="68" t="s">
        <v>369</v>
      </c>
      <c r="D541" t="s">
        <v>2172</v>
      </c>
      <c r="E541" t="s">
        <v>2161</v>
      </c>
      <c r="F541" s="117" t="s">
        <v>2161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HC</v>
      </c>
      <c r="L541" s="32" t="s">
        <v>509</v>
      </c>
      <c r="M541" s="71">
        <v>45713.21603009259</v>
      </c>
      <c r="N541" s="71">
        <v>45715</v>
      </c>
      <c r="O541" s="71">
        <v>45715</v>
      </c>
      <c r="P541" s="70" t="str">
        <f ca="1">IF(Proc[[#This Row],[DaysAgeing]]&gt;5,"yep","on track")</f>
        <v>on track</v>
      </c>
      <c r="Q541" s="3">
        <f ca="1">IF(Proc[[#This Row],[DateClosed]]="",ABS(NETWORKDAYS(Proc[[#This Row],[DateOpened]],TODAY()))-1,ABS(NETWORKDAYS(Proc[[#This Row],[DateOpened]],Proc[[#This Row],[DateClosed]]))-1)</f>
        <v>2</v>
      </c>
      <c r="R541" s="70" t="s">
        <v>478</v>
      </c>
      <c r="S541" s="69"/>
    </row>
    <row r="542" spans="1:19" hidden="1">
      <c r="A542" s="68" t="s">
        <v>2176</v>
      </c>
      <c r="B542" s="149" t="str">
        <f>IFERROR(VLOOKUP(Proc[[#This Row],[App]],Table2[],3,0),"open")</f>
        <v>ok</v>
      </c>
      <c r="C542" s="68" t="s">
        <v>369</v>
      </c>
      <c r="D542" t="s">
        <v>2173</v>
      </c>
      <c r="E542" t="s">
        <v>2174</v>
      </c>
      <c r="F542" s="117" t="s">
        <v>2174</v>
      </c>
      <c r="G542" s="68" t="s">
        <v>400</v>
      </c>
      <c r="H542" s="69" t="str">
        <f>IF(Proc[[#This Row],[type]]="LFF (MDG-F)",MID(Proc[[#This Row],[Obj]],13,10),"")</f>
        <v/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HC</v>
      </c>
      <c r="L542" s="32" t="s">
        <v>509</v>
      </c>
      <c r="M542" s="71">
        <v>45713.21603009259</v>
      </c>
      <c r="N542" s="71">
        <v>45715</v>
      </c>
      <c r="O542" s="71">
        <v>45715</v>
      </c>
      <c r="P542" s="70" t="str">
        <f ca="1">IF(Proc[[#This Row],[DaysAgeing]]&gt;5,"yep","on track")</f>
        <v>on track</v>
      </c>
      <c r="Q542" s="3">
        <f ca="1">IF(Proc[[#This Row],[DateClosed]]="",ABS(NETWORKDAYS(Proc[[#This Row],[DateOpened]],TODAY()))-1,ABS(NETWORKDAYS(Proc[[#This Row],[DateOpened]],Proc[[#This Row],[DateClosed]]))-1)</f>
        <v>2</v>
      </c>
      <c r="R542" s="70" t="s">
        <v>478</v>
      </c>
      <c r="S542" s="69"/>
    </row>
    <row r="543" spans="1:19" hidden="1">
      <c r="A543" s="68" t="s">
        <v>2176</v>
      </c>
      <c r="B543" s="149" t="str">
        <f>IFERROR(VLOOKUP(Proc[[#This Row],[App]],Table2[],3,0),"open")</f>
        <v>ok</v>
      </c>
      <c r="C543" s="68" t="s">
        <v>369</v>
      </c>
      <c r="D543" t="s">
        <v>2175</v>
      </c>
      <c r="E543" t="s">
        <v>2174</v>
      </c>
      <c r="F543" s="117" t="s">
        <v>2174</v>
      </c>
      <c r="G543" s="68" t="s">
        <v>400</v>
      </c>
      <c r="H543" s="69" t="str">
        <f>IF(Proc[[#This Row],[type]]="LFF (MDG-F)",MID(Proc[[#This Row],[Obj]],13,10),"")</f>
        <v/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HC</v>
      </c>
      <c r="L543" s="32" t="s">
        <v>509</v>
      </c>
      <c r="M543" s="71">
        <v>45713.21603009259</v>
      </c>
      <c r="N543" s="71">
        <v>45715</v>
      </c>
      <c r="O543" s="71">
        <v>45715</v>
      </c>
      <c r="P543" s="70" t="str">
        <f ca="1">IF(Proc[[#This Row],[DaysAgeing]]&gt;5,"yep","on track")</f>
        <v>on track</v>
      </c>
      <c r="Q543" s="3">
        <f ca="1">IF(Proc[[#This Row],[DateClosed]]="",ABS(NETWORKDAYS(Proc[[#This Row],[DateOpened]],TODAY()))-1,ABS(NETWORKDAYS(Proc[[#This Row],[DateOpened]],Proc[[#This Row],[DateClosed]]))-1)</f>
        <v>2</v>
      </c>
      <c r="R543" s="70" t="s">
        <v>478</v>
      </c>
      <c r="S543" s="69"/>
    </row>
    <row r="544" spans="1:19" hidden="1">
      <c r="A544" s="68" t="s">
        <v>2096</v>
      </c>
      <c r="B544" s="149" t="str">
        <f>IFERROR(VLOOKUP(Proc[[#This Row],[App]],Table2[],3,0),"open")</f>
        <v>ok</v>
      </c>
      <c r="C544" s="68" t="s">
        <v>369</v>
      </c>
      <c r="D544" t="s">
        <v>2097</v>
      </c>
      <c r="E544" t="s">
        <v>2098</v>
      </c>
      <c r="F544" s="117" t="s">
        <v>2098</v>
      </c>
      <c r="G544" s="68" t="s">
        <v>406</v>
      </c>
      <c r="H544" s="69" t="str">
        <f>IF(Proc[[#This Row],[type]]="LFF (MDG-F)",MID(Proc[[#This Row],[Obj]],13,10),"")</f>
        <v>CN50C01602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HC</v>
      </c>
      <c r="L544" s="32" t="s">
        <v>509</v>
      </c>
      <c r="M544" s="71">
        <v>45713.229062500002</v>
      </c>
      <c r="N544" s="71">
        <v>45715</v>
      </c>
      <c r="O544" s="71">
        <v>45715</v>
      </c>
      <c r="P544" s="70" t="str">
        <f ca="1">IF(Proc[[#This Row],[DaysAgeing]]&gt;5,"yep","on track")</f>
        <v>on track</v>
      </c>
      <c r="Q544" s="3">
        <f ca="1">IF(Proc[[#This Row],[DateClosed]]="",ABS(NETWORKDAYS(Proc[[#This Row],[DateOpened]],TODAY()))-1,ABS(NETWORKDAYS(Proc[[#This Row],[DateOpened]],Proc[[#This Row],[DateClosed]]))-1)</f>
        <v>2</v>
      </c>
      <c r="R544" s="70" t="s">
        <v>478</v>
      </c>
      <c r="S544" s="69"/>
    </row>
    <row r="545" spans="1:19" hidden="1">
      <c r="A545" s="68" t="s">
        <v>2096</v>
      </c>
      <c r="B545" s="149" t="str">
        <f>IFERROR(VLOOKUP(Proc[[#This Row],[App]],Table2[],3,0),"open")</f>
        <v>ok</v>
      </c>
      <c r="C545" s="68" t="s">
        <v>369</v>
      </c>
      <c r="D545" t="s">
        <v>2099</v>
      </c>
      <c r="E545" t="s">
        <v>2100</v>
      </c>
      <c r="F545" s="117" t="s">
        <v>2100</v>
      </c>
      <c r="G545" s="68" t="s">
        <v>406</v>
      </c>
      <c r="H545" s="69" t="str">
        <f>IF(Proc[[#This Row],[type]]="LFF (MDG-F)",MID(Proc[[#This Row],[Obj]],13,10),"")</f>
        <v>CN90L50000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HC</v>
      </c>
      <c r="L545" s="32" t="s">
        <v>509</v>
      </c>
      <c r="M545" s="71">
        <v>45713.229062500002</v>
      </c>
      <c r="N545" s="71">
        <v>45715</v>
      </c>
      <c r="O545" s="71">
        <v>45715</v>
      </c>
      <c r="P545" s="70" t="str">
        <f ca="1">IF(Proc[[#This Row],[DaysAgeing]]&gt;5,"yep","on track")</f>
        <v>on track</v>
      </c>
      <c r="Q545" s="3">
        <f ca="1">IF(Proc[[#This Row],[DateClosed]]="",ABS(NETWORKDAYS(Proc[[#This Row],[DateOpened]],TODAY()))-1,ABS(NETWORKDAYS(Proc[[#This Row],[DateOpened]],Proc[[#This Row],[DateClosed]]))-1)</f>
        <v>2</v>
      </c>
      <c r="R545" s="70" t="s">
        <v>478</v>
      </c>
      <c r="S545" s="69"/>
    </row>
    <row r="546" spans="1:19" hidden="1">
      <c r="A546" s="68" t="s">
        <v>2096</v>
      </c>
      <c r="B546" s="149" t="str">
        <f>IFERROR(VLOOKUP(Proc[[#This Row],[App]],Table2[],3,0),"open")</f>
        <v>ok</v>
      </c>
      <c r="C546" s="68" t="s">
        <v>369</v>
      </c>
      <c r="D546" t="s">
        <v>2101</v>
      </c>
      <c r="E546" t="s">
        <v>2100</v>
      </c>
      <c r="F546" s="117" t="s">
        <v>2100</v>
      </c>
      <c r="G546" s="68" t="s">
        <v>406</v>
      </c>
      <c r="H546" s="69" t="str">
        <f>IF(Proc[[#This Row],[type]]="LFF (MDG-F)",MID(Proc[[#This Row],[Obj]],13,10),"")</f>
        <v>CN90L80001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HC</v>
      </c>
      <c r="L546" s="32" t="s">
        <v>509</v>
      </c>
      <c r="M546" s="71">
        <v>45713.229062500002</v>
      </c>
      <c r="N546" s="71">
        <v>45715</v>
      </c>
      <c r="O546" s="71">
        <v>45715</v>
      </c>
      <c r="P546" s="70" t="str">
        <f ca="1">IF(Proc[[#This Row],[DaysAgeing]]&gt;5,"yep","on track")</f>
        <v>on track</v>
      </c>
      <c r="Q546" s="3">
        <f ca="1">IF(Proc[[#This Row],[DateClosed]]="",ABS(NETWORKDAYS(Proc[[#This Row],[DateOpened]],TODAY()))-1,ABS(NETWORKDAYS(Proc[[#This Row],[DateOpened]],Proc[[#This Row],[DateClosed]]))-1)</f>
        <v>2</v>
      </c>
      <c r="R546" s="70" t="s">
        <v>478</v>
      </c>
      <c r="S546" s="69"/>
    </row>
    <row r="547" spans="1:19" hidden="1">
      <c r="A547" s="68" t="s">
        <v>2096</v>
      </c>
      <c r="B547" s="149" t="str">
        <f>IFERROR(VLOOKUP(Proc[[#This Row],[App]],Table2[],3,0),"open")</f>
        <v>ok</v>
      </c>
      <c r="C547" s="68" t="s">
        <v>369</v>
      </c>
      <c r="D547" t="s">
        <v>2102</v>
      </c>
      <c r="E547" t="s">
        <v>2103</v>
      </c>
      <c r="F547" s="117" t="s">
        <v>2103</v>
      </c>
      <c r="G547" s="68" t="s">
        <v>400</v>
      </c>
      <c r="H547" s="69" t="str">
        <f>IF(Proc[[#This Row],[type]]="LFF (MDG-F)",MID(Proc[[#This Row],[Obj]],13,10),"")</f>
        <v/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HC</v>
      </c>
      <c r="L547" s="32" t="s">
        <v>509</v>
      </c>
      <c r="M547" s="71">
        <v>45713.229062500002</v>
      </c>
      <c r="N547" s="71">
        <v>45715</v>
      </c>
      <c r="O547" s="71">
        <v>45715</v>
      </c>
      <c r="P547" s="70" t="str">
        <f ca="1">IF(Proc[[#This Row],[DaysAgeing]]&gt;5,"yep","on track")</f>
        <v>on track</v>
      </c>
      <c r="Q547" s="3">
        <f ca="1">IF(Proc[[#This Row],[DateClosed]]="",ABS(NETWORKDAYS(Proc[[#This Row],[DateOpened]],TODAY()))-1,ABS(NETWORKDAYS(Proc[[#This Row],[DateOpened]],Proc[[#This Row],[DateClosed]]))-1)</f>
        <v>2</v>
      </c>
      <c r="R547" s="70" t="s">
        <v>478</v>
      </c>
      <c r="S547" s="69"/>
    </row>
    <row r="548" spans="1:19" hidden="1">
      <c r="A548" s="68" t="s">
        <v>2096</v>
      </c>
      <c r="B548" s="149" t="str">
        <f>IFERROR(VLOOKUP(Proc[[#This Row],[App]],Table2[],3,0),"open")</f>
        <v>ok</v>
      </c>
      <c r="C548" s="68" t="s">
        <v>369</v>
      </c>
      <c r="D548" t="s">
        <v>2104</v>
      </c>
      <c r="E548" t="s">
        <v>2105</v>
      </c>
      <c r="F548" s="117" t="s">
        <v>2105</v>
      </c>
      <c r="G548" s="68" t="s">
        <v>400</v>
      </c>
      <c r="H548" s="69" t="str">
        <f>IF(Proc[[#This Row],[type]]="LFF (MDG-F)",MID(Proc[[#This Row],[Obj]],13,10),"")</f>
        <v/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HC</v>
      </c>
      <c r="L548" s="32" t="s">
        <v>509</v>
      </c>
      <c r="M548" s="71">
        <v>45713.229062500002</v>
      </c>
      <c r="N548" s="71">
        <v>45715</v>
      </c>
      <c r="O548" s="71">
        <v>45715</v>
      </c>
      <c r="P548" s="70" t="str">
        <f ca="1">IF(Proc[[#This Row],[DaysAgeing]]&gt;5,"yep","on track")</f>
        <v>on track</v>
      </c>
      <c r="Q548" s="3">
        <f ca="1">IF(Proc[[#This Row],[DateClosed]]="",ABS(NETWORKDAYS(Proc[[#This Row],[DateOpened]],TODAY()))-1,ABS(NETWORKDAYS(Proc[[#This Row],[DateOpened]],Proc[[#This Row],[DateClosed]]))-1)</f>
        <v>2</v>
      </c>
      <c r="R548" s="70" t="s">
        <v>478</v>
      </c>
      <c r="S548" s="69"/>
    </row>
    <row r="549" spans="1:19" hidden="1">
      <c r="A549" s="68" t="s">
        <v>2096</v>
      </c>
      <c r="B549" s="149" t="str">
        <f>IFERROR(VLOOKUP(Proc[[#This Row],[App]],Table2[],3,0),"open")</f>
        <v>ok</v>
      </c>
      <c r="C549" s="68" t="s">
        <v>369</v>
      </c>
      <c r="D549" t="s">
        <v>2106</v>
      </c>
      <c r="E549" t="s">
        <v>2105</v>
      </c>
      <c r="F549" s="117" t="s">
        <v>2105</v>
      </c>
      <c r="G549" s="68" t="s">
        <v>400</v>
      </c>
      <c r="H549" s="69" t="str">
        <f>IF(Proc[[#This Row],[type]]="LFF (MDG-F)",MID(Proc[[#This Row],[Obj]],13,10),"")</f>
        <v/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HC</v>
      </c>
      <c r="L549" s="32" t="s">
        <v>509</v>
      </c>
      <c r="M549" s="71">
        <v>45713.229062500002</v>
      </c>
      <c r="N549" s="71">
        <v>45715</v>
      </c>
      <c r="O549" s="71">
        <v>45715</v>
      </c>
      <c r="P549" s="70" t="str">
        <f ca="1">IF(Proc[[#This Row],[DaysAgeing]]&gt;5,"yep","on track")</f>
        <v>on track</v>
      </c>
      <c r="Q549" s="3">
        <f ca="1">IF(Proc[[#This Row],[DateClosed]]="",ABS(NETWORKDAYS(Proc[[#This Row],[DateOpened]],TODAY()))-1,ABS(NETWORKDAYS(Proc[[#This Row],[DateOpened]],Proc[[#This Row],[DateClosed]]))-1)</f>
        <v>2</v>
      </c>
      <c r="R549" s="70" t="s">
        <v>478</v>
      </c>
      <c r="S549" s="69"/>
    </row>
    <row r="550" spans="1:19" hidden="1">
      <c r="A550" s="68" t="s">
        <v>2096</v>
      </c>
      <c r="B550" s="149" t="str">
        <f>IFERROR(VLOOKUP(Proc[[#This Row],[App]],Table2[],3,0),"open")</f>
        <v>ok</v>
      </c>
      <c r="C550" s="68" t="s">
        <v>369</v>
      </c>
      <c r="D550" t="s">
        <v>2107</v>
      </c>
      <c r="E550" t="s">
        <v>2103</v>
      </c>
      <c r="F550" s="117" t="s">
        <v>2103</v>
      </c>
      <c r="G550" s="68" t="s">
        <v>400</v>
      </c>
      <c r="H550" s="69" t="str">
        <f>IF(Proc[[#This Row],[type]]="LFF (MDG-F)",MID(Proc[[#This Row],[Obj]],13,10),"")</f>
        <v/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HC</v>
      </c>
      <c r="L550" s="32" t="s">
        <v>509</v>
      </c>
      <c r="M550" s="71">
        <v>45713.229062500002</v>
      </c>
      <c r="N550" s="71">
        <v>45715</v>
      </c>
      <c r="O550" s="71">
        <v>45715</v>
      </c>
      <c r="P550" s="70" t="str">
        <f ca="1">IF(Proc[[#This Row],[DaysAgeing]]&gt;5,"yep","on track")</f>
        <v>on track</v>
      </c>
      <c r="Q550" s="3">
        <f ca="1">IF(Proc[[#This Row],[DateClosed]]="",ABS(NETWORKDAYS(Proc[[#This Row],[DateOpened]],TODAY()))-1,ABS(NETWORKDAYS(Proc[[#This Row],[DateOpened]],Proc[[#This Row],[DateClosed]]))-1)</f>
        <v>2</v>
      </c>
      <c r="R550" s="70" t="s">
        <v>478</v>
      </c>
      <c r="S550" s="69"/>
    </row>
    <row r="551" spans="1:19" hidden="1">
      <c r="A551" s="68" t="s">
        <v>2096</v>
      </c>
      <c r="B551" s="149" t="str">
        <f>IFERROR(VLOOKUP(Proc[[#This Row],[App]],Table2[],3,0),"open")</f>
        <v>ok</v>
      </c>
      <c r="C551" s="68" t="s">
        <v>369</v>
      </c>
      <c r="D551" t="s">
        <v>2108</v>
      </c>
      <c r="E551" t="s">
        <v>2109</v>
      </c>
      <c r="F551" s="117" t="s">
        <v>2109</v>
      </c>
      <c r="G551" s="68" t="s">
        <v>400</v>
      </c>
      <c r="H551" s="69" t="str">
        <f>IF(Proc[[#This Row],[type]]="LFF (MDG-F)",MID(Proc[[#This Row],[Obj]],13,10),"")</f>
        <v/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HC</v>
      </c>
      <c r="L551" s="32" t="s">
        <v>509</v>
      </c>
      <c r="M551" s="71">
        <v>45713.229062500002</v>
      </c>
      <c r="N551" s="71">
        <v>45715</v>
      </c>
      <c r="O551" s="71">
        <v>45715</v>
      </c>
      <c r="P551" s="70" t="str">
        <f ca="1">IF(Proc[[#This Row],[DaysAgeing]]&gt;5,"yep","on track")</f>
        <v>on track</v>
      </c>
      <c r="Q551" s="3">
        <f ca="1">IF(Proc[[#This Row],[DateClosed]]="",ABS(NETWORKDAYS(Proc[[#This Row],[DateOpened]],TODAY()))-1,ABS(NETWORKDAYS(Proc[[#This Row],[DateOpened]],Proc[[#This Row],[DateClosed]]))-1)</f>
        <v>2</v>
      </c>
      <c r="R551" s="70" t="s">
        <v>478</v>
      </c>
      <c r="S551" s="69"/>
    </row>
    <row r="552" spans="1:19" hidden="1">
      <c r="A552" s="68" t="s">
        <v>2096</v>
      </c>
      <c r="B552" s="149" t="str">
        <f>IFERROR(VLOOKUP(Proc[[#This Row],[App]],Table2[],3,0),"open")</f>
        <v>ok</v>
      </c>
      <c r="C552" s="68" t="s">
        <v>369</v>
      </c>
      <c r="D552" t="s">
        <v>2110</v>
      </c>
      <c r="E552" t="s">
        <v>2109</v>
      </c>
      <c r="F552" s="117" t="s">
        <v>2109</v>
      </c>
      <c r="G552" s="68" t="s">
        <v>400</v>
      </c>
      <c r="H552" s="69" t="str">
        <f>IF(Proc[[#This Row],[type]]="LFF (MDG-F)",MID(Proc[[#This Row],[Obj]],13,10),"")</f>
        <v/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HC</v>
      </c>
      <c r="L552" s="32" t="s">
        <v>509</v>
      </c>
      <c r="M552" s="71">
        <v>45713.229062500002</v>
      </c>
      <c r="N552" s="71">
        <v>45715</v>
      </c>
      <c r="O552" s="71">
        <v>45715</v>
      </c>
      <c r="P552" s="70" t="str">
        <f ca="1">IF(Proc[[#This Row],[DaysAgeing]]&gt;5,"yep","on track")</f>
        <v>on track</v>
      </c>
      <c r="Q552" s="3">
        <f ca="1">IF(Proc[[#This Row],[DateClosed]]="",ABS(NETWORKDAYS(Proc[[#This Row],[DateOpened]],TODAY()))-1,ABS(NETWORKDAYS(Proc[[#This Row],[DateOpened]],Proc[[#This Row],[DateClosed]]))-1)</f>
        <v>2</v>
      </c>
      <c r="R552" s="70" t="s">
        <v>478</v>
      </c>
      <c r="S552" s="69"/>
    </row>
    <row r="553" spans="1:19" hidden="1">
      <c r="A553" s="68" t="s">
        <v>2096</v>
      </c>
      <c r="B553" s="149" t="str">
        <f>IFERROR(VLOOKUP(Proc[[#This Row],[App]],Table2[],3,0),"open")</f>
        <v>ok</v>
      </c>
      <c r="C553" s="68" t="s">
        <v>369</v>
      </c>
      <c r="D553" t="s">
        <v>2111</v>
      </c>
      <c r="E553" t="s">
        <v>2109</v>
      </c>
      <c r="F553" s="117" t="s">
        <v>2109</v>
      </c>
      <c r="G553" s="68" t="s">
        <v>400</v>
      </c>
      <c r="H553" s="69" t="str">
        <f>IF(Proc[[#This Row],[type]]="LFF (MDG-F)",MID(Proc[[#This Row],[Obj]],13,10),"")</f>
        <v/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HC</v>
      </c>
      <c r="L553" s="32" t="s">
        <v>509</v>
      </c>
      <c r="M553" s="71">
        <v>45713.229062500002</v>
      </c>
      <c r="N553" s="71">
        <v>45715</v>
      </c>
      <c r="O553" s="71">
        <v>45715</v>
      </c>
      <c r="P553" s="70" t="str">
        <f ca="1">IF(Proc[[#This Row],[DaysAgeing]]&gt;5,"yep","on track")</f>
        <v>on track</v>
      </c>
      <c r="Q553" s="3">
        <f ca="1">IF(Proc[[#This Row],[DateClosed]]="",ABS(NETWORKDAYS(Proc[[#This Row],[DateOpened]],TODAY()))-1,ABS(NETWORKDAYS(Proc[[#This Row],[DateOpened]],Proc[[#This Row],[DateClosed]]))-1)</f>
        <v>2</v>
      </c>
      <c r="R553" s="70" t="s">
        <v>478</v>
      </c>
      <c r="S553" s="69"/>
    </row>
    <row r="554" spans="1:19" hidden="1">
      <c r="A554" s="68" t="s">
        <v>2096</v>
      </c>
      <c r="B554" s="149" t="str">
        <f>IFERROR(VLOOKUP(Proc[[#This Row],[App]],Table2[],3,0),"open")</f>
        <v>ok</v>
      </c>
      <c r="C554" s="68" t="s">
        <v>369</v>
      </c>
      <c r="D554" t="s">
        <v>2112</v>
      </c>
      <c r="E554" t="s">
        <v>2109</v>
      </c>
      <c r="F554" s="117" t="s">
        <v>2109</v>
      </c>
      <c r="G554" s="68" t="s">
        <v>400</v>
      </c>
      <c r="H554" s="69" t="str">
        <f>IF(Proc[[#This Row],[type]]="LFF (MDG-F)",MID(Proc[[#This Row],[Obj]],13,10),"")</f>
        <v/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HC</v>
      </c>
      <c r="L554" s="32" t="s">
        <v>509</v>
      </c>
      <c r="M554" s="71">
        <v>45713.229062500002</v>
      </c>
      <c r="N554" s="71">
        <v>45715</v>
      </c>
      <c r="O554" s="71">
        <v>45715</v>
      </c>
      <c r="P554" s="70" t="str">
        <f ca="1">IF(Proc[[#This Row],[DaysAgeing]]&gt;5,"yep","on track")</f>
        <v>on track</v>
      </c>
      <c r="Q554" s="3">
        <f ca="1">IF(Proc[[#This Row],[DateClosed]]="",ABS(NETWORKDAYS(Proc[[#This Row],[DateOpened]],TODAY()))-1,ABS(NETWORKDAYS(Proc[[#This Row],[DateOpened]],Proc[[#This Row],[DateClosed]]))-1)</f>
        <v>2</v>
      </c>
      <c r="R554" s="70" t="s">
        <v>478</v>
      </c>
      <c r="S554" s="69"/>
    </row>
    <row r="555" spans="1:19" hidden="1">
      <c r="A555" s="68" t="s">
        <v>2096</v>
      </c>
      <c r="B555" s="149" t="str">
        <f>IFERROR(VLOOKUP(Proc[[#This Row],[App]],Table2[],3,0),"open")</f>
        <v>ok</v>
      </c>
      <c r="C555" s="68" t="s">
        <v>369</v>
      </c>
      <c r="D555" t="s">
        <v>2113</v>
      </c>
      <c r="E555" t="s">
        <v>2109</v>
      </c>
      <c r="F555" s="117" t="s">
        <v>2109</v>
      </c>
      <c r="G555" s="68" t="s">
        <v>400</v>
      </c>
      <c r="H555" s="69" t="str">
        <f>IF(Proc[[#This Row],[type]]="LFF (MDG-F)",MID(Proc[[#This Row],[Obj]],13,10),"")</f>
        <v/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HC</v>
      </c>
      <c r="L555" s="32" t="s">
        <v>509</v>
      </c>
      <c r="M555" s="71">
        <v>45713.229062500002</v>
      </c>
      <c r="N555" s="71">
        <v>45715</v>
      </c>
      <c r="O555" s="71">
        <v>45715</v>
      </c>
      <c r="P555" s="70" t="str">
        <f ca="1">IF(Proc[[#This Row],[DaysAgeing]]&gt;5,"yep","on track")</f>
        <v>on track</v>
      </c>
      <c r="Q555" s="3">
        <f ca="1">IF(Proc[[#This Row],[DateClosed]]="",ABS(NETWORKDAYS(Proc[[#This Row],[DateOpened]],TODAY()))-1,ABS(NETWORKDAYS(Proc[[#This Row],[DateOpened]],Proc[[#This Row],[DateClosed]]))-1)</f>
        <v>2</v>
      </c>
      <c r="R555" s="70" t="s">
        <v>478</v>
      </c>
      <c r="S555" s="69"/>
    </row>
    <row r="556" spans="1:19" hidden="1">
      <c r="A556" s="68" t="s">
        <v>2096</v>
      </c>
      <c r="B556" s="149" t="str">
        <f>IFERROR(VLOOKUP(Proc[[#This Row],[App]],Table2[],3,0),"open")</f>
        <v>ok</v>
      </c>
      <c r="C556" s="68" t="s">
        <v>369</v>
      </c>
      <c r="D556" t="s">
        <v>2114</v>
      </c>
      <c r="E556" t="s">
        <v>2109</v>
      </c>
      <c r="F556" s="117" t="s">
        <v>2109</v>
      </c>
      <c r="G556" s="68" t="s">
        <v>400</v>
      </c>
      <c r="H556" s="69" t="str">
        <f>IF(Proc[[#This Row],[type]]="LFF (MDG-F)",MID(Proc[[#This Row],[Obj]],13,10),"")</f>
        <v/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HC</v>
      </c>
      <c r="L556" s="32" t="s">
        <v>509</v>
      </c>
      <c r="M556" s="71">
        <v>45713.229062500002</v>
      </c>
      <c r="N556" s="71">
        <v>45715</v>
      </c>
      <c r="O556" s="71">
        <v>45715</v>
      </c>
      <c r="P556" s="70" t="str">
        <f ca="1">IF(Proc[[#This Row],[DaysAgeing]]&gt;5,"yep","on track")</f>
        <v>on track</v>
      </c>
      <c r="Q556" s="3">
        <f ca="1">IF(Proc[[#This Row],[DateClosed]]="",ABS(NETWORKDAYS(Proc[[#This Row],[DateOpened]],TODAY()))-1,ABS(NETWORKDAYS(Proc[[#This Row],[DateOpened]],Proc[[#This Row],[DateClosed]]))-1)</f>
        <v>2</v>
      </c>
      <c r="R556" s="70" t="s">
        <v>478</v>
      </c>
      <c r="S556" s="69"/>
    </row>
    <row r="557" spans="1:19" hidden="1">
      <c r="A557" s="68" t="s">
        <v>2096</v>
      </c>
      <c r="B557" s="149" t="str">
        <f>IFERROR(VLOOKUP(Proc[[#This Row],[App]],Table2[],3,0),"open")</f>
        <v>ok</v>
      </c>
      <c r="C557" s="68" t="s">
        <v>369</v>
      </c>
      <c r="D557" t="s">
        <v>2115</v>
      </c>
      <c r="E557" t="s">
        <v>2109</v>
      </c>
      <c r="F557" s="117" t="s">
        <v>2109</v>
      </c>
      <c r="G557" s="68" t="s">
        <v>400</v>
      </c>
      <c r="H557" s="69" t="str">
        <f>IF(Proc[[#This Row],[type]]="LFF (MDG-F)",MID(Proc[[#This Row],[Obj]],13,10),"")</f>
        <v/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HC</v>
      </c>
      <c r="L557" s="32" t="s">
        <v>509</v>
      </c>
      <c r="M557" s="71">
        <v>45713.229062500002</v>
      </c>
      <c r="N557" s="71">
        <v>45715</v>
      </c>
      <c r="O557" s="71">
        <v>45715</v>
      </c>
      <c r="P557" s="70" t="str">
        <f ca="1">IF(Proc[[#This Row],[DaysAgeing]]&gt;5,"yep","on track")</f>
        <v>on track</v>
      </c>
      <c r="Q557" s="3">
        <f ca="1">IF(Proc[[#This Row],[DateClosed]]="",ABS(NETWORKDAYS(Proc[[#This Row],[DateOpened]],TODAY()))-1,ABS(NETWORKDAYS(Proc[[#This Row],[DateOpened]],Proc[[#This Row],[DateClosed]]))-1)</f>
        <v>2</v>
      </c>
      <c r="R557" s="70" t="s">
        <v>478</v>
      </c>
      <c r="S557" s="69"/>
    </row>
    <row r="558" spans="1:19" hidden="1">
      <c r="A558" s="68" t="s">
        <v>2096</v>
      </c>
      <c r="B558" s="149" t="str">
        <f>IFERROR(VLOOKUP(Proc[[#This Row],[App]],Table2[],3,0),"open")</f>
        <v>ok</v>
      </c>
      <c r="C558" s="68" t="s">
        <v>369</v>
      </c>
      <c r="D558" t="s">
        <v>2116</v>
      </c>
      <c r="E558" t="s">
        <v>2117</v>
      </c>
      <c r="F558" s="117" t="s">
        <v>2117</v>
      </c>
      <c r="G558" s="68" t="s">
        <v>400</v>
      </c>
      <c r="H558" s="69" t="str">
        <f>IF(Proc[[#This Row],[type]]="LFF (MDG-F)",MID(Proc[[#This Row],[Obj]],13,10),"")</f>
        <v/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HC</v>
      </c>
      <c r="L558" s="32" t="s">
        <v>509</v>
      </c>
      <c r="M558" s="71">
        <v>45713.229062500002</v>
      </c>
      <c r="N558" s="71">
        <v>45715</v>
      </c>
      <c r="O558" s="71">
        <v>45715</v>
      </c>
      <c r="P558" s="70" t="str">
        <f ca="1">IF(Proc[[#This Row],[DaysAgeing]]&gt;5,"yep","on track")</f>
        <v>on track</v>
      </c>
      <c r="Q558" s="3">
        <f ca="1">IF(Proc[[#This Row],[DateClosed]]="",ABS(NETWORKDAYS(Proc[[#This Row],[DateOpened]],TODAY()))-1,ABS(NETWORKDAYS(Proc[[#This Row],[DateOpened]],Proc[[#This Row],[DateClosed]]))-1)</f>
        <v>2</v>
      </c>
      <c r="R558" s="70" t="s">
        <v>478</v>
      </c>
      <c r="S558" s="69"/>
    </row>
    <row r="559" spans="1:19" hidden="1">
      <c r="A559" s="68" t="s">
        <v>2096</v>
      </c>
      <c r="B559" s="149" t="str">
        <f>IFERROR(VLOOKUP(Proc[[#This Row],[App]],Table2[],3,0),"open")</f>
        <v>ok</v>
      </c>
      <c r="C559" s="68" t="s">
        <v>369</v>
      </c>
      <c r="D559" t="s">
        <v>2118</v>
      </c>
      <c r="E559" t="s">
        <v>2119</v>
      </c>
      <c r="F559" s="117" t="s">
        <v>2119</v>
      </c>
      <c r="G559" s="68" t="s">
        <v>400</v>
      </c>
      <c r="H559" s="69" t="str">
        <f>IF(Proc[[#This Row],[type]]="LFF (MDG-F)",MID(Proc[[#This Row],[Obj]],13,10),"")</f>
        <v/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HC</v>
      </c>
      <c r="L559" s="32" t="s">
        <v>509</v>
      </c>
      <c r="M559" s="71">
        <v>45713.229062500002</v>
      </c>
      <c r="N559" s="71">
        <v>45715</v>
      </c>
      <c r="O559" s="71">
        <v>45715</v>
      </c>
      <c r="P559" s="70" t="str">
        <f ca="1">IF(Proc[[#This Row],[DaysAgeing]]&gt;5,"yep","on track")</f>
        <v>on track</v>
      </c>
      <c r="Q559" s="3">
        <f ca="1">IF(Proc[[#This Row],[DateClosed]]="",ABS(NETWORKDAYS(Proc[[#This Row],[DateOpened]],TODAY()))-1,ABS(NETWORKDAYS(Proc[[#This Row],[DateOpened]],Proc[[#This Row],[DateClosed]]))-1)</f>
        <v>2</v>
      </c>
      <c r="R559" s="70" t="s">
        <v>478</v>
      </c>
      <c r="S559" s="69"/>
    </row>
    <row r="560" spans="1:19" hidden="1">
      <c r="A560" s="68" t="s">
        <v>2096</v>
      </c>
      <c r="B560" s="149" t="str">
        <f>IFERROR(VLOOKUP(Proc[[#This Row],[App]],Table2[],3,0),"open")</f>
        <v>ok</v>
      </c>
      <c r="C560" s="68" t="s">
        <v>369</v>
      </c>
      <c r="D560" t="s">
        <v>2120</v>
      </c>
      <c r="E560" t="s">
        <v>2121</v>
      </c>
      <c r="F560" s="117" t="s">
        <v>2121</v>
      </c>
      <c r="G560" s="68" t="s">
        <v>400</v>
      </c>
      <c r="H560" s="69" t="str">
        <f>IF(Proc[[#This Row],[type]]="LFF (MDG-F)",MID(Proc[[#This Row],[Obj]],13,10),"")</f>
        <v/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HC</v>
      </c>
      <c r="L560" s="32" t="s">
        <v>509</v>
      </c>
      <c r="M560" s="71">
        <v>45713.229062500002</v>
      </c>
      <c r="N560" s="71">
        <v>45715</v>
      </c>
      <c r="O560" s="71">
        <v>45715</v>
      </c>
      <c r="P560" s="70" t="str">
        <f ca="1">IF(Proc[[#This Row],[DaysAgeing]]&gt;5,"yep","on track")</f>
        <v>on track</v>
      </c>
      <c r="Q560" s="3">
        <f ca="1">IF(Proc[[#This Row],[DateClosed]]="",ABS(NETWORKDAYS(Proc[[#This Row],[DateOpened]],TODAY()))-1,ABS(NETWORKDAYS(Proc[[#This Row],[DateOpened]],Proc[[#This Row],[DateClosed]]))-1)</f>
        <v>2</v>
      </c>
      <c r="R560" s="70" t="s">
        <v>478</v>
      </c>
      <c r="S560" s="69"/>
    </row>
    <row r="561" spans="1:19" hidden="1">
      <c r="A561" s="68" t="s">
        <v>2096</v>
      </c>
      <c r="B561" s="149" t="str">
        <f>IFERROR(VLOOKUP(Proc[[#This Row],[App]],Table2[],3,0),"open")</f>
        <v>ok</v>
      </c>
      <c r="C561" s="68" t="s">
        <v>369</v>
      </c>
      <c r="D561" t="s">
        <v>2122</v>
      </c>
      <c r="E561" t="s">
        <v>2123</v>
      </c>
      <c r="F561" s="117" t="s">
        <v>2123</v>
      </c>
      <c r="G561" s="68" t="s">
        <v>400</v>
      </c>
      <c r="H561" s="69" t="str">
        <f>IF(Proc[[#This Row],[type]]="LFF (MDG-F)",MID(Proc[[#This Row],[Obj]],13,10),"")</f>
        <v/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HC</v>
      </c>
      <c r="L561" s="32" t="s">
        <v>509</v>
      </c>
      <c r="M561" s="71">
        <v>45713.229062500002</v>
      </c>
      <c r="N561" s="71">
        <v>45715</v>
      </c>
      <c r="O561" s="71">
        <v>45715</v>
      </c>
      <c r="P561" s="70" t="str">
        <f ca="1">IF(Proc[[#This Row],[DaysAgeing]]&gt;5,"yep","on track")</f>
        <v>on track</v>
      </c>
      <c r="Q561" s="3">
        <f ca="1">IF(Proc[[#This Row],[DateClosed]]="",ABS(NETWORKDAYS(Proc[[#This Row],[DateOpened]],TODAY()))-1,ABS(NETWORKDAYS(Proc[[#This Row],[DateOpened]],Proc[[#This Row],[DateClosed]]))-1)</f>
        <v>2</v>
      </c>
      <c r="R561" s="70" t="s">
        <v>478</v>
      </c>
      <c r="S561" s="69"/>
    </row>
    <row r="562" spans="1:19" hidden="1">
      <c r="A562" s="68" t="s">
        <v>2096</v>
      </c>
      <c r="B562" s="149" t="str">
        <f>IFERROR(VLOOKUP(Proc[[#This Row],[App]],Table2[],3,0),"open")</f>
        <v>ok</v>
      </c>
      <c r="C562" s="68" t="s">
        <v>369</v>
      </c>
      <c r="D562" t="s">
        <v>2124</v>
      </c>
      <c r="E562" t="s">
        <v>2123</v>
      </c>
      <c r="F562" s="117" t="s">
        <v>2123</v>
      </c>
      <c r="G562" s="68" t="s">
        <v>400</v>
      </c>
      <c r="H562" s="69" t="str">
        <f>IF(Proc[[#This Row],[type]]="LFF (MDG-F)",MID(Proc[[#This Row],[Obj]],13,10),"")</f>
        <v/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HC</v>
      </c>
      <c r="L562" s="32" t="s">
        <v>509</v>
      </c>
      <c r="M562" s="71">
        <v>45713.229062500002</v>
      </c>
      <c r="N562" s="71">
        <v>45715</v>
      </c>
      <c r="O562" s="71">
        <v>45715</v>
      </c>
      <c r="P562" s="70" t="str">
        <f ca="1">IF(Proc[[#This Row],[DaysAgeing]]&gt;5,"yep","on track")</f>
        <v>on track</v>
      </c>
      <c r="Q562" s="3">
        <f ca="1">IF(Proc[[#This Row],[DateClosed]]="",ABS(NETWORKDAYS(Proc[[#This Row],[DateOpened]],TODAY()))-1,ABS(NETWORKDAYS(Proc[[#This Row],[DateOpened]],Proc[[#This Row],[DateClosed]]))-1)</f>
        <v>2</v>
      </c>
      <c r="R562" s="70" t="s">
        <v>478</v>
      </c>
      <c r="S562" s="69"/>
    </row>
    <row r="563" spans="1:19" hidden="1">
      <c r="A563" s="68" t="s">
        <v>2096</v>
      </c>
      <c r="B563" s="149" t="str">
        <f>IFERROR(VLOOKUP(Proc[[#This Row],[App]],Table2[],3,0),"open")</f>
        <v>ok</v>
      </c>
      <c r="C563" s="68" t="s">
        <v>369</v>
      </c>
      <c r="D563" t="s">
        <v>2125</v>
      </c>
      <c r="E563" t="s">
        <v>2119</v>
      </c>
      <c r="F563" s="117" t="s">
        <v>2119</v>
      </c>
      <c r="G563" s="68" t="s">
        <v>400</v>
      </c>
      <c r="H563" s="69" t="str">
        <f>IF(Proc[[#This Row],[type]]="LFF (MDG-F)",MID(Proc[[#This Row],[Obj]],13,10),"")</f>
        <v/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HC</v>
      </c>
      <c r="L563" s="32" t="s">
        <v>509</v>
      </c>
      <c r="M563" s="71">
        <v>45713.229062500002</v>
      </c>
      <c r="N563" s="71">
        <v>45715</v>
      </c>
      <c r="O563" s="71">
        <v>45715</v>
      </c>
      <c r="P563" s="70" t="str">
        <f ca="1">IF(Proc[[#This Row],[DaysAgeing]]&gt;5,"yep","on track")</f>
        <v>on track</v>
      </c>
      <c r="Q563" s="3">
        <f ca="1">IF(Proc[[#This Row],[DateClosed]]="",ABS(NETWORKDAYS(Proc[[#This Row],[DateOpened]],TODAY()))-1,ABS(NETWORKDAYS(Proc[[#This Row],[DateOpened]],Proc[[#This Row],[DateClosed]]))-1)</f>
        <v>2</v>
      </c>
      <c r="R563" s="70" t="s">
        <v>478</v>
      </c>
      <c r="S563" s="69"/>
    </row>
    <row r="564" spans="1:19" hidden="1">
      <c r="A564" s="68" t="s">
        <v>2096</v>
      </c>
      <c r="B564" s="149" t="str">
        <f>IFERROR(VLOOKUP(Proc[[#This Row],[App]],Table2[],3,0),"open")</f>
        <v>ok</v>
      </c>
      <c r="C564" s="68" t="s">
        <v>369</v>
      </c>
      <c r="D564" t="s">
        <v>2126</v>
      </c>
      <c r="E564" t="s">
        <v>2119</v>
      </c>
      <c r="F564" s="117" t="s">
        <v>2119</v>
      </c>
      <c r="G564" s="68" t="s">
        <v>400</v>
      </c>
      <c r="H564" s="69" t="str">
        <f>IF(Proc[[#This Row],[type]]="LFF (MDG-F)",MID(Proc[[#This Row],[Obj]],13,10),"")</f>
        <v/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HC</v>
      </c>
      <c r="L564" s="32" t="s">
        <v>509</v>
      </c>
      <c r="M564" s="71">
        <v>45713.229062500002</v>
      </c>
      <c r="N564" s="71">
        <v>45715</v>
      </c>
      <c r="O564" s="71">
        <v>45715</v>
      </c>
      <c r="P564" s="70" t="str">
        <f ca="1">IF(Proc[[#This Row],[DaysAgeing]]&gt;5,"yep","on track")</f>
        <v>on track</v>
      </c>
      <c r="Q564" s="3">
        <f ca="1">IF(Proc[[#This Row],[DateClosed]]="",ABS(NETWORKDAYS(Proc[[#This Row],[DateOpened]],TODAY()))-1,ABS(NETWORKDAYS(Proc[[#This Row],[DateOpened]],Proc[[#This Row],[DateClosed]]))-1)</f>
        <v>2</v>
      </c>
      <c r="R564" s="70" t="s">
        <v>478</v>
      </c>
      <c r="S564" s="69"/>
    </row>
    <row r="565" spans="1:19" hidden="1">
      <c r="A565" s="68" t="s">
        <v>2096</v>
      </c>
      <c r="B565" s="149" t="str">
        <f>IFERROR(VLOOKUP(Proc[[#This Row],[App]],Table2[],3,0),"open")</f>
        <v>ok</v>
      </c>
      <c r="C565" s="68" t="s">
        <v>369</v>
      </c>
      <c r="D565" t="s">
        <v>2127</v>
      </c>
      <c r="E565" t="s">
        <v>2119</v>
      </c>
      <c r="F565" s="117" t="s">
        <v>2119</v>
      </c>
      <c r="G565" s="68" t="s">
        <v>400</v>
      </c>
      <c r="H565" s="69" t="str">
        <f>IF(Proc[[#This Row],[type]]="LFF (MDG-F)",MID(Proc[[#This Row],[Obj]],13,10),"")</f>
        <v/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HC</v>
      </c>
      <c r="L565" s="32" t="s">
        <v>509</v>
      </c>
      <c r="M565" s="71">
        <v>45713.229062500002</v>
      </c>
      <c r="N565" s="71">
        <v>45715</v>
      </c>
      <c r="O565" s="71">
        <v>45715</v>
      </c>
      <c r="P565" s="70" t="str">
        <f ca="1">IF(Proc[[#This Row],[DaysAgeing]]&gt;5,"yep","on track")</f>
        <v>on track</v>
      </c>
      <c r="Q565" s="3">
        <f ca="1">IF(Proc[[#This Row],[DateClosed]]="",ABS(NETWORKDAYS(Proc[[#This Row],[DateOpened]],TODAY()))-1,ABS(NETWORKDAYS(Proc[[#This Row],[DateOpened]],Proc[[#This Row],[DateClosed]]))-1)</f>
        <v>2</v>
      </c>
      <c r="R565" s="70" t="s">
        <v>478</v>
      </c>
      <c r="S565" s="69"/>
    </row>
    <row r="566" spans="1:19" hidden="1">
      <c r="A566" s="68" t="s">
        <v>2096</v>
      </c>
      <c r="B566" s="149" t="str">
        <f>IFERROR(VLOOKUP(Proc[[#This Row],[App]],Table2[],3,0),"open")</f>
        <v>ok</v>
      </c>
      <c r="C566" s="68" t="s">
        <v>369</v>
      </c>
      <c r="D566" t="s">
        <v>2128</v>
      </c>
      <c r="E566" t="s">
        <v>2103</v>
      </c>
      <c r="F566" s="117" t="s">
        <v>2103</v>
      </c>
      <c r="G566" s="68" t="s">
        <v>400</v>
      </c>
      <c r="H566" s="69" t="str">
        <f>IF(Proc[[#This Row],[type]]="LFF (MDG-F)",MID(Proc[[#This Row],[Obj]],13,10),"")</f>
        <v/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HC</v>
      </c>
      <c r="L566" s="32" t="s">
        <v>509</v>
      </c>
      <c r="M566" s="71">
        <v>45713.229062500002</v>
      </c>
      <c r="N566" s="71">
        <v>45715</v>
      </c>
      <c r="O566" s="71">
        <v>45715</v>
      </c>
      <c r="P566" s="70" t="str">
        <f ca="1">IF(Proc[[#This Row],[DaysAgeing]]&gt;5,"yep","on track")</f>
        <v>on track</v>
      </c>
      <c r="Q566" s="3">
        <f ca="1">IF(Proc[[#This Row],[DateClosed]]="",ABS(NETWORKDAYS(Proc[[#This Row],[DateOpened]],TODAY()))-1,ABS(NETWORKDAYS(Proc[[#This Row],[DateOpened]],Proc[[#This Row],[DateClosed]]))-1)</f>
        <v>2</v>
      </c>
      <c r="R566" s="70" t="s">
        <v>478</v>
      </c>
      <c r="S566" s="69"/>
    </row>
    <row r="567" spans="1:19" hidden="1">
      <c r="A567" s="68" t="s">
        <v>2096</v>
      </c>
      <c r="B567" s="149" t="str">
        <f>IFERROR(VLOOKUP(Proc[[#This Row],[App]],Table2[],3,0),"open")</f>
        <v>ok</v>
      </c>
      <c r="C567" s="68" t="s">
        <v>369</v>
      </c>
      <c r="D567" t="s">
        <v>2129</v>
      </c>
      <c r="E567" t="s">
        <v>2130</v>
      </c>
      <c r="F567" s="117" t="s">
        <v>2130</v>
      </c>
      <c r="G567" s="68" t="s">
        <v>400</v>
      </c>
      <c r="H567" s="69" t="str">
        <f>IF(Proc[[#This Row],[type]]="LFF (MDG-F)",MID(Proc[[#This Row],[Obj]],13,10),"")</f>
        <v/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HC</v>
      </c>
      <c r="L567" s="32" t="s">
        <v>509</v>
      </c>
      <c r="M567" s="71">
        <v>45713.229062500002</v>
      </c>
      <c r="N567" s="71">
        <v>45715</v>
      </c>
      <c r="O567" s="71">
        <v>45715</v>
      </c>
      <c r="P567" s="70" t="str">
        <f ca="1">IF(Proc[[#This Row],[DaysAgeing]]&gt;5,"yep","on track")</f>
        <v>on track</v>
      </c>
      <c r="Q567" s="3">
        <f ca="1">IF(Proc[[#This Row],[DateClosed]]="",ABS(NETWORKDAYS(Proc[[#This Row],[DateOpened]],TODAY()))-1,ABS(NETWORKDAYS(Proc[[#This Row],[DateOpened]],Proc[[#This Row],[DateClosed]]))-1)</f>
        <v>2</v>
      </c>
      <c r="R567" s="70" t="s">
        <v>478</v>
      </c>
      <c r="S567" s="69"/>
    </row>
    <row r="568" spans="1:19" hidden="1">
      <c r="A568" s="68" t="s">
        <v>2096</v>
      </c>
      <c r="B568" s="149" t="str">
        <f>IFERROR(VLOOKUP(Proc[[#This Row],[App]],Table2[],3,0),"open")</f>
        <v>ok</v>
      </c>
      <c r="C568" s="68" t="s">
        <v>369</v>
      </c>
      <c r="D568" t="s">
        <v>2131</v>
      </c>
      <c r="E568" t="s">
        <v>2132</v>
      </c>
      <c r="F568" s="117" t="s">
        <v>2132</v>
      </c>
      <c r="G568" s="68" t="s">
        <v>400</v>
      </c>
      <c r="H568" s="69" t="str">
        <f>IF(Proc[[#This Row],[type]]="LFF (MDG-F)",MID(Proc[[#This Row],[Obj]],13,10),"")</f>
        <v/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HC</v>
      </c>
      <c r="L568" s="32" t="s">
        <v>509</v>
      </c>
      <c r="M568" s="71">
        <v>45713.229062500002</v>
      </c>
      <c r="N568" s="71">
        <v>45715</v>
      </c>
      <c r="O568" s="71">
        <v>45715</v>
      </c>
      <c r="P568" s="70" t="str">
        <f ca="1">IF(Proc[[#This Row],[DaysAgeing]]&gt;5,"yep","on track")</f>
        <v>on track</v>
      </c>
      <c r="Q568" s="3">
        <f ca="1">IF(Proc[[#This Row],[DateClosed]]="",ABS(NETWORKDAYS(Proc[[#This Row],[DateOpened]],TODAY()))-1,ABS(NETWORKDAYS(Proc[[#This Row],[DateOpened]],Proc[[#This Row],[DateClosed]]))-1)</f>
        <v>2</v>
      </c>
      <c r="R568" s="70" t="s">
        <v>478</v>
      </c>
      <c r="S568" s="69"/>
    </row>
    <row r="569" spans="1:19" hidden="1">
      <c r="A569" s="68" t="s">
        <v>2096</v>
      </c>
      <c r="B569" s="149" t="str">
        <f>IFERROR(VLOOKUP(Proc[[#This Row],[App]],Table2[],3,0),"open")</f>
        <v>ok</v>
      </c>
      <c r="C569" s="68" t="s">
        <v>369</v>
      </c>
      <c r="D569" t="s">
        <v>2133</v>
      </c>
      <c r="E569" t="s">
        <v>2132</v>
      </c>
      <c r="F569" s="117" t="s">
        <v>2132</v>
      </c>
      <c r="G569" s="68" t="s">
        <v>400</v>
      </c>
      <c r="H569" s="69" t="str">
        <f>IF(Proc[[#This Row],[type]]="LFF (MDG-F)",MID(Proc[[#This Row],[Obj]],13,10),"")</f>
        <v/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HC</v>
      </c>
      <c r="L569" s="32" t="s">
        <v>509</v>
      </c>
      <c r="M569" s="71">
        <v>45713.229062500002</v>
      </c>
      <c r="N569" s="71">
        <v>45715</v>
      </c>
      <c r="O569" s="71">
        <v>45715</v>
      </c>
      <c r="P569" s="70" t="str">
        <f ca="1">IF(Proc[[#This Row],[DaysAgeing]]&gt;5,"yep","on track")</f>
        <v>on track</v>
      </c>
      <c r="Q569" s="3">
        <f ca="1">IF(Proc[[#This Row],[DateClosed]]="",ABS(NETWORKDAYS(Proc[[#This Row],[DateOpened]],TODAY()))-1,ABS(NETWORKDAYS(Proc[[#This Row],[DateOpened]],Proc[[#This Row],[DateClosed]]))-1)</f>
        <v>2</v>
      </c>
      <c r="R569" s="70" t="s">
        <v>478</v>
      </c>
      <c r="S569" s="69"/>
    </row>
    <row r="570" spans="1:19" hidden="1">
      <c r="A570" s="68" t="s">
        <v>2096</v>
      </c>
      <c r="B570" s="149" t="str">
        <f>IFERROR(VLOOKUP(Proc[[#This Row],[App]],Table2[],3,0),"open")</f>
        <v>ok</v>
      </c>
      <c r="C570" s="68" t="s">
        <v>369</v>
      </c>
      <c r="D570" t="s">
        <v>2134</v>
      </c>
      <c r="E570" t="s">
        <v>2132</v>
      </c>
      <c r="F570" s="117" t="s">
        <v>2132</v>
      </c>
      <c r="G570" s="68" t="s">
        <v>400</v>
      </c>
      <c r="H570" s="69" t="str">
        <f>IF(Proc[[#This Row],[type]]="LFF (MDG-F)",MID(Proc[[#This Row],[Obj]],13,10),"")</f>
        <v/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HC</v>
      </c>
      <c r="L570" s="32" t="s">
        <v>509</v>
      </c>
      <c r="M570" s="71">
        <v>45713.229062500002</v>
      </c>
      <c r="N570" s="71">
        <v>45715</v>
      </c>
      <c r="O570" s="71">
        <v>45715</v>
      </c>
      <c r="P570" s="70" t="str">
        <f ca="1">IF(Proc[[#This Row],[DaysAgeing]]&gt;5,"yep","on track")</f>
        <v>on track</v>
      </c>
      <c r="Q570" s="3">
        <f ca="1">IF(Proc[[#This Row],[DateClosed]]="",ABS(NETWORKDAYS(Proc[[#This Row],[DateOpened]],TODAY()))-1,ABS(NETWORKDAYS(Proc[[#This Row],[DateOpened]],Proc[[#This Row],[DateClosed]]))-1)</f>
        <v>2</v>
      </c>
      <c r="R570" s="70" t="s">
        <v>478</v>
      </c>
      <c r="S570" s="69"/>
    </row>
    <row r="571" spans="1:19" hidden="1">
      <c r="A571" s="68" t="s">
        <v>2096</v>
      </c>
      <c r="B571" s="149" t="str">
        <f>IFERROR(VLOOKUP(Proc[[#This Row],[App]],Table2[],3,0),"open")</f>
        <v>ok</v>
      </c>
      <c r="C571" s="68" t="s">
        <v>369</v>
      </c>
      <c r="D571" t="s">
        <v>2135</v>
      </c>
      <c r="E571" t="s">
        <v>2132</v>
      </c>
      <c r="F571" s="117" t="s">
        <v>2132</v>
      </c>
      <c r="G571" s="68" t="s">
        <v>400</v>
      </c>
      <c r="H571" s="69" t="str">
        <f>IF(Proc[[#This Row],[type]]="LFF (MDG-F)",MID(Proc[[#This Row],[Obj]],13,10),"")</f>
        <v/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HC</v>
      </c>
      <c r="L571" s="32" t="s">
        <v>509</v>
      </c>
      <c r="M571" s="71">
        <v>45713.229062500002</v>
      </c>
      <c r="N571" s="71">
        <v>45715</v>
      </c>
      <c r="O571" s="71">
        <v>45715</v>
      </c>
      <c r="P571" s="70" t="str">
        <f ca="1">IF(Proc[[#This Row],[DaysAgeing]]&gt;5,"yep","on track")</f>
        <v>on track</v>
      </c>
      <c r="Q571" s="3">
        <f ca="1">IF(Proc[[#This Row],[DateClosed]]="",ABS(NETWORKDAYS(Proc[[#This Row],[DateOpened]],TODAY()))-1,ABS(NETWORKDAYS(Proc[[#This Row],[DateOpened]],Proc[[#This Row],[DateClosed]]))-1)</f>
        <v>2</v>
      </c>
      <c r="R571" s="70" t="s">
        <v>478</v>
      </c>
      <c r="S571" s="69"/>
    </row>
    <row r="572" spans="1:19" hidden="1">
      <c r="A572" s="68" t="s">
        <v>2096</v>
      </c>
      <c r="B572" s="149" t="str">
        <f>IFERROR(VLOOKUP(Proc[[#This Row],[App]],Table2[],3,0),"open")</f>
        <v>ok</v>
      </c>
      <c r="C572" s="68" t="s">
        <v>369</v>
      </c>
      <c r="D572" t="s">
        <v>2136</v>
      </c>
      <c r="E572" t="s">
        <v>2132</v>
      </c>
      <c r="F572" s="117" t="s">
        <v>2132</v>
      </c>
      <c r="G572" s="68" t="s">
        <v>400</v>
      </c>
      <c r="H572" s="69" t="str">
        <f>IF(Proc[[#This Row],[type]]="LFF (MDG-F)",MID(Proc[[#This Row],[Obj]],13,10),"")</f>
        <v/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HC</v>
      </c>
      <c r="L572" s="32" t="s">
        <v>509</v>
      </c>
      <c r="M572" s="71">
        <v>45713.229062500002</v>
      </c>
      <c r="N572" s="71">
        <v>45715</v>
      </c>
      <c r="O572" s="71">
        <v>45715</v>
      </c>
      <c r="P572" s="70" t="str">
        <f ca="1">IF(Proc[[#This Row],[DaysAgeing]]&gt;5,"yep","on track")</f>
        <v>on track</v>
      </c>
      <c r="Q572" s="3">
        <f ca="1">IF(Proc[[#This Row],[DateClosed]]="",ABS(NETWORKDAYS(Proc[[#This Row],[DateOpened]],TODAY()))-1,ABS(NETWORKDAYS(Proc[[#This Row],[DateOpened]],Proc[[#This Row],[DateClosed]]))-1)</f>
        <v>2</v>
      </c>
      <c r="R572" s="70" t="s">
        <v>478</v>
      </c>
      <c r="S572" s="69"/>
    </row>
    <row r="573" spans="1:19" hidden="1">
      <c r="A573" s="68" t="s">
        <v>2096</v>
      </c>
      <c r="B573" s="149" t="str">
        <f>IFERROR(VLOOKUP(Proc[[#This Row],[App]],Table2[],3,0),"open")</f>
        <v>ok</v>
      </c>
      <c r="C573" s="68" t="s">
        <v>369</v>
      </c>
      <c r="D573" t="s">
        <v>2137</v>
      </c>
      <c r="E573" t="s">
        <v>2132</v>
      </c>
      <c r="F573" s="117" t="s">
        <v>2132</v>
      </c>
      <c r="G573" s="68" t="s">
        <v>400</v>
      </c>
      <c r="H573" s="69" t="str">
        <f>IF(Proc[[#This Row],[type]]="LFF (MDG-F)",MID(Proc[[#This Row],[Obj]],13,10),"")</f>
        <v/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HC</v>
      </c>
      <c r="L573" s="32" t="s">
        <v>509</v>
      </c>
      <c r="M573" s="71">
        <v>45713.229062500002</v>
      </c>
      <c r="N573" s="71">
        <v>45715</v>
      </c>
      <c r="O573" s="71">
        <v>45715</v>
      </c>
      <c r="P573" s="70" t="str">
        <f ca="1">IF(Proc[[#This Row],[DaysAgeing]]&gt;5,"yep","on track")</f>
        <v>on track</v>
      </c>
      <c r="Q573" s="3">
        <f ca="1">IF(Proc[[#This Row],[DateClosed]]="",ABS(NETWORKDAYS(Proc[[#This Row],[DateOpened]],TODAY()))-1,ABS(NETWORKDAYS(Proc[[#This Row],[DateOpened]],Proc[[#This Row],[DateClosed]]))-1)</f>
        <v>2</v>
      </c>
      <c r="R573" s="70" t="s">
        <v>478</v>
      </c>
      <c r="S573" s="69"/>
    </row>
    <row r="574" spans="1:19" hidden="1">
      <c r="A574" s="68" t="s">
        <v>2096</v>
      </c>
      <c r="B574" s="149" t="str">
        <f>IFERROR(VLOOKUP(Proc[[#This Row],[App]],Table2[],3,0),"open")</f>
        <v>ok</v>
      </c>
      <c r="C574" s="68" t="s">
        <v>369</v>
      </c>
      <c r="D574" t="s">
        <v>2138</v>
      </c>
      <c r="E574" t="s">
        <v>2139</v>
      </c>
      <c r="F574" s="117" t="s">
        <v>2139</v>
      </c>
      <c r="G574" s="68" t="s">
        <v>400</v>
      </c>
      <c r="H574" s="69" t="str">
        <f>IF(Proc[[#This Row],[type]]="LFF (MDG-F)",MID(Proc[[#This Row],[Obj]],13,10),"")</f>
        <v/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HC</v>
      </c>
      <c r="L574" s="32" t="s">
        <v>509</v>
      </c>
      <c r="M574" s="71">
        <v>45713.229062500002</v>
      </c>
      <c r="N574" s="71">
        <v>45715</v>
      </c>
      <c r="O574" s="71">
        <v>45715</v>
      </c>
      <c r="P574" s="70" t="str">
        <f ca="1">IF(Proc[[#This Row],[DaysAgeing]]&gt;5,"yep","on track")</f>
        <v>on track</v>
      </c>
      <c r="Q574" s="3">
        <f ca="1">IF(Proc[[#This Row],[DateClosed]]="",ABS(NETWORKDAYS(Proc[[#This Row],[DateOpened]],TODAY()))-1,ABS(NETWORKDAYS(Proc[[#This Row],[DateOpened]],Proc[[#This Row],[DateClosed]]))-1)</f>
        <v>2</v>
      </c>
      <c r="R574" s="70" t="s">
        <v>478</v>
      </c>
      <c r="S574" s="69"/>
    </row>
    <row r="575" spans="1:19" hidden="1">
      <c r="A575" s="68" t="s">
        <v>2096</v>
      </c>
      <c r="B575" s="149" t="str">
        <f>IFERROR(VLOOKUP(Proc[[#This Row],[App]],Table2[],3,0),"open")</f>
        <v>ok</v>
      </c>
      <c r="C575" s="68" t="s">
        <v>369</v>
      </c>
      <c r="D575" t="s">
        <v>2140</v>
      </c>
      <c r="E575" t="s">
        <v>2139</v>
      </c>
      <c r="F575" s="117" t="s">
        <v>2139</v>
      </c>
      <c r="G575" s="68" t="s">
        <v>400</v>
      </c>
      <c r="H575" s="69" t="str">
        <f>IF(Proc[[#This Row],[type]]="LFF (MDG-F)",MID(Proc[[#This Row],[Obj]],13,10),"")</f>
        <v/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HC</v>
      </c>
      <c r="L575" s="32" t="s">
        <v>509</v>
      </c>
      <c r="M575" s="71">
        <v>45713.229062500002</v>
      </c>
      <c r="N575" s="71">
        <v>45715</v>
      </c>
      <c r="O575" s="71">
        <v>45715</v>
      </c>
      <c r="P575" s="70" t="str">
        <f ca="1">IF(Proc[[#This Row],[DaysAgeing]]&gt;5,"yep","on track")</f>
        <v>on track</v>
      </c>
      <c r="Q575" s="3">
        <f ca="1">IF(Proc[[#This Row],[DateClosed]]="",ABS(NETWORKDAYS(Proc[[#This Row],[DateOpened]],TODAY()))-1,ABS(NETWORKDAYS(Proc[[#This Row],[DateOpened]],Proc[[#This Row],[DateClosed]]))-1)</f>
        <v>2</v>
      </c>
      <c r="R575" s="70" t="s">
        <v>478</v>
      </c>
      <c r="S575" s="69"/>
    </row>
    <row r="576" spans="1:19" hidden="1">
      <c r="A576" s="68" t="s">
        <v>2096</v>
      </c>
      <c r="B576" s="149" t="str">
        <f>IFERROR(VLOOKUP(Proc[[#This Row],[App]],Table2[],3,0),"open")</f>
        <v>ok</v>
      </c>
      <c r="C576" s="68" t="s">
        <v>369</v>
      </c>
      <c r="D576" t="s">
        <v>2141</v>
      </c>
      <c r="E576" t="s">
        <v>2142</v>
      </c>
      <c r="F576" s="117" t="s">
        <v>2142</v>
      </c>
      <c r="G576" s="68" t="s">
        <v>400</v>
      </c>
      <c r="H576" s="69" t="str">
        <f>IF(Proc[[#This Row],[type]]="LFF (MDG-F)",MID(Proc[[#This Row],[Obj]],13,10),"")</f>
        <v/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HC</v>
      </c>
      <c r="L576" s="32" t="s">
        <v>509</v>
      </c>
      <c r="M576" s="71">
        <v>45713.229062500002</v>
      </c>
      <c r="N576" s="71">
        <v>45715</v>
      </c>
      <c r="O576" s="71">
        <v>45715</v>
      </c>
      <c r="P576" s="70" t="str">
        <f ca="1">IF(Proc[[#This Row],[DaysAgeing]]&gt;5,"yep","on track")</f>
        <v>on track</v>
      </c>
      <c r="Q576" s="3">
        <f ca="1">IF(Proc[[#This Row],[DateClosed]]="",ABS(NETWORKDAYS(Proc[[#This Row],[DateOpened]],TODAY()))-1,ABS(NETWORKDAYS(Proc[[#This Row],[DateOpened]],Proc[[#This Row],[DateClosed]]))-1)</f>
        <v>2</v>
      </c>
      <c r="R576" s="70" t="s">
        <v>478</v>
      </c>
      <c r="S576" s="69"/>
    </row>
    <row r="577" spans="1:19" hidden="1">
      <c r="A577" s="68" t="s">
        <v>2096</v>
      </c>
      <c r="B577" s="149" t="str">
        <f>IFERROR(VLOOKUP(Proc[[#This Row],[App]],Table2[],3,0),"open")</f>
        <v>ok</v>
      </c>
      <c r="C577" s="68" t="s">
        <v>369</v>
      </c>
      <c r="D577" t="s">
        <v>2143</v>
      </c>
      <c r="E577" t="s">
        <v>2144</v>
      </c>
      <c r="F577" s="117" t="s">
        <v>2144</v>
      </c>
      <c r="G577" s="68" t="s">
        <v>400</v>
      </c>
      <c r="H577" s="69" t="str">
        <f>IF(Proc[[#This Row],[type]]="LFF (MDG-F)",MID(Proc[[#This Row],[Obj]],13,10),"")</f>
        <v/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HC</v>
      </c>
      <c r="L577" s="32" t="s">
        <v>509</v>
      </c>
      <c r="M577" s="71">
        <v>45713.229062500002</v>
      </c>
      <c r="N577" s="71">
        <v>45715</v>
      </c>
      <c r="O577" s="71">
        <v>45715</v>
      </c>
      <c r="P577" s="70" t="str">
        <f ca="1">IF(Proc[[#This Row],[DaysAgeing]]&gt;5,"yep","on track")</f>
        <v>on track</v>
      </c>
      <c r="Q577" s="3">
        <f ca="1">IF(Proc[[#This Row],[DateClosed]]="",ABS(NETWORKDAYS(Proc[[#This Row],[DateOpened]],TODAY()))-1,ABS(NETWORKDAYS(Proc[[#This Row],[DateOpened]],Proc[[#This Row],[DateClosed]]))-1)</f>
        <v>2</v>
      </c>
      <c r="R577" s="70" t="s">
        <v>478</v>
      </c>
      <c r="S577" s="69"/>
    </row>
    <row r="578" spans="1:19" hidden="1">
      <c r="A578" s="68" t="s">
        <v>2096</v>
      </c>
      <c r="B578" s="149" t="str">
        <f>IFERROR(VLOOKUP(Proc[[#This Row],[App]],Table2[],3,0),"open")</f>
        <v>ok</v>
      </c>
      <c r="C578" s="68" t="s">
        <v>369</v>
      </c>
      <c r="D578" t="s">
        <v>2145</v>
      </c>
      <c r="E578" t="s">
        <v>2144</v>
      </c>
      <c r="F578" s="117" t="s">
        <v>2144</v>
      </c>
      <c r="G578" s="68" t="s">
        <v>400</v>
      </c>
      <c r="H578" s="69" t="str">
        <f>IF(Proc[[#This Row],[type]]="LFF (MDG-F)",MID(Proc[[#This Row],[Obj]],13,10),"")</f>
        <v/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HC</v>
      </c>
      <c r="L578" s="32" t="s">
        <v>509</v>
      </c>
      <c r="M578" s="71">
        <v>45713.229062500002</v>
      </c>
      <c r="N578" s="71">
        <v>45715</v>
      </c>
      <c r="O578" s="71">
        <v>45715</v>
      </c>
      <c r="P578" s="70" t="str">
        <f ca="1">IF(Proc[[#This Row],[DaysAgeing]]&gt;5,"yep","on track")</f>
        <v>on track</v>
      </c>
      <c r="Q578" s="3">
        <f ca="1">IF(Proc[[#This Row],[DateClosed]]="",ABS(NETWORKDAYS(Proc[[#This Row],[DateOpened]],TODAY()))-1,ABS(NETWORKDAYS(Proc[[#This Row],[DateOpened]],Proc[[#This Row],[DateClosed]]))-1)</f>
        <v>2</v>
      </c>
      <c r="R578" s="70" t="s">
        <v>478</v>
      </c>
      <c r="S578" s="69"/>
    </row>
    <row r="579" spans="1:19" hidden="1">
      <c r="A579" t="s">
        <v>2096</v>
      </c>
      <c r="B579" s="149" t="str">
        <f>IFERROR(VLOOKUP(Proc[[#This Row],[App]],Table2[],3,0),"open")</f>
        <v>ok</v>
      </c>
      <c r="C579" s="68" t="s">
        <v>369</v>
      </c>
      <c r="D579" t="s">
        <v>2146</v>
      </c>
      <c r="E579" t="s">
        <v>2144</v>
      </c>
      <c r="F579" s="117" t="s">
        <v>2144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HC</v>
      </c>
      <c r="L579" s="32" t="s">
        <v>509</v>
      </c>
      <c r="M579" s="71">
        <v>45713.229062500002</v>
      </c>
      <c r="N579" s="71">
        <v>45715</v>
      </c>
      <c r="O579" s="71">
        <v>45715</v>
      </c>
      <c r="P579" s="70" t="str">
        <f ca="1">IF(Proc[[#This Row],[DaysAgeing]]&gt;5,"yep","on track")</f>
        <v>on track</v>
      </c>
      <c r="Q579" s="3">
        <f ca="1">IF(Proc[[#This Row],[DateClosed]]="",ABS(NETWORKDAYS(Proc[[#This Row],[DateOpened]],TODAY()))-1,ABS(NETWORKDAYS(Proc[[#This Row],[DateOpened]],Proc[[#This Row],[DateClosed]]))-1)</f>
        <v>2</v>
      </c>
      <c r="R579" s="70" t="s">
        <v>478</v>
      </c>
      <c r="S579" s="69"/>
    </row>
    <row r="580" spans="1:19" hidden="1">
      <c r="A580" s="68" t="s">
        <v>2096</v>
      </c>
      <c r="B580" s="149" t="str">
        <f>IFERROR(VLOOKUP(Proc[[#This Row],[App]],Table2[],3,0),"open")</f>
        <v>ok</v>
      </c>
      <c r="C580" s="68" t="s">
        <v>369</v>
      </c>
      <c r="D580" t="s">
        <v>2147</v>
      </c>
      <c r="E580" t="s">
        <v>2144</v>
      </c>
      <c r="F580" s="117" t="s">
        <v>2144</v>
      </c>
      <c r="G580" s="68" t="s">
        <v>400</v>
      </c>
      <c r="H580" s="69" t="str">
        <f>IF(Proc[[#This Row],[type]]="LFF (MDG-F)",MID(Proc[[#This Row],[Obj]],13,10),"")</f>
        <v/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HC</v>
      </c>
      <c r="L580" s="32" t="s">
        <v>509</v>
      </c>
      <c r="M580" s="71">
        <v>45713.229062500002</v>
      </c>
      <c r="N580" s="71">
        <v>45715</v>
      </c>
      <c r="O580" s="71">
        <v>45715</v>
      </c>
      <c r="P580" s="70" t="str">
        <f ca="1">IF(Proc[[#This Row],[DaysAgeing]]&gt;5,"yep","on track")</f>
        <v>on track</v>
      </c>
      <c r="Q580" s="3">
        <f ca="1">IF(Proc[[#This Row],[DateClosed]]="",ABS(NETWORKDAYS(Proc[[#This Row],[DateOpened]],TODAY()))-1,ABS(NETWORKDAYS(Proc[[#This Row],[DateOpened]],Proc[[#This Row],[DateClosed]]))-1)</f>
        <v>2</v>
      </c>
      <c r="R580" s="70" t="s">
        <v>478</v>
      </c>
      <c r="S580" s="69"/>
    </row>
    <row r="581" spans="1:19" hidden="1">
      <c r="A581" s="68" t="s">
        <v>2096</v>
      </c>
      <c r="B581" s="149" t="str">
        <f>IFERROR(VLOOKUP(Proc[[#This Row],[App]],Table2[],3,0),"open")</f>
        <v>ok</v>
      </c>
      <c r="C581" s="68" t="s">
        <v>369</v>
      </c>
      <c r="D581" t="s">
        <v>2148</v>
      </c>
      <c r="E581" t="s">
        <v>2149</v>
      </c>
      <c r="F581" s="117" t="s">
        <v>2149</v>
      </c>
      <c r="G581" s="68" t="s">
        <v>400</v>
      </c>
      <c r="H581" s="69" t="str">
        <f>IF(Proc[[#This Row],[type]]="LFF (MDG-F)",MID(Proc[[#This Row],[Obj]],13,10),"")</f>
        <v/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HC</v>
      </c>
      <c r="L581" s="32" t="s">
        <v>509</v>
      </c>
      <c r="M581" s="71">
        <v>45713.229062500002</v>
      </c>
      <c r="N581" s="71">
        <v>45715</v>
      </c>
      <c r="O581" s="71">
        <v>45715</v>
      </c>
      <c r="P581" s="70" t="str">
        <f ca="1">IF(Proc[[#This Row],[DaysAgeing]]&gt;5,"yep","on track")</f>
        <v>on track</v>
      </c>
      <c r="Q581" s="3">
        <f ca="1">IF(Proc[[#This Row],[DateClosed]]="",ABS(NETWORKDAYS(Proc[[#This Row],[DateOpened]],TODAY()))-1,ABS(NETWORKDAYS(Proc[[#This Row],[DateOpened]],Proc[[#This Row],[DateClosed]]))-1)</f>
        <v>2</v>
      </c>
      <c r="R581" s="70" t="s">
        <v>478</v>
      </c>
      <c r="S581" s="69"/>
    </row>
    <row r="582" spans="1:19" hidden="1">
      <c r="A582" s="68" t="s">
        <v>2096</v>
      </c>
      <c r="B582" s="149" t="str">
        <f>IFERROR(VLOOKUP(Proc[[#This Row],[App]],Table2[],3,0),"open")</f>
        <v>ok</v>
      </c>
      <c r="C582" s="68" t="s">
        <v>369</v>
      </c>
      <c r="D582" t="s">
        <v>2150</v>
      </c>
      <c r="E582" t="s">
        <v>2144</v>
      </c>
      <c r="F582" s="117" t="s">
        <v>2144</v>
      </c>
      <c r="G582" s="68" t="s">
        <v>400</v>
      </c>
      <c r="H582" s="69" t="str">
        <f>IF(Proc[[#This Row],[type]]="LFF (MDG-F)",MID(Proc[[#This Row],[Obj]],13,10),"")</f>
        <v/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HC</v>
      </c>
      <c r="L582" s="32" t="s">
        <v>509</v>
      </c>
      <c r="M582" s="71">
        <v>45713.229062500002</v>
      </c>
      <c r="N582" s="71">
        <v>45715</v>
      </c>
      <c r="O582" s="71">
        <v>45715</v>
      </c>
      <c r="P582" s="70" t="str">
        <f ca="1">IF(Proc[[#This Row],[DaysAgeing]]&gt;5,"yep","on track")</f>
        <v>on track</v>
      </c>
      <c r="Q582" s="3">
        <f ca="1">IF(Proc[[#This Row],[DateClosed]]="",ABS(NETWORKDAYS(Proc[[#This Row],[DateOpened]],TODAY()))-1,ABS(NETWORKDAYS(Proc[[#This Row],[DateOpened]],Proc[[#This Row],[DateClosed]]))-1)</f>
        <v>2</v>
      </c>
      <c r="R582" s="70" t="s">
        <v>478</v>
      </c>
      <c r="S582" s="69"/>
    </row>
    <row r="583" spans="1:19" hidden="1">
      <c r="A583" s="68" t="s">
        <v>2096</v>
      </c>
      <c r="B583" s="149" t="str">
        <f>IFERROR(VLOOKUP(Proc[[#This Row],[App]],Table2[],3,0),"open")</f>
        <v>ok</v>
      </c>
      <c r="C583" s="68" t="s">
        <v>369</v>
      </c>
      <c r="D583" t="s">
        <v>2151</v>
      </c>
      <c r="E583" t="s">
        <v>2144</v>
      </c>
      <c r="F583" s="117" t="s">
        <v>2144</v>
      </c>
      <c r="G583" s="68" t="s">
        <v>400</v>
      </c>
      <c r="H583" s="69" t="str">
        <f>IF(Proc[[#This Row],[type]]="LFF (MDG-F)",MID(Proc[[#This Row],[Obj]],13,10),"")</f>
        <v/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HC</v>
      </c>
      <c r="L583" s="32" t="s">
        <v>509</v>
      </c>
      <c r="M583" s="71">
        <v>45713.229062500002</v>
      </c>
      <c r="N583" s="71">
        <v>45715</v>
      </c>
      <c r="O583" s="71">
        <v>45715</v>
      </c>
      <c r="P583" s="70" t="str">
        <f ca="1">IF(Proc[[#This Row],[DaysAgeing]]&gt;5,"yep","on track")</f>
        <v>on track</v>
      </c>
      <c r="Q583" s="3">
        <f ca="1">IF(Proc[[#This Row],[DateClosed]]="",ABS(NETWORKDAYS(Proc[[#This Row],[DateOpened]],TODAY()))-1,ABS(NETWORKDAYS(Proc[[#This Row],[DateOpened]],Proc[[#This Row],[DateClosed]]))-1)</f>
        <v>2</v>
      </c>
      <c r="R583" s="70" t="s">
        <v>478</v>
      </c>
      <c r="S583" s="69"/>
    </row>
    <row r="584" spans="1:19" hidden="1">
      <c r="A584" s="68" t="s">
        <v>2096</v>
      </c>
      <c r="B584" s="149" t="str">
        <f>IFERROR(VLOOKUP(Proc[[#This Row],[App]],Table2[],3,0),"open")</f>
        <v>ok</v>
      </c>
      <c r="C584" s="68" t="s">
        <v>369</v>
      </c>
      <c r="D584" t="s">
        <v>2152</v>
      </c>
      <c r="E584" t="s">
        <v>2144</v>
      </c>
      <c r="F584" s="117" t="s">
        <v>2144</v>
      </c>
      <c r="G584" s="68" t="s">
        <v>400</v>
      </c>
      <c r="H584" s="69" t="str">
        <f>IF(Proc[[#This Row],[type]]="LFF (MDG-F)",MID(Proc[[#This Row],[Obj]],13,10),"")</f>
        <v/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HC</v>
      </c>
      <c r="L584" s="32" t="s">
        <v>509</v>
      </c>
      <c r="M584" s="71">
        <v>45713.229062500002</v>
      </c>
      <c r="N584" s="71">
        <v>45715</v>
      </c>
      <c r="O584" s="71">
        <v>45715</v>
      </c>
      <c r="P584" s="70" t="str">
        <f ca="1">IF(Proc[[#This Row],[DaysAgeing]]&gt;5,"yep","on track")</f>
        <v>on track</v>
      </c>
      <c r="Q584" s="3">
        <f ca="1">IF(Proc[[#This Row],[DateClosed]]="",ABS(NETWORKDAYS(Proc[[#This Row],[DateOpened]],TODAY()))-1,ABS(NETWORKDAYS(Proc[[#This Row],[DateOpened]],Proc[[#This Row],[DateClosed]]))-1)</f>
        <v>2</v>
      </c>
      <c r="R584" s="70" t="s">
        <v>478</v>
      </c>
      <c r="S584" s="69"/>
    </row>
    <row r="585" spans="1:19" hidden="1">
      <c r="A585" s="68" t="s">
        <v>2096</v>
      </c>
      <c r="B585" s="149" t="str">
        <f>IFERROR(VLOOKUP(Proc[[#This Row],[App]],Table2[],3,0),"open")</f>
        <v>ok</v>
      </c>
      <c r="C585" s="68" t="s">
        <v>369</v>
      </c>
      <c r="D585" t="s">
        <v>2153</v>
      </c>
      <c r="E585" t="s">
        <v>2103</v>
      </c>
      <c r="F585" s="117" t="s">
        <v>2103</v>
      </c>
      <c r="G585" s="68" t="s">
        <v>400</v>
      </c>
      <c r="H585" s="69" t="str">
        <f>IF(Proc[[#This Row],[type]]="LFF (MDG-F)",MID(Proc[[#This Row],[Obj]],13,10),"")</f>
        <v/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HC</v>
      </c>
      <c r="L585" s="32" t="s">
        <v>509</v>
      </c>
      <c r="M585" s="71">
        <v>45713.229062500002</v>
      </c>
      <c r="N585" s="71">
        <v>45715</v>
      </c>
      <c r="O585" s="71">
        <v>45715</v>
      </c>
      <c r="P585" s="70" t="str">
        <f ca="1">IF(Proc[[#This Row],[DaysAgeing]]&gt;5,"yep","on track")</f>
        <v>on track</v>
      </c>
      <c r="Q585" s="3">
        <f ca="1">IF(Proc[[#This Row],[DateClosed]]="",ABS(NETWORKDAYS(Proc[[#This Row],[DateOpened]],TODAY()))-1,ABS(NETWORKDAYS(Proc[[#This Row],[DateOpened]],Proc[[#This Row],[DateClosed]]))-1)</f>
        <v>2</v>
      </c>
      <c r="R585" s="70" t="s">
        <v>478</v>
      </c>
      <c r="S585" s="69"/>
    </row>
    <row r="586" spans="1:19" hidden="1">
      <c r="A586" s="68" t="s">
        <v>2096</v>
      </c>
      <c r="B586" s="149" t="str">
        <f>IFERROR(VLOOKUP(Proc[[#This Row],[App]],Table2[],3,0),"open")</f>
        <v>ok</v>
      </c>
      <c r="C586" s="68" t="s">
        <v>369</v>
      </c>
      <c r="D586" t="s">
        <v>2154</v>
      </c>
      <c r="E586" t="s">
        <v>2155</v>
      </c>
      <c r="F586" s="117" t="s">
        <v>2155</v>
      </c>
      <c r="G586" s="68" t="s">
        <v>400</v>
      </c>
      <c r="H586" s="69" t="str">
        <f>IF(Proc[[#This Row],[type]]="LFF (MDG-F)",MID(Proc[[#This Row],[Obj]],13,10),"")</f>
        <v/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HC</v>
      </c>
      <c r="L586" s="32" t="s">
        <v>509</v>
      </c>
      <c r="M586" s="71">
        <v>45713.229062500002</v>
      </c>
      <c r="N586" s="71">
        <v>45715</v>
      </c>
      <c r="O586" s="71">
        <v>45715</v>
      </c>
      <c r="P586" s="70" t="str">
        <f ca="1">IF(Proc[[#This Row],[DaysAgeing]]&gt;5,"yep","on track")</f>
        <v>on track</v>
      </c>
      <c r="Q586" s="3">
        <f ca="1">IF(Proc[[#This Row],[DateClosed]]="",ABS(NETWORKDAYS(Proc[[#This Row],[DateOpened]],TODAY()))-1,ABS(NETWORKDAYS(Proc[[#This Row],[DateOpened]],Proc[[#This Row],[DateClosed]]))-1)</f>
        <v>2</v>
      </c>
      <c r="R586" s="70" t="s">
        <v>478</v>
      </c>
      <c r="S586" s="69"/>
    </row>
    <row r="587" spans="1:19" hidden="1">
      <c r="A587" s="68" t="s">
        <v>2096</v>
      </c>
      <c r="B587" s="149" t="str">
        <f>IFERROR(VLOOKUP(Proc[[#This Row],[App]],Table2[],3,0),"open")</f>
        <v>ok</v>
      </c>
      <c r="C587" s="68" t="s">
        <v>369</v>
      </c>
      <c r="D587" t="s">
        <v>2156</v>
      </c>
      <c r="E587" t="s">
        <v>2144</v>
      </c>
      <c r="F587" s="117" t="s">
        <v>2144</v>
      </c>
      <c r="G587" s="68" t="s">
        <v>400</v>
      </c>
      <c r="H587" s="69" t="str">
        <f>IF(Proc[[#This Row],[type]]="LFF (MDG-F)",MID(Proc[[#This Row],[Obj]],13,10),"")</f>
        <v/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HC</v>
      </c>
      <c r="L587" s="32" t="s">
        <v>509</v>
      </c>
      <c r="M587" s="71">
        <v>45713.229062500002</v>
      </c>
      <c r="N587" s="71">
        <v>45715</v>
      </c>
      <c r="O587" s="71">
        <v>45715</v>
      </c>
      <c r="P587" s="70" t="str">
        <f ca="1">IF(Proc[[#This Row],[DaysAgeing]]&gt;5,"yep","on track")</f>
        <v>on track</v>
      </c>
      <c r="Q587" s="3">
        <f ca="1">IF(Proc[[#This Row],[DateClosed]]="",ABS(NETWORKDAYS(Proc[[#This Row],[DateOpened]],TODAY()))-1,ABS(NETWORKDAYS(Proc[[#This Row],[DateOpened]],Proc[[#This Row],[DateClosed]]))-1)</f>
        <v>2</v>
      </c>
      <c r="R587" s="70" t="s">
        <v>478</v>
      </c>
      <c r="S587" s="69"/>
    </row>
    <row r="588" spans="1:19" hidden="1">
      <c r="A588" s="68" t="s">
        <v>2096</v>
      </c>
      <c r="B588" s="149" t="str">
        <f>IFERROR(VLOOKUP(Proc[[#This Row],[App]],Table2[],3,0),"open")</f>
        <v>ok</v>
      </c>
      <c r="C588" s="68" t="s">
        <v>369</v>
      </c>
      <c r="D588" t="s">
        <v>2157</v>
      </c>
      <c r="E588" t="s">
        <v>2144</v>
      </c>
      <c r="F588" s="117" t="s">
        <v>2144</v>
      </c>
      <c r="G588" s="68" t="s">
        <v>400</v>
      </c>
      <c r="H588" s="69" t="str">
        <f>IF(Proc[[#This Row],[type]]="LFF (MDG-F)",MID(Proc[[#This Row],[Obj]],13,10),"")</f>
        <v/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HC</v>
      </c>
      <c r="L588" s="32" t="s">
        <v>509</v>
      </c>
      <c r="M588" s="71">
        <v>45713.229062500002</v>
      </c>
      <c r="N588" s="71">
        <v>45715</v>
      </c>
      <c r="O588" s="71">
        <v>45715</v>
      </c>
      <c r="P588" s="70" t="str">
        <f ca="1">IF(Proc[[#This Row],[DaysAgeing]]&gt;5,"yep","on track")</f>
        <v>on track</v>
      </c>
      <c r="Q588" s="3">
        <f ca="1">IF(Proc[[#This Row],[DateClosed]]="",ABS(NETWORKDAYS(Proc[[#This Row],[DateOpened]],TODAY()))-1,ABS(NETWORKDAYS(Proc[[#This Row],[DateOpened]],Proc[[#This Row],[DateClosed]]))-1)</f>
        <v>2</v>
      </c>
      <c r="R588" s="70" t="s">
        <v>478</v>
      </c>
      <c r="S588" s="69"/>
    </row>
    <row r="589" spans="1:19" hidden="1">
      <c r="A589" s="68" t="s">
        <v>2096</v>
      </c>
      <c r="B589" s="149" t="str">
        <f>IFERROR(VLOOKUP(Proc[[#This Row],[App]],Table2[],3,0),"open")</f>
        <v>ok</v>
      </c>
      <c r="C589" s="68" t="s">
        <v>369</v>
      </c>
      <c r="D589" t="s">
        <v>2158</v>
      </c>
      <c r="E589" t="s">
        <v>2159</v>
      </c>
      <c r="F589" s="117" t="s">
        <v>2159</v>
      </c>
      <c r="G589" s="68" t="s">
        <v>400</v>
      </c>
      <c r="H589" s="69" t="str">
        <f>IF(Proc[[#This Row],[type]]="LFF (MDG-F)",MID(Proc[[#This Row],[Obj]],13,10),"")</f>
        <v/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HC</v>
      </c>
      <c r="L589" s="32" t="s">
        <v>509</v>
      </c>
      <c r="M589" s="71">
        <v>45713.229062500002</v>
      </c>
      <c r="N589" s="71">
        <v>45715</v>
      </c>
      <c r="O589" s="71">
        <v>45715</v>
      </c>
      <c r="P589" s="70" t="str">
        <f ca="1">IF(Proc[[#This Row],[DaysAgeing]]&gt;5,"yep","on track")</f>
        <v>on track</v>
      </c>
      <c r="Q589" s="3">
        <f ca="1">IF(Proc[[#This Row],[DateClosed]]="",ABS(NETWORKDAYS(Proc[[#This Row],[DateOpened]],TODAY()))-1,ABS(NETWORKDAYS(Proc[[#This Row],[DateOpened]],Proc[[#This Row],[DateClosed]]))-1)</f>
        <v>2</v>
      </c>
      <c r="R589" s="70" t="s">
        <v>478</v>
      </c>
      <c r="S589" s="69"/>
    </row>
    <row r="590" spans="1:19" hidden="1">
      <c r="A590" s="68" t="s">
        <v>2088</v>
      </c>
      <c r="B590" s="149" t="str">
        <f>IFERROR(VLOOKUP(Proc[[#This Row],[App]],Table2[],3,0),"open")</f>
        <v>ok</v>
      </c>
      <c r="C590" s="68" t="s">
        <v>369</v>
      </c>
      <c r="D590" t="s">
        <v>2089</v>
      </c>
      <c r="E590" t="s">
        <v>2092</v>
      </c>
      <c r="F590" s="117" t="s">
        <v>2092</v>
      </c>
      <c r="G590" s="68" t="s">
        <v>400</v>
      </c>
      <c r="H590" s="69" t="str">
        <f>IF(Proc[[#This Row],[type]]="LFF (MDG-F)",MID(Proc[[#This Row],[Obj]],13,10),"")</f>
        <v/>
      </c>
      <c r="I590" t="s">
        <v>2095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HC</v>
      </c>
      <c r="L590" s="32" t="s">
        <v>509</v>
      </c>
      <c r="M590" s="71">
        <v>45713.312280092592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202</v>
      </c>
      <c r="R590" s="70" t="s">
        <v>484</v>
      </c>
      <c r="S590" s="69"/>
    </row>
    <row r="591" spans="1:19" hidden="1">
      <c r="A591" s="68" t="s">
        <v>2088</v>
      </c>
      <c r="B591" s="149" t="str">
        <f>IFERROR(VLOOKUP(Proc[[#This Row],[App]],Table2[],3,0),"open")</f>
        <v>ok</v>
      </c>
      <c r="C591" s="68" t="s">
        <v>369</v>
      </c>
      <c r="D591" t="s">
        <v>2090</v>
      </c>
      <c r="E591" t="s">
        <v>2093</v>
      </c>
      <c r="F591" s="117" t="s">
        <v>2093</v>
      </c>
      <c r="G591" s="68" t="s">
        <v>400</v>
      </c>
      <c r="H591" s="69" t="str">
        <f>IF(Proc[[#This Row],[type]]="LFF (MDG-F)",MID(Proc[[#This Row],[Obj]],13,10),"")</f>
        <v/>
      </c>
      <c r="I591" t="s">
        <v>2095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HC</v>
      </c>
      <c r="L591" s="32" t="s">
        <v>509</v>
      </c>
      <c r="M591" s="71">
        <v>45713.312280092592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202</v>
      </c>
      <c r="R591" s="70" t="s">
        <v>484</v>
      </c>
      <c r="S591" s="69"/>
    </row>
    <row r="592" spans="1:19" hidden="1">
      <c r="A592" s="68" t="s">
        <v>2088</v>
      </c>
      <c r="B592" s="149" t="str">
        <f>IFERROR(VLOOKUP(Proc[[#This Row],[App]],Table2[],3,0),"open")</f>
        <v>ok</v>
      </c>
      <c r="C592" s="68" t="s">
        <v>369</v>
      </c>
      <c r="D592" t="s">
        <v>2091</v>
      </c>
      <c r="E592" t="s">
        <v>2094</v>
      </c>
      <c r="F592" s="117" t="s">
        <v>2094</v>
      </c>
      <c r="G592" s="68" t="s">
        <v>400</v>
      </c>
      <c r="H592" s="69" t="str">
        <f>IF(Proc[[#This Row],[type]]="LFF (MDG-F)",MID(Proc[[#This Row],[Obj]],13,10),"")</f>
        <v/>
      </c>
      <c r="I592" t="s">
        <v>2095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HC</v>
      </c>
      <c r="L592" s="32" t="s">
        <v>509</v>
      </c>
      <c r="M592" s="71">
        <v>45713.312280092592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202</v>
      </c>
      <c r="R592" s="70" t="s">
        <v>484</v>
      </c>
      <c r="S592" s="69"/>
    </row>
    <row r="593" spans="1:19" hidden="1">
      <c r="A593" t="s">
        <v>2197</v>
      </c>
      <c r="B593" s="149" t="str">
        <f>IFERROR(VLOOKUP(Proc[[#This Row],[App]],Table2[],3,0),"open")</f>
        <v>ok</v>
      </c>
      <c r="C593" t="s">
        <v>369</v>
      </c>
      <c r="D593" t="s">
        <v>2177</v>
      </c>
      <c r="E593" t="s">
        <v>2178</v>
      </c>
      <c r="F593" s="117" t="s">
        <v>2178</v>
      </c>
      <c r="G593" s="68" t="s">
        <v>400</v>
      </c>
      <c r="H593" s="69" t="str">
        <f>IF(Proc[[#This Row],[type]]="LFF (MDG-F)",MID(Proc[[#This Row],[Obj]],13,10),"")</f>
        <v/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LS</v>
      </c>
      <c r="L593" s="32" t="s">
        <v>509</v>
      </c>
      <c r="M593" s="71">
        <v>45713.460798611108</v>
      </c>
      <c r="N593" s="71">
        <v>45715</v>
      </c>
      <c r="O593" s="71">
        <v>45715</v>
      </c>
      <c r="P593" s="70" t="str">
        <f ca="1">IF(Proc[[#This Row],[DaysAgeing]]&gt;5,"yep","on track")</f>
        <v>on track</v>
      </c>
      <c r="Q593" s="3">
        <f ca="1">IF(Proc[[#This Row],[DateClosed]]="",ABS(NETWORKDAYS(Proc[[#This Row],[DateOpened]],TODAY()))-1,ABS(NETWORKDAYS(Proc[[#This Row],[DateOpened]],Proc[[#This Row],[DateClosed]]))-1)</f>
        <v>2</v>
      </c>
      <c r="R593" s="70" t="s">
        <v>972</v>
      </c>
      <c r="S593" s="69"/>
    </row>
    <row r="594" spans="1:19" hidden="1">
      <c r="A594" s="68" t="s">
        <v>2197</v>
      </c>
      <c r="B594" s="149" t="str">
        <f>IFERROR(VLOOKUP(Proc[[#This Row],[App]],Table2[],3,0),"open")</f>
        <v>ok</v>
      </c>
      <c r="C594" s="68" t="s">
        <v>369</v>
      </c>
      <c r="D594" t="s">
        <v>2179</v>
      </c>
      <c r="E594" t="s">
        <v>2178</v>
      </c>
      <c r="F594" s="117" t="s">
        <v>2178</v>
      </c>
      <c r="G594" s="68" t="s">
        <v>400</v>
      </c>
      <c r="H594" s="69" t="str">
        <f>IF(Proc[[#This Row],[type]]="LFF (MDG-F)",MID(Proc[[#This Row],[Obj]],13,10),"")</f>
        <v/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LS</v>
      </c>
      <c r="L594" s="32" t="s">
        <v>509</v>
      </c>
      <c r="M594" s="71">
        <v>45713.460798611108</v>
      </c>
      <c r="N594" s="71">
        <v>45715</v>
      </c>
      <c r="O594" s="71">
        <v>45715</v>
      </c>
      <c r="P594" s="70" t="str">
        <f ca="1">IF(Proc[[#This Row],[DaysAgeing]]&gt;5,"yep","on track")</f>
        <v>on track</v>
      </c>
      <c r="Q594" s="3">
        <f ca="1">IF(Proc[[#This Row],[DateClosed]]="",ABS(NETWORKDAYS(Proc[[#This Row],[DateOpened]],TODAY()))-1,ABS(NETWORKDAYS(Proc[[#This Row],[DateOpened]],Proc[[#This Row],[DateClosed]]))-1)</f>
        <v>2</v>
      </c>
      <c r="R594" s="70" t="s">
        <v>972</v>
      </c>
      <c r="S594" s="69"/>
    </row>
    <row r="595" spans="1:19" hidden="1">
      <c r="A595" s="68" t="s">
        <v>2197</v>
      </c>
      <c r="B595" s="149" t="str">
        <f>IFERROR(VLOOKUP(Proc[[#This Row],[App]],Table2[],3,0),"open")</f>
        <v>ok</v>
      </c>
      <c r="C595" s="68" t="s">
        <v>369</v>
      </c>
      <c r="D595" t="s">
        <v>2179</v>
      </c>
      <c r="E595" t="s">
        <v>2178</v>
      </c>
      <c r="F595" s="117" t="s">
        <v>2178</v>
      </c>
      <c r="G595" s="68" t="s">
        <v>400</v>
      </c>
      <c r="H595" s="69" t="str">
        <f>IF(Proc[[#This Row],[type]]="LFF (MDG-F)",MID(Proc[[#This Row],[Obj]],13,10),"")</f>
        <v/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LS</v>
      </c>
      <c r="L595" s="32" t="s">
        <v>509</v>
      </c>
      <c r="M595" s="71">
        <v>45713.460798611108</v>
      </c>
      <c r="N595" s="71">
        <v>45715</v>
      </c>
      <c r="O595" s="71">
        <v>45715</v>
      </c>
      <c r="P595" s="70" t="str">
        <f ca="1">IF(Proc[[#This Row],[DaysAgeing]]&gt;5,"yep","on track")</f>
        <v>on track</v>
      </c>
      <c r="Q595" s="3">
        <f ca="1">IF(Proc[[#This Row],[DateClosed]]="",ABS(NETWORKDAYS(Proc[[#This Row],[DateOpened]],TODAY()))-1,ABS(NETWORKDAYS(Proc[[#This Row],[DateOpened]],Proc[[#This Row],[DateClosed]]))-1)</f>
        <v>2</v>
      </c>
      <c r="R595" s="70" t="s">
        <v>972</v>
      </c>
      <c r="S595" s="69"/>
    </row>
    <row r="596" spans="1:19" hidden="1">
      <c r="A596" s="68" t="s">
        <v>2197</v>
      </c>
      <c r="B596" s="149" t="str">
        <f>IFERROR(VLOOKUP(Proc[[#This Row],[App]],Table2[],3,0),"open")</f>
        <v>ok</v>
      </c>
      <c r="C596" t="s">
        <v>369</v>
      </c>
      <c r="D596" t="s">
        <v>2180</v>
      </c>
      <c r="E596" t="s">
        <v>1232</v>
      </c>
      <c r="F596" s="117" t="s">
        <v>1232</v>
      </c>
      <c r="G596" s="68" t="s">
        <v>400</v>
      </c>
      <c r="H596" s="69" t="str">
        <f>IF(Proc[[#This Row],[type]]="LFF (MDG-F)",MID(Proc[[#This Row],[Obj]],13,10),"")</f>
        <v/>
      </c>
      <c r="I596" t="s">
        <v>1198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LS</v>
      </c>
      <c r="L596" s="32" t="s">
        <v>509</v>
      </c>
      <c r="M596" s="71">
        <v>45713.460798611108</v>
      </c>
      <c r="N596" s="71">
        <v>45715</v>
      </c>
      <c r="O596" s="71">
        <v>45715</v>
      </c>
      <c r="P596" s="70" t="str">
        <f ca="1">IF(Proc[[#This Row],[DaysAgeing]]&gt;5,"yep","on track")</f>
        <v>on track</v>
      </c>
      <c r="Q596" s="3">
        <f ca="1">IF(Proc[[#This Row],[DateClosed]]="",ABS(NETWORKDAYS(Proc[[#This Row],[DateOpened]],TODAY()))-1,ABS(NETWORKDAYS(Proc[[#This Row],[DateOpened]],Proc[[#This Row],[DateClosed]]))-1)</f>
        <v>2</v>
      </c>
      <c r="R596" s="70" t="s">
        <v>972</v>
      </c>
      <c r="S596" s="69"/>
    </row>
    <row r="597" spans="1:19" hidden="1">
      <c r="A597" s="68" t="s">
        <v>2197</v>
      </c>
      <c r="B597" s="149" t="str">
        <f>IFERROR(VLOOKUP(Proc[[#This Row],[App]],Table2[],3,0),"open")</f>
        <v>ok</v>
      </c>
      <c r="C597" s="68" t="s">
        <v>369</v>
      </c>
      <c r="D597" t="s">
        <v>2181</v>
      </c>
      <c r="E597" t="s">
        <v>1232</v>
      </c>
      <c r="F597" s="117" t="s">
        <v>1232</v>
      </c>
      <c r="G597" s="68" t="s">
        <v>400</v>
      </c>
      <c r="H597" s="69" t="str">
        <f>IF(Proc[[#This Row],[type]]="LFF (MDG-F)",MID(Proc[[#This Row],[Obj]],13,10),"")</f>
        <v/>
      </c>
      <c r="I597" s="68" t="s">
        <v>1198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LS</v>
      </c>
      <c r="L597" s="32" t="s">
        <v>509</v>
      </c>
      <c r="M597" s="71">
        <v>45713.460798611108</v>
      </c>
      <c r="N597" s="71">
        <v>45715</v>
      </c>
      <c r="O597" s="71">
        <v>45715</v>
      </c>
      <c r="P597" s="70" t="str">
        <f ca="1">IF(Proc[[#This Row],[DaysAgeing]]&gt;5,"yep","on track")</f>
        <v>on track</v>
      </c>
      <c r="Q597" s="3">
        <f ca="1">IF(Proc[[#This Row],[DateClosed]]="",ABS(NETWORKDAYS(Proc[[#This Row],[DateOpened]],TODAY()))-1,ABS(NETWORKDAYS(Proc[[#This Row],[DateOpened]],Proc[[#This Row],[DateClosed]]))-1)</f>
        <v>2</v>
      </c>
      <c r="R597" s="70" t="s">
        <v>972</v>
      </c>
      <c r="S597" s="69"/>
    </row>
    <row r="598" spans="1:19" hidden="1">
      <c r="A598" s="68" t="s">
        <v>2197</v>
      </c>
      <c r="B598" s="149" t="str">
        <f>IFERROR(VLOOKUP(Proc[[#This Row],[App]],Table2[],3,0),"open")</f>
        <v>ok</v>
      </c>
      <c r="C598" s="68" t="s">
        <v>369</v>
      </c>
      <c r="D598" t="s">
        <v>2182</v>
      </c>
      <c r="E598" t="s">
        <v>1232</v>
      </c>
      <c r="F598" s="117" t="s">
        <v>1232</v>
      </c>
      <c r="G598" s="68" t="s">
        <v>400</v>
      </c>
      <c r="H598" s="69" t="str">
        <f>IF(Proc[[#This Row],[type]]="LFF (MDG-F)",MID(Proc[[#This Row],[Obj]],13,10),"")</f>
        <v/>
      </c>
      <c r="I598" s="68" t="s">
        <v>1198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LS</v>
      </c>
      <c r="L598" s="32" t="s">
        <v>509</v>
      </c>
      <c r="M598" s="71">
        <v>45713.460798611108</v>
      </c>
      <c r="N598" s="71">
        <v>45715</v>
      </c>
      <c r="O598" s="71">
        <v>45715</v>
      </c>
      <c r="P598" s="70" t="str">
        <f ca="1">IF(Proc[[#This Row],[DaysAgeing]]&gt;5,"yep","on track")</f>
        <v>on track</v>
      </c>
      <c r="Q598" s="3">
        <f ca="1">IF(Proc[[#This Row],[DateClosed]]="",ABS(NETWORKDAYS(Proc[[#This Row],[DateOpened]],TODAY()))-1,ABS(NETWORKDAYS(Proc[[#This Row],[DateOpened]],Proc[[#This Row],[DateClosed]]))-1)</f>
        <v>2</v>
      </c>
      <c r="R598" s="70" t="s">
        <v>972</v>
      </c>
      <c r="S598" s="69"/>
    </row>
    <row r="599" spans="1:19" hidden="1">
      <c r="A599" s="68" t="s">
        <v>2197</v>
      </c>
      <c r="B599" s="149" t="str">
        <f>IFERROR(VLOOKUP(Proc[[#This Row],[App]],Table2[],3,0),"open")</f>
        <v>ok</v>
      </c>
      <c r="C599" t="s">
        <v>369</v>
      </c>
      <c r="D599" t="s">
        <v>2183</v>
      </c>
      <c r="E599" t="s">
        <v>2184</v>
      </c>
      <c r="F599" s="117" t="s">
        <v>2184</v>
      </c>
      <c r="G599" s="68" t="s">
        <v>400</v>
      </c>
      <c r="H599" s="69" t="str">
        <f>IF(Proc[[#This Row],[type]]="LFF (MDG-F)",MID(Proc[[#This Row],[Obj]],13,10),"")</f>
        <v/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LS</v>
      </c>
      <c r="L599" s="32" t="s">
        <v>509</v>
      </c>
      <c r="M599" s="71">
        <v>45713.460798611108</v>
      </c>
      <c r="N599" s="71">
        <v>45715</v>
      </c>
      <c r="O599" s="71">
        <v>45715</v>
      </c>
      <c r="P599" s="70" t="str">
        <f ca="1">IF(Proc[[#This Row],[DaysAgeing]]&gt;5,"yep","on track")</f>
        <v>on track</v>
      </c>
      <c r="Q599" s="3">
        <f ca="1">IF(Proc[[#This Row],[DateClosed]]="",ABS(NETWORKDAYS(Proc[[#This Row],[DateOpened]],TODAY()))-1,ABS(NETWORKDAYS(Proc[[#This Row],[DateOpened]],Proc[[#This Row],[DateClosed]]))-1)</f>
        <v>2</v>
      </c>
      <c r="R599" s="70" t="s">
        <v>972</v>
      </c>
      <c r="S599" s="69"/>
    </row>
    <row r="600" spans="1:19" hidden="1">
      <c r="A600" s="68" t="s">
        <v>2197</v>
      </c>
      <c r="B600" s="149" t="str">
        <f>IFERROR(VLOOKUP(Proc[[#This Row],[App]],Table2[],3,0),"open")</f>
        <v>ok</v>
      </c>
      <c r="C600" s="68" t="s">
        <v>369</v>
      </c>
      <c r="D600" t="s">
        <v>2185</v>
      </c>
      <c r="E600" t="s">
        <v>2186</v>
      </c>
      <c r="F600" s="117" t="s">
        <v>2186</v>
      </c>
      <c r="G600" s="68" t="s">
        <v>400</v>
      </c>
      <c r="H600" s="69" t="str">
        <f>IF(Proc[[#This Row],[type]]="LFF (MDG-F)",MID(Proc[[#This Row],[Obj]],13,10),"")</f>
        <v/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LS</v>
      </c>
      <c r="L600" s="32" t="s">
        <v>509</v>
      </c>
      <c r="M600" s="71">
        <v>45713.460798611108</v>
      </c>
      <c r="N600" s="71">
        <v>45715</v>
      </c>
      <c r="O600" s="71">
        <v>45715</v>
      </c>
      <c r="P600" s="70" t="str">
        <f ca="1">IF(Proc[[#This Row],[DaysAgeing]]&gt;5,"yep","on track")</f>
        <v>on track</v>
      </c>
      <c r="Q600" s="3">
        <f ca="1">IF(Proc[[#This Row],[DateClosed]]="",ABS(NETWORKDAYS(Proc[[#This Row],[DateOpened]],TODAY()))-1,ABS(NETWORKDAYS(Proc[[#This Row],[DateOpened]],Proc[[#This Row],[DateClosed]]))-1)</f>
        <v>2</v>
      </c>
      <c r="R600" s="70" t="s">
        <v>972</v>
      </c>
      <c r="S600" s="69"/>
    </row>
    <row r="601" spans="1:19" hidden="1">
      <c r="A601" s="68" t="s">
        <v>2197</v>
      </c>
      <c r="B601" s="149" t="str">
        <f>IFERROR(VLOOKUP(Proc[[#This Row],[App]],Table2[],3,0),"open")</f>
        <v>ok</v>
      </c>
      <c r="C601" s="68" t="s">
        <v>369</v>
      </c>
      <c r="D601" t="s">
        <v>2187</v>
      </c>
      <c r="E601" t="s">
        <v>652</v>
      </c>
      <c r="F601" s="117" t="s">
        <v>652</v>
      </c>
      <c r="G601" s="68" t="s">
        <v>400</v>
      </c>
      <c r="H601" s="69" t="str">
        <f>IF(Proc[[#This Row],[type]]="LFF (MDG-F)",MID(Proc[[#This Row],[Obj]],13,10),"")</f>
        <v/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LS</v>
      </c>
      <c r="L601" s="32" t="s">
        <v>509</v>
      </c>
      <c r="M601" s="71">
        <v>45713.460798611108</v>
      </c>
      <c r="N601" s="71">
        <v>45715</v>
      </c>
      <c r="O601" s="71">
        <v>45715</v>
      </c>
      <c r="P601" s="70" t="str">
        <f ca="1">IF(Proc[[#This Row],[DaysAgeing]]&gt;5,"yep","on track")</f>
        <v>on track</v>
      </c>
      <c r="Q601" s="3">
        <f ca="1">IF(Proc[[#This Row],[DateClosed]]="",ABS(NETWORKDAYS(Proc[[#This Row],[DateOpened]],TODAY()))-1,ABS(NETWORKDAYS(Proc[[#This Row],[DateOpened]],Proc[[#This Row],[DateClosed]]))-1)</f>
        <v>2</v>
      </c>
      <c r="R601" s="70" t="s">
        <v>972</v>
      </c>
      <c r="S601" s="69"/>
    </row>
    <row r="602" spans="1:19" hidden="1">
      <c r="A602" s="68" t="s">
        <v>2197</v>
      </c>
      <c r="B602" s="149" t="str">
        <f>IFERROR(VLOOKUP(Proc[[#This Row],[App]],Table2[],3,0),"open")</f>
        <v>ok</v>
      </c>
      <c r="C602" s="68" t="s">
        <v>369</v>
      </c>
      <c r="D602" t="s">
        <v>2188</v>
      </c>
      <c r="E602" t="s">
        <v>652</v>
      </c>
      <c r="F602" s="117" t="s">
        <v>652</v>
      </c>
      <c r="G602" s="68" t="s">
        <v>400</v>
      </c>
      <c r="H602" s="69" t="str">
        <f>IF(Proc[[#This Row],[type]]="LFF (MDG-F)",MID(Proc[[#This Row],[Obj]],13,10),"")</f>
        <v/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LS</v>
      </c>
      <c r="L602" s="32" t="s">
        <v>509</v>
      </c>
      <c r="M602" s="71">
        <v>45713.460798611108</v>
      </c>
      <c r="N602" s="71">
        <v>45715</v>
      </c>
      <c r="O602" s="71">
        <v>45715</v>
      </c>
      <c r="P602" s="70" t="str">
        <f ca="1">IF(Proc[[#This Row],[DaysAgeing]]&gt;5,"yep","on track")</f>
        <v>on track</v>
      </c>
      <c r="Q602" s="3">
        <f ca="1">IF(Proc[[#This Row],[DateClosed]]="",ABS(NETWORKDAYS(Proc[[#This Row],[DateOpened]],TODAY()))-1,ABS(NETWORKDAYS(Proc[[#This Row],[DateOpened]],Proc[[#This Row],[DateClosed]]))-1)</f>
        <v>2</v>
      </c>
      <c r="R602" s="70" t="s">
        <v>972</v>
      </c>
      <c r="S602" s="69"/>
    </row>
    <row r="603" spans="1:19" hidden="1">
      <c r="A603" s="68" t="s">
        <v>2197</v>
      </c>
      <c r="B603" s="149" t="str">
        <f>IFERROR(VLOOKUP(Proc[[#This Row],[App]],Table2[],3,0),"open")</f>
        <v>ok</v>
      </c>
      <c r="C603" s="68" t="s">
        <v>369</v>
      </c>
      <c r="D603" t="s">
        <v>2189</v>
      </c>
      <c r="E603" t="s">
        <v>652</v>
      </c>
      <c r="F603" s="117" t="s">
        <v>652</v>
      </c>
      <c r="G603" s="68" t="s">
        <v>400</v>
      </c>
      <c r="H603" s="69" t="str">
        <f>IF(Proc[[#This Row],[type]]="LFF (MDG-F)",MID(Proc[[#This Row],[Obj]],13,10),"")</f>
        <v/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LS</v>
      </c>
      <c r="L603" s="32" t="s">
        <v>509</v>
      </c>
      <c r="M603" s="71">
        <v>45713.460798611108</v>
      </c>
      <c r="N603" s="71">
        <v>45715</v>
      </c>
      <c r="O603" s="71">
        <v>45715</v>
      </c>
      <c r="P603" s="70" t="str">
        <f ca="1">IF(Proc[[#This Row],[DaysAgeing]]&gt;5,"yep","on track")</f>
        <v>on track</v>
      </c>
      <c r="Q603" s="3">
        <f ca="1">IF(Proc[[#This Row],[DateClosed]]="",ABS(NETWORKDAYS(Proc[[#This Row],[DateOpened]],TODAY()))-1,ABS(NETWORKDAYS(Proc[[#This Row],[DateOpened]],Proc[[#This Row],[DateClosed]]))-1)</f>
        <v>2</v>
      </c>
      <c r="R603" s="70" t="s">
        <v>972</v>
      </c>
      <c r="S603" s="69"/>
    </row>
    <row r="604" spans="1:19" hidden="1">
      <c r="A604" s="68" t="s">
        <v>2197</v>
      </c>
      <c r="B604" s="149" t="str">
        <f>IFERROR(VLOOKUP(Proc[[#This Row],[App]],Table2[],3,0),"open")</f>
        <v>ok</v>
      </c>
      <c r="C604" s="68" t="s">
        <v>369</v>
      </c>
      <c r="D604" t="s">
        <v>2190</v>
      </c>
      <c r="E604" t="s">
        <v>2191</v>
      </c>
      <c r="F604" s="117" t="s">
        <v>2191</v>
      </c>
      <c r="G604" s="68" t="s">
        <v>400</v>
      </c>
      <c r="H604" s="69" t="str">
        <f>IF(Proc[[#This Row],[type]]="LFF (MDG-F)",MID(Proc[[#This Row],[Obj]],13,10),"")</f>
        <v/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LS</v>
      </c>
      <c r="L604" s="32" t="s">
        <v>509</v>
      </c>
      <c r="M604" s="71">
        <v>45713.460798611108</v>
      </c>
      <c r="N604" s="71">
        <v>45715</v>
      </c>
      <c r="O604" s="71">
        <v>45715</v>
      </c>
      <c r="P604" s="70" t="str">
        <f ca="1">IF(Proc[[#This Row],[DaysAgeing]]&gt;5,"yep","on track")</f>
        <v>on track</v>
      </c>
      <c r="Q604" s="3">
        <f ca="1">IF(Proc[[#This Row],[DateClosed]]="",ABS(NETWORKDAYS(Proc[[#This Row],[DateOpened]],TODAY()))-1,ABS(NETWORKDAYS(Proc[[#This Row],[DateOpened]],Proc[[#This Row],[DateClosed]]))-1)</f>
        <v>2</v>
      </c>
      <c r="R604" s="70" t="s">
        <v>972</v>
      </c>
      <c r="S604" s="69"/>
    </row>
    <row r="605" spans="1:19" hidden="1">
      <c r="A605" s="68" t="s">
        <v>2197</v>
      </c>
      <c r="B605" s="149" t="str">
        <f>IFERROR(VLOOKUP(Proc[[#This Row],[App]],Table2[],3,0),"open")</f>
        <v>ok</v>
      </c>
      <c r="C605" s="68" t="s">
        <v>369</v>
      </c>
      <c r="D605" t="s">
        <v>2192</v>
      </c>
      <c r="E605" t="s">
        <v>2193</v>
      </c>
      <c r="F605" s="117" t="s">
        <v>2193</v>
      </c>
      <c r="G605" s="68" t="s">
        <v>400</v>
      </c>
      <c r="H605" s="69" t="str">
        <f>IF(Proc[[#This Row],[type]]="LFF (MDG-F)",MID(Proc[[#This Row],[Obj]],13,10),"")</f>
        <v/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LS</v>
      </c>
      <c r="L605" s="32" t="s">
        <v>509</v>
      </c>
      <c r="M605" s="71">
        <v>45713.460798611108</v>
      </c>
      <c r="N605" s="71">
        <v>45715</v>
      </c>
      <c r="O605" s="71">
        <v>45715</v>
      </c>
      <c r="P605" s="70" t="str">
        <f ca="1">IF(Proc[[#This Row],[DaysAgeing]]&gt;5,"yep","on track")</f>
        <v>on track</v>
      </c>
      <c r="Q605" s="3">
        <f ca="1">IF(Proc[[#This Row],[DateClosed]]="",ABS(NETWORKDAYS(Proc[[#This Row],[DateOpened]],TODAY()))-1,ABS(NETWORKDAYS(Proc[[#This Row],[DateOpened]],Proc[[#This Row],[DateClosed]]))-1)</f>
        <v>2</v>
      </c>
      <c r="R605" s="70" t="s">
        <v>972</v>
      </c>
      <c r="S605" s="69"/>
    </row>
    <row r="606" spans="1:19" hidden="1">
      <c r="A606" s="68" t="s">
        <v>2197</v>
      </c>
      <c r="B606" s="149" t="str">
        <f>IFERROR(VLOOKUP(Proc[[#This Row],[App]],Table2[],3,0),"open")</f>
        <v>ok</v>
      </c>
      <c r="C606" s="68" t="s">
        <v>369</v>
      </c>
      <c r="D606" t="s">
        <v>2194</v>
      </c>
      <c r="E606" t="s">
        <v>2193</v>
      </c>
      <c r="F606" s="117" t="s">
        <v>2193</v>
      </c>
      <c r="G606" s="68" t="s">
        <v>400</v>
      </c>
      <c r="H606" s="69" t="str">
        <f>IF(Proc[[#This Row],[type]]="LFF (MDG-F)",MID(Proc[[#This Row],[Obj]],13,10),"")</f>
        <v/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LS</v>
      </c>
      <c r="L606" s="32" t="s">
        <v>509</v>
      </c>
      <c r="M606" s="71">
        <v>45713.460798611108</v>
      </c>
      <c r="N606" s="71">
        <v>45715</v>
      </c>
      <c r="O606" s="71">
        <v>45715</v>
      </c>
      <c r="P606" s="70" t="str">
        <f ca="1">IF(Proc[[#This Row],[DaysAgeing]]&gt;5,"yep","on track")</f>
        <v>on track</v>
      </c>
      <c r="Q606" s="3">
        <f ca="1">IF(Proc[[#This Row],[DateClosed]]="",ABS(NETWORKDAYS(Proc[[#This Row],[DateOpened]],TODAY()))-1,ABS(NETWORKDAYS(Proc[[#This Row],[DateOpened]],Proc[[#This Row],[DateClosed]]))-1)</f>
        <v>2</v>
      </c>
      <c r="R606" s="70" t="s">
        <v>972</v>
      </c>
      <c r="S606" s="69"/>
    </row>
    <row r="607" spans="1:19" hidden="1">
      <c r="A607" s="68" t="s">
        <v>2197</v>
      </c>
      <c r="B607" s="149" t="str">
        <f>IFERROR(VLOOKUP(Proc[[#This Row],[App]],Table2[],3,0),"open")</f>
        <v>ok</v>
      </c>
      <c r="C607" s="68" t="s">
        <v>369</v>
      </c>
      <c r="D607" t="s">
        <v>2195</v>
      </c>
      <c r="E607" t="s">
        <v>2196</v>
      </c>
      <c r="F607" s="117" t="s">
        <v>2196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LS</v>
      </c>
      <c r="L607" s="32" t="s">
        <v>509</v>
      </c>
      <c r="M607" s="71">
        <v>45713.460798611108</v>
      </c>
      <c r="N607" s="71">
        <v>45715</v>
      </c>
      <c r="O607" s="71">
        <v>45715</v>
      </c>
      <c r="P607" s="70" t="str">
        <f ca="1">IF(Proc[[#This Row],[DaysAgeing]]&gt;5,"yep","on track")</f>
        <v>on track</v>
      </c>
      <c r="Q607" s="3">
        <f ca="1">IF(Proc[[#This Row],[DateClosed]]="",ABS(NETWORKDAYS(Proc[[#This Row],[DateOpened]],TODAY()))-1,ABS(NETWORKDAYS(Proc[[#This Row],[DateOpened]],Proc[[#This Row],[DateClosed]]))-1)</f>
        <v>2</v>
      </c>
      <c r="R607" s="70" t="s">
        <v>972</v>
      </c>
      <c r="S607" s="69"/>
    </row>
    <row r="608" spans="1:19" hidden="1">
      <c r="A608" t="s">
        <v>2209</v>
      </c>
      <c r="B608" s="149" t="str">
        <f>IFERROR(VLOOKUP(Proc[[#This Row],[App]],Table2[],3,0),"open")</f>
        <v>ok</v>
      </c>
      <c r="C608" t="s">
        <v>369</v>
      </c>
      <c r="D608" t="s">
        <v>2207</v>
      </c>
      <c r="E608" t="s">
        <v>2208</v>
      </c>
      <c r="F608" s="117" t="s">
        <v>2208</v>
      </c>
      <c r="G60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LS</v>
      </c>
      <c r="L608" s="32" t="s">
        <v>509</v>
      </c>
      <c r="M608" s="71">
        <v>45714.355810185189</v>
      </c>
      <c r="N608" s="71">
        <v>45716</v>
      </c>
      <c r="O608" s="71">
        <v>45716</v>
      </c>
      <c r="P608" s="70" t="str">
        <f ca="1">IF(Proc[[#This Row],[DaysAgeing]]&gt;5,"yep","on track")</f>
        <v>on track</v>
      </c>
      <c r="Q608" s="3">
        <f ca="1">IF(Proc[[#This Row],[DateClosed]]="",ABS(NETWORKDAYS(Proc[[#This Row],[DateOpened]],TODAY()))-1,ABS(NETWORKDAYS(Proc[[#This Row],[DateOpened]],Proc[[#This Row],[DateClosed]]))-1)</f>
        <v>2</v>
      </c>
      <c r="R608" s="70" t="s">
        <v>830</v>
      </c>
      <c r="S608" s="69"/>
    </row>
    <row r="609" spans="1:19" hidden="1">
      <c r="A609" t="s">
        <v>2210</v>
      </c>
      <c r="B609" s="149" t="str">
        <f>IFERROR(VLOOKUP(Proc[[#This Row],[App]],Table2[],3,0),"open")</f>
        <v>ok</v>
      </c>
      <c r="C609" s="68" t="s">
        <v>369</v>
      </c>
      <c r="D609" t="s">
        <v>2211</v>
      </c>
      <c r="E609" t="s">
        <v>2212</v>
      </c>
      <c r="F609" s="117" t="s">
        <v>2212</v>
      </c>
      <c r="G609" s="68" t="s">
        <v>406</v>
      </c>
      <c r="H609" s="69" t="str">
        <f>IF(Proc[[#This Row],[type]]="LFF (MDG-F)",MID(Proc[[#This Row],[Obj]],13,10),"")</f>
        <v>KR07C06030</v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32" t="s">
        <v>509</v>
      </c>
      <c r="M609" s="71">
        <v>45714.387881944444</v>
      </c>
      <c r="N609" s="71">
        <v>45716</v>
      </c>
      <c r="O609" s="71">
        <v>45716</v>
      </c>
      <c r="P609" s="70" t="str">
        <f ca="1">IF(Proc[[#This Row],[DaysAgeing]]&gt;5,"yep","on track")</f>
        <v>on track</v>
      </c>
      <c r="Q609" s="3">
        <f ca="1">IF(Proc[[#This Row],[DateClosed]]="",ABS(NETWORKDAYS(Proc[[#This Row],[DateOpened]],TODAY()))-1,ABS(NETWORKDAYS(Proc[[#This Row],[DateOpened]],Proc[[#This Row],[DateClosed]]))-1)</f>
        <v>2</v>
      </c>
      <c r="R609" s="70" t="s">
        <v>1076</v>
      </c>
      <c r="S609" s="69"/>
    </row>
    <row r="610" spans="1:19" hidden="1">
      <c r="A610" s="68" t="s">
        <v>2201</v>
      </c>
      <c r="B610" s="149" t="str">
        <f>IFERROR(VLOOKUP(Proc[[#This Row],[App]],Table2[],3,0),"open")</f>
        <v>ok</v>
      </c>
      <c r="C610" s="68" t="s">
        <v>369</v>
      </c>
      <c r="D610" t="s">
        <v>2213</v>
      </c>
      <c r="E610" t="s">
        <v>523</v>
      </c>
      <c r="F610" s="117" t="s">
        <v>523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LS</v>
      </c>
      <c r="L610" s="32" t="s">
        <v>509</v>
      </c>
      <c r="M610" s="71">
        <v>45714.490324074075</v>
      </c>
      <c r="N610" s="71">
        <v>45716</v>
      </c>
      <c r="O610" s="71">
        <v>45716</v>
      </c>
      <c r="P610" s="70" t="str">
        <f ca="1">IF(Proc[[#This Row],[DaysAgeing]]&gt;5,"yep","on track")</f>
        <v>on track</v>
      </c>
      <c r="Q610" s="3">
        <f ca="1">IF(Proc[[#This Row],[DateClosed]]="",ABS(NETWORKDAYS(Proc[[#This Row],[DateOpened]],TODAY()))-1,ABS(NETWORKDAYS(Proc[[#This Row],[DateOpened]],Proc[[#This Row],[DateClosed]]))-1)</f>
        <v>2</v>
      </c>
      <c r="R610" s="70" t="s">
        <v>972</v>
      </c>
      <c r="S610" s="69"/>
    </row>
    <row r="611" spans="1:19" hidden="1">
      <c r="A611" s="68" t="s">
        <v>2201</v>
      </c>
      <c r="B611" s="149" t="str">
        <f>IFERROR(VLOOKUP(Proc[[#This Row],[App]],Table2[],3,0),"open")</f>
        <v>ok</v>
      </c>
      <c r="C611" s="68" t="s">
        <v>369</v>
      </c>
      <c r="D611" t="s">
        <v>2203</v>
      </c>
      <c r="E611" t="s">
        <v>2205</v>
      </c>
      <c r="F611" s="117" t="s">
        <v>2205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LS</v>
      </c>
      <c r="L611" s="32" t="s">
        <v>509</v>
      </c>
      <c r="M611" s="71">
        <v>45714.490324074075</v>
      </c>
      <c r="N611" s="71">
        <v>45716</v>
      </c>
      <c r="O611" s="71">
        <v>45716</v>
      </c>
      <c r="P611" s="70" t="str">
        <f ca="1">IF(Proc[[#This Row],[DaysAgeing]]&gt;5,"yep","on track")</f>
        <v>on track</v>
      </c>
      <c r="Q611" s="3">
        <f ca="1">IF(Proc[[#This Row],[DateClosed]]="",ABS(NETWORKDAYS(Proc[[#This Row],[DateOpened]],TODAY()))-1,ABS(NETWORKDAYS(Proc[[#This Row],[DateOpened]],Proc[[#This Row],[DateClosed]]))-1)</f>
        <v>2</v>
      </c>
      <c r="R611" s="70" t="s">
        <v>972</v>
      </c>
      <c r="S611" s="69"/>
    </row>
    <row r="612" spans="1:19" hidden="1">
      <c r="A612" s="68" t="s">
        <v>2201</v>
      </c>
      <c r="B612" s="149" t="str">
        <f>IFERROR(VLOOKUP(Proc[[#This Row],[App]],Table2[],3,0),"open")</f>
        <v>ok</v>
      </c>
      <c r="C612" s="68" t="s">
        <v>369</v>
      </c>
      <c r="D612" t="s">
        <v>2204</v>
      </c>
      <c r="E612" t="s">
        <v>2206</v>
      </c>
      <c r="F612" s="117" t="s">
        <v>2206</v>
      </c>
      <c r="G612" s="68" t="s">
        <v>400</v>
      </c>
      <c r="H612" s="69" t="str">
        <f>IF(Proc[[#This Row],[type]]="LFF (MDG-F)",MID(Proc[[#This Row],[Obj]],13,10),"")</f>
        <v/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LS</v>
      </c>
      <c r="L612" s="32" t="s">
        <v>509</v>
      </c>
      <c r="M612" s="71">
        <v>45714.490324074075</v>
      </c>
      <c r="N612" s="71">
        <v>45716</v>
      </c>
      <c r="O612" s="71">
        <v>45716</v>
      </c>
      <c r="P612" s="70" t="str">
        <f ca="1">IF(Proc[[#This Row],[DaysAgeing]]&gt;5,"yep","on track")</f>
        <v>on track</v>
      </c>
      <c r="Q612" s="3">
        <f ca="1">IF(Proc[[#This Row],[DateClosed]]="",ABS(NETWORKDAYS(Proc[[#This Row],[DateOpened]],TODAY()))-1,ABS(NETWORKDAYS(Proc[[#This Row],[DateOpened]],Proc[[#This Row],[DateClosed]]))-1)</f>
        <v>2</v>
      </c>
      <c r="R612" s="70" t="s">
        <v>972</v>
      </c>
      <c r="S612" s="69"/>
    </row>
    <row r="613" spans="1:19" hidden="1">
      <c r="A613" t="s">
        <v>2201</v>
      </c>
      <c r="B613" s="149" t="str">
        <f>IFERROR(VLOOKUP(Proc[[#This Row],[App]],Table2[],3,0),"open")</f>
        <v>ok</v>
      </c>
      <c r="C613" s="68" t="s">
        <v>369</v>
      </c>
      <c r="D613" s="68" t="s">
        <v>2202</v>
      </c>
      <c r="E613" t="s">
        <v>2205</v>
      </c>
      <c r="F613" s="117" t="s">
        <v>2205</v>
      </c>
      <c r="G613" s="68" t="s">
        <v>400</v>
      </c>
      <c r="H613" s="69" t="str">
        <f>IF(Proc[[#This Row],[type]]="LFF (MDG-F)",MID(Proc[[#This Row],[Obj]],13,10),"")</f>
        <v/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LS</v>
      </c>
      <c r="L613" s="32" t="s">
        <v>509</v>
      </c>
      <c r="M613" s="71">
        <v>45714.490324074075</v>
      </c>
      <c r="N613" s="71">
        <v>45716</v>
      </c>
      <c r="O613" s="71">
        <v>45716</v>
      </c>
      <c r="P613" s="70" t="str">
        <f ca="1">IF(Proc[[#This Row],[DaysAgeing]]&gt;5,"yep","on track")</f>
        <v>on track</v>
      </c>
      <c r="Q613" s="3">
        <f ca="1">IF(Proc[[#This Row],[DateClosed]]="",ABS(NETWORKDAYS(Proc[[#This Row],[DateOpened]],TODAY()))-1,ABS(NETWORKDAYS(Proc[[#This Row],[DateOpened]],Proc[[#This Row],[DateClosed]]))-1)</f>
        <v>2</v>
      </c>
      <c r="R613" s="70" t="s">
        <v>972</v>
      </c>
      <c r="S613" s="69"/>
    </row>
    <row r="614" spans="1:19" hidden="1">
      <c r="A614" t="s">
        <v>2198</v>
      </c>
      <c r="B614" s="149" t="str">
        <f>IFERROR(VLOOKUP(Proc[[#This Row],[App]],Table2[],3,0),"open")</f>
        <v>ok</v>
      </c>
      <c r="C614" s="68" t="s">
        <v>369</v>
      </c>
      <c r="D614" t="s">
        <v>2199</v>
      </c>
      <c r="E614" t="s">
        <v>2200</v>
      </c>
      <c r="F614" s="117" t="s">
        <v>2200</v>
      </c>
      <c r="G614" t="s">
        <v>400</v>
      </c>
      <c r="H614" s="69" t="str">
        <f>IF(Proc[[#This Row],[type]]="LFF (MDG-F)",MID(Proc[[#This Row],[Obj]],13,10),"")</f>
        <v/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LS</v>
      </c>
      <c r="L614" s="32" t="s">
        <v>509</v>
      </c>
      <c r="M614" s="71">
        <v>45714.601423611108</v>
      </c>
      <c r="N614" s="71">
        <v>45716</v>
      </c>
      <c r="O614" s="71">
        <v>45716</v>
      </c>
      <c r="P614" s="70" t="str">
        <f ca="1">IF(Proc[[#This Row],[DaysAgeing]]&gt;5,"yep","on track")</f>
        <v>on track</v>
      </c>
      <c r="Q614" s="3">
        <f ca="1">IF(Proc[[#This Row],[DateClosed]]="",ABS(NETWORKDAYS(Proc[[#This Row],[DateOpened]],TODAY()))-1,ABS(NETWORKDAYS(Proc[[#This Row],[DateOpened]],Proc[[#This Row],[DateClosed]]))-1)</f>
        <v>2</v>
      </c>
      <c r="R614" s="70" t="s">
        <v>972</v>
      </c>
      <c r="S614" s="69"/>
    </row>
    <row r="615" spans="1:19" hidden="1">
      <c r="A615" t="s">
        <v>2217</v>
      </c>
      <c r="B615" s="149" t="str">
        <f>IFERROR(VLOOKUP(Proc[[#This Row],[App]],Table2[],3,0),"open")</f>
        <v>ok</v>
      </c>
      <c r="C615" s="68" t="s">
        <v>369</v>
      </c>
      <c r="D615" t="s">
        <v>2218</v>
      </c>
      <c r="E615" t="s">
        <v>2219</v>
      </c>
      <c r="F615" s="117" t="s">
        <v>2219</v>
      </c>
      <c r="G615" t="s">
        <v>406</v>
      </c>
      <c r="H615" s="69" t="str">
        <f>IF(Proc[[#This Row],[type]]="LFF (MDG-F)",MID(Proc[[#This Row],[Obj]],13,10),"")</f>
        <v>KR02TPAZ06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32" t="s">
        <v>509</v>
      </c>
      <c r="M615" s="71">
        <v>45715.620972222219</v>
      </c>
      <c r="N615" s="71">
        <v>45719</v>
      </c>
      <c r="O615" s="71">
        <v>45719</v>
      </c>
      <c r="P615" s="70" t="str">
        <f ca="1">IF(Proc[[#This Row],[DaysAgeing]]&gt;5,"yep","on track")</f>
        <v>on track</v>
      </c>
      <c r="Q615" s="3">
        <f ca="1">IF(Proc[[#This Row],[DateClosed]]="",ABS(NETWORKDAYS(Proc[[#This Row],[DateOpened]],TODAY()))-1,ABS(NETWORKDAYS(Proc[[#This Row],[DateOpened]],Proc[[#This Row],[DateClosed]]))-1)</f>
        <v>2</v>
      </c>
      <c r="R615" s="70" t="s">
        <v>1076</v>
      </c>
      <c r="S615" s="69"/>
    </row>
    <row r="616" spans="1:19" hidden="1">
      <c r="A616" t="s">
        <v>2216</v>
      </c>
      <c r="B616" s="149" t="str">
        <f>IFERROR(VLOOKUP(Proc[[#This Row],[App]],Table2[],3,0),"open")</f>
        <v>ok</v>
      </c>
      <c r="C616" s="68" t="s">
        <v>369</v>
      </c>
      <c r="D616" t="s">
        <v>2214</v>
      </c>
      <c r="E616" t="s">
        <v>413</v>
      </c>
      <c r="F616" s="117" t="s">
        <v>413</v>
      </c>
      <c r="G616" t="s">
        <v>400</v>
      </c>
      <c r="H616" s="69" t="str">
        <f>IF(Proc[[#This Row],[type]]="LFF (MDG-F)",MID(Proc[[#This Row],[Obj]],13,10),"")</f>
        <v/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32" t="s">
        <v>509</v>
      </c>
      <c r="M616" s="71">
        <v>45715.634722222225</v>
      </c>
      <c r="N616" s="71">
        <v>45716</v>
      </c>
      <c r="O616" s="71">
        <v>45716</v>
      </c>
      <c r="P616" s="70" t="str">
        <f ca="1">IF(Proc[[#This Row],[DaysAgeing]]&gt;5,"yep","on track")</f>
        <v>on track</v>
      </c>
      <c r="Q616" s="3">
        <f ca="1">IF(Proc[[#This Row],[DateClosed]]="",ABS(NETWORKDAYS(Proc[[#This Row],[DateOpened]],TODAY()))-1,ABS(NETWORKDAYS(Proc[[#This Row],[DateOpened]],Proc[[#This Row],[DateClosed]]))-1)</f>
        <v>1</v>
      </c>
      <c r="R616" s="70" t="s">
        <v>515</v>
      </c>
      <c r="S616" s="69"/>
    </row>
    <row r="617" spans="1:19" hidden="1">
      <c r="A617" t="s">
        <v>2216</v>
      </c>
      <c r="B617" s="149" t="str">
        <f>IFERROR(VLOOKUP(Proc[[#This Row],[App]],Table2[],3,0),"open")</f>
        <v>ok</v>
      </c>
      <c r="C617" t="s">
        <v>369</v>
      </c>
      <c r="D617" t="s">
        <v>2215</v>
      </c>
      <c r="E617" t="s">
        <v>413</v>
      </c>
      <c r="F617" s="117" t="s">
        <v>413</v>
      </c>
      <c r="G617" s="68" t="s">
        <v>400</v>
      </c>
      <c r="H617" s="69" t="str">
        <f>IF(Proc[[#This Row],[type]]="LFF (MDG-F)",MID(Proc[[#This Row],[Obj]],13,10),"")</f>
        <v/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32" t="s">
        <v>509</v>
      </c>
      <c r="M617" s="71">
        <v>45715.634722222225</v>
      </c>
      <c r="N617" s="71">
        <v>45716</v>
      </c>
      <c r="O617" s="71">
        <v>45716</v>
      </c>
      <c r="P617" s="70" t="str">
        <f ca="1">IF(Proc[[#This Row],[DaysAgeing]]&gt;5,"yep","on track")</f>
        <v>on track</v>
      </c>
      <c r="Q617" s="3">
        <f ca="1">IF(Proc[[#This Row],[DateClosed]]="",ABS(NETWORKDAYS(Proc[[#This Row],[DateOpened]],TODAY()))-1,ABS(NETWORKDAYS(Proc[[#This Row],[DateOpened]],Proc[[#This Row],[DateClosed]]))-1)</f>
        <v>1</v>
      </c>
      <c r="R617" s="70" t="s">
        <v>515</v>
      </c>
      <c r="S617" s="69"/>
    </row>
    <row r="618" spans="1:19" hidden="1">
      <c r="A618" t="s">
        <v>2279</v>
      </c>
      <c r="B618" s="149" t="str">
        <f>IFERROR(VLOOKUP(Proc[[#This Row],[App]],Table2[],3,0),"open")</f>
        <v>ok</v>
      </c>
      <c r="C618" t="s">
        <v>369</v>
      </c>
      <c r="D618" t="s">
        <v>2268</v>
      </c>
      <c r="E618" t="s">
        <v>2269</v>
      </c>
      <c r="F618" s="117" t="s">
        <v>2269</v>
      </c>
      <c r="G618" t="s">
        <v>400</v>
      </c>
      <c r="H618" s="69" t="str">
        <f>IF(Proc[[#This Row],[type]]="LFF (MDG-F)",MID(Proc[[#This Row],[Obj]],13,10),"")</f>
        <v/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HC</v>
      </c>
      <c r="L618" s="32" t="s">
        <v>509</v>
      </c>
      <c r="M618" s="71">
        <v>45716.405740740738</v>
      </c>
      <c r="N618" s="71">
        <v>45721</v>
      </c>
      <c r="O618" s="71">
        <v>45721</v>
      </c>
      <c r="P618" s="70" t="str">
        <f ca="1">IF(Proc[[#This Row],[DaysAgeing]]&gt;5,"yep","on track")</f>
        <v>on track</v>
      </c>
      <c r="Q618" s="3">
        <f ca="1">IF(Proc[[#This Row],[DateClosed]]="",ABS(NETWORKDAYS(Proc[[#This Row],[DateOpened]],TODAY()))-1,ABS(NETWORKDAYS(Proc[[#This Row],[DateOpened]],Proc[[#This Row],[DateClosed]]))-1)</f>
        <v>3</v>
      </c>
      <c r="R618" s="70" t="s">
        <v>738</v>
      </c>
      <c r="S618" s="69"/>
    </row>
    <row r="619" spans="1:19" hidden="1">
      <c r="A619" s="68" t="s">
        <v>2279</v>
      </c>
      <c r="B619" s="149" t="str">
        <f>IFERROR(VLOOKUP(Proc[[#This Row],[App]],Table2[],3,0),"open")</f>
        <v>ok</v>
      </c>
      <c r="C619" s="68" t="s">
        <v>369</v>
      </c>
      <c r="D619" t="s">
        <v>2270</v>
      </c>
      <c r="E619" t="s">
        <v>2269</v>
      </c>
      <c r="F619" s="117" t="s">
        <v>2269</v>
      </c>
      <c r="G619" s="68" t="s">
        <v>400</v>
      </c>
      <c r="H619" s="69" t="str">
        <f>IF(Proc[[#This Row],[type]]="LFF (MDG-F)",MID(Proc[[#This Row],[Obj]],13,10),"")</f>
        <v/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HC</v>
      </c>
      <c r="L619" s="32" t="s">
        <v>509</v>
      </c>
      <c r="M619" s="71">
        <v>45716.405740740738</v>
      </c>
      <c r="N619" s="71">
        <v>45721</v>
      </c>
      <c r="O619" s="71">
        <v>45721</v>
      </c>
      <c r="P619" s="70" t="str">
        <f ca="1">IF(Proc[[#This Row],[DaysAgeing]]&gt;5,"yep","on track")</f>
        <v>on track</v>
      </c>
      <c r="Q619" s="3">
        <f ca="1">IF(Proc[[#This Row],[DateClosed]]="",ABS(NETWORKDAYS(Proc[[#This Row],[DateOpened]],TODAY()))-1,ABS(NETWORKDAYS(Proc[[#This Row],[DateOpened]],Proc[[#This Row],[DateClosed]]))-1)</f>
        <v>3</v>
      </c>
      <c r="R619" s="70" t="s">
        <v>738</v>
      </c>
      <c r="S619" s="69"/>
    </row>
    <row r="620" spans="1:19" hidden="1">
      <c r="A620" s="68" t="s">
        <v>2279</v>
      </c>
      <c r="B620" s="149" t="str">
        <f>IFERROR(VLOOKUP(Proc[[#This Row],[App]],Table2[],3,0),"open")</f>
        <v>ok</v>
      </c>
      <c r="C620" s="68" t="s">
        <v>369</v>
      </c>
      <c r="D620" t="s">
        <v>2271</v>
      </c>
      <c r="E620" t="s">
        <v>2269</v>
      </c>
      <c r="F620" s="117" t="s">
        <v>2269</v>
      </c>
      <c r="G620" s="68" t="s">
        <v>400</v>
      </c>
      <c r="H620" s="69" t="str">
        <f>IF(Proc[[#This Row],[type]]="LFF (MDG-F)",MID(Proc[[#This Row],[Obj]],13,10),"")</f>
        <v/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HC</v>
      </c>
      <c r="L620" s="32" t="s">
        <v>509</v>
      </c>
      <c r="M620" s="71">
        <v>45716.405740740738</v>
      </c>
      <c r="N620" s="71">
        <v>45721</v>
      </c>
      <c r="O620" s="71">
        <v>45721</v>
      </c>
      <c r="P620" s="70" t="str">
        <f ca="1">IF(Proc[[#This Row],[DaysAgeing]]&gt;5,"yep","on track")</f>
        <v>on track</v>
      </c>
      <c r="Q620" s="3">
        <f ca="1">IF(Proc[[#This Row],[DateClosed]]="",ABS(NETWORKDAYS(Proc[[#This Row],[DateOpened]],TODAY()))-1,ABS(NETWORKDAYS(Proc[[#This Row],[DateOpened]],Proc[[#This Row],[DateClosed]]))-1)</f>
        <v>3</v>
      </c>
      <c r="R620" s="70" t="s">
        <v>738</v>
      </c>
      <c r="S620" s="69"/>
    </row>
    <row r="621" spans="1:19" hidden="1">
      <c r="A621" s="68" t="s">
        <v>2279</v>
      </c>
      <c r="B621" s="149" t="str">
        <f>IFERROR(VLOOKUP(Proc[[#This Row],[App]],Table2[],3,0),"open")</f>
        <v>ok</v>
      </c>
      <c r="C621" s="68" t="s">
        <v>369</v>
      </c>
      <c r="D621" t="s">
        <v>2272</v>
      </c>
      <c r="E621" t="s">
        <v>2269</v>
      </c>
      <c r="F621" s="117" t="s">
        <v>2269</v>
      </c>
      <c r="G621" s="68" t="s">
        <v>400</v>
      </c>
      <c r="H621" s="69" t="str">
        <f>IF(Proc[[#This Row],[type]]="LFF (MDG-F)",MID(Proc[[#This Row],[Obj]],13,10),"")</f>
        <v/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HC</v>
      </c>
      <c r="L621" s="32" t="s">
        <v>509</v>
      </c>
      <c r="M621" s="71">
        <v>45716.405740740738</v>
      </c>
      <c r="N621" s="71">
        <v>45721</v>
      </c>
      <c r="O621" s="71">
        <v>45721</v>
      </c>
      <c r="P621" s="70" t="str">
        <f ca="1">IF(Proc[[#This Row],[DaysAgeing]]&gt;5,"yep","on track")</f>
        <v>on track</v>
      </c>
      <c r="Q621" s="3">
        <f ca="1">IF(Proc[[#This Row],[DateClosed]]="",ABS(NETWORKDAYS(Proc[[#This Row],[DateOpened]],TODAY()))-1,ABS(NETWORKDAYS(Proc[[#This Row],[DateOpened]],Proc[[#This Row],[DateClosed]]))-1)</f>
        <v>3</v>
      </c>
      <c r="R621" s="70" t="s">
        <v>738</v>
      </c>
      <c r="S621" s="69"/>
    </row>
    <row r="622" spans="1:19" hidden="1">
      <c r="A622" s="68" t="s">
        <v>2279</v>
      </c>
      <c r="B622" s="149" t="str">
        <f>IFERROR(VLOOKUP(Proc[[#This Row],[App]],Table2[],3,0),"open")</f>
        <v>ok</v>
      </c>
      <c r="C622" s="68" t="s">
        <v>369</v>
      </c>
      <c r="D622" t="s">
        <v>2273</v>
      </c>
      <c r="E622" t="s">
        <v>2274</v>
      </c>
      <c r="F622" s="117" t="s">
        <v>2274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HC</v>
      </c>
      <c r="L622" s="32" t="s">
        <v>509</v>
      </c>
      <c r="M622" s="71">
        <v>45716.405740740738</v>
      </c>
      <c r="N622" s="71">
        <v>45721</v>
      </c>
      <c r="O622" s="71">
        <v>45721</v>
      </c>
      <c r="P622" s="70" t="str">
        <f ca="1">IF(Proc[[#This Row],[DaysAgeing]]&gt;5,"yep","on track")</f>
        <v>on track</v>
      </c>
      <c r="Q622" s="3">
        <f ca="1">IF(Proc[[#This Row],[DateClosed]]="",ABS(NETWORKDAYS(Proc[[#This Row],[DateOpened]],TODAY()))-1,ABS(NETWORKDAYS(Proc[[#This Row],[DateOpened]],Proc[[#This Row],[DateClosed]]))-1)</f>
        <v>3</v>
      </c>
      <c r="R622" s="70" t="s">
        <v>738</v>
      </c>
      <c r="S622" s="69"/>
    </row>
    <row r="623" spans="1:19" hidden="1">
      <c r="A623" s="68" t="s">
        <v>2279</v>
      </c>
      <c r="B623" s="149" t="str">
        <f>IFERROR(VLOOKUP(Proc[[#This Row],[App]],Table2[],3,0),"open")</f>
        <v>ok</v>
      </c>
      <c r="C623" s="68" t="s">
        <v>369</v>
      </c>
      <c r="D623" t="s">
        <v>2275</v>
      </c>
      <c r="E623" t="s">
        <v>2274</v>
      </c>
      <c r="F623" s="117" t="s">
        <v>2274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HC</v>
      </c>
      <c r="L623" s="32" t="s">
        <v>509</v>
      </c>
      <c r="M623" s="71">
        <v>45716.405740740738</v>
      </c>
      <c r="N623" s="71">
        <v>45721</v>
      </c>
      <c r="O623" s="71">
        <v>45721</v>
      </c>
      <c r="P623" s="70" t="str">
        <f ca="1">IF(Proc[[#This Row],[DaysAgeing]]&gt;5,"yep","on track")</f>
        <v>on track</v>
      </c>
      <c r="Q623" s="3">
        <f ca="1">IF(Proc[[#This Row],[DateClosed]]="",ABS(NETWORKDAYS(Proc[[#This Row],[DateOpened]],TODAY()))-1,ABS(NETWORKDAYS(Proc[[#This Row],[DateOpened]],Proc[[#This Row],[DateClosed]]))-1)</f>
        <v>3</v>
      </c>
      <c r="R623" s="70" t="s">
        <v>738</v>
      </c>
      <c r="S623" s="69"/>
    </row>
    <row r="624" spans="1:19" hidden="1">
      <c r="A624" s="68" t="s">
        <v>2279</v>
      </c>
      <c r="B624" s="149" t="str">
        <f>IFERROR(VLOOKUP(Proc[[#This Row],[App]],Table2[],3,0),"open")</f>
        <v>ok</v>
      </c>
      <c r="C624" s="68" t="s">
        <v>369</v>
      </c>
      <c r="D624" t="s">
        <v>2276</v>
      </c>
      <c r="E624" t="s">
        <v>2274</v>
      </c>
      <c r="F624" s="117" t="s">
        <v>2274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HC</v>
      </c>
      <c r="L624" s="32" t="s">
        <v>509</v>
      </c>
      <c r="M624" s="71">
        <v>45716.405740740738</v>
      </c>
      <c r="N624" s="71">
        <v>45721</v>
      </c>
      <c r="O624" s="71">
        <v>45721</v>
      </c>
      <c r="P624" s="70" t="str">
        <f ca="1">IF(Proc[[#This Row],[DaysAgeing]]&gt;5,"yep","on track")</f>
        <v>on track</v>
      </c>
      <c r="Q624" s="3">
        <f ca="1">IF(Proc[[#This Row],[DateClosed]]="",ABS(NETWORKDAYS(Proc[[#This Row],[DateOpened]],TODAY()))-1,ABS(NETWORKDAYS(Proc[[#This Row],[DateOpened]],Proc[[#This Row],[DateClosed]]))-1)</f>
        <v>3</v>
      </c>
      <c r="R624" s="70" t="s">
        <v>738</v>
      </c>
      <c r="S624" s="69"/>
    </row>
    <row r="625" spans="1:19" hidden="1">
      <c r="A625" s="68" t="s">
        <v>2279</v>
      </c>
      <c r="B625" s="149" t="str">
        <f>IFERROR(VLOOKUP(Proc[[#This Row],[App]],Table2[],3,0),"open")</f>
        <v>ok</v>
      </c>
      <c r="C625" s="68" t="s">
        <v>369</v>
      </c>
      <c r="D625" t="s">
        <v>2277</v>
      </c>
      <c r="E625" t="s">
        <v>2278</v>
      </c>
      <c r="F625" s="117" t="s">
        <v>2278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HC</v>
      </c>
      <c r="L625" s="32" t="s">
        <v>509</v>
      </c>
      <c r="M625" s="71">
        <v>45716.405740740738</v>
      </c>
      <c r="N625" s="71">
        <v>45721</v>
      </c>
      <c r="O625" s="71">
        <v>45721</v>
      </c>
      <c r="P625" s="70" t="str">
        <f ca="1">IF(Proc[[#This Row],[DaysAgeing]]&gt;5,"yep","on track")</f>
        <v>on track</v>
      </c>
      <c r="Q625" s="3">
        <f ca="1">IF(Proc[[#This Row],[DateClosed]]="",ABS(NETWORKDAYS(Proc[[#This Row],[DateOpened]],TODAY()))-1,ABS(NETWORKDAYS(Proc[[#This Row],[DateOpened]],Proc[[#This Row],[DateClosed]]))-1)</f>
        <v>3</v>
      </c>
      <c r="R625" s="70" t="s">
        <v>738</v>
      </c>
      <c r="S625" s="69"/>
    </row>
    <row r="626" spans="1:19" hidden="1">
      <c r="A626" s="68" t="s">
        <v>2266</v>
      </c>
      <c r="B626" s="149" t="str">
        <f>IFERROR(VLOOKUP(Proc[[#This Row],[App]],Table2[],3,0),"open")</f>
        <v>ok</v>
      </c>
      <c r="C626" s="68" t="s">
        <v>369</v>
      </c>
      <c r="D626" t="s">
        <v>1745</v>
      </c>
      <c r="E626" t="s">
        <v>493</v>
      </c>
      <c r="F626" s="117" t="s">
        <v>493</v>
      </c>
      <c r="G626" s="68" t="s">
        <v>400</v>
      </c>
      <c r="H626" s="69" t="str">
        <f>IF(Proc[[#This Row],[type]]="LFF (MDG-F)",MID(Proc[[#This Row],[Obj]],13,10),"")</f>
        <v/>
      </c>
      <c r="I626" t="s">
        <v>1198</v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HC</v>
      </c>
      <c r="L626" s="32" t="s">
        <v>509</v>
      </c>
      <c r="M626" s="71">
        <v>45716.407511574071</v>
      </c>
      <c r="N626" s="71">
        <v>45721</v>
      </c>
      <c r="O626" s="71">
        <v>45721</v>
      </c>
      <c r="P626" s="70" t="str">
        <f ca="1">IF(Proc[[#This Row],[DaysAgeing]]&gt;5,"yep","on track")</f>
        <v>on track</v>
      </c>
      <c r="Q626" s="3">
        <f ca="1">IF(Proc[[#This Row],[DateClosed]]="",ABS(NETWORKDAYS(Proc[[#This Row],[DateOpened]],TODAY()))-1,ABS(NETWORKDAYS(Proc[[#This Row],[DateOpened]],Proc[[#This Row],[DateClosed]]))-1)</f>
        <v>3</v>
      </c>
      <c r="R626" s="70" t="s">
        <v>478</v>
      </c>
      <c r="S626" s="69"/>
    </row>
    <row r="627" spans="1:19" hidden="1">
      <c r="A627" s="68" t="s">
        <v>2266</v>
      </c>
      <c r="B627" s="149" t="str">
        <f>IFERROR(VLOOKUP(Proc[[#This Row],[App]],Table2[],3,0),"open")</f>
        <v>ok</v>
      </c>
      <c r="C627" s="68" t="s">
        <v>369</v>
      </c>
      <c r="D627" t="s">
        <v>2265</v>
      </c>
      <c r="E627" t="s">
        <v>2267</v>
      </c>
      <c r="F627" s="117" t="s">
        <v>2267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HC</v>
      </c>
      <c r="L627" s="32" t="s">
        <v>509</v>
      </c>
      <c r="M627" s="71">
        <v>45716.407511574071</v>
      </c>
      <c r="N627" s="71">
        <v>45721</v>
      </c>
      <c r="O627" s="71">
        <v>45721</v>
      </c>
      <c r="P627" s="70" t="str">
        <f ca="1">IF(Proc[[#This Row],[DaysAgeing]]&gt;5,"yep","on track")</f>
        <v>on track</v>
      </c>
      <c r="Q627" s="3">
        <f ca="1">IF(Proc[[#This Row],[DateClosed]]="",ABS(NETWORKDAYS(Proc[[#This Row],[DateOpened]],TODAY()))-1,ABS(NETWORKDAYS(Proc[[#This Row],[DateOpened]],Proc[[#This Row],[DateClosed]]))-1)</f>
        <v>3</v>
      </c>
      <c r="R627" s="70" t="s">
        <v>478</v>
      </c>
      <c r="S627" s="69"/>
    </row>
    <row r="628" spans="1:19" hidden="1">
      <c r="A628" s="68" t="s">
        <v>2264</v>
      </c>
      <c r="B628" s="149" t="str">
        <f>IFERROR(VLOOKUP(Proc[[#This Row],[App]],Table2[],3,0),"open")</f>
        <v>ok</v>
      </c>
      <c r="C628" s="68" t="s">
        <v>369</v>
      </c>
      <c r="D628" t="s">
        <v>2262</v>
      </c>
      <c r="E628" t="s">
        <v>540</v>
      </c>
      <c r="F628" s="117" t="s">
        <v>540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MGF</v>
      </c>
      <c r="L628" s="32" t="s">
        <v>509</v>
      </c>
      <c r="M628" s="71">
        <v>45716.515300925923</v>
      </c>
      <c r="N628" s="71">
        <v>45721</v>
      </c>
      <c r="O628" s="71">
        <v>45721</v>
      </c>
      <c r="P628" s="70" t="str">
        <f ca="1">IF(Proc[[#This Row],[DaysAgeing]]&gt;5,"yep","on track")</f>
        <v>on track</v>
      </c>
      <c r="Q628" s="3">
        <f ca="1">IF(Proc[[#This Row],[DateClosed]]="",ABS(NETWORKDAYS(Proc[[#This Row],[DateOpened]],TODAY()))-1,ABS(NETWORKDAYS(Proc[[#This Row],[DateOpened]],Proc[[#This Row],[DateClosed]]))-1)</f>
        <v>3</v>
      </c>
      <c r="R628" s="70" t="s">
        <v>2263</v>
      </c>
      <c r="S628" s="69"/>
    </row>
    <row r="629" spans="1:19" hidden="1">
      <c r="A629" s="68" t="s">
        <v>2261</v>
      </c>
      <c r="B629" s="149" t="str">
        <f>IFERROR(VLOOKUP(Proc[[#This Row],[App]],Table2[],3,0),"open")</f>
        <v>ok</v>
      </c>
      <c r="C629" s="68" t="s">
        <v>369</v>
      </c>
      <c r="D629" t="s">
        <v>2245</v>
      </c>
      <c r="E629" t="s">
        <v>2246</v>
      </c>
      <c r="F629" s="117" t="s">
        <v>2246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HC</v>
      </c>
      <c r="L629" s="32" t="s">
        <v>509</v>
      </c>
      <c r="M629" s="71">
        <v>45716.548854166664</v>
      </c>
      <c r="N629" s="71">
        <v>45721</v>
      </c>
      <c r="O629" s="71">
        <v>45721</v>
      </c>
      <c r="P629" s="70" t="str">
        <f ca="1">IF(Proc[[#This Row],[DaysAgeing]]&gt;5,"yep","on track")</f>
        <v>on track</v>
      </c>
      <c r="Q629" s="3">
        <f ca="1">IF(Proc[[#This Row],[DateClosed]]="",ABS(NETWORKDAYS(Proc[[#This Row],[DateOpened]],TODAY()))-1,ABS(NETWORKDAYS(Proc[[#This Row],[DateOpened]],Proc[[#This Row],[DateClosed]]))-1)</f>
        <v>3</v>
      </c>
      <c r="R629" s="70" t="s">
        <v>1013</v>
      </c>
      <c r="S629" s="69"/>
    </row>
    <row r="630" spans="1:19" hidden="1">
      <c r="A630" s="68" t="s">
        <v>2261</v>
      </c>
      <c r="B630" s="149" t="str">
        <f>IFERROR(VLOOKUP(Proc[[#This Row],[App]],Table2[],3,0),"open")</f>
        <v>ok</v>
      </c>
      <c r="C630" s="68" t="s">
        <v>369</v>
      </c>
      <c r="D630" t="s">
        <v>2247</v>
      </c>
      <c r="E630" t="s">
        <v>2248</v>
      </c>
      <c r="F630" s="117" t="s">
        <v>2248</v>
      </c>
      <c r="G630" s="68" t="s">
        <v>400</v>
      </c>
      <c r="H630" s="69" t="str">
        <f>IF(Proc[[#This Row],[type]]="LFF (MDG-F)",MID(Proc[[#This Row],[Obj]],13,10),"")</f>
        <v/>
      </c>
      <c r="I630" t="s">
        <v>2280</v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HC</v>
      </c>
      <c r="L630" s="32" t="s">
        <v>509</v>
      </c>
      <c r="M630" s="71">
        <v>45716.548854166664</v>
      </c>
      <c r="N630" s="71">
        <v>45721</v>
      </c>
      <c r="O630" s="71">
        <v>45721</v>
      </c>
      <c r="P630" s="70" t="str">
        <f ca="1">IF(Proc[[#This Row],[DaysAgeing]]&gt;5,"yep","on track")</f>
        <v>on track</v>
      </c>
      <c r="Q630" s="3">
        <f ca="1">IF(Proc[[#This Row],[DateClosed]]="",ABS(NETWORKDAYS(Proc[[#This Row],[DateOpened]],TODAY()))-1,ABS(NETWORKDAYS(Proc[[#This Row],[DateOpened]],Proc[[#This Row],[DateClosed]]))-1)</f>
        <v>3</v>
      </c>
      <c r="R630" s="70" t="s">
        <v>1013</v>
      </c>
      <c r="S630" s="69"/>
    </row>
    <row r="631" spans="1:19" hidden="1">
      <c r="A631" s="68" t="s">
        <v>2261</v>
      </c>
      <c r="B631" s="149" t="str">
        <f>IFERROR(VLOOKUP(Proc[[#This Row],[App]],Table2[],3,0),"open")</f>
        <v>ok</v>
      </c>
      <c r="C631" s="68" t="s">
        <v>369</v>
      </c>
      <c r="D631" t="s">
        <v>2249</v>
      </c>
      <c r="E631" t="s">
        <v>2250</v>
      </c>
      <c r="F631" s="117" t="s">
        <v>2250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HC</v>
      </c>
      <c r="L631" s="32" t="s">
        <v>509</v>
      </c>
      <c r="M631" s="71">
        <v>45716.548854166664</v>
      </c>
      <c r="N631" s="71">
        <v>45721</v>
      </c>
      <c r="O631" s="71">
        <v>45721</v>
      </c>
      <c r="P631" s="70" t="str">
        <f ca="1">IF(Proc[[#This Row],[DaysAgeing]]&gt;5,"yep","on track")</f>
        <v>on track</v>
      </c>
      <c r="Q631" s="3">
        <f ca="1">IF(Proc[[#This Row],[DateClosed]]="",ABS(NETWORKDAYS(Proc[[#This Row],[DateOpened]],TODAY()))-1,ABS(NETWORKDAYS(Proc[[#This Row],[DateOpened]],Proc[[#This Row],[DateClosed]]))-1)</f>
        <v>3</v>
      </c>
      <c r="R631" s="70" t="s">
        <v>1013</v>
      </c>
      <c r="S631" s="69"/>
    </row>
    <row r="632" spans="1:19" hidden="1">
      <c r="A632" s="68" t="s">
        <v>2261</v>
      </c>
      <c r="B632" s="149" t="str">
        <f>IFERROR(VLOOKUP(Proc[[#This Row],[App]],Table2[],3,0),"open")</f>
        <v>ok</v>
      </c>
      <c r="C632" s="68" t="s">
        <v>369</v>
      </c>
      <c r="D632" t="s">
        <v>2251</v>
      </c>
      <c r="E632" t="s">
        <v>2250</v>
      </c>
      <c r="F632" s="117" t="s">
        <v>2250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HC</v>
      </c>
      <c r="L632" s="32" t="s">
        <v>509</v>
      </c>
      <c r="M632" s="71">
        <v>45716.548854166664</v>
      </c>
      <c r="N632" s="71">
        <v>45721</v>
      </c>
      <c r="O632" s="71">
        <v>45721</v>
      </c>
      <c r="P632" s="70" t="str">
        <f ca="1">IF(Proc[[#This Row],[DaysAgeing]]&gt;5,"yep","on track")</f>
        <v>on track</v>
      </c>
      <c r="Q632" s="3">
        <f ca="1">IF(Proc[[#This Row],[DateClosed]]="",ABS(NETWORKDAYS(Proc[[#This Row],[DateOpened]],TODAY()))-1,ABS(NETWORKDAYS(Proc[[#This Row],[DateOpened]],Proc[[#This Row],[DateClosed]]))-1)</f>
        <v>3</v>
      </c>
      <c r="R632" s="70" t="s">
        <v>1013</v>
      </c>
      <c r="S632" s="69"/>
    </row>
    <row r="633" spans="1:19" hidden="1">
      <c r="A633" s="68" t="s">
        <v>2261</v>
      </c>
      <c r="B633" s="149" t="str">
        <f>IFERROR(VLOOKUP(Proc[[#This Row],[App]],Table2[],3,0),"open")</f>
        <v>ok</v>
      </c>
      <c r="C633" s="68" t="s">
        <v>369</v>
      </c>
      <c r="D633" t="s">
        <v>2252</v>
      </c>
      <c r="E633" t="s">
        <v>2250</v>
      </c>
      <c r="F633" s="117" t="s">
        <v>2250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HC</v>
      </c>
      <c r="L633" s="32" t="s">
        <v>509</v>
      </c>
      <c r="M633" s="71">
        <v>45716.548854166664</v>
      </c>
      <c r="N633" s="71">
        <v>45721</v>
      </c>
      <c r="O633" s="71">
        <v>45721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3</v>
      </c>
      <c r="R633" s="70" t="s">
        <v>1013</v>
      </c>
      <c r="S633" s="69"/>
    </row>
    <row r="634" spans="1:19" hidden="1">
      <c r="A634" s="68" t="s">
        <v>2261</v>
      </c>
      <c r="B634" s="149" t="str">
        <f>IFERROR(VLOOKUP(Proc[[#This Row],[App]],Table2[],3,0),"open")</f>
        <v>ok</v>
      </c>
      <c r="C634" s="68" t="s">
        <v>369</v>
      </c>
      <c r="D634" t="s">
        <v>2253</v>
      </c>
      <c r="E634" t="s">
        <v>2250</v>
      </c>
      <c r="F634" s="117" t="s">
        <v>2250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HC</v>
      </c>
      <c r="L634" s="32" t="s">
        <v>509</v>
      </c>
      <c r="M634" s="71">
        <v>45716.548854166664</v>
      </c>
      <c r="N634" s="71">
        <v>45721</v>
      </c>
      <c r="O634" s="71">
        <v>45721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3</v>
      </c>
      <c r="R634" s="70" t="s">
        <v>1013</v>
      </c>
      <c r="S634" s="69"/>
    </row>
    <row r="635" spans="1:19" hidden="1">
      <c r="A635" s="68" t="s">
        <v>2261</v>
      </c>
      <c r="B635" s="149" t="str">
        <f>IFERROR(VLOOKUP(Proc[[#This Row],[App]],Table2[],3,0),"open")</f>
        <v>ok</v>
      </c>
      <c r="C635" s="68" t="s">
        <v>369</v>
      </c>
      <c r="D635" t="s">
        <v>2254</v>
      </c>
      <c r="E635" t="s">
        <v>2255</v>
      </c>
      <c r="F635" s="117" t="s">
        <v>2255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HC</v>
      </c>
      <c r="L635" s="32" t="s">
        <v>509</v>
      </c>
      <c r="M635" s="71">
        <v>45716.548854166664</v>
      </c>
      <c r="N635" s="71">
        <v>45721</v>
      </c>
      <c r="O635" s="71">
        <v>45721</v>
      </c>
      <c r="P635" s="70" t="str">
        <f ca="1">IF(Proc[[#This Row],[DaysAgeing]]&gt;5,"yep","on track")</f>
        <v>on track</v>
      </c>
      <c r="Q635" s="3">
        <f ca="1">IF(Proc[[#This Row],[DateClosed]]="",ABS(NETWORKDAYS(Proc[[#This Row],[DateOpened]],TODAY()))-1,ABS(NETWORKDAYS(Proc[[#This Row],[DateOpened]],Proc[[#This Row],[DateClosed]]))-1)</f>
        <v>3</v>
      </c>
      <c r="R635" s="70" t="s">
        <v>1013</v>
      </c>
      <c r="S635" s="69"/>
    </row>
    <row r="636" spans="1:19" hidden="1">
      <c r="A636" s="68" t="s">
        <v>2261</v>
      </c>
      <c r="B636" s="149" t="str">
        <f>IFERROR(VLOOKUP(Proc[[#This Row],[App]],Table2[],3,0),"open")</f>
        <v>ok</v>
      </c>
      <c r="C636" s="68" t="s">
        <v>369</v>
      </c>
      <c r="D636" t="s">
        <v>2256</v>
      </c>
      <c r="E636" t="s">
        <v>2257</v>
      </c>
      <c r="F636" s="117" t="s">
        <v>2257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HC</v>
      </c>
      <c r="L636" s="32" t="s">
        <v>509</v>
      </c>
      <c r="M636" s="71">
        <v>45716.548854166664</v>
      </c>
      <c r="N636" s="71">
        <v>45721</v>
      </c>
      <c r="O636" s="71">
        <v>45721</v>
      </c>
      <c r="P636" s="70" t="str">
        <f ca="1">IF(Proc[[#This Row],[DaysAgeing]]&gt;5,"yep","on track")</f>
        <v>on track</v>
      </c>
      <c r="Q636" s="3">
        <f ca="1">IF(Proc[[#This Row],[DateClosed]]="",ABS(NETWORKDAYS(Proc[[#This Row],[DateOpened]],TODAY()))-1,ABS(NETWORKDAYS(Proc[[#This Row],[DateOpened]],Proc[[#This Row],[DateClosed]]))-1)</f>
        <v>3</v>
      </c>
      <c r="R636" s="70" t="s">
        <v>1013</v>
      </c>
      <c r="S636" s="69"/>
    </row>
    <row r="637" spans="1:19" hidden="1">
      <c r="A637" s="68" t="s">
        <v>2261</v>
      </c>
      <c r="B637" s="149" t="str">
        <f>IFERROR(VLOOKUP(Proc[[#This Row],[App]],Table2[],3,0),"open")</f>
        <v>ok</v>
      </c>
      <c r="C637" s="68" t="s">
        <v>369</v>
      </c>
      <c r="D637" t="s">
        <v>2258</v>
      </c>
      <c r="E637" t="s">
        <v>2248</v>
      </c>
      <c r="F637" s="117" t="s">
        <v>2248</v>
      </c>
      <c r="G637" s="68" t="s">
        <v>400</v>
      </c>
      <c r="H637" s="69" t="str">
        <f>IF(Proc[[#This Row],[type]]="LFF (MDG-F)",MID(Proc[[#This Row],[Obj]],13,10),"")</f>
        <v/>
      </c>
      <c r="I637" t="s">
        <v>2280</v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HC</v>
      </c>
      <c r="L637" s="32" t="s">
        <v>509</v>
      </c>
      <c r="M637" s="71">
        <v>45716.548854166664</v>
      </c>
      <c r="N637" s="71">
        <v>45721</v>
      </c>
      <c r="O637" s="71">
        <v>45721</v>
      </c>
      <c r="P637" s="70" t="str">
        <f ca="1">IF(Proc[[#This Row],[DaysAgeing]]&gt;5,"yep","on track")</f>
        <v>on track</v>
      </c>
      <c r="Q637" s="3">
        <f ca="1">IF(Proc[[#This Row],[DateClosed]]="",ABS(NETWORKDAYS(Proc[[#This Row],[DateOpened]],TODAY()))-1,ABS(NETWORKDAYS(Proc[[#This Row],[DateOpened]],Proc[[#This Row],[DateClosed]]))-1)</f>
        <v>3</v>
      </c>
      <c r="R637" s="70" t="s">
        <v>1013</v>
      </c>
      <c r="S637" s="69"/>
    </row>
    <row r="638" spans="1:19" hidden="1">
      <c r="A638" s="68" t="s">
        <v>2261</v>
      </c>
      <c r="B638" s="149" t="str">
        <f>IFERROR(VLOOKUP(Proc[[#This Row],[App]],Table2[],3,0),"open")</f>
        <v>ok</v>
      </c>
      <c r="C638" s="68" t="s">
        <v>369</v>
      </c>
      <c r="D638" t="s">
        <v>2259</v>
      </c>
      <c r="E638" t="s">
        <v>2250</v>
      </c>
      <c r="F638" s="117" t="s">
        <v>2250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HC</v>
      </c>
      <c r="L638" s="32" t="s">
        <v>509</v>
      </c>
      <c r="M638" s="71">
        <v>45716.548854166664</v>
      </c>
      <c r="N638" s="71">
        <v>45721</v>
      </c>
      <c r="O638" s="71">
        <v>45721</v>
      </c>
      <c r="P638" s="70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3</v>
      </c>
      <c r="R638" s="70" t="s">
        <v>1013</v>
      </c>
      <c r="S638" s="69"/>
    </row>
    <row r="639" spans="1:19" hidden="1">
      <c r="A639" s="68" t="s">
        <v>2261</v>
      </c>
      <c r="B639" s="149" t="str">
        <f>IFERROR(VLOOKUP(Proc[[#This Row],[App]],Table2[],3,0),"open")</f>
        <v>ok</v>
      </c>
      <c r="C639" s="68" t="s">
        <v>369</v>
      </c>
      <c r="D639" t="s">
        <v>2260</v>
      </c>
      <c r="E639" t="s">
        <v>2250</v>
      </c>
      <c r="F639" s="117" t="s">
        <v>2250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HC</v>
      </c>
      <c r="L639" s="32" t="s">
        <v>509</v>
      </c>
      <c r="M639" s="71">
        <v>45716.548854166664</v>
      </c>
      <c r="N639" s="71">
        <v>45721</v>
      </c>
      <c r="O639" s="71">
        <v>45721</v>
      </c>
      <c r="P639" s="70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3</v>
      </c>
      <c r="R639" s="70" t="s">
        <v>1013</v>
      </c>
      <c r="S639" s="69"/>
    </row>
    <row r="640" spans="1:19" hidden="1">
      <c r="A640" t="s">
        <v>2244</v>
      </c>
      <c r="B640" s="149" t="str">
        <f>IFERROR(VLOOKUP(Proc[[#This Row],[App]],Table2[],3,0),"open")</f>
        <v>ok</v>
      </c>
      <c r="C640" s="68" t="s">
        <v>369</v>
      </c>
      <c r="D640" t="s">
        <v>2221</v>
      </c>
      <c r="E640" t="s">
        <v>2222</v>
      </c>
      <c r="F640" s="117" t="s">
        <v>2222</v>
      </c>
      <c r="G640" s="68" t="s">
        <v>400</v>
      </c>
      <c r="H640" s="69" t="str">
        <f>IF(Proc[[#This Row],[type]]="LFF (MDG-F)",MID(Proc[[#This Row],[Obj]],13,10),"")</f>
        <v/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HC</v>
      </c>
      <c r="L640" s="32" t="s">
        <v>509</v>
      </c>
      <c r="M640" s="71">
        <v>45716.734988425924</v>
      </c>
      <c r="N640" s="71">
        <v>45721</v>
      </c>
      <c r="O640" s="71">
        <v>45721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1013</v>
      </c>
      <c r="S640" s="69"/>
    </row>
    <row r="641" spans="1:19" hidden="1">
      <c r="A641" s="68" t="s">
        <v>2244</v>
      </c>
      <c r="B641" s="149" t="str">
        <f>IFERROR(VLOOKUP(Proc[[#This Row],[App]],Table2[],3,0),"open")</f>
        <v>ok</v>
      </c>
      <c r="C641" s="68" t="s">
        <v>369</v>
      </c>
      <c r="D641" t="s">
        <v>2223</v>
      </c>
      <c r="E641" t="s">
        <v>2224</v>
      </c>
      <c r="F641" s="117" t="s">
        <v>2224</v>
      </c>
      <c r="G641" s="68" t="s">
        <v>400</v>
      </c>
      <c r="H641" s="69" t="str">
        <f>IF(Proc[[#This Row],[type]]="LFF (MDG-F)",MID(Proc[[#This Row],[Obj]],13,10),"")</f>
        <v/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HC</v>
      </c>
      <c r="L641" s="32" t="s">
        <v>509</v>
      </c>
      <c r="M641" s="71">
        <v>45716.734988425924</v>
      </c>
      <c r="N641" s="71">
        <v>45721</v>
      </c>
      <c r="O641" s="71">
        <v>45721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1013</v>
      </c>
      <c r="S641" s="69"/>
    </row>
    <row r="642" spans="1:19" hidden="1">
      <c r="A642" s="68" t="s">
        <v>2244</v>
      </c>
      <c r="B642" s="149" t="str">
        <f>IFERROR(VLOOKUP(Proc[[#This Row],[App]],Table2[],3,0),"open")</f>
        <v>ok</v>
      </c>
      <c r="C642" s="68" t="s">
        <v>369</v>
      </c>
      <c r="D642" t="s">
        <v>2225</v>
      </c>
      <c r="E642" t="s">
        <v>2224</v>
      </c>
      <c r="F642" s="117" t="s">
        <v>2224</v>
      </c>
      <c r="G642" s="68" t="s">
        <v>400</v>
      </c>
      <c r="H642" s="69" t="str">
        <f>IF(Proc[[#This Row],[type]]="LFF (MDG-F)",MID(Proc[[#This Row],[Obj]],13,10),"")</f>
        <v/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HC</v>
      </c>
      <c r="L642" s="32" t="s">
        <v>509</v>
      </c>
      <c r="M642" s="71">
        <v>45716.734988425924</v>
      </c>
      <c r="N642" s="71">
        <v>45721</v>
      </c>
      <c r="O642" s="71">
        <v>45721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3</v>
      </c>
      <c r="R642" s="70" t="s">
        <v>1013</v>
      </c>
      <c r="S642" s="69"/>
    </row>
    <row r="643" spans="1:19" hidden="1">
      <c r="A643" s="68" t="s">
        <v>2244</v>
      </c>
      <c r="B643" s="149" t="str">
        <f>IFERROR(VLOOKUP(Proc[[#This Row],[App]],Table2[],3,0),"open")</f>
        <v>ok</v>
      </c>
      <c r="C643" s="68" t="s">
        <v>369</v>
      </c>
      <c r="D643" t="s">
        <v>2226</v>
      </c>
      <c r="E643" t="s">
        <v>2224</v>
      </c>
      <c r="F643" s="117" t="s">
        <v>2224</v>
      </c>
      <c r="G643" s="68" t="s">
        <v>400</v>
      </c>
      <c r="H643" s="69" t="str">
        <f>IF(Proc[[#This Row],[type]]="LFF (MDG-F)",MID(Proc[[#This Row],[Obj]],13,10),"")</f>
        <v/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HC</v>
      </c>
      <c r="L643" s="32" t="s">
        <v>509</v>
      </c>
      <c r="M643" s="71">
        <v>45716.734988425924</v>
      </c>
      <c r="N643" s="71">
        <v>45721</v>
      </c>
      <c r="O643" s="71">
        <v>45721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3</v>
      </c>
      <c r="R643" s="70" t="s">
        <v>1013</v>
      </c>
      <c r="S643" s="69"/>
    </row>
    <row r="644" spans="1:19" hidden="1">
      <c r="A644" s="68" t="s">
        <v>2244</v>
      </c>
      <c r="B644" s="149" t="str">
        <f>IFERROR(VLOOKUP(Proc[[#This Row],[App]],Table2[],3,0),"open")</f>
        <v>ok</v>
      </c>
      <c r="C644" s="68" t="s">
        <v>369</v>
      </c>
      <c r="D644" t="s">
        <v>2227</v>
      </c>
      <c r="E644" t="s">
        <v>2224</v>
      </c>
      <c r="F644" s="117" t="s">
        <v>2224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HC</v>
      </c>
      <c r="L644" s="32" t="s">
        <v>509</v>
      </c>
      <c r="M644" s="71">
        <v>45716.734988425924</v>
      </c>
      <c r="N644" s="71">
        <v>45721</v>
      </c>
      <c r="O644" s="71">
        <v>45721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3</v>
      </c>
      <c r="R644" s="70" t="s">
        <v>1013</v>
      </c>
      <c r="S644" s="69"/>
    </row>
    <row r="645" spans="1:19" hidden="1">
      <c r="A645" s="68" t="s">
        <v>2244</v>
      </c>
      <c r="B645" s="149" t="str">
        <f>IFERROR(VLOOKUP(Proc[[#This Row],[App]],Table2[],3,0),"open")</f>
        <v>ok</v>
      </c>
      <c r="C645" s="68" t="s">
        <v>369</v>
      </c>
      <c r="D645" t="s">
        <v>2228</v>
      </c>
      <c r="E645" t="s">
        <v>2224</v>
      </c>
      <c r="F645" s="117" t="s">
        <v>2224</v>
      </c>
      <c r="G645" s="68" t="s">
        <v>400</v>
      </c>
      <c r="H645" s="69" t="str">
        <f>IF(Proc[[#This Row],[type]]="LFF (MDG-F)",MID(Proc[[#This Row],[Obj]],13,10),"")</f>
        <v/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HC</v>
      </c>
      <c r="L645" s="32" t="s">
        <v>509</v>
      </c>
      <c r="M645" s="71">
        <v>45716.734988425924</v>
      </c>
      <c r="N645" s="71">
        <v>45721</v>
      </c>
      <c r="O645" s="71">
        <v>45721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3</v>
      </c>
      <c r="R645" s="70" t="s">
        <v>1013</v>
      </c>
      <c r="S645" s="69"/>
    </row>
    <row r="646" spans="1:19" hidden="1">
      <c r="A646" s="68" t="s">
        <v>2244</v>
      </c>
      <c r="B646" s="149" t="str">
        <f>IFERROR(VLOOKUP(Proc[[#This Row],[App]],Table2[],3,0),"open")</f>
        <v>ok</v>
      </c>
      <c r="C646" s="68" t="s">
        <v>369</v>
      </c>
      <c r="D646" t="s">
        <v>2229</v>
      </c>
      <c r="E646" t="s">
        <v>2224</v>
      </c>
      <c r="F646" s="117" t="s">
        <v>2224</v>
      </c>
      <c r="G646" s="68" t="s">
        <v>400</v>
      </c>
      <c r="H646" s="69" t="str">
        <f>IF(Proc[[#This Row],[type]]="LFF (MDG-F)",MID(Proc[[#This Row],[Obj]],13,10),"")</f>
        <v/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HC</v>
      </c>
      <c r="L646" s="32" t="s">
        <v>509</v>
      </c>
      <c r="M646" s="71">
        <v>45716.734988425924</v>
      </c>
      <c r="N646" s="71">
        <v>45721</v>
      </c>
      <c r="O646" s="71">
        <v>45721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3</v>
      </c>
      <c r="R646" s="70" t="s">
        <v>1013</v>
      </c>
      <c r="S646" s="69"/>
    </row>
    <row r="647" spans="1:19" hidden="1">
      <c r="A647" s="68" t="s">
        <v>2244</v>
      </c>
      <c r="B647" s="149" t="str">
        <f>IFERROR(VLOOKUP(Proc[[#This Row],[App]],Table2[],3,0),"open")</f>
        <v>ok</v>
      </c>
      <c r="C647" s="68" t="s">
        <v>369</v>
      </c>
      <c r="D647" t="s">
        <v>2230</v>
      </c>
      <c r="E647" t="s">
        <v>2224</v>
      </c>
      <c r="F647" s="117" t="s">
        <v>2224</v>
      </c>
      <c r="G647" s="68" t="s">
        <v>400</v>
      </c>
      <c r="H647" s="69" t="str">
        <f>IF(Proc[[#This Row],[type]]="LFF (MDG-F)",MID(Proc[[#This Row],[Obj]],13,10),"")</f>
        <v/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HC</v>
      </c>
      <c r="L647" s="32" t="s">
        <v>509</v>
      </c>
      <c r="M647" s="71">
        <v>45716.734988425924</v>
      </c>
      <c r="N647" s="71">
        <v>45721</v>
      </c>
      <c r="O647" s="71">
        <v>45721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3</v>
      </c>
      <c r="R647" s="70" t="s">
        <v>1013</v>
      </c>
      <c r="S647" s="69"/>
    </row>
    <row r="648" spans="1:19" hidden="1">
      <c r="A648" s="68" t="s">
        <v>2244</v>
      </c>
      <c r="B648" s="149" t="str">
        <f>IFERROR(VLOOKUP(Proc[[#This Row],[App]],Table2[],3,0),"open")</f>
        <v>ok</v>
      </c>
      <c r="C648" s="68" t="s">
        <v>369</v>
      </c>
      <c r="D648" t="s">
        <v>2231</v>
      </c>
      <c r="E648" t="s">
        <v>2224</v>
      </c>
      <c r="F648" s="117" t="s">
        <v>2224</v>
      </c>
      <c r="G648" s="68" t="s">
        <v>400</v>
      </c>
      <c r="H648" s="69" t="str">
        <f>IF(Proc[[#This Row],[type]]="LFF (MDG-F)",MID(Proc[[#This Row],[Obj]],13,10),"")</f>
        <v/>
      </c>
      <c r="I648" s="68"/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HC</v>
      </c>
      <c r="L648" s="32" t="s">
        <v>509</v>
      </c>
      <c r="M648" s="71">
        <v>45716.734988425924</v>
      </c>
      <c r="N648" s="71">
        <v>45721</v>
      </c>
      <c r="O648" s="71">
        <v>45721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3</v>
      </c>
      <c r="R648" s="70" t="s">
        <v>1013</v>
      </c>
      <c r="S648" s="69"/>
    </row>
    <row r="649" spans="1:19" hidden="1">
      <c r="A649" s="68" t="s">
        <v>2244</v>
      </c>
      <c r="B649" s="149" t="str">
        <f>IFERROR(VLOOKUP(Proc[[#This Row],[App]],Table2[],3,0),"open")</f>
        <v>ok</v>
      </c>
      <c r="C649" s="68" t="s">
        <v>369</v>
      </c>
      <c r="D649" t="s">
        <v>2232</v>
      </c>
      <c r="E649" t="s">
        <v>2224</v>
      </c>
      <c r="F649" s="117" t="s">
        <v>2224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HC</v>
      </c>
      <c r="L649" s="32" t="s">
        <v>509</v>
      </c>
      <c r="M649" s="71">
        <v>45716.734988425924</v>
      </c>
      <c r="N649" s="71">
        <v>45721</v>
      </c>
      <c r="O649" s="71">
        <v>45721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3</v>
      </c>
      <c r="R649" s="70" t="s">
        <v>1013</v>
      </c>
      <c r="S649" s="69"/>
    </row>
    <row r="650" spans="1:19" hidden="1">
      <c r="A650" s="68" t="s">
        <v>2244</v>
      </c>
      <c r="B650" s="149" t="str">
        <f>IFERROR(VLOOKUP(Proc[[#This Row],[App]],Table2[],3,0),"open")</f>
        <v>ok</v>
      </c>
      <c r="C650" s="68" t="s">
        <v>369</v>
      </c>
      <c r="D650" t="s">
        <v>2233</v>
      </c>
      <c r="E650" t="s">
        <v>2224</v>
      </c>
      <c r="F650" s="117" t="s">
        <v>2224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HC</v>
      </c>
      <c r="L650" s="32" t="s">
        <v>509</v>
      </c>
      <c r="M650" s="71">
        <v>45716.734988425924</v>
      </c>
      <c r="N650" s="71">
        <v>45721</v>
      </c>
      <c r="O650" s="71">
        <v>45721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3</v>
      </c>
      <c r="R650" s="70" t="s">
        <v>1013</v>
      </c>
      <c r="S650" s="69"/>
    </row>
    <row r="651" spans="1:19" hidden="1">
      <c r="A651" t="s">
        <v>2244</v>
      </c>
      <c r="B651" s="149" t="str">
        <f>IFERROR(VLOOKUP(Proc[[#This Row],[App]],Table2[],3,0),"open")</f>
        <v>ok</v>
      </c>
      <c r="C651" s="68" t="s">
        <v>369</v>
      </c>
      <c r="D651" t="s">
        <v>2234</v>
      </c>
      <c r="E651" t="s">
        <v>2224</v>
      </c>
      <c r="F651" s="117" t="s">
        <v>2224</v>
      </c>
      <c r="G651" s="68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HC</v>
      </c>
      <c r="L651" s="32" t="s">
        <v>509</v>
      </c>
      <c r="M651" s="71">
        <v>45716.734988425924</v>
      </c>
      <c r="N651" s="71">
        <v>45721</v>
      </c>
      <c r="O651" s="71">
        <v>45721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3</v>
      </c>
      <c r="R651" s="70" t="s">
        <v>1013</v>
      </c>
      <c r="S651" s="69"/>
    </row>
    <row r="652" spans="1:19" hidden="1">
      <c r="A652" t="s">
        <v>2244</v>
      </c>
      <c r="B652" s="149" t="str">
        <f>IFERROR(VLOOKUP(Proc[[#This Row],[App]],Table2[],3,0),"open")</f>
        <v>ok</v>
      </c>
      <c r="C652" s="68" t="s">
        <v>369</v>
      </c>
      <c r="D652" t="s">
        <v>2235</v>
      </c>
      <c r="E652" t="s">
        <v>2224</v>
      </c>
      <c r="F652" s="117" t="s">
        <v>2224</v>
      </c>
      <c r="G652" s="68" t="s">
        <v>400</v>
      </c>
      <c r="H652" s="69" t="str">
        <f>IF(Proc[[#This Row],[type]]="LFF (MDG-F)",MID(Proc[[#This Row],[Obj]],13,10),"")</f>
        <v/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32" t="s">
        <v>509</v>
      </c>
      <c r="M652" s="71">
        <v>45716.734988425924</v>
      </c>
      <c r="N652" s="71">
        <v>45721</v>
      </c>
      <c r="O652" s="71">
        <v>45721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3</v>
      </c>
      <c r="R652" s="70" t="s">
        <v>1013</v>
      </c>
      <c r="S652" s="69"/>
    </row>
    <row r="653" spans="1:19" hidden="1">
      <c r="A653" s="68" t="s">
        <v>2244</v>
      </c>
      <c r="B653" s="149" t="str">
        <f>IFERROR(VLOOKUP(Proc[[#This Row],[App]],Table2[],3,0),"open")</f>
        <v>ok</v>
      </c>
      <c r="C653" s="68" t="s">
        <v>369</v>
      </c>
      <c r="D653" t="s">
        <v>2236</v>
      </c>
      <c r="E653" t="s">
        <v>2224</v>
      </c>
      <c r="F653" s="117" t="s">
        <v>2224</v>
      </c>
      <c r="G653" s="68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HC</v>
      </c>
      <c r="L653" s="32" t="s">
        <v>509</v>
      </c>
      <c r="M653" s="71">
        <v>45716.734988425924</v>
      </c>
      <c r="N653" s="71">
        <v>45721</v>
      </c>
      <c r="O653" s="71">
        <v>45721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3</v>
      </c>
      <c r="R653" s="70" t="s">
        <v>1013</v>
      </c>
      <c r="S653" s="69"/>
    </row>
    <row r="654" spans="1:19" hidden="1">
      <c r="A654" t="s">
        <v>2244</v>
      </c>
      <c r="B654" s="149" t="str">
        <f>IFERROR(VLOOKUP(Proc[[#This Row],[App]],Table2[],3,0),"open")</f>
        <v>ok</v>
      </c>
      <c r="C654" s="68" t="s">
        <v>369</v>
      </c>
      <c r="D654" t="s">
        <v>2237</v>
      </c>
      <c r="E654" t="s">
        <v>2224</v>
      </c>
      <c r="F654" s="117" t="s">
        <v>2224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HC</v>
      </c>
      <c r="L654" s="32" t="s">
        <v>509</v>
      </c>
      <c r="M654" s="71">
        <v>45716.734988425924</v>
      </c>
      <c r="N654" s="71">
        <v>45721</v>
      </c>
      <c r="O654" s="71">
        <v>45721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3</v>
      </c>
      <c r="R654" s="70" t="s">
        <v>1013</v>
      </c>
      <c r="S654" s="69"/>
    </row>
    <row r="655" spans="1:19" hidden="1">
      <c r="A655" s="68" t="s">
        <v>2244</v>
      </c>
      <c r="B655" s="149" t="str">
        <f>IFERROR(VLOOKUP(Proc[[#This Row],[App]],Table2[],3,0),"open")</f>
        <v>ok</v>
      </c>
      <c r="C655" s="68" t="s">
        <v>369</v>
      </c>
      <c r="D655" t="s">
        <v>2238</v>
      </c>
      <c r="E655" t="s">
        <v>2224</v>
      </c>
      <c r="F655" s="117" t="s">
        <v>2224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HC</v>
      </c>
      <c r="L655" s="32" t="s">
        <v>509</v>
      </c>
      <c r="M655" s="71">
        <v>45716.734988425924</v>
      </c>
      <c r="N655" s="71">
        <v>45721</v>
      </c>
      <c r="O655" s="71">
        <v>45721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3</v>
      </c>
      <c r="R655" s="70" t="s">
        <v>1013</v>
      </c>
      <c r="S655" s="69"/>
    </row>
    <row r="656" spans="1:19" hidden="1">
      <c r="A656" s="68" t="s">
        <v>2244</v>
      </c>
      <c r="B656" s="149" t="str">
        <f>IFERROR(VLOOKUP(Proc[[#This Row],[App]],Table2[],3,0),"open")</f>
        <v>ok</v>
      </c>
      <c r="C656" s="68" t="s">
        <v>369</v>
      </c>
      <c r="D656" t="s">
        <v>2239</v>
      </c>
      <c r="E656" t="s">
        <v>2224</v>
      </c>
      <c r="F656" s="117" t="s">
        <v>2224</v>
      </c>
      <c r="G656" s="68" t="s">
        <v>400</v>
      </c>
      <c r="H656" s="69" t="str">
        <f>IF(Proc[[#This Row],[type]]="LFF (MDG-F)",MID(Proc[[#This Row],[Obj]],13,10),"")</f>
        <v/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HC</v>
      </c>
      <c r="L656" s="32" t="s">
        <v>509</v>
      </c>
      <c r="M656" s="71">
        <v>45716.734988425924</v>
      </c>
      <c r="N656" s="71">
        <v>45721</v>
      </c>
      <c r="O656" s="71">
        <v>45721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3</v>
      </c>
      <c r="R656" s="70" t="s">
        <v>1013</v>
      </c>
      <c r="S656" s="69"/>
    </row>
    <row r="657" spans="1:19" hidden="1">
      <c r="A657" s="68" t="s">
        <v>2244</v>
      </c>
      <c r="B657" s="149" t="str">
        <f>IFERROR(VLOOKUP(Proc[[#This Row],[App]],Table2[],3,0),"open")</f>
        <v>ok</v>
      </c>
      <c r="C657" s="68" t="s">
        <v>369</v>
      </c>
      <c r="D657" t="s">
        <v>2115</v>
      </c>
      <c r="E657" t="s">
        <v>2222</v>
      </c>
      <c r="F657" s="117" t="s">
        <v>2222</v>
      </c>
      <c r="G657" s="68" t="s">
        <v>400</v>
      </c>
      <c r="H657" s="69" t="str">
        <f>IF(Proc[[#This Row],[type]]="LFF (MDG-F)",MID(Proc[[#This Row],[Obj]],13,10),"")</f>
        <v/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HC</v>
      </c>
      <c r="L657" s="32" t="s">
        <v>509</v>
      </c>
      <c r="M657" s="71">
        <v>45716.734988425924</v>
      </c>
      <c r="N657" s="71">
        <v>45721</v>
      </c>
      <c r="O657" s="71">
        <v>45721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3</v>
      </c>
      <c r="R657" s="70" t="s">
        <v>1013</v>
      </c>
      <c r="S657" s="69"/>
    </row>
    <row r="658" spans="1:19" hidden="1">
      <c r="A658" s="68" t="s">
        <v>2244</v>
      </c>
      <c r="B658" s="149" t="str">
        <f>IFERROR(VLOOKUP(Proc[[#This Row],[App]],Table2[],3,0),"open")</f>
        <v>ok</v>
      </c>
      <c r="C658" s="68" t="s">
        <v>369</v>
      </c>
      <c r="D658" t="s">
        <v>2240</v>
      </c>
      <c r="E658" t="s">
        <v>2224</v>
      </c>
      <c r="F658" s="117" t="s">
        <v>2224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HC</v>
      </c>
      <c r="L658" s="32" t="s">
        <v>509</v>
      </c>
      <c r="M658" s="71">
        <v>45716.734988425924</v>
      </c>
      <c r="N658" s="71">
        <v>45721</v>
      </c>
      <c r="O658" s="71">
        <v>45721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3</v>
      </c>
      <c r="R658" s="70" t="s">
        <v>1013</v>
      </c>
      <c r="S658" s="69"/>
    </row>
    <row r="659" spans="1:19" hidden="1">
      <c r="A659" s="68" t="s">
        <v>2244</v>
      </c>
      <c r="B659" s="149" t="str">
        <f>IFERROR(VLOOKUP(Proc[[#This Row],[App]],Table2[],3,0),"open")</f>
        <v>ok</v>
      </c>
      <c r="C659" s="68" t="s">
        <v>369</v>
      </c>
      <c r="D659" t="s">
        <v>2241</v>
      </c>
      <c r="E659" t="s">
        <v>2224</v>
      </c>
      <c r="F659" s="117" t="s">
        <v>2224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HC</v>
      </c>
      <c r="L659" s="32" t="s">
        <v>509</v>
      </c>
      <c r="M659" s="71">
        <v>45716.734988425924</v>
      </c>
      <c r="N659" s="71">
        <v>45721</v>
      </c>
      <c r="O659" s="71">
        <v>45721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3</v>
      </c>
      <c r="R659" s="70" t="s">
        <v>1013</v>
      </c>
      <c r="S659" s="69"/>
    </row>
    <row r="660" spans="1:19" hidden="1">
      <c r="A660" s="68" t="s">
        <v>2244</v>
      </c>
      <c r="B660" s="149" t="str">
        <f>IFERROR(VLOOKUP(Proc[[#This Row],[App]],Table2[],3,0),"open")</f>
        <v>ok</v>
      </c>
      <c r="C660" s="68" t="s">
        <v>369</v>
      </c>
      <c r="D660" t="s">
        <v>2242</v>
      </c>
      <c r="E660" t="s">
        <v>2224</v>
      </c>
      <c r="F660" s="117" t="s">
        <v>2224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HC</v>
      </c>
      <c r="L660" s="32" t="s">
        <v>509</v>
      </c>
      <c r="M660" s="71">
        <v>45716.734988425924</v>
      </c>
      <c r="N660" s="71">
        <v>45721</v>
      </c>
      <c r="O660" s="71">
        <v>45721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3</v>
      </c>
      <c r="R660" s="70" t="s">
        <v>1013</v>
      </c>
      <c r="S660" s="69"/>
    </row>
    <row r="661" spans="1:19" hidden="1">
      <c r="A661" s="68" t="s">
        <v>2244</v>
      </c>
      <c r="B661" s="149" t="str">
        <f>IFERROR(VLOOKUP(Proc[[#This Row],[App]],Table2[],3,0),"open")</f>
        <v>ok</v>
      </c>
      <c r="C661" s="68" t="s">
        <v>369</v>
      </c>
      <c r="D661" t="s">
        <v>2243</v>
      </c>
      <c r="E661" t="s">
        <v>2224</v>
      </c>
      <c r="F661" s="117" t="s">
        <v>2224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HC</v>
      </c>
      <c r="L661" s="32" t="s">
        <v>509</v>
      </c>
      <c r="M661" s="71">
        <v>45716.734988425924</v>
      </c>
      <c r="N661" s="71">
        <v>45721</v>
      </c>
      <c r="O661" s="71">
        <v>45721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3</v>
      </c>
      <c r="R661" s="70" t="s">
        <v>1013</v>
      </c>
      <c r="S661" s="69"/>
    </row>
    <row r="662" spans="1:19" hidden="1">
      <c r="A662" t="s">
        <v>2305</v>
      </c>
      <c r="B662" s="149" t="str">
        <f>IFERROR(VLOOKUP(Proc[[#This Row],[App]],Table2[],3,0),"open")</f>
        <v>ok</v>
      </c>
      <c r="C662" t="s">
        <v>369</v>
      </c>
      <c r="D662" t="s">
        <v>2300</v>
      </c>
      <c r="E662" t="s">
        <v>631</v>
      </c>
      <c r="F662" s="117" t="s">
        <v>631</v>
      </c>
      <c r="G662" t="s">
        <v>406</v>
      </c>
      <c r="H662" s="69" t="str">
        <f>IF(Proc[[#This Row],[type]]="LFF (MDG-F)",MID(Proc[[#This Row],[Obj]],13,10),"")</f>
        <v>DE20517200</v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MGF</v>
      </c>
      <c r="L662" s="32" t="s">
        <v>509</v>
      </c>
      <c r="M662" s="71">
        <v>45719.3903125</v>
      </c>
      <c r="N662" s="71">
        <v>45721</v>
      </c>
      <c r="O662" s="71">
        <v>45721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2</v>
      </c>
      <c r="R662" s="70" t="s">
        <v>549</v>
      </c>
      <c r="S662" s="69"/>
    </row>
    <row r="663" spans="1:19" hidden="1">
      <c r="A663" s="68" t="s">
        <v>2305</v>
      </c>
      <c r="B663" s="149" t="str">
        <f>IFERROR(VLOOKUP(Proc[[#This Row],[App]],Table2[],3,0),"open")</f>
        <v>ok</v>
      </c>
      <c r="C663" s="68" t="s">
        <v>369</v>
      </c>
      <c r="D663" t="s">
        <v>2301</v>
      </c>
      <c r="E663" t="s">
        <v>631</v>
      </c>
      <c r="F663" s="117" t="s">
        <v>631</v>
      </c>
      <c r="G663" s="68" t="s">
        <v>406</v>
      </c>
      <c r="H663" s="69" t="str">
        <f>IF(Proc[[#This Row],[type]]="LFF (MDG-F)",MID(Proc[[#This Row],[Obj]],13,10),"")</f>
        <v>DE20847204</v>
      </c>
      <c r="I663" s="68"/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MGF</v>
      </c>
      <c r="L663" s="32" t="s">
        <v>509</v>
      </c>
      <c r="M663" s="71">
        <v>45719.3903125</v>
      </c>
      <c r="N663" s="71">
        <v>45721</v>
      </c>
      <c r="O663" s="71">
        <v>45721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2</v>
      </c>
      <c r="R663" s="70" t="s">
        <v>549</v>
      </c>
      <c r="S663" s="69"/>
    </row>
    <row r="664" spans="1:19" hidden="1">
      <c r="A664" s="68" t="s">
        <v>2305</v>
      </c>
      <c r="B664" s="149" t="str">
        <f>IFERROR(VLOOKUP(Proc[[#This Row],[App]],Table2[],3,0),"open")</f>
        <v>ok</v>
      </c>
      <c r="C664" s="68" t="s">
        <v>369</v>
      </c>
      <c r="D664" t="s">
        <v>2302</v>
      </c>
      <c r="E664" t="s">
        <v>631</v>
      </c>
      <c r="F664" s="117" t="s">
        <v>631</v>
      </c>
      <c r="G664" s="68" t="s">
        <v>406</v>
      </c>
      <c r="H664" s="69" t="str">
        <f>IF(Proc[[#This Row],[type]]="LFF (MDG-F)",MID(Proc[[#This Row],[Obj]],13,10),"")</f>
        <v>DE20847205</v>
      </c>
      <c r="I664" s="68"/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MGF</v>
      </c>
      <c r="L664" s="32" t="s">
        <v>509</v>
      </c>
      <c r="M664" s="71">
        <v>45719.3903125</v>
      </c>
      <c r="N664" s="71">
        <v>45721</v>
      </c>
      <c r="O664" s="71">
        <v>45721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2</v>
      </c>
      <c r="R664" s="70" t="s">
        <v>549</v>
      </c>
      <c r="S664" s="69"/>
    </row>
    <row r="665" spans="1:19" hidden="1">
      <c r="A665" s="68" t="s">
        <v>2305</v>
      </c>
      <c r="B665" s="149" t="str">
        <f>IFERROR(VLOOKUP(Proc[[#This Row],[App]],Table2[],3,0),"open")</f>
        <v>ok</v>
      </c>
      <c r="C665" s="68" t="s">
        <v>369</v>
      </c>
      <c r="D665" t="s">
        <v>2303</v>
      </c>
      <c r="E665" t="s">
        <v>631</v>
      </c>
      <c r="F665" s="117" t="s">
        <v>631</v>
      </c>
      <c r="G665" s="68" t="s">
        <v>406</v>
      </c>
      <c r="H665" s="69" t="str">
        <f>IF(Proc[[#This Row],[type]]="LFF (MDG-F)",MID(Proc[[#This Row],[Obj]],13,10),"")</f>
        <v>DE20847206</v>
      </c>
      <c r="I665" s="68"/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MGF</v>
      </c>
      <c r="L665" s="32" t="s">
        <v>509</v>
      </c>
      <c r="M665" s="71">
        <v>45719.3903125</v>
      </c>
      <c r="N665" s="71">
        <v>45721</v>
      </c>
      <c r="O665" s="71">
        <v>45721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2</v>
      </c>
      <c r="R665" s="70" t="s">
        <v>549</v>
      </c>
      <c r="S665" s="69"/>
    </row>
    <row r="666" spans="1:19" hidden="1">
      <c r="A666" s="68" t="s">
        <v>2305</v>
      </c>
      <c r="B666" s="149" t="str">
        <f>IFERROR(VLOOKUP(Proc[[#This Row],[App]],Table2[],3,0),"open")</f>
        <v>ok</v>
      </c>
      <c r="C666" s="68" t="s">
        <v>369</v>
      </c>
      <c r="D666" t="s">
        <v>2304</v>
      </c>
      <c r="E666" t="s">
        <v>631</v>
      </c>
      <c r="F666" s="117" t="s">
        <v>631</v>
      </c>
      <c r="G666" s="68" t="s">
        <v>406</v>
      </c>
      <c r="H666" s="69" t="str">
        <f>IF(Proc[[#This Row],[type]]="LFF (MDG-F)",MID(Proc[[#This Row],[Obj]],13,10),"")</f>
        <v>DE20847207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45719.3903125</v>
      </c>
      <c r="N666" s="71">
        <v>45721</v>
      </c>
      <c r="O666" s="71">
        <v>45721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2</v>
      </c>
      <c r="R666" s="70" t="s">
        <v>549</v>
      </c>
      <c r="S666" s="69"/>
    </row>
    <row r="667" spans="1:19" hidden="1">
      <c r="A667" s="68" t="s">
        <v>2281</v>
      </c>
      <c r="B667" s="149" t="str">
        <f>IFERROR(VLOOKUP(Proc[[#This Row],[App]],Table2[],3,0),"open")</f>
        <v>ok</v>
      </c>
      <c r="C667" s="68" t="s">
        <v>369</v>
      </c>
      <c r="D667" t="s">
        <v>2282</v>
      </c>
      <c r="E667" t="s">
        <v>631</v>
      </c>
      <c r="F667" s="117" t="s">
        <v>631</v>
      </c>
      <c r="G667" s="68" t="s">
        <v>406</v>
      </c>
      <c r="H667" s="69" t="str">
        <f>IF(Proc[[#This Row],[type]]="LFF (MDG-F)",MID(Proc[[#This Row],[Obj]],13,10),"")</f>
        <v>DE10505500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45719.398958333331</v>
      </c>
      <c r="N667" s="71">
        <v>45722</v>
      </c>
      <c r="O667" s="71">
        <v>45722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3</v>
      </c>
      <c r="R667" s="70" t="s">
        <v>549</v>
      </c>
      <c r="S667" s="69"/>
    </row>
    <row r="668" spans="1:19" hidden="1">
      <c r="A668" s="68" t="s">
        <v>2281</v>
      </c>
      <c r="B668" s="149" t="str">
        <f>IFERROR(VLOOKUP(Proc[[#This Row],[App]],Table2[],3,0),"open")</f>
        <v>ok</v>
      </c>
      <c r="C668" s="68" t="s">
        <v>377</v>
      </c>
      <c r="D668" t="s">
        <v>2283</v>
      </c>
      <c r="E668" t="s">
        <v>631</v>
      </c>
      <c r="F668" s="103" t="s">
        <v>631</v>
      </c>
      <c r="G668" s="68" t="s">
        <v>406</v>
      </c>
      <c r="H668" s="69" t="str">
        <f>IF(Proc[[#This Row],[type]]="LFF (MDG-F)",MID(Proc[[#This Row],[Obj]],13,10),"")</f>
        <v>DE10550100</v>
      </c>
      <c r="I668" t="s">
        <v>446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45719.398958333331</v>
      </c>
      <c r="O668" s="71">
        <v>45722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3</v>
      </c>
      <c r="R668" s="70" t="s">
        <v>549</v>
      </c>
      <c r="S668" s="94" t="e">
        <f>VLOOKUP(Proc[[#This Row],[Obj]],#REF!,2,0)</f>
        <v>#REF!</v>
      </c>
    </row>
    <row r="669" spans="1:19" hidden="1">
      <c r="A669" s="68" t="s">
        <v>2281</v>
      </c>
      <c r="B669" s="149" t="str">
        <f>IFERROR(VLOOKUP(Proc[[#This Row],[App]],Table2[],3,0),"open")</f>
        <v>ok</v>
      </c>
      <c r="C669" s="68" t="s">
        <v>377</v>
      </c>
      <c r="D669" t="s">
        <v>2284</v>
      </c>
      <c r="E669" t="s">
        <v>631</v>
      </c>
      <c r="F669" s="103" t="s">
        <v>631</v>
      </c>
      <c r="G669" s="68" t="s">
        <v>406</v>
      </c>
      <c r="H669" s="69" t="str">
        <f>IF(Proc[[#This Row],[type]]="LFF (MDG-F)",MID(Proc[[#This Row],[Obj]],13,10),"")</f>
        <v>DE10559100</v>
      </c>
      <c r="I669" t="s">
        <v>446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45719.398958333331</v>
      </c>
      <c r="O669" s="71">
        <v>45722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3</v>
      </c>
      <c r="R669" s="70" t="s">
        <v>549</v>
      </c>
      <c r="S669" s="94" t="e">
        <f>VLOOKUP(Proc[[#This Row],[Obj]],#REF!,2,0)</f>
        <v>#REF!</v>
      </c>
    </row>
    <row r="670" spans="1:19" hidden="1">
      <c r="A670" s="68" t="s">
        <v>2281</v>
      </c>
      <c r="B670" s="149" t="str">
        <f>IFERROR(VLOOKUP(Proc[[#This Row],[App]],Table2[],3,0),"open")</f>
        <v>ok</v>
      </c>
      <c r="C670" s="68" t="s">
        <v>377</v>
      </c>
      <c r="D670" t="s">
        <v>2285</v>
      </c>
      <c r="E670" t="s">
        <v>631</v>
      </c>
      <c r="F670" s="103" t="s">
        <v>631</v>
      </c>
      <c r="G670" s="68" t="s">
        <v>406</v>
      </c>
      <c r="H670" s="69" t="str">
        <f>IF(Proc[[#This Row],[type]]="LFF (MDG-F)",MID(Proc[[#This Row],[Obj]],13,10),"")</f>
        <v>DE10566910</v>
      </c>
      <c r="I670" t="s">
        <v>446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45719.398958333331</v>
      </c>
      <c r="O670" s="71">
        <v>45722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3</v>
      </c>
      <c r="R670" s="70" t="s">
        <v>549</v>
      </c>
      <c r="S670" s="94" t="e">
        <f>VLOOKUP(Proc[[#This Row],[Obj]],#REF!,2,0)</f>
        <v>#REF!</v>
      </c>
    </row>
    <row r="671" spans="1:19" hidden="1">
      <c r="A671" s="68" t="s">
        <v>2281</v>
      </c>
      <c r="B671" s="149" t="str">
        <f>IFERROR(VLOOKUP(Proc[[#This Row],[App]],Table2[],3,0),"open")</f>
        <v>ok</v>
      </c>
      <c r="C671" s="68" t="s">
        <v>369</v>
      </c>
      <c r="D671" t="s">
        <v>2286</v>
      </c>
      <c r="E671" t="s">
        <v>631</v>
      </c>
      <c r="F671" s="117" t="s">
        <v>631</v>
      </c>
      <c r="G671" s="68" t="s">
        <v>406</v>
      </c>
      <c r="H671" s="69" t="str">
        <f>IF(Proc[[#This Row],[type]]="LFF (MDG-F)",MID(Proc[[#This Row],[Obj]],13,10),"")</f>
        <v>DE10580022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45719.398958333331</v>
      </c>
      <c r="N671" s="71">
        <v>45722</v>
      </c>
      <c r="O671" s="71">
        <v>45722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3</v>
      </c>
      <c r="R671" s="70" t="s">
        <v>549</v>
      </c>
      <c r="S671" s="69"/>
    </row>
    <row r="672" spans="1:19" hidden="1">
      <c r="A672" s="68" t="s">
        <v>2281</v>
      </c>
      <c r="B672" s="149" t="str">
        <f>IFERROR(VLOOKUP(Proc[[#This Row],[App]],Table2[],3,0),"open")</f>
        <v>ok</v>
      </c>
      <c r="C672" s="68" t="s">
        <v>369</v>
      </c>
      <c r="D672" t="s">
        <v>2287</v>
      </c>
      <c r="E672" t="s">
        <v>631</v>
      </c>
      <c r="F672" s="117" t="s">
        <v>631</v>
      </c>
      <c r="G672" s="68" t="s">
        <v>406</v>
      </c>
      <c r="H672" s="69" t="str">
        <f>IF(Proc[[#This Row],[type]]="LFF (MDG-F)",MID(Proc[[#This Row],[Obj]],13,10),"")</f>
        <v>DE10580023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45719.398958333331</v>
      </c>
      <c r="N672" s="71">
        <v>45722</v>
      </c>
      <c r="O672" s="71">
        <v>45722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3</v>
      </c>
      <c r="R672" s="70" t="s">
        <v>549</v>
      </c>
      <c r="S672" s="69"/>
    </row>
    <row r="673" spans="1:19" hidden="1">
      <c r="A673" s="68" t="s">
        <v>2281</v>
      </c>
      <c r="B673" s="149" t="str">
        <f>IFERROR(VLOOKUP(Proc[[#This Row],[App]],Table2[],3,0),"open")</f>
        <v>ok</v>
      </c>
      <c r="C673" s="68" t="s">
        <v>369</v>
      </c>
      <c r="D673" t="s">
        <v>2288</v>
      </c>
      <c r="E673" t="s">
        <v>631</v>
      </c>
      <c r="F673" s="117" t="s">
        <v>631</v>
      </c>
      <c r="G673" s="68" t="s">
        <v>406</v>
      </c>
      <c r="H673" s="69" t="str">
        <f>IF(Proc[[#This Row],[type]]="LFF (MDG-F)",MID(Proc[[#This Row],[Obj]],13,10),"")</f>
        <v>DE10580024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45719.398958333331</v>
      </c>
      <c r="N673" s="71">
        <v>45722</v>
      </c>
      <c r="O673" s="71">
        <v>45722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3</v>
      </c>
      <c r="R673" s="70" t="s">
        <v>549</v>
      </c>
      <c r="S673" s="69"/>
    </row>
    <row r="674" spans="1:19" hidden="1">
      <c r="A674" s="68" t="s">
        <v>2281</v>
      </c>
      <c r="B674" s="149" t="str">
        <f>IFERROR(VLOOKUP(Proc[[#This Row],[App]],Table2[],3,0),"open")</f>
        <v>ok</v>
      </c>
      <c r="C674" s="68" t="s">
        <v>369</v>
      </c>
      <c r="D674" t="s">
        <v>2289</v>
      </c>
      <c r="E674" t="s">
        <v>631</v>
      </c>
      <c r="F674" s="117" t="s">
        <v>631</v>
      </c>
      <c r="G674" s="68" t="s">
        <v>406</v>
      </c>
      <c r="H674" s="69" t="str">
        <f>IF(Proc[[#This Row],[type]]="LFF (MDG-F)",MID(Proc[[#This Row],[Obj]],13,10),"")</f>
        <v>DE10580025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45719.398958333331</v>
      </c>
      <c r="N674" s="71">
        <v>45722</v>
      </c>
      <c r="O674" s="71">
        <v>45722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3</v>
      </c>
      <c r="R674" s="70" t="s">
        <v>549</v>
      </c>
      <c r="S674" s="69"/>
    </row>
    <row r="675" spans="1:19" hidden="1">
      <c r="A675" s="68" t="s">
        <v>2281</v>
      </c>
      <c r="B675" s="149" t="str">
        <f>IFERROR(VLOOKUP(Proc[[#This Row],[App]],Table2[],3,0),"open")</f>
        <v>ok</v>
      </c>
      <c r="C675" s="68" t="s">
        <v>369</v>
      </c>
      <c r="D675" t="s">
        <v>2290</v>
      </c>
      <c r="E675" t="s">
        <v>631</v>
      </c>
      <c r="F675" s="117" t="s">
        <v>631</v>
      </c>
      <c r="G675" s="68" t="s">
        <v>406</v>
      </c>
      <c r="H675" s="69" t="str">
        <f>IF(Proc[[#This Row],[type]]="LFF (MDG-F)",MID(Proc[[#This Row],[Obj]],13,10),"")</f>
        <v>DE10580026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45719.398958333331</v>
      </c>
      <c r="N675" s="71">
        <v>45722</v>
      </c>
      <c r="O675" s="71">
        <v>45722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3</v>
      </c>
      <c r="R675" s="70" t="s">
        <v>549</v>
      </c>
      <c r="S675" s="69"/>
    </row>
    <row r="676" spans="1:19" hidden="1">
      <c r="A676" s="68" t="s">
        <v>2281</v>
      </c>
      <c r="B676" s="149" t="str">
        <f>IFERROR(VLOOKUP(Proc[[#This Row],[App]],Table2[],3,0),"open")</f>
        <v>ok</v>
      </c>
      <c r="C676" t="s">
        <v>369</v>
      </c>
      <c r="D676" t="s">
        <v>2291</v>
      </c>
      <c r="E676" t="s">
        <v>631</v>
      </c>
      <c r="F676" s="117" t="s">
        <v>631</v>
      </c>
      <c r="G676" s="68" t="s">
        <v>406</v>
      </c>
      <c r="H676" s="69" t="str">
        <f>IF(Proc[[#This Row],[type]]="LFF (MDG-F)",MID(Proc[[#This Row],[Obj]],13,10),"")</f>
        <v>DE10580027</v>
      </c>
      <c r="I676" s="68"/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MGF</v>
      </c>
      <c r="L676" s="32" t="s">
        <v>509</v>
      </c>
      <c r="M676" s="71">
        <v>45719.398958333331</v>
      </c>
      <c r="N676" s="71">
        <v>45722</v>
      </c>
      <c r="O676" s="71">
        <v>45722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3</v>
      </c>
      <c r="R676" s="70" t="s">
        <v>549</v>
      </c>
      <c r="S676" s="69"/>
    </row>
    <row r="677" spans="1:19" hidden="1">
      <c r="A677" s="68" t="s">
        <v>2281</v>
      </c>
      <c r="B677" s="149" t="str">
        <f>IFERROR(VLOOKUP(Proc[[#This Row],[App]],Table2[],3,0),"open")</f>
        <v>ok</v>
      </c>
      <c r="C677" s="68" t="s">
        <v>369</v>
      </c>
      <c r="D677" t="s">
        <v>2292</v>
      </c>
      <c r="E677" t="s">
        <v>631</v>
      </c>
      <c r="F677" s="117" t="s">
        <v>631</v>
      </c>
      <c r="G677" s="68" t="s">
        <v>406</v>
      </c>
      <c r="H677" s="69" t="str">
        <f>IF(Proc[[#This Row],[type]]="LFF (MDG-F)",MID(Proc[[#This Row],[Obj]],13,10),"")</f>
        <v>DE10580040</v>
      </c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MGF</v>
      </c>
      <c r="L677" s="32" t="s">
        <v>509</v>
      </c>
      <c r="M677" s="71">
        <v>45719.398958333331</v>
      </c>
      <c r="N677" s="71">
        <v>45722</v>
      </c>
      <c r="O677" s="71">
        <v>45722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3</v>
      </c>
      <c r="R677" s="70" t="s">
        <v>549</v>
      </c>
      <c r="S677" s="69"/>
    </row>
    <row r="678" spans="1:19" hidden="1">
      <c r="A678" s="68" t="s">
        <v>2281</v>
      </c>
      <c r="B678" s="149" t="str">
        <f>IFERROR(VLOOKUP(Proc[[#This Row],[App]],Table2[],3,0),"open")</f>
        <v>ok</v>
      </c>
      <c r="C678" s="68" t="s">
        <v>369</v>
      </c>
      <c r="D678" t="s">
        <v>2293</v>
      </c>
      <c r="E678" t="s">
        <v>631</v>
      </c>
      <c r="F678" s="117" t="s">
        <v>631</v>
      </c>
      <c r="G678" s="68" t="s">
        <v>406</v>
      </c>
      <c r="H678" s="69" t="str">
        <f>IF(Proc[[#This Row],[type]]="LFF (MDG-F)",MID(Proc[[#This Row],[Obj]],13,10),"")</f>
        <v>DE10628300</v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MGF</v>
      </c>
      <c r="L678" s="32" t="s">
        <v>509</v>
      </c>
      <c r="M678" s="71">
        <v>45719.398958333331</v>
      </c>
      <c r="N678" s="71">
        <v>45722</v>
      </c>
      <c r="O678" s="71">
        <v>45722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3</v>
      </c>
      <c r="R678" s="70" t="s">
        <v>549</v>
      </c>
      <c r="S678" s="69"/>
    </row>
    <row r="679" spans="1:19" hidden="1">
      <c r="A679" s="68" t="s">
        <v>2281</v>
      </c>
      <c r="B679" s="149" t="str">
        <f>IFERROR(VLOOKUP(Proc[[#This Row],[App]],Table2[],3,0),"open")</f>
        <v>ok</v>
      </c>
      <c r="C679" s="68" t="s">
        <v>369</v>
      </c>
      <c r="D679" t="s">
        <v>2294</v>
      </c>
      <c r="E679" t="s">
        <v>631</v>
      </c>
      <c r="F679" s="117" t="s">
        <v>631</v>
      </c>
      <c r="G679" s="68" t="s">
        <v>406</v>
      </c>
      <c r="H679" s="69" t="str">
        <f>IF(Proc[[#This Row],[type]]="LFF (MDG-F)",MID(Proc[[#This Row],[Obj]],13,10),"")</f>
        <v>DE20675105</v>
      </c>
      <c r="I679" s="68"/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MGF</v>
      </c>
      <c r="L679" s="32" t="s">
        <v>509</v>
      </c>
      <c r="M679" s="71">
        <v>45719.398958333331</v>
      </c>
      <c r="N679" s="71">
        <v>45722</v>
      </c>
      <c r="O679" s="71">
        <v>45722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3</v>
      </c>
      <c r="R679" s="70" t="s">
        <v>549</v>
      </c>
      <c r="S679" s="69"/>
    </row>
    <row r="680" spans="1:19" hidden="1">
      <c r="A680" t="s">
        <v>2281</v>
      </c>
      <c r="B680" s="149" t="str">
        <f>IFERROR(VLOOKUP(Proc[[#This Row],[App]],Table2[],3,0),"open")</f>
        <v>ok</v>
      </c>
      <c r="C680" s="68" t="s">
        <v>369</v>
      </c>
      <c r="D680" t="s">
        <v>2295</v>
      </c>
      <c r="E680" t="s">
        <v>631</v>
      </c>
      <c r="F680" s="117" t="s">
        <v>631</v>
      </c>
      <c r="G680" s="68" t="s">
        <v>406</v>
      </c>
      <c r="H680" s="69" t="str">
        <f>IF(Proc[[#This Row],[type]]="LFF (MDG-F)",MID(Proc[[#This Row],[Obj]],13,10),"")</f>
        <v>DE20675106</v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MGF</v>
      </c>
      <c r="L680" s="32" t="s">
        <v>509</v>
      </c>
      <c r="M680" s="71">
        <v>45719.398958333331</v>
      </c>
      <c r="N680" s="71">
        <v>45722</v>
      </c>
      <c r="O680" s="71">
        <v>45722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3</v>
      </c>
      <c r="R680" s="70" t="s">
        <v>549</v>
      </c>
      <c r="S680" s="69"/>
    </row>
    <row r="681" spans="1:19" hidden="1">
      <c r="A681" s="68" t="s">
        <v>2281</v>
      </c>
      <c r="B681" s="149" t="str">
        <f>IFERROR(VLOOKUP(Proc[[#This Row],[App]],Table2[],3,0),"open")</f>
        <v>ok</v>
      </c>
      <c r="C681" s="68" t="s">
        <v>377</v>
      </c>
      <c r="D681" t="s">
        <v>2296</v>
      </c>
      <c r="E681" t="s">
        <v>631</v>
      </c>
      <c r="F681" s="103" t="s">
        <v>631</v>
      </c>
      <c r="G681" s="68" t="s">
        <v>406</v>
      </c>
      <c r="H681" s="69" t="str">
        <f>IF(Proc[[#This Row],[type]]="LFF (MDG-F)",MID(Proc[[#This Row],[Obj]],13,10),"")</f>
        <v>DE20995000</v>
      </c>
      <c r="I681" t="s">
        <v>446</v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MGF</v>
      </c>
      <c r="L681" s="32" t="s">
        <v>509</v>
      </c>
      <c r="M681" s="71">
        <v>45719.398958333331</v>
      </c>
      <c r="O681" s="71">
        <v>45722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3</v>
      </c>
      <c r="R681" s="70" t="s">
        <v>549</v>
      </c>
      <c r="S681" s="94" t="e">
        <f>VLOOKUP(Proc[[#This Row],[Obj]],#REF!,2,0)</f>
        <v>#REF!</v>
      </c>
    </row>
    <row r="682" spans="1:19" hidden="1">
      <c r="A682" s="68" t="s">
        <v>2281</v>
      </c>
      <c r="B682" s="149" t="str">
        <f>IFERROR(VLOOKUP(Proc[[#This Row],[App]],Table2[],3,0),"open")</f>
        <v>ok</v>
      </c>
      <c r="C682" s="68" t="s">
        <v>377</v>
      </c>
      <c r="D682" t="s">
        <v>2297</v>
      </c>
      <c r="E682" t="s">
        <v>631</v>
      </c>
      <c r="F682" s="103" t="s">
        <v>631</v>
      </c>
      <c r="G682" s="68" t="s">
        <v>406</v>
      </c>
      <c r="H682" s="69" t="str">
        <f>IF(Proc[[#This Row],[type]]="LFF (MDG-F)",MID(Proc[[#This Row],[Obj]],13,10),"")</f>
        <v>DE10889997</v>
      </c>
      <c r="I682" t="s">
        <v>446</v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MGF</v>
      </c>
      <c r="L682" s="32" t="s">
        <v>509</v>
      </c>
      <c r="M682" s="71">
        <v>45719.398958333331</v>
      </c>
      <c r="O682" s="71">
        <v>45722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3</v>
      </c>
      <c r="R682" s="70" t="s">
        <v>549</v>
      </c>
      <c r="S682" s="94" t="e">
        <f>VLOOKUP(Proc[[#This Row],[Obj]],#REF!,2,0)</f>
        <v>#REF!</v>
      </c>
    </row>
    <row r="683" spans="1:19" hidden="1">
      <c r="A683" s="68" t="s">
        <v>2281</v>
      </c>
      <c r="B683" s="149" t="str">
        <f>IFERROR(VLOOKUP(Proc[[#This Row],[App]],Table2[],3,0),"open")</f>
        <v>ok</v>
      </c>
      <c r="C683" s="68" t="s">
        <v>377</v>
      </c>
      <c r="D683" t="s">
        <v>2298</v>
      </c>
      <c r="E683" t="s">
        <v>631</v>
      </c>
      <c r="F683" s="103" t="s">
        <v>631</v>
      </c>
      <c r="G683" s="68" t="s">
        <v>406</v>
      </c>
      <c r="H683" s="69" t="str">
        <f>IF(Proc[[#This Row],[type]]="LFF (MDG-F)",MID(Proc[[#This Row],[Obj]],13,10),"")</f>
        <v>DE10889998</v>
      </c>
      <c r="I683" t="s">
        <v>446</v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MGF</v>
      </c>
      <c r="L683" s="32" t="s">
        <v>509</v>
      </c>
      <c r="M683" s="71">
        <v>45719.398958333331</v>
      </c>
      <c r="O683" s="71">
        <v>45722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3</v>
      </c>
      <c r="R683" s="70" t="s">
        <v>549</v>
      </c>
      <c r="S683" s="94" t="e">
        <f>VLOOKUP(Proc[[#This Row],[Obj]],#REF!,2,0)</f>
        <v>#REF!</v>
      </c>
    </row>
    <row r="684" spans="1:19" hidden="1">
      <c r="A684" s="68" t="s">
        <v>2281</v>
      </c>
      <c r="B684" s="149" t="str">
        <f>IFERROR(VLOOKUP(Proc[[#This Row],[App]],Table2[],3,0),"open")</f>
        <v>ok</v>
      </c>
      <c r="C684" s="68" t="s">
        <v>377</v>
      </c>
      <c r="D684" t="s">
        <v>2299</v>
      </c>
      <c r="E684" t="s">
        <v>631</v>
      </c>
      <c r="F684" s="103" t="s">
        <v>631</v>
      </c>
      <c r="G684" s="68" t="s">
        <v>406</v>
      </c>
      <c r="H684" s="69" t="str">
        <f>IF(Proc[[#This Row],[type]]="LFF (MDG-F)",MID(Proc[[#This Row],[Obj]],13,10),"")</f>
        <v>DE10889999</v>
      </c>
      <c r="I684" t="s">
        <v>446</v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MGF</v>
      </c>
      <c r="L684" s="32" t="s">
        <v>509</v>
      </c>
      <c r="M684" s="71">
        <v>45719.398958333331</v>
      </c>
      <c r="O684" s="71">
        <v>45722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3</v>
      </c>
      <c r="R684" s="70" t="s">
        <v>549</v>
      </c>
      <c r="S684" s="94" t="e">
        <f>VLOOKUP(Proc[[#This Row],[Obj]],#REF!,2,0)</f>
        <v>#REF!</v>
      </c>
    </row>
    <row r="685" spans="1:19" hidden="1">
      <c r="A685" t="s">
        <v>2311</v>
      </c>
      <c r="B685" s="149" t="str">
        <f>IFERROR(VLOOKUP(Proc[[#This Row],[App]],Table2[],3,0),"open")</f>
        <v>ok</v>
      </c>
      <c r="C685" s="68" t="s">
        <v>369</v>
      </c>
      <c r="D685" t="s">
        <v>2309</v>
      </c>
      <c r="E685" t="s">
        <v>2310</v>
      </c>
      <c r="F685" s="117" t="s">
        <v>2310</v>
      </c>
      <c r="G685" s="68" t="s">
        <v>406</v>
      </c>
      <c r="H685" s="69" t="str">
        <f>IF(Proc[[#This Row],[type]]="LFF (MDG-F)",MID(Proc[[#This Row],[Obj]],13,10),"")</f>
        <v>CN09L16005</v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MGF</v>
      </c>
      <c r="L685" s="32" t="s">
        <v>509</v>
      </c>
      <c r="M685" s="71">
        <v>45719.579097222224</v>
      </c>
      <c r="N685" s="71">
        <v>45721</v>
      </c>
      <c r="O685" s="71">
        <v>45721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1076</v>
      </c>
      <c r="S685" s="69"/>
    </row>
    <row r="686" spans="1:19" hidden="1">
      <c r="A686" t="s">
        <v>2388</v>
      </c>
      <c r="B686" s="149" t="str">
        <f>IFERROR(VLOOKUP(Proc[[#This Row],[App]],Table2[],3,0),"open")</f>
        <v>ok</v>
      </c>
      <c r="C686" s="68" t="s">
        <v>369</v>
      </c>
      <c r="D686" t="s">
        <v>2386</v>
      </c>
      <c r="E686" t="s">
        <v>2387</v>
      </c>
      <c r="F686" s="117" t="s">
        <v>2387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45719.608877314815</v>
      </c>
      <c r="N686" s="71">
        <v>45729</v>
      </c>
      <c r="O686" s="71">
        <v>45729</v>
      </c>
      <c r="P686" s="70" t="str">
        <f ca="1">IF(Proc[[#This Row],[DaysAgeing]]&gt;5,"yep","on track")</f>
        <v>yep</v>
      </c>
      <c r="Q686" s="3">
        <f ca="1">IF(Proc[[#This Row],[DateClosed]]="",ABS(NETWORKDAYS(Proc[[#This Row],[DateOpened]],TODAY()))-1,ABS(NETWORKDAYS(Proc[[#This Row],[DateOpened]],Proc[[#This Row],[DateClosed]]))-1)</f>
        <v>8</v>
      </c>
      <c r="R686" s="70" t="s">
        <v>484</v>
      </c>
      <c r="S686" s="69"/>
    </row>
    <row r="687" spans="1:19" hidden="1">
      <c r="A687" t="s">
        <v>2307</v>
      </c>
      <c r="B687" s="149" t="str">
        <f>IFERROR(VLOOKUP(Proc[[#This Row],[App]],Table2[],3,0),"open")</f>
        <v>ok</v>
      </c>
      <c r="C687" t="s">
        <v>369</v>
      </c>
      <c r="D687" t="s">
        <v>2306</v>
      </c>
      <c r="E687" t="s">
        <v>2308</v>
      </c>
      <c r="F687" s="117" t="s">
        <v>2308</v>
      </c>
      <c r="G687" s="68" t="s">
        <v>406</v>
      </c>
      <c r="H687" s="69" t="str">
        <f>IF(Proc[[#This Row],[type]]="LFF (MDG-F)",MID(Proc[[#This Row],[Obj]],13,10),"")</f>
        <v>DE10698316</v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MGF</v>
      </c>
      <c r="L687" s="32" t="s">
        <v>509</v>
      </c>
      <c r="M687" s="71">
        <v>45719.855474537035</v>
      </c>
      <c r="N687" s="71">
        <v>45736</v>
      </c>
      <c r="O687" s="71">
        <v>45736</v>
      </c>
      <c r="P687" s="70" t="str">
        <f ca="1">IF(Proc[[#This Row],[DaysAgeing]]&gt;5,"yep","on track")</f>
        <v>yep</v>
      </c>
      <c r="Q687" s="3">
        <f ca="1">IF(Proc[[#This Row],[DateClosed]]="",ABS(NETWORKDAYS(Proc[[#This Row],[DateOpened]],TODAY()))-1,ABS(NETWORKDAYS(Proc[[#This Row],[DateOpened]],Proc[[#This Row],[DateClosed]]))-1)</f>
        <v>13</v>
      </c>
      <c r="R687" s="70" t="s">
        <v>530</v>
      </c>
      <c r="S687" s="69"/>
    </row>
    <row r="688" spans="1:19" hidden="1">
      <c r="A688" t="s">
        <v>2378</v>
      </c>
      <c r="B688" s="149" t="str">
        <f>IFERROR(VLOOKUP(Proc[[#This Row],[App]],Table2[],3,0),"open")</f>
        <v>ok</v>
      </c>
      <c r="C688" t="s">
        <v>369</v>
      </c>
      <c r="D688" t="s">
        <v>2349</v>
      </c>
      <c r="E688" t="s">
        <v>2367</v>
      </c>
      <c r="F688" s="117" t="s">
        <v>2367</v>
      </c>
      <c r="G68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LS</v>
      </c>
      <c r="L688" s="32" t="s">
        <v>509</v>
      </c>
      <c r="M688" s="71">
        <v>45720.368101851855</v>
      </c>
      <c r="N688" s="71">
        <v>45722</v>
      </c>
      <c r="O688" s="71">
        <v>45722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489</v>
      </c>
      <c r="S688" s="69"/>
    </row>
    <row r="689" spans="1:19" hidden="1">
      <c r="A689" t="s">
        <v>2378</v>
      </c>
      <c r="B689" s="149" t="str">
        <f>IFERROR(VLOOKUP(Proc[[#This Row],[App]],Table2[],3,0),"open")</f>
        <v>ok</v>
      </c>
      <c r="C689" s="68" t="s">
        <v>369</v>
      </c>
      <c r="D689" t="s">
        <v>2350</v>
      </c>
      <c r="E689" t="s">
        <v>2368</v>
      </c>
      <c r="F689" s="117" t="s">
        <v>2368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LS</v>
      </c>
      <c r="L689" s="32" t="s">
        <v>509</v>
      </c>
      <c r="M689" s="71">
        <v>45720.368101851855</v>
      </c>
      <c r="N689" s="71">
        <v>45722</v>
      </c>
      <c r="O689" s="71">
        <v>45722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489</v>
      </c>
      <c r="S689" s="69"/>
    </row>
    <row r="690" spans="1:19" hidden="1">
      <c r="A690" t="s">
        <v>2378</v>
      </c>
      <c r="B690" s="149" t="str">
        <f>IFERROR(VLOOKUP(Proc[[#This Row],[App]],Table2[],3,0),"open")</f>
        <v>ok</v>
      </c>
      <c r="C690" s="68" t="s">
        <v>369</v>
      </c>
      <c r="D690" t="s">
        <v>2351</v>
      </c>
      <c r="E690" t="s">
        <v>2369</v>
      </c>
      <c r="F690" s="117" t="s">
        <v>2369</v>
      </c>
      <c r="G690" s="68" t="s">
        <v>400</v>
      </c>
      <c r="H690" s="69" t="str">
        <f>IF(Proc[[#This Row],[type]]="LFF (MDG-F)",MID(Proc[[#This Row],[Obj]],13,10),"")</f>
        <v/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LS</v>
      </c>
      <c r="L690" s="32" t="s">
        <v>509</v>
      </c>
      <c r="M690" s="71">
        <v>45720.368101851855</v>
      </c>
      <c r="N690" s="71">
        <v>45722</v>
      </c>
      <c r="O690" s="71">
        <v>45722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489</v>
      </c>
      <c r="S690" s="69"/>
    </row>
    <row r="691" spans="1:19" hidden="1">
      <c r="A691" t="s">
        <v>2378</v>
      </c>
      <c r="B691" s="149" t="str">
        <f>IFERROR(VLOOKUP(Proc[[#This Row],[App]],Table2[],3,0),"open")</f>
        <v>ok</v>
      </c>
      <c r="C691" s="68" t="s">
        <v>369</v>
      </c>
      <c r="D691" t="s">
        <v>2352</v>
      </c>
      <c r="E691" t="s">
        <v>2369</v>
      </c>
      <c r="F691" s="117" t="s">
        <v>2369</v>
      </c>
      <c r="G691" s="68" t="s">
        <v>400</v>
      </c>
      <c r="H691" s="69" t="str">
        <f>IF(Proc[[#This Row],[type]]="LFF (MDG-F)",MID(Proc[[#This Row],[Obj]],13,10),"")</f>
        <v/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LS</v>
      </c>
      <c r="L691" s="32" t="s">
        <v>509</v>
      </c>
      <c r="M691" s="71">
        <v>45720.368101851855</v>
      </c>
      <c r="N691" s="71">
        <v>45722</v>
      </c>
      <c r="O691" s="71">
        <v>45722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489</v>
      </c>
      <c r="S691" s="69"/>
    </row>
    <row r="692" spans="1:19" hidden="1">
      <c r="A692" t="s">
        <v>2378</v>
      </c>
      <c r="B692" s="149" t="str">
        <f>IFERROR(VLOOKUP(Proc[[#This Row],[App]],Table2[],3,0),"open")</f>
        <v>ok</v>
      </c>
      <c r="C692" s="68" t="s">
        <v>369</v>
      </c>
      <c r="D692" t="s">
        <v>2353</v>
      </c>
      <c r="E692" t="s">
        <v>2370</v>
      </c>
      <c r="F692" s="117" t="s">
        <v>2370</v>
      </c>
      <c r="G692" s="68" t="s">
        <v>400</v>
      </c>
      <c r="H692" s="69" t="str">
        <f>IF(Proc[[#This Row],[type]]="LFF (MDG-F)",MID(Proc[[#This Row],[Obj]],13,10),"")</f>
        <v/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LS</v>
      </c>
      <c r="L692" s="32" t="s">
        <v>509</v>
      </c>
      <c r="M692" s="71">
        <v>45720.368101851855</v>
      </c>
      <c r="N692" s="71">
        <v>45722</v>
      </c>
      <c r="O692" s="71">
        <v>45722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489</v>
      </c>
      <c r="S692" s="69"/>
    </row>
    <row r="693" spans="1:19" hidden="1">
      <c r="A693" t="s">
        <v>2378</v>
      </c>
      <c r="B693" s="149" t="str">
        <f>IFERROR(VLOOKUP(Proc[[#This Row],[App]],Table2[],3,0),"open")</f>
        <v>ok</v>
      </c>
      <c r="C693" t="s">
        <v>369</v>
      </c>
      <c r="D693" t="s">
        <v>2354</v>
      </c>
      <c r="E693" t="s">
        <v>2371</v>
      </c>
      <c r="F693" s="117" t="s">
        <v>2371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LS</v>
      </c>
      <c r="L693" s="32" t="s">
        <v>509</v>
      </c>
      <c r="M693" s="67">
        <v>45720.368101851855</v>
      </c>
      <c r="N693" s="71">
        <v>45722</v>
      </c>
      <c r="O693" s="71">
        <v>45722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489</v>
      </c>
      <c r="S693" s="69"/>
    </row>
    <row r="694" spans="1:19" hidden="1">
      <c r="A694" t="s">
        <v>2378</v>
      </c>
      <c r="B694" s="149" t="str">
        <f>IFERROR(VLOOKUP(Proc[[#This Row],[App]],Table2[],3,0),"open")</f>
        <v>ok</v>
      </c>
      <c r="C694" s="68" t="s">
        <v>369</v>
      </c>
      <c r="D694" t="s">
        <v>2355</v>
      </c>
      <c r="E694" t="s">
        <v>2372</v>
      </c>
      <c r="F694" s="117" t="s">
        <v>2372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LS</v>
      </c>
      <c r="L694" s="32" t="s">
        <v>509</v>
      </c>
      <c r="M694" s="71">
        <v>45720.368101851855</v>
      </c>
      <c r="N694" s="71">
        <v>45722</v>
      </c>
      <c r="O694" s="71">
        <v>45722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489</v>
      </c>
      <c r="S694" s="69"/>
    </row>
    <row r="695" spans="1:19" hidden="1">
      <c r="A695" t="s">
        <v>2378</v>
      </c>
      <c r="B695" s="149" t="str">
        <f>IFERROR(VLOOKUP(Proc[[#This Row],[App]],Table2[],3,0),"open")</f>
        <v>ok</v>
      </c>
      <c r="C695" s="68" t="s">
        <v>369</v>
      </c>
      <c r="D695" t="s">
        <v>2356</v>
      </c>
      <c r="E695" t="s">
        <v>2373</v>
      </c>
      <c r="F695" s="117" t="s">
        <v>2373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LS</v>
      </c>
      <c r="L695" s="32" t="s">
        <v>509</v>
      </c>
      <c r="M695" s="71">
        <v>45720.368101851855</v>
      </c>
      <c r="N695" s="71">
        <v>45722</v>
      </c>
      <c r="O695" s="71">
        <v>45722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489</v>
      </c>
      <c r="S695" s="69"/>
    </row>
    <row r="696" spans="1:19" hidden="1">
      <c r="A696" t="s">
        <v>2378</v>
      </c>
      <c r="B696" s="149" t="str">
        <f>IFERROR(VLOOKUP(Proc[[#This Row],[App]],Table2[],3,0),"open")</f>
        <v>ok</v>
      </c>
      <c r="C696" s="68" t="s">
        <v>369</v>
      </c>
      <c r="D696" t="s">
        <v>2357</v>
      </c>
      <c r="E696" t="s">
        <v>2373</v>
      </c>
      <c r="F696" s="117" t="s">
        <v>2373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LS</v>
      </c>
      <c r="L696" s="32" t="s">
        <v>509</v>
      </c>
      <c r="M696" s="71">
        <v>45720.368101851855</v>
      </c>
      <c r="N696" s="71">
        <v>45722</v>
      </c>
      <c r="O696" s="71">
        <v>45722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489</v>
      </c>
      <c r="S696" s="69"/>
    </row>
    <row r="697" spans="1:19" hidden="1">
      <c r="A697" t="s">
        <v>2378</v>
      </c>
      <c r="B697" s="149" t="str">
        <f>IFERROR(VLOOKUP(Proc[[#This Row],[App]],Table2[],3,0),"open")</f>
        <v>ok</v>
      </c>
      <c r="C697" s="68" t="s">
        <v>369</v>
      </c>
      <c r="D697" t="s">
        <v>2358</v>
      </c>
      <c r="E697" t="s">
        <v>2373</v>
      </c>
      <c r="F697" s="117" t="s">
        <v>2373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LS</v>
      </c>
      <c r="L697" s="32" t="s">
        <v>509</v>
      </c>
      <c r="M697" s="71">
        <v>45720.368101851855</v>
      </c>
      <c r="N697" s="71">
        <v>45722</v>
      </c>
      <c r="O697" s="71">
        <v>45722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489</v>
      </c>
      <c r="S697" s="69"/>
    </row>
    <row r="698" spans="1:19" hidden="1">
      <c r="A698" t="s">
        <v>2378</v>
      </c>
      <c r="B698" s="149" t="str">
        <f>IFERROR(VLOOKUP(Proc[[#This Row],[App]],Table2[],3,0),"open")</f>
        <v>ok</v>
      </c>
      <c r="C698" s="68" t="s">
        <v>369</v>
      </c>
      <c r="D698" t="s">
        <v>2359</v>
      </c>
      <c r="E698" t="s">
        <v>2374</v>
      </c>
      <c r="F698" s="117" t="s">
        <v>2374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LS</v>
      </c>
      <c r="L698" s="32" t="s">
        <v>509</v>
      </c>
      <c r="M698" s="71">
        <v>45720.368101851855</v>
      </c>
      <c r="N698" s="71">
        <v>45722</v>
      </c>
      <c r="O698" s="71">
        <v>45722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489</v>
      </c>
      <c r="S698" s="69"/>
    </row>
    <row r="699" spans="1:19" hidden="1">
      <c r="A699" t="s">
        <v>2378</v>
      </c>
      <c r="B699" s="149" t="str">
        <f>IFERROR(VLOOKUP(Proc[[#This Row],[App]],Table2[],3,0),"open")</f>
        <v>ok</v>
      </c>
      <c r="C699" s="68" t="s">
        <v>369</v>
      </c>
      <c r="D699" t="s">
        <v>2360</v>
      </c>
      <c r="E699" t="s">
        <v>2375</v>
      </c>
      <c r="F699" s="117" t="s">
        <v>2375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LS</v>
      </c>
      <c r="L699" s="32" t="s">
        <v>509</v>
      </c>
      <c r="M699" s="71">
        <v>45720.368101851855</v>
      </c>
      <c r="N699" s="71">
        <v>45722</v>
      </c>
      <c r="O699" s="71">
        <v>45722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489</v>
      </c>
      <c r="S699" s="69"/>
    </row>
    <row r="700" spans="1:19" hidden="1">
      <c r="A700" t="s">
        <v>2378</v>
      </c>
      <c r="B700" s="149" t="str">
        <f>IFERROR(VLOOKUP(Proc[[#This Row],[App]],Table2[],3,0),"open")</f>
        <v>ok</v>
      </c>
      <c r="C700" s="68" t="s">
        <v>369</v>
      </c>
      <c r="D700" t="s">
        <v>2361</v>
      </c>
      <c r="E700" t="s">
        <v>2375</v>
      </c>
      <c r="F700" s="117" t="s">
        <v>2375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LS</v>
      </c>
      <c r="L700" s="32" t="s">
        <v>509</v>
      </c>
      <c r="M700" s="71">
        <v>45720.368101851855</v>
      </c>
      <c r="N700" s="71">
        <v>45722</v>
      </c>
      <c r="O700" s="71">
        <v>45722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489</v>
      </c>
      <c r="S700" s="69"/>
    </row>
    <row r="701" spans="1:19" hidden="1">
      <c r="A701" t="s">
        <v>2378</v>
      </c>
      <c r="B701" s="149" t="str">
        <f>IFERROR(VLOOKUP(Proc[[#This Row],[App]],Table2[],3,0),"open")</f>
        <v>ok</v>
      </c>
      <c r="C701" s="68" t="s">
        <v>369</v>
      </c>
      <c r="D701" t="s">
        <v>2362</v>
      </c>
      <c r="E701" t="s">
        <v>2375</v>
      </c>
      <c r="F701" s="117" t="s">
        <v>2375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LS</v>
      </c>
      <c r="L701" s="32" t="s">
        <v>509</v>
      </c>
      <c r="M701" s="71">
        <v>45720.368101851855</v>
      </c>
      <c r="N701" s="71">
        <v>45722</v>
      </c>
      <c r="O701" s="71">
        <v>45722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489</v>
      </c>
      <c r="S701" s="69"/>
    </row>
    <row r="702" spans="1:19" hidden="1">
      <c r="A702" t="s">
        <v>2378</v>
      </c>
      <c r="B702" s="149" t="str">
        <f>IFERROR(VLOOKUP(Proc[[#This Row],[App]],Table2[],3,0),"open")</f>
        <v>ok</v>
      </c>
      <c r="C702" s="68" t="s">
        <v>369</v>
      </c>
      <c r="D702" t="s">
        <v>2363</v>
      </c>
      <c r="E702" t="s">
        <v>2376</v>
      </c>
      <c r="F702" s="117" t="s">
        <v>2376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LS</v>
      </c>
      <c r="L702" s="32" t="s">
        <v>509</v>
      </c>
      <c r="M702" s="71">
        <v>45720.368101851855</v>
      </c>
      <c r="N702" s="71">
        <v>45722</v>
      </c>
      <c r="O702" s="71">
        <v>45722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489</v>
      </c>
      <c r="S702" s="69"/>
    </row>
    <row r="703" spans="1:19" hidden="1">
      <c r="A703" t="s">
        <v>2378</v>
      </c>
      <c r="B703" s="149" t="str">
        <f>IFERROR(VLOOKUP(Proc[[#This Row],[App]],Table2[],3,0),"open")</f>
        <v>ok</v>
      </c>
      <c r="C703" s="68" t="s">
        <v>369</v>
      </c>
      <c r="D703" t="s">
        <v>2364</v>
      </c>
      <c r="E703" t="s">
        <v>2376</v>
      </c>
      <c r="F703" s="117" t="s">
        <v>2376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LS</v>
      </c>
      <c r="L703" s="32" t="s">
        <v>509</v>
      </c>
      <c r="M703" s="71">
        <v>45720.368101851855</v>
      </c>
      <c r="N703" s="71">
        <v>45722</v>
      </c>
      <c r="O703" s="71">
        <v>45722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489</v>
      </c>
      <c r="S703" s="69"/>
    </row>
    <row r="704" spans="1:19" hidden="1">
      <c r="A704" t="s">
        <v>2378</v>
      </c>
      <c r="B704" s="149" t="str">
        <f>IFERROR(VLOOKUP(Proc[[#This Row],[App]],Table2[],3,0),"open")</f>
        <v>ok</v>
      </c>
      <c r="C704" s="68" t="s">
        <v>369</v>
      </c>
      <c r="D704" t="s">
        <v>2365</v>
      </c>
      <c r="E704" t="s">
        <v>2377</v>
      </c>
      <c r="F704" s="117" t="s">
        <v>2377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LS</v>
      </c>
      <c r="L704" s="32" t="s">
        <v>509</v>
      </c>
      <c r="M704" s="71">
        <v>45720.368101851855</v>
      </c>
      <c r="N704" s="71">
        <v>45722</v>
      </c>
      <c r="O704" s="71">
        <v>45722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489</v>
      </c>
      <c r="S704" s="69"/>
    </row>
    <row r="705" spans="1:19" hidden="1">
      <c r="A705" t="s">
        <v>2378</v>
      </c>
      <c r="B705" s="149" t="str">
        <f>IFERROR(VLOOKUP(Proc[[#This Row],[App]],Table2[],3,0),"open")</f>
        <v>ok</v>
      </c>
      <c r="C705" s="68" t="s">
        <v>369</v>
      </c>
      <c r="D705" t="s">
        <v>2366</v>
      </c>
      <c r="E705" t="s">
        <v>2377</v>
      </c>
      <c r="F705" s="117" t="s">
        <v>2377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LS</v>
      </c>
      <c r="L705" s="32" t="s">
        <v>509</v>
      </c>
      <c r="M705" s="71">
        <v>45720.368101851855</v>
      </c>
      <c r="N705" s="71">
        <v>45722</v>
      </c>
      <c r="O705" s="71">
        <v>45722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489</v>
      </c>
      <c r="S705" s="69"/>
    </row>
    <row r="706" spans="1:19" hidden="1">
      <c r="A706" t="s">
        <v>2348</v>
      </c>
      <c r="B706" s="149" t="str">
        <f>IFERROR(VLOOKUP(Proc[[#This Row],[App]],Table2[],3,0),"open")</f>
        <v>ok</v>
      </c>
      <c r="C706" s="68" t="s">
        <v>369</v>
      </c>
      <c r="D706" t="s">
        <v>2345</v>
      </c>
      <c r="E706" t="s">
        <v>631</v>
      </c>
      <c r="F706" s="117" t="s">
        <v>631</v>
      </c>
      <c r="G706" s="68" t="s">
        <v>406</v>
      </c>
      <c r="H706" s="69" t="str">
        <f>IF(Proc[[#This Row],[type]]="LFF (MDG-F)",MID(Proc[[#This Row],[Obj]],13,10),"")</f>
        <v>DE10600870</v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MGF</v>
      </c>
      <c r="L706" s="32" t="s">
        <v>509</v>
      </c>
      <c r="M706" s="71">
        <v>45720.413402777776</v>
      </c>
      <c r="N706" s="71">
        <v>45723</v>
      </c>
      <c r="O706" s="71">
        <v>45723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3</v>
      </c>
      <c r="R706" s="70" t="s">
        <v>549</v>
      </c>
      <c r="S706" s="69"/>
    </row>
    <row r="707" spans="1:19" hidden="1">
      <c r="A707" t="s">
        <v>2348</v>
      </c>
      <c r="B707" s="149" t="str">
        <f>IFERROR(VLOOKUP(Proc[[#This Row],[App]],Table2[],3,0),"open")</f>
        <v>ok</v>
      </c>
      <c r="C707" s="68" t="s">
        <v>377</v>
      </c>
      <c r="D707" t="s">
        <v>2346</v>
      </c>
      <c r="E707" t="s">
        <v>631</v>
      </c>
      <c r="F707" s="103" t="s">
        <v>631</v>
      </c>
      <c r="G707" s="68" t="s">
        <v>406</v>
      </c>
      <c r="H707" s="69" t="str">
        <f>IF(Proc[[#This Row],[type]]="LFF (MDG-F)",MID(Proc[[#This Row],[Obj]],13,10),"")</f>
        <v>DE20553406</v>
      </c>
      <c r="I707" s="69" t="s">
        <v>446</v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MGF</v>
      </c>
      <c r="L707" s="32" t="s">
        <v>509</v>
      </c>
      <c r="M707" s="71">
        <v>45720.413402777776</v>
      </c>
      <c r="O707" s="71">
        <v>45723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3</v>
      </c>
      <c r="R707" s="78" t="s">
        <v>549</v>
      </c>
      <c r="S707" s="94" t="e">
        <f>VLOOKUP(Proc[[#This Row],[Obj]],#REF!,2,0)</f>
        <v>#REF!</v>
      </c>
    </row>
    <row r="708" spans="1:19" hidden="1">
      <c r="A708" s="68" t="s">
        <v>2348</v>
      </c>
      <c r="B708" s="149" t="str">
        <f>IFERROR(VLOOKUP(Proc[[#This Row],[App]],Table2[],3,0),"open")</f>
        <v>ok</v>
      </c>
      <c r="C708" s="68" t="s">
        <v>377</v>
      </c>
      <c r="D708" t="s">
        <v>2347</v>
      </c>
      <c r="E708" t="s">
        <v>631</v>
      </c>
      <c r="F708" s="103" t="s">
        <v>631</v>
      </c>
      <c r="G708" s="68" t="s">
        <v>406</v>
      </c>
      <c r="H708" s="69" t="str">
        <f>IF(Proc[[#This Row],[type]]="LFF (MDG-F)",MID(Proc[[#This Row],[Obj]],13,10),"")</f>
        <v>DE20553407</v>
      </c>
      <c r="I708" s="69" t="s">
        <v>446</v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MGF</v>
      </c>
      <c r="L708" s="32" t="s">
        <v>509</v>
      </c>
      <c r="M708" s="71">
        <v>45720.413402777776</v>
      </c>
      <c r="O708" s="71">
        <v>45723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3</v>
      </c>
      <c r="R708" s="78" t="s">
        <v>549</v>
      </c>
      <c r="S708" s="94" t="e">
        <f>VLOOKUP(Proc[[#This Row],[Obj]],#REF!,2,0)</f>
        <v>#REF!</v>
      </c>
    </row>
    <row r="709" spans="1:19" hidden="1">
      <c r="A709" s="68" t="s">
        <v>2344</v>
      </c>
      <c r="B709" s="149" t="str">
        <f>IFERROR(VLOOKUP(Proc[[#This Row],[App]],Table2[],3,0),"open")</f>
        <v>ok</v>
      </c>
      <c r="C709" s="68" t="s">
        <v>377</v>
      </c>
      <c r="D709" t="s">
        <v>2337</v>
      </c>
      <c r="E709" t="s">
        <v>2338</v>
      </c>
      <c r="F709" s="103" t="s">
        <v>2338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45720.458009259259</v>
      </c>
      <c r="O709" s="71">
        <v>45722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68" t="s">
        <v>415</v>
      </c>
      <c r="S709" s="94" t="e">
        <f>VLOOKUP(Proc[[#This Row],[Obj]],#REF!,2,0)</f>
        <v>#REF!</v>
      </c>
    </row>
    <row r="710" spans="1:19" hidden="1">
      <c r="A710" s="68" t="s">
        <v>2344</v>
      </c>
      <c r="B710" s="149" t="str">
        <f>IFERROR(VLOOKUP(Proc[[#This Row],[App]],Table2[],3,0),"open")</f>
        <v>ok</v>
      </c>
      <c r="C710" s="68" t="s">
        <v>377</v>
      </c>
      <c r="D710" t="s">
        <v>2339</v>
      </c>
      <c r="E710" t="s">
        <v>2338</v>
      </c>
      <c r="F710" s="103" t="s">
        <v>2338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45720.458009259259</v>
      </c>
      <c r="O710" s="71">
        <v>45722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68" t="s">
        <v>415</v>
      </c>
      <c r="S710" s="94" t="e">
        <f>VLOOKUP(Proc[[#This Row],[Obj]],#REF!,2,0)</f>
        <v>#REF!</v>
      </c>
    </row>
    <row r="711" spans="1:19" hidden="1">
      <c r="A711" s="68" t="s">
        <v>2344</v>
      </c>
      <c r="B711" s="149" t="str">
        <f>IFERROR(VLOOKUP(Proc[[#This Row],[App]],Table2[],3,0),"open")</f>
        <v>ok</v>
      </c>
      <c r="C711" s="68" t="s">
        <v>377</v>
      </c>
      <c r="D711" t="s">
        <v>2340</v>
      </c>
      <c r="E711" t="s">
        <v>2338</v>
      </c>
      <c r="F711" s="103" t="s">
        <v>2338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45720.458009259259</v>
      </c>
      <c r="O711" s="71">
        <v>45722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68" t="s">
        <v>415</v>
      </c>
      <c r="S711" s="94" t="e">
        <f>VLOOKUP(Proc[[#This Row],[Obj]],#REF!,2,0)</f>
        <v>#REF!</v>
      </c>
    </row>
    <row r="712" spans="1:19" hidden="1">
      <c r="A712" s="68" t="s">
        <v>2344</v>
      </c>
      <c r="B712" s="149" t="str">
        <f>IFERROR(VLOOKUP(Proc[[#This Row],[App]],Table2[],3,0),"open")</f>
        <v>ok</v>
      </c>
      <c r="C712" s="68" t="s">
        <v>369</v>
      </c>
      <c r="D712" t="s">
        <v>2341</v>
      </c>
      <c r="E712" t="s">
        <v>2338</v>
      </c>
      <c r="F712" s="117" t="s">
        <v>2338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45720.458009259259</v>
      </c>
      <c r="N712" s="71">
        <v>45722</v>
      </c>
      <c r="O712" s="71">
        <v>45722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68" t="s">
        <v>415</v>
      </c>
      <c r="S712" s="69"/>
    </row>
    <row r="713" spans="1:19" hidden="1">
      <c r="A713" t="s">
        <v>2344</v>
      </c>
      <c r="B713" s="149" t="str">
        <f>IFERROR(VLOOKUP(Proc[[#This Row],[App]],Table2[],3,0),"open")</f>
        <v>ok</v>
      </c>
      <c r="C713" s="68" t="s">
        <v>369</v>
      </c>
      <c r="D713" t="s">
        <v>2342</v>
      </c>
      <c r="E713" t="s">
        <v>2338</v>
      </c>
      <c r="F713" s="117" t="s">
        <v>2338</v>
      </c>
      <c r="G713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45720.458009259259</v>
      </c>
      <c r="N713" s="71">
        <v>45722</v>
      </c>
      <c r="O713" s="71">
        <v>45722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415</v>
      </c>
      <c r="S713" s="69"/>
    </row>
    <row r="714" spans="1:19" hidden="1">
      <c r="A714" t="s">
        <v>2344</v>
      </c>
      <c r="B714" s="149" t="str">
        <f>IFERROR(VLOOKUP(Proc[[#This Row],[App]],Table2[],3,0),"open")</f>
        <v>ok</v>
      </c>
      <c r="C714" s="68" t="s">
        <v>369</v>
      </c>
      <c r="D714" t="s">
        <v>2343</v>
      </c>
      <c r="E714" t="s">
        <v>2338</v>
      </c>
      <c r="F714" s="117" t="s">
        <v>2338</v>
      </c>
      <c r="G714" s="68" t="s">
        <v>400</v>
      </c>
      <c r="H714" s="69" t="str">
        <f>IF(Proc[[#This Row],[type]]="LFF (MDG-F)",MID(Proc[[#This Row],[Obj]],13,10),"")</f>
        <v/>
      </c>
      <c r="I714" s="72"/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45720.458009259259</v>
      </c>
      <c r="N714" s="71">
        <v>45722</v>
      </c>
      <c r="O714" s="71">
        <v>45722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415</v>
      </c>
      <c r="S714" s="69"/>
    </row>
    <row r="715" spans="1:19" hidden="1">
      <c r="A715" t="s">
        <v>2333</v>
      </c>
      <c r="B715" s="149" t="str">
        <f>IFERROR(VLOOKUP(Proc[[#This Row],[App]],Table2[],3,0),"open")</f>
        <v>ok</v>
      </c>
      <c r="C715" s="68" t="s">
        <v>369</v>
      </c>
      <c r="D715" t="s">
        <v>2314</v>
      </c>
      <c r="E715" t="s">
        <v>662</v>
      </c>
      <c r="F715" s="117" t="s">
        <v>662</v>
      </c>
      <c r="G715" s="68" t="s">
        <v>400</v>
      </c>
      <c r="H715" s="69" t="str">
        <f>IF(Proc[[#This Row],[type]]="LFF (MDG-F)",MID(Proc[[#This Row],[Obj]],13,10),"")</f>
        <v/>
      </c>
      <c r="I715" s="72"/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MGF</v>
      </c>
      <c r="L715" s="32" t="s">
        <v>509</v>
      </c>
      <c r="M715" s="71">
        <v>45720.607928240737</v>
      </c>
      <c r="P715" s="70" t="str">
        <f ca="1">IF(Proc[[#This Row],[DaysAgeing]]&gt;5,"yep","on track")</f>
        <v>yep</v>
      </c>
      <c r="Q715" s="3">
        <f ca="1">IF(Proc[[#This Row],[DateClosed]]="",ABS(NETWORKDAYS(Proc[[#This Row],[DateOpened]],TODAY()))-1,ABS(NETWORKDAYS(Proc[[#This Row],[DateOpened]],Proc[[#This Row],[DateClosed]]))-1)</f>
        <v>197</v>
      </c>
      <c r="R715" s="70" t="s">
        <v>1459</v>
      </c>
      <c r="S715" s="69"/>
    </row>
    <row r="716" spans="1:19" hidden="1">
      <c r="A716" t="s">
        <v>2333</v>
      </c>
      <c r="B716" s="149" t="str">
        <f>IFERROR(VLOOKUP(Proc[[#This Row],[App]],Table2[],3,0),"open")</f>
        <v>ok</v>
      </c>
      <c r="C716" t="s">
        <v>369</v>
      </c>
      <c r="D716" t="s">
        <v>2315</v>
      </c>
      <c r="E716" t="s">
        <v>427</v>
      </c>
      <c r="F716" s="117" t="s">
        <v>427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MGF</v>
      </c>
      <c r="L716" s="32" t="s">
        <v>509</v>
      </c>
      <c r="M716" s="71">
        <v>45720.607928240737</v>
      </c>
      <c r="P716" s="70" t="str">
        <f ca="1">IF(Proc[[#This Row],[DaysAgeing]]&gt;5,"yep","on track")</f>
        <v>yep</v>
      </c>
      <c r="Q716" s="3">
        <f ca="1">IF(Proc[[#This Row],[DateClosed]]="",ABS(NETWORKDAYS(Proc[[#This Row],[DateOpened]],TODAY()))-1,ABS(NETWORKDAYS(Proc[[#This Row],[DateOpened]],Proc[[#This Row],[DateClosed]]))-1)</f>
        <v>197</v>
      </c>
      <c r="R716" s="70" t="s">
        <v>1459</v>
      </c>
      <c r="S716" s="69"/>
    </row>
    <row r="717" spans="1:19" hidden="1">
      <c r="A717" s="68" t="s">
        <v>2333</v>
      </c>
      <c r="B717" s="149" t="str">
        <f>IFERROR(VLOOKUP(Proc[[#This Row],[App]],Table2[],3,0),"open")</f>
        <v>ok</v>
      </c>
      <c r="C717" s="68" t="s">
        <v>369</v>
      </c>
      <c r="D717" t="s">
        <v>2316</v>
      </c>
      <c r="E717" t="s">
        <v>662</v>
      </c>
      <c r="F717" s="117" t="s">
        <v>662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MGF</v>
      </c>
      <c r="L717" s="32" t="s">
        <v>509</v>
      </c>
      <c r="M717" s="71">
        <v>45720.607928240737</v>
      </c>
      <c r="P717" s="70" t="str">
        <f ca="1">IF(Proc[[#This Row],[DaysAgeing]]&gt;5,"yep","on track")</f>
        <v>yep</v>
      </c>
      <c r="Q717" s="3">
        <f ca="1">IF(Proc[[#This Row],[DateClosed]]="",ABS(NETWORKDAYS(Proc[[#This Row],[DateOpened]],TODAY()))-1,ABS(NETWORKDAYS(Proc[[#This Row],[DateOpened]],Proc[[#This Row],[DateClosed]]))-1)</f>
        <v>197</v>
      </c>
      <c r="R717" s="70" t="s">
        <v>1459</v>
      </c>
      <c r="S717" s="69"/>
    </row>
    <row r="718" spans="1:19" hidden="1">
      <c r="A718" s="68" t="s">
        <v>2333</v>
      </c>
      <c r="B718" s="149" t="str">
        <f>IFERROR(VLOOKUP(Proc[[#This Row],[App]],Table2[],3,0),"open")</f>
        <v>ok</v>
      </c>
      <c r="C718" s="68" t="s">
        <v>369</v>
      </c>
      <c r="D718" t="s">
        <v>2317</v>
      </c>
      <c r="E718" t="s">
        <v>1458</v>
      </c>
      <c r="F718" s="117" t="s">
        <v>1458</v>
      </c>
      <c r="G718" s="68" t="s">
        <v>406</v>
      </c>
      <c r="H718" s="69" t="str">
        <f>IF(Proc[[#This Row],[type]]="LFF (MDG-F)",MID(Proc[[#This Row],[Obj]],13,10),"")</f>
        <v>DE10513301</v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MGF</v>
      </c>
      <c r="L718" s="32" t="s">
        <v>509</v>
      </c>
      <c r="M718" s="71">
        <v>45720.607928240737</v>
      </c>
      <c r="P718" s="70" t="str">
        <f ca="1">IF(Proc[[#This Row],[DaysAgeing]]&gt;5,"yep","on track")</f>
        <v>yep</v>
      </c>
      <c r="Q718" s="3">
        <f ca="1">IF(Proc[[#This Row],[DateClosed]]="",ABS(NETWORKDAYS(Proc[[#This Row],[DateOpened]],TODAY()))-1,ABS(NETWORKDAYS(Proc[[#This Row],[DateOpened]],Proc[[#This Row],[DateClosed]]))-1)</f>
        <v>197</v>
      </c>
      <c r="R718" s="70" t="s">
        <v>1459</v>
      </c>
      <c r="S718" s="69"/>
    </row>
    <row r="719" spans="1:19" hidden="1">
      <c r="A719" s="68" t="s">
        <v>2333</v>
      </c>
      <c r="B719" s="149" t="str">
        <f>IFERROR(VLOOKUP(Proc[[#This Row],[App]],Table2[],3,0),"open")</f>
        <v>ok</v>
      </c>
      <c r="C719" s="68" t="s">
        <v>369</v>
      </c>
      <c r="D719" t="s">
        <v>2318</v>
      </c>
      <c r="E719" t="s">
        <v>2334</v>
      </c>
      <c r="F719" s="117" t="s">
        <v>2334</v>
      </c>
      <c r="G719" s="68" t="s">
        <v>406</v>
      </c>
      <c r="H719" s="69" t="str">
        <f>IF(Proc[[#This Row],[type]]="LFF (MDG-F)",MID(Proc[[#This Row],[Obj]],13,10),"")</f>
        <v>DE10533004</v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MGF</v>
      </c>
      <c r="L719" s="32" t="s">
        <v>509</v>
      </c>
      <c r="M719" s="71">
        <v>45720.607928240737</v>
      </c>
      <c r="P719" s="70" t="str">
        <f ca="1">IF(Proc[[#This Row],[DaysAgeing]]&gt;5,"yep","on track")</f>
        <v>yep</v>
      </c>
      <c r="Q719" s="3">
        <f ca="1">IF(Proc[[#This Row],[DateClosed]]="",ABS(NETWORKDAYS(Proc[[#This Row],[DateOpened]],TODAY()))-1,ABS(NETWORKDAYS(Proc[[#This Row],[DateOpened]],Proc[[#This Row],[DateClosed]]))-1)</f>
        <v>197</v>
      </c>
      <c r="R719" s="70" t="s">
        <v>1459</v>
      </c>
      <c r="S719" s="69"/>
    </row>
    <row r="720" spans="1:19" hidden="1">
      <c r="A720" s="68" t="s">
        <v>2333</v>
      </c>
      <c r="B720" s="149" t="str">
        <f>IFERROR(VLOOKUP(Proc[[#This Row],[App]],Table2[],3,0),"open")</f>
        <v>ok</v>
      </c>
      <c r="C720" s="68" t="s">
        <v>369</v>
      </c>
      <c r="D720" t="s">
        <v>2319</v>
      </c>
      <c r="E720" t="s">
        <v>430</v>
      </c>
      <c r="F720" s="117" t="s">
        <v>430</v>
      </c>
      <c r="G720" s="68" t="s">
        <v>406</v>
      </c>
      <c r="H720" s="69" t="str">
        <f>IF(Proc[[#This Row],[type]]="LFF (MDG-F)",MID(Proc[[#This Row],[Obj]],13,10),"")</f>
        <v>DE65GIT032</v>
      </c>
      <c r="I720" t="s">
        <v>2575</v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MGF</v>
      </c>
      <c r="L720" s="32" t="s">
        <v>509</v>
      </c>
      <c r="M720" s="71">
        <v>45720.607928240737</v>
      </c>
      <c r="O720" s="71">
        <v>45749</v>
      </c>
      <c r="P720" s="70" t="str">
        <f ca="1">IF(Proc[[#This Row],[DaysAgeing]]&gt;5,"yep","on track")</f>
        <v>yep</v>
      </c>
      <c r="Q720" s="3">
        <f ca="1">IF(Proc[[#This Row],[DateClosed]]="",ABS(NETWORKDAYS(Proc[[#This Row],[DateOpened]],TODAY()))-1,ABS(NETWORKDAYS(Proc[[#This Row],[DateOpened]],Proc[[#This Row],[DateClosed]]))-1)</f>
        <v>21</v>
      </c>
      <c r="R720" s="70" t="s">
        <v>1459</v>
      </c>
      <c r="S720" s="69"/>
    </row>
    <row r="721" spans="1:19" hidden="1">
      <c r="A721" s="68" t="s">
        <v>2333</v>
      </c>
      <c r="B721" s="149" t="str">
        <f>IFERROR(VLOOKUP(Proc[[#This Row],[App]],Table2[],3,0),"open")</f>
        <v>ok</v>
      </c>
      <c r="C721" s="68" t="s">
        <v>369</v>
      </c>
      <c r="D721" t="s">
        <v>2320</v>
      </c>
      <c r="E721" t="s">
        <v>2335</v>
      </c>
      <c r="F721" s="117" t="s">
        <v>2335</v>
      </c>
      <c r="G721" s="68" t="s">
        <v>406</v>
      </c>
      <c r="H721" s="69" t="str">
        <f>IF(Proc[[#This Row],[type]]="LFF (MDG-F)",MID(Proc[[#This Row],[Obj]],13,10),"")</f>
        <v>VN50GIT050</v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MGF</v>
      </c>
      <c r="L721" s="32" t="s">
        <v>509</v>
      </c>
      <c r="M721" s="71">
        <v>45720.607928240737</v>
      </c>
      <c r="P721" s="70" t="str">
        <f ca="1">IF(Proc[[#This Row],[DaysAgeing]]&gt;5,"yep","on track")</f>
        <v>yep</v>
      </c>
      <c r="Q721" s="3">
        <f ca="1">IF(Proc[[#This Row],[DateClosed]]="",ABS(NETWORKDAYS(Proc[[#This Row],[DateOpened]],TODAY()))-1,ABS(NETWORKDAYS(Proc[[#This Row],[DateOpened]],Proc[[#This Row],[DateClosed]]))-1)</f>
        <v>197</v>
      </c>
      <c r="R721" s="70" t="s">
        <v>1459</v>
      </c>
      <c r="S721" s="69"/>
    </row>
    <row r="722" spans="1:19" hidden="1">
      <c r="A722" s="68" t="s">
        <v>2333</v>
      </c>
      <c r="B722" s="149" t="str">
        <f>IFERROR(VLOOKUP(Proc[[#This Row],[App]],Table2[],3,0),"open")</f>
        <v>ok</v>
      </c>
      <c r="C722" s="68" t="s">
        <v>369</v>
      </c>
      <c r="D722" t="s">
        <v>2321</v>
      </c>
      <c r="E722" t="s">
        <v>427</v>
      </c>
      <c r="F722" s="117" t="s">
        <v>427</v>
      </c>
      <c r="G722" s="68" t="s">
        <v>406</v>
      </c>
      <c r="H722" s="69" t="str">
        <f>IF(Proc[[#This Row],[type]]="LFF (MDG-F)",MID(Proc[[#This Row],[Obj]],13,10),"")</f>
        <v>ZA50GIT11B</v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MGF</v>
      </c>
      <c r="L722" s="32" t="s">
        <v>509</v>
      </c>
      <c r="M722" s="71">
        <v>45720.607928240737</v>
      </c>
      <c r="P722" s="70" t="str">
        <f ca="1">IF(Proc[[#This Row],[DaysAgeing]]&gt;5,"yep","on track")</f>
        <v>yep</v>
      </c>
      <c r="Q722" s="3">
        <f ca="1">IF(Proc[[#This Row],[DateClosed]]="",ABS(NETWORKDAYS(Proc[[#This Row],[DateOpened]],TODAY()))-1,ABS(NETWORKDAYS(Proc[[#This Row],[DateOpened]],Proc[[#This Row],[DateClosed]]))-1)</f>
        <v>197</v>
      </c>
      <c r="R722" s="70" t="s">
        <v>1459</v>
      </c>
      <c r="S722" s="69"/>
    </row>
    <row r="723" spans="1:19" hidden="1">
      <c r="A723" s="68" t="s">
        <v>2333</v>
      </c>
      <c r="B723" s="149" t="str">
        <f>IFERROR(VLOOKUP(Proc[[#This Row],[App]],Table2[],3,0),"open")</f>
        <v>ok</v>
      </c>
      <c r="C723" s="68" t="s">
        <v>369</v>
      </c>
      <c r="D723" t="s">
        <v>2322</v>
      </c>
      <c r="E723" t="s">
        <v>1458</v>
      </c>
      <c r="F723" s="117" t="s">
        <v>1458</v>
      </c>
      <c r="G723" s="68" t="s">
        <v>406</v>
      </c>
      <c r="H723" s="69" t="str">
        <f>IF(Proc[[#This Row],[type]]="LFF (MDG-F)",MID(Proc[[#This Row],[Obj]],13,10),"")</f>
        <v>US10GIT044</v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MGF</v>
      </c>
      <c r="L723" s="32" t="s">
        <v>509</v>
      </c>
      <c r="M723" s="71">
        <v>45720.607928240737</v>
      </c>
      <c r="P723" s="70" t="str">
        <f ca="1">IF(Proc[[#This Row],[DaysAgeing]]&gt;5,"yep","on track")</f>
        <v>yep</v>
      </c>
      <c r="Q723" s="3">
        <f ca="1">IF(Proc[[#This Row],[DateClosed]]="",ABS(NETWORKDAYS(Proc[[#This Row],[DateOpened]],TODAY()))-1,ABS(NETWORKDAYS(Proc[[#This Row],[DateOpened]],Proc[[#This Row],[DateClosed]]))-1)</f>
        <v>197</v>
      </c>
      <c r="R723" s="70" t="s">
        <v>1459</v>
      </c>
      <c r="S723" s="69"/>
    </row>
    <row r="724" spans="1:19" hidden="1">
      <c r="A724" s="68" t="s">
        <v>2333</v>
      </c>
      <c r="B724" s="149" t="str">
        <f>IFERROR(VLOOKUP(Proc[[#This Row],[App]],Table2[],3,0),"open")</f>
        <v>ok</v>
      </c>
      <c r="C724" s="68" t="s">
        <v>369</v>
      </c>
      <c r="D724" t="s">
        <v>2323</v>
      </c>
      <c r="E724" t="s">
        <v>1458</v>
      </c>
      <c r="F724" s="117" t="s">
        <v>1458</v>
      </c>
      <c r="G724" s="68" t="s">
        <v>400</v>
      </c>
      <c r="H724" s="69"/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MGF</v>
      </c>
      <c r="L724" s="32" t="s">
        <v>509</v>
      </c>
      <c r="M724" s="71">
        <v>45720.607928240737</v>
      </c>
      <c r="P724" s="70" t="str">
        <f ca="1">IF(Proc[[#This Row],[DaysAgeing]]&gt;5,"yep","on track")</f>
        <v>yep</v>
      </c>
      <c r="Q724" s="3">
        <f ca="1">IF(Proc[[#This Row],[DateClosed]]="",ABS(NETWORKDAYS(Proc[[#This Row],[DateOpened]],TODAY()))-1,ABS(NETWORKDAYS(Proc[[#This Row],[DateOpened]],Proc[[#This Row],[DateClosed]]))-1)</f>
        <v>197</v>
      </c>
      <c r="R724" s="70" t="s">
        <v>1459</v>
      </c>
      <c r="S724" s="69"/>
    </row>
    <row r="725" spans="1:19" hidden="1">
      <c r="A725" s="68" t="s">
        <v>2333</v>
      </c>
      <c r="B725" s="149" t="str">
        <f>IFERROR(VLOOKUP(Proc[[#This Row],[App]],Table2[],3,0),"open")</f>
        <v>ok</v>
      </c>
      <c r="C725" s="68" t="s">
        <v>369</v>
      </c>
      <c r="D725" t="s">
        <v>2324</v>
      </c>
      <c r="E725" t="s">
        <v>429</v>
      </c>
      <c r="F725" s="117" t="s">
        <v>429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MGF</v>
      </c>
      <c r="L725" s="32" t="s">
        <v>509</v>
      </c>
      <c r="M725" s="71">
        <v>45720.607928240737</v>
      </c>
      <c r="P725" s="70" t="str">
        <f ca="1">IF(Proc[[#This Row],[DaysAgeing]]&gt;5,"yep","on track")</f>
        <v>yep</v>
      </c>
      <c r="Q725" s="3">
        <f ca="1">IF(Proc[[#This Row],[DateClosed]]="",ABS(NETWORKDAYS(Proc[[#This Row],[DateOpened]],TODAY()))-1,ABS(NETWORKDAYS(Proc[[#This Row],[DateOpened]],Proc[[#This Row],[DateClosed]]))-1)</f>
        <v>197</v>
      </c>
      <c r="R725" s="70" t="s">
        <v>1459</v>
      </c>
      <c r="S725" s="69"/>
    </row>
    <row r="726" spans="1:19" hidden="1">
      <c r="A726" s="68" t="s">
        <v>2333</v>
      </c>
      <c r="B726" s="149" t="str">
        <f>IFERROR(VLOOKUP(Proc[[#This Row],[App]],Table2[],3,0),"open")</f>
        <v>ok</v>
      </c>
      <c r="C726" s="68" t="s">
        <v>369</v>
      </c>
      <c r="D726" t="s">
        <v>2325</v>
      </c>
      <c r="E726" t="s">
        <v>1232</v>
      </c>
      <c r="F726" s="117" t="s">
        <v>1232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MGF</v>
      </c>
      <c r="L726" s="32" t="s">
        <v>509</v>
      </c>
      <c r="M726" s="71">
        <v>45720.607928240737</v>
      </c>
      <c r="P726" s="70" t="str">
        <f ca="1">IF(Proc[[#This Row],[DaysAgeing]]&gt;5,"yep","on track")</f>
        <v>yep</v>
      </c>
      <c r="Q726" s="3">
        <f ca="1">IF(Proc[[#This Row],[DateClosed]]="",ABS(NETWORKDAYS(Proc[[#This Row],[DateOpened]],TODAY()))-1,ABS(NETWORKDAYS(Proc[[#This Row],[DateOpened]],Proc[[#This Row],[DateClosed]]))-1)</f>
        <v>197</v>
      </c>
      <c r="R726" s="70" t="s">
        <v>1459</v>
      </c>
      <c r="S726" s="69"/>
    </row>
    <row r="727" spans="1:19" hidden="1">
      <c r="A727" s="68" t="s">
        <v>2333</v>
      </c>
      <c r="B727" s="149" t="str">
        <f>IFERROR(VLOOKUP(Proc[[#This Row],[App]],Table2[],3,0),"open")</f>
        <v>ok</v>
      </c>
      <c r="C727" s="68" t="s">
        <v>369</v>
      </c>
      <c r="D727" t="s">
        <v>2326</v>
      </c>
      <c r="E727" t="s">
        <v>1232</v>
      </c>
      <c r="F727" s="117" t="s">
        <v>1232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MGF</v>
      </c>
      <c r="L727" s="32" t="s">
        <v>509</v>
      </c>
      <c r="M727" s="71">
        <v>45720.607928240737</v>
      </c>
      <c r="P727" s="70" t="str">
        <f ca="1">IF(Proc[[#This Row],[DaysAgeing]]&gt;5,"yep","on track")</f>
        <v>yep</v>
      </c>
      <c r="Q727" s="3">
        <f ca="1">IF(Proc[[#This Row],[DateClosed]]="",ABS(NETWORKDAYS(Proc[[#This Row],[DateOpened]],TODAY()))-1,ABS(NETWORKDAYS(Proc[[#This Row],[DateOpened]],Proc[[#This Row],[DateClosed]]))-1)</f>
        <v>197</v>
      </c>
      <c r="R727" s="70" t="s">
        <v>1459</v>
      </c>
      <c r="S727" s="69"/>
    </row>
    <row r="728" spans="1:19" hidden="1">
      <c r="A728" s="68" t="s">
        <v>2333</v>
      </c>
      <c r="B728" s="149" t="str">
        <f>IFERROR(VLOOKUP(Proc[[#This Row],[App]],Table2[],3,0),"open")</f>
        <v>ok</v>
      </c>
      <c r="C728" s="68" t="s">
        <v>369</v>
      </c>
      <c r="D728" t="s">
        <v>2327</v>
      </c>
      <c r="E728" t="s">
        <v>429</v>
      </c>
      <c r="F728" s="117" t="s">
        <v>429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MGF</v>
      </c>
      <c r="L728" s="32" t="s">
        <v>509</v>
      </c>
      <c r="M728" s="71">
        <v>45720.607928240737</v>
      </c>
      <c r="P728" s="70" t="str">
        <f ca="1">IF(Proc[[#This Row],[DaysAgeing]]&gt;5,"yep","on track")</f>
        <v>yep</v>
      </c>
      <c r="Q728" s="3">
        <f ca="1">IF(Proc[[#This Row],[DateClosed]]="",ABS(NETWORKDAYS(Proc[[#This Row],[DateOpened]],TODAY()))-1,ABS(NETWORKDAYS(Proc[[#This Row],[DateOpened]],Proc[[#This Row],[DateClosed]]))-1)</f>
        <v>197</v>
      </c>
      <c r="R728" s="70" t="s">
        <v>1459</v>
      </c>
      <c r="S728" s="69"/>
    </row>
    <row r="729" spans="1:19" hidden="1">
      <c r="A729" s="68" t="s">
        <v>2333</v>
      </c>
      <c r="B729" s="149" t="str">
        <f>IFERROR(VLOOKUP(Proc[[#This Row],[App]],Table2[],3,0),"open")</f>
        <v>ok</v>
      </c>
      <c r="C729" s="68" t="s">
        <v>369</v>
      </c>
      <c r="D729" t="s">
        <v>2328</v>
      </c>
      <c r="E729" t="s">
        <v>1458</v>
      </c>
      <c r="F729" s="117" t="s">
        <v>1458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MGF</v>
      </c>
      <c r="L729" s="32" t="s">
        <v>509</v>
      </c>
      <c r="M729" s="71">
        <v>45720.607928240737</v>
      </c>
      <c r="P729" s="70" t="str">
        <f ca="1">IF(Proc[[#This Row],[DaysAgeing]]&gt;5,"yep","on track")</f>
        <v>yep</v>
      </c>
      <c r="Q729" s="3">
        <f ca="1">IF(Proc[[#This Row],[DateClosed]]="",ABS(NETWORKDAYS(Proc[[#This Row],[DateOpened]],TODAY()))-1,ABS(NETWORKDAYS(Proc[[#This Row],[DateOpened]],Proc[[#This Row],[DateClosed]]))-1)</f>
        <v>197</v>
      </c>
      <c r="R729" s="70" t="s">
        <v>1459</v>
      </c>
      <c r="S729" s="69"/>
    </row>
    <row r="730" spans="1:19" hidden="1">
      <c r="A730" s="68" t="s">
        <v>2333</v>
      </c>
      <c r="B730" s="149" t="str">
        <f>IFERROR(VLOOKUP(Proc[[#This Row],[App]],Table2[],3,0),"open")</f>
        <v>ok</v>
      </c>
      <c r="C730" s="68" t="s">
        <v>369</v>
      </c>
      <c r="D730" t="s">
        <v>2329</v>
      </c>
      <c r="E730" t="s">
        <v>1458</v>
      </c>
      <c r="F730" s="117" t="s">
        <v>1458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MGF</v>
      </c>
      <c r="L730" s="32" t="s">
        <v>509</v>
      </c>
      <c r="M730" s="71">
        <v>45720.607928240737</v>
      </c>
      <c r="P730" s="70" t="str">
        <f ca="1">IF(Proc[[#This Row],[DaysAgeing]]&gt;5,"yep","on track")</f>
        <v>yep</v>
      </c>
      <c r="Q730" s="3">
        <f ca="1">IF(Proc[[#This Row],[DateClosed]]="",ABS(NETWORKDAYS(Proc[[#This Row],[DateOpened]],TODAY()))-1,ABS(NETWORKDAYS(Proc[[#This Row],[DateOpened]],Proc[[#This Row],[DateClosed]]))-1)</f>
        <v>197</v>
      </c>
      <c r="R730" s="70" t="s">
        <v>1459</v>
      </c>
      <c r="S730" s="69"/>
    </row>
    <row r="731" spans="1:19" hidden="1">
      <c r="A731" s="68" t="s">
        <v>2333</v>
      </c>
      <c r="B731" s="149" t="str">
        <f>IFERROR(VLOOKUP(Proc[[#This Row],[App]],Table2[],3,0),"open")</f>
        <v>ok</v>
      </c>
      <c r="C731" s="68" t="s">
        <v>369</v>
      </c>
      <c r="D731" t="s">
        <v>2330</v>
      </c>
      <c r="E731" t="s">
        <v>424</v>
      </c>
      <c r="F731" s="117" t="s">
        <v>424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MGF</v>
      </c>
      <c r="L731" s="32" t="s">
        <v>509</v>
      </c>
      <c r="M731" s="71">
        <v>45720.607928240737</v>
      </c>
      <c r="P731" s="70" t="str">
        <f ca="1">IF(Proc[[#This Row],[DaysAgeing]]&gt;5,"yep","on track")</f>
        <v>yep</v>
      </c>
      <c r="Q731" s="3">
        <f ca="1">IF(Proc[[#This Row],[DateClosed]]="",ABS(NETWORKDAYS(Proc[[#This Row],[DateOpened]],TODAY()))-1,ABS(NETWORKDAYS(Proc[[#This Row],[DateOpened]],Proc[[#This Row],[DateClosed]]))-1)</f>
        <v>197</v>
      </c>
      <c r="R731" s="70" t="s">
        <v>1459</v>
      </c>
      <c r="S731" s="69"/>
    </row>
    <row r="732" spans="1:19" hidden="1">
      <c r="A732" s="68" t="s">
        <v>2333</v>
      </c>
      <c r="B732" s="149" t="str">
        <f>IFERROR(VLOOKUP(Proc[[#This Row],[App]],Table2[],3,0),"open")</f>
        <v>ok</v>
      </c>
      <c r="C732" s="68" t="s">
        <v>369</v>
      </c>
      <c r="D732" t="s">
        <v>2331</v>
      </c>
      <c r="E732" t="s">
        <v>2336</v>
      </c>
      <c r="F732" s="117" t="s">
        <v>2336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MGF</v>
      </c>
      <c r="L732" s="32" t="s">
        <v>509</v>
      </c>
      <c r="M732" s="71">
        <v>45720.607928240737</v>
      </c>
      <c r="P732" s="70" t="str">
        <f ca="1">IF(Proc[[#This Row],[DaysAgeing]]&gt;5,"yep","on track")</f>
        <v>yep</v>
      </c>
      <c r="Q732" s="3">
        <f ca="1">IF(Proc[[#This Row],[DateClosed]]="",ABS(NETWORKDAYS(Proc[[#This Row],[DateOpened]],TODAY()))-1,ABS(NETWORKDAYS(Proc[[#This Row],[DateOpened]],Proc[[#This Row],[DateClosed]]))-1)</f>
        <v>197</v>
      </c>
      <c r="R732" s="70" t="s">
        <v>1459</v>
      </c>
      <c r="S732" s="69"/>
    </row>
    <row r="733" spans="1:19" hidden="1">
      <c r="A733" s="68" t="s">
        <v>2333</v>
      </c>
      <c r="B733" s="149" t="str">
        <f>IFERROR(VLOOKUP(Proc[[#This Row],[App]],Table2[],3,0),"open")</f>
        <v>ok</v>
      </c>
      <c r="C733" s="68" t="s">
        <v>369</v>
      </c>
      <c r="D733" t="s">
        <v>2332</v>
      </c>
      <c r="E733" t="s">
        <v>1458</v>
      </c>
      <c r="F733" s="117" t="s">
        <v>1458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MGF</v>
      </c>
      <c r="L733" s="32" t="s">
        <v>509</v>
      </c>
      <c r="M733" s="71">
        <v>45720.607928240737</v>
      </c>
      <c r="P733" s="70" t="str">
        <f ca="1">IF(Proc[[#This Row],[DaysAgeing]]&gt;5,"yep","on track")</f>
        <v>yep</v>
      </c>
      <c r="Q733" s="3">
        <f ca="1">IF(Proc[[#This Row],[DateClosed]]="",ABS(NETWORKDAYS(Proc[[#This Row],[DateOpened]],TODAY()))-1,ABS(NETWORKDAYS(Proc[[#This Row],[DateOpened]],Proc[[#This Row],[DateClosed]]))-1)</f>
        <v>197</v>
      </c>
      <c r="R733" s="70" t="s">
        <v>1459</v>
      </c>
      <c r="S733" s="69"/>
    </row>
    <row r="734" spans="1:19" hidden="1">
      <c r="A734" t="s">
        <v>2313</v>
      </c>
      <c r="B734" s="149" t="str">
        <f>IFERROR(VLOOKUP(Proc[[#This Row],[App]],Table2[],3,0),"open")</f>
        <v>ok</v>
      </c>
      <c r="C734" t="s">
        <v>369</v>
      </c>
      <c r="D734" t="s">
        <v>2312</v>
      </c>
      <c r="E734" t="s">
        <v>1588</v>
      </c>
      <c r="F734" s="117" t="s">
        <v>1588</v>
      </c>
      <c r="G734" s="68" t="s">
        <v>406</v>
      </c>
      <c r="H734" s="69" t="str">
        <f>IF(Proc[[#This Row],[type]]="LFF (MDG-F)",MID(Proc[[#This Row],[Obj]],13,10),"")</f>
        <v>DE10622600</v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MGF</v>
      </c>
      <c r="L734" s="32" t="s">
        <v>509</v>
      </c>
      <c r="M734" s="71">
        <v>45721.464016203703</v>
      </c>
      <c r="N734" s="71">
        <v>45723</v>
      </c>
      <c r="O734" s="71">
        <v>45723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549</v>
      </c>
      <c r="S734" s="69"/>
    </row>
    <row r="735" spans="1:19" hidden="1">
      <c r="A735" s="68" t="s">
        <v>2379</v>
      </c>
      <c r="B735" s="149" t="str">
        <f>IFERROR(VLOOKUP(Proc[[#This Row],[App]],Table2[],3,0),"open")</f>
        <v>ok</v>
      </c>
      <c r="C735" s="68" t="s">
        <v>369</v>
      </c>
      <c r="D735" t="s">
        <v>2380</v>
      </c>
      <c r="E735" t="s">
        <v>1458</v>
      </c>
      <c r="F735" s="117" t="s">
        <v>1458</v>
      </c>
      <c r="G735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MGF</v>
      </c>
      <c r="L735" s="32" t="s">
        <v>509</v>
      </c>
      <c r="M735" s="71">
        <v>45721.618263888886</v>
      </c>
      <c r="N735" s="71">
        <v>45726</v>
      </c>
      <c r="O735" s="71">
        <v>45726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3</v>
      </c>
      <c r="R735" s="70" t="s">
        <v>1459</v>
      </c>
      <c r="S735" s="69"/>
    </row>
    <row r="736" spans="1:19" hidden="1">
      <c r="A736" t="s">
        <v>2379</v>
      </c>
      <c r="B736" s="149" t="str">
        <f>IFERROR(VLOOKUP(Proc[[#This Row],[App]],Table2[],3,0),"open")</f>
        <v>ok</v>
      </c>
      <c r="C736" t="s">
        <v>369</v>
      </c>
      <c r="D736" t="s">
        <v>2381</v>
      </c>
      <c r="E736" t="s">
        <v>1458</v>
      </c>
      <c r="F736" s="117" t="s">
        <v>1458</v>
      </c>
      <c r="G736" s="68" t="s">
        <v>406</v>
      </c>
      <c r="H736" s="69" t="str">
        <f>IF(Proc[[#This Row],[type]]="LFF (MDG-F)",MID(Proc[[#This Row],[Obj]],13,10),"")</f>
        <v>2123GIT130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MGF</v>
      </c>
      <c r="L736" s="32" t="s">
        <v>509</v>
      </c>
      <c r="M736" s="71">
        <v>45721.618263888886</v>
      </c>
      <c r="N736" s="71">
        <v>45726</v>
      </c>
      <c r="O736" s="71">
        <v>45726</v>
      </c>
      <c r="P736" s="70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3</v>
      </c>
      <c r="R736" s="70" t="s">
        <v>1459</v>
      </c>
      <c r="S736" s="69"/>
    </row>
    <row r="737" spans="1:19" hidden="1">
      <c r="A737" s="68" t="s">
        <v>2441</v>
      </c>
      <c r="B737" s="149" t="str">
        <f>IFERROR(VLOOKUP(Proc[[#This Row],[App]],Table2[],3,0),"open")</f>
        <v>ok</v>
      </c>
      <c r="C737" s="68" t="s">
        <v>369</v>
      </c>
      <c r="D737" t="s">
        <v>2442</v>
      </c>
      <c r="E737" t="s">
        <v>2443</v>
      </c>
      <c r="F737" s="117" t="s">
        <v>2443</v>
      </c>
      <c r="G737" s="68" t="s">
        <v>406</v>
      </c>
      <c r="H737" s="69" t="str">
        <f>IF(Proc[[#This Row],[type]]="LFF (MDG-F)",MID(Proc[[#This Row],[Obj]],13,10),"")</f>
        <v>NO50GIN000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MGF</v>
      </c>
      <c r="L737" s="32" t="s">
        <v>509</v>
      </c>
      <c r="M737" s="71">
        <v>45721.760057870371</v>
      </c>
      <c r="N737" s="71">
        <v>45741</v>
      </c>
      <c r="O737" s="71">
        <v>45741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14</v>
      </c>
      <c r="R737" s="70" t="s">
        <v>2444</v>
      </c>
      <c r="S737" s="69"/>
    </row>
    <row r="738" spans="1:19" hidden="1">
      <c r="A738" t="s">
        <v>2384</v>
      </c>
      <c r="B738" s="149" t="str">
        <f>IFERROR(VLOOKUP(Proc[[#This Row],[App]],Table2[],3,0),"open")</f>
        <v>ok</v>
      </c>
      <c r="C738" s="68" t="s">
        <v>398</v>
      </c>
      <c r="D738" t="s">
        <v>2382</v>
      </c>
      <c r="E738" t="s">
        <v>2377</v>
      </c>
      <c r="F738" s="103" t="s">
        <v>2377</v>
      </c>
      <c r="G738" s="68" t="s">
        <v>400</v>
      </c>
      <c r="H738" s="69" t="str">
        <f>IF(Proc[[#This Row],[type]]="LFF (MDG-F)",MID(Proc[[#This Row],[Obj]],13,10),"")</f>
        <v/>
      </c>
      <c r="I738" t="s">
        <v>1198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LS</v>
      </c>
      <c r="L738" s="32" t="s">
        <v>509</v>
      </c>
      <c r="M738" s="71">
        <v>45722.670775462961</v>
      </c>
      <c r="O738" s="71">
        <v>45726</v>
      </c>
      <c r="P738" s="70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0" t="s">
        <v>972</v>
      </c>
      <c r="S738" s="94" t="e">
        <f>VLOOKUP(Proc[[#This Row],[Obj]],#REF!,2,0)</f>
        <v>#REF!</v>
      </c>
    </row>
    <row r="739" spans="1:19" hidden="1">
      <c r="A739" t="s">
        <v>2384</v>
      </c>
      <c r="B739" s="149" t="str">
        <f>IFERROR(VLOOKUP(Proc[[#This Row],[App]],Table2[],3,0),"open")</f>
        <v>ok</v>
      </c>
      <c r="C739" s="68" t="s">
        <v>369</v>
      </c>
      <c r="D739" t="s">
        <v>2383</v>
      </c>
      <c r="E739" t="s">
        <v>2385</v>
      </c>
      <c r="F739" s="117" t="s">
        <v>2385</v>
      </c>
      <c r="G739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45722.670775462961</v>
      </c>
      <c r="N739" s="71">
        <v>45726</v>
      </c>
      <c r="O739" s="71">
        <v>45726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t="s">
        <v>2396</v>
      </c>
      <c r="B740" s="149" t="str">
        <f>IFERROR(VLOOKUP(Proc[[#This Row],[App]],Table2[],3,0),"open")</f>
        <v>ok</v>
      </c>
      <c r="C740" s="68" t="s">
        <v>369</v>
      </c>
      <c r="D740" t="s">
        <v>2392</v>
      </c>
      <c r="E740" t="s">
        <v>2397</v>
      </c>
      <c r="F740" s="117" t="s">
        <v>2397</v>
      </c>
      <c r="G740" s="68" t="s">
        <v>406</v>
      </c>
      <c r="H740" s="69" t="str">
        <f>IF(Proc[[#This Row],[type]]="LFF (MDG-F)",MID(Proc[[#This Row],[Obj]],13,10),"")</f>
        <v>CH65R00044</v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HC</v>
      </c>
      <c r="L740" s="32" t="s">
        <v>509</v>
      </c>
      <c r="M740" s="71">
        <v>45726.760057870371</v>
      </c>
      <c r="P740" s="70" t="str">
        <f ca="1">IF(Proc[[#This Row],[DaysAgeing]]&gt;5,"yep","on track")</f>
        <v>yep</v>
      </c>
      <c r="Q740" s="3">
        <f ca="1">IF(Proc[[#This Row],[DateClosed]]="",ABS(NETWORKDAYS(Proc[[#This Row],[DateOpened]],TODAY()))-1,ABS(NETWORKDAYS(Proc[[#This Row],[DateOpened]],Proc[[#This Row],[DateClosed]]))-1)</f>
        <v>193</v>
      </c>
      <c r="R740" s="70" t="s">
        <v>2400</v>
      </c>
      <c r="S740" s="69"/>
    </row>
    <row r="741" spans="1:19" hidden="1">
      <c r="A741" s="68" t="s">
        <v>2396</v>
      </c>
      <c r="B741" s="149" t="str">
        <f>IFERROR(VLOOKUP(Proc[[#This Row],[App]],Table2[],3,0),"open")</f>
        <v>ok</v>
      </c>
      <c r="C741" s="68" t="s">
        <v>369</v>
      </c>
      <c r="D741" t="s">
        <v>2393</v>
      </c>
      <c r="E741" t="s">
        <v>2398</v>
      </c>
      <c r="F741" s="117" t="s">
        <v>2398</v>
      </c>
      <c r="G741" s="68" t="s">
        <v>406</v>
      </c>
      <c r="H741" s="69" t="str">
        <f>IF(Proc[[#This Row],[type]]="LFF (MDG-F)",MID(Proc[[#This Row],[Obj]],13,10),"")</f>
        <v>CH65R00045</v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HC</v>
      </c>
      <c r="L741" s="32" t="s">
        <v>509</v>
      </c>
      <c r="M741" s="71">
        <v>45726.760057870371</v>
      </c>
      <c r="P741" s="70" t="str">
        <f ca="1">IF(Proc[[#This Row],[DaysAgeing]]&gt;5,"yep","on track")</f>
        <v>yep</v>
      </c>
      <c r="Q741" s="3">
        <f ca="1">IF(Proc[[#This Row],[DateClosed]]="",ABS(NETWORKDAYS(Proc[[#This Row],[DateOpened]],TODAY()))-1,ABS(NETWORKDAYS(Proc[[#This Row],[DateOpened]],Proc[[#This Row],[DateClosed]]))-1)</f>
        <v>193</v>
      </c>
      <c r="R741" s="70" t="s">
        <v>2400</v>
      </c>
      <c r="S741" s="69"/>
    </row>
    <row r="742" spans="1:19" hidden="1">
      <c r="A742" s="68" t="s">
        <v>2396</v>
      </c>
      <c r="B742" s="149" t="str">
        <f>IFERROR(VLOOKUP(Proc[[#This Row],[App]],Table2[],3,0),"open")</f>
        <v>ok</v>
      </c>
      <c r="C742" s="68" t="s">
        <v>369</v>
      </c>
      <c r="D742" t="s">
        <v>2394</v>
      </c>
      <c r="E742" t="s">
        <v>2399</v>
      </c>
      <c r="F742" s="117" t="s">
        <v>2399</v>
      </c>
      <c r="G742" s="68" t="s">
        <v>406</v>
      </c>
      <c r="H742" s="69" t="str">
        <f>IF(Proc[[#This Row],[type]]="LFF (MDG-F)",MID(Proc[[#This Row],[Obj]],13,10),"")</f>
        <v>CH65R00046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HC</v>
      </c>
      <c r="L742" s="32" t="s">
        <v>509</v>
      </c>
      <c r="M742" s="71">
        <v>45726.760057870371</v>
      </c>
      <c r="P742" s="70" t="str">
        <f ca="1">IF(Proc[[#This Row],[DaysAgeing]]&gt;5,"yep","on track")</f>
        <v>yep</v>
      </c>
      <c r="Q742" s="3">
        <f ca="1">IF(Proc[[#This Row],[DateClosed]]="",ABS(NETWORKDAYS(Proc[[#This Row],[DateOpened]],TODAY()))-1,ABS(NETWORKDAYS(Proc[[#This Row],[DateOpened]],Proc[[#This Row],[DateClosed]]))-1)</f>
        <v>193</v>
      </c>
      <c r="R742" s="70" t="s">
        <v>2400</v>
      </c>
      <c r="S742" s="69"/>
    </row>
    <row r="743" spans="1:19" hidden="1">
      <c r="A743" s="68" t="s">
        <v>2396</v>
      </c>
      <c r="B743" s="149" t="str">
        <f>IFERROR(VLOOKUP(Proc[[#This Row],[App]],Table2[],3,0),"open")</f>
        <v>ok</v>
      </c>
      <c r="C743" s="68" t="s">
        <v>369</v>
      </c>
      <c r="D743" t="s">
        <v>2395</v>
      </c>
      <c r="E743" t="s">
        <v>2419</v>
      </c>
      <c r="F743" s="117" t="s">
        <v>2419</v>
      </c>
      <c r="G743" s="68" t="s">
        <v>406</v>
      </c>
      <c r="H743" s="69" t="str">
        <f>IF(Proc[[#This Row],[type]]="LFF (MDG-F)",MID(Proc[[#This Row],[Obj]],13,10),"")</f>
        <v>CH65R00054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HC</v>
      </c>
      <c r="L743" s="32" t="s">
        <v>509</v>
      </c>
      <c r="M743" s="71">
        <v>45726.760057870371</v>
      </c>
      <c r="N743" s="71">
        <v>45735</v>
      </c>
      <c r="O743" s="71">
        <v>45735</v>
      </c>
      <c r="P743" s="70" t="str">
        <f ca="1">IF(Proc[[#This Row],[DaysAgeing]]&gt;5,"yep","on track")</f>
        <v>yep</v>
      </c>
      <c r="Q743" s="3">
        <f ca="1">IF(Proc[[#This Row],[DateClosed]]="",ABS(NETWORKDAYS(Proc[[#This Row],[DateOpened]],TODAY()))-1,ABS(NETWORKDAYS(Proc[[#This Row],[DateOpened]],Proc[[#This Row],[DateClosed]]))-1)</f>
        <v>7</v>
      </c>
      <c r="R743" s="70" t="s">
        <v>2400</v>
      </c>
      <c r="S743" s="69"/>
    </row>
    <row r="744" spans="1:19" hidden="1">
      <c r="A744" t="s">
        <v>2389</v>
      </c>
      <c r="B744" s="149" t="str">
        <f>IFERROR(VLOOKUP(Proc[[#This Row],[App]],Table2[],3,0),"open")</f>
        <v>ok</v>
      </c>
      <c r="C744" t="s">
        <v>369</v>
      </c>
      <c r="D744" t="s">
        <v>2390</v>
      </c>
      <c r="E744" t="s">
        <v>2391</v>
      </c>
      <c r="F744" s="117" t="s">
        <v>2391</v>
      </c>
      <c r="G744" s="68" t="s">
        <v>406</v>
      </c>
      <c r="H744" s="69" t="str">
        <f>IF(Proc[[#This Row],[type]]="LFF (MDG-F)",MID(Proc[[#This Row],[Obj]],13,10),"")</f>
        <v>CH50R01012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HC</v>
      </c>
      <c r="L744" s="32" t="s">
        <v>509</v>
      </c>
      <c r="M744" s="71">
        <v>45726.768182870372</v>
      </c>
      <c r="N744" s="71">
        <v>45729</v>
      </c>
      <c r="O744" s="71">
        <v>45729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3</v>
      </c>
      <c r="R744" s="70" t="s">
        <v>2400</v>
      </c>
      <c r="S744" s="69"/>
    </row>
    <row r="745" spans="1:19" hidden="1">
      <c r="A745" t="s">
        <v>2414</v>
      </c>
      <c r="B745" s="149" t="str">
        <f>IFERROR(VLOOKUP(Proc[[#This Row],[App]],Table2[],3,0),"open")</f>
        <v>ok</v>
      </c>
      <c r="C745" s="68" t="s">
        <v>369</v>
      </c>
      <c r="D745" t="s">
        <v>2406</v>
      </c>
      <c r="E745" t="s">
        <v>2410</v>
      </c>
      <c r="F745" s="117" t="s">
        <v>2410</v>
      </c>
      <c r="G745" s="68" t="s">
        <v>406</v>
      </c>
      <c r="H745" s="69" t="str">
        <f>IF(Proc[[#This Row],[type]]="LFF (MDG-F)",MID(Proc[[#This Row],[Obj]],13,10),"")</f>
        <v>2013OFIBM1</v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45727.451701388891</v>
      </c>
      <c r="N745" s="71">
        <v>45730</v>
      </c>
      <c r="O745" s="71">
        <v>45730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3</v>
      </c>
      <c r="R745" s="70" t="s">
        <v>830</v>
      </c>
      <c r="S745" s="69"/>
    </row>
    <row r="746" spans="1:19" hidden="1">
      <c r="A746" t="s">
        <v>2414</v>
      </c>
      <c r="B746" s="149" t="str">
        <f>IFERROR(VLOOKUP(Proc[[#This Row],[App]],Table2[],3,0),"open")</f>
        <v>ok</v>
      </c>
      <c r="C746" s="68" t="s">
        <v>369</v>
      </c>
      <c r="D746" t="s">
        <v>2407</v>
      </c>
      <c r="E746" t="s">
        <v>2411</v>
      </c>
      <c r="F746" s="117" t="s">
        <v>2411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45727.451701388891</v>
      </c>
      <c r="N746" s="71">
        <v>45730</v>
      </c>
      <c r="O746" s="71">
        <v>45730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3</v>
      </c>
      <c r="R746" s="70" t="s">
        <v>830</v>
      </c>
      <c r="S746" s="69"/>
    </row>
    <row r="747" spans="1:19" hidden="1">
      <c r="A747" s="68" t="s">
        <v>2414</v>
      </c>
      <c r="B747" s="149" t="str">
        <f>IFERROR(VLOOKUP(Proc[[#This Row],[App]],Table2[],3,0),"open")</f>
        <v>ok</v>
      </c>
      <c r="C747" s="68" t="s">
        <v>369</v>
      </c>
      <c r="D747" t="s">
        <v>2408</v>
      </c>
      <c r="E747" t="s">
        <v>2412</v>
      </c>
      <c r="F747" s="117" t="s">
        <v>2412</v>
      </c>
      <c r="G747" t="s">
        <v>406</v>
      </c>
      <c r="H747" s="69" t="str">
        <f>IF(Proc[[#This Row],[type]]="LFF (MDG-F)",MID(Proc[[#This Row],[Obj]],13,10),"")</f>
        <v>2123C00001</v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45727.451701388891</v>
      </c>
      <c r="N747" s="71">
        <v>45730</v>
      </c>
      <c r="O747" s="71">
        <v>45730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3</v>
      </c>
      <c r="R747" s="70" t="s">
        <v>830</v>
      </c>
      <c r="S747" s="69"/>
    </row>
    <row r="748" spans="1:19" hidden="1">
      <c r="A748" s="68" t="s">
        <v>2414</v>
      </c>
      <c r="B748" s="149" t="str">
        <f>IFERROR(VLOOKUP(Proc[[#This Row],[App]],Table2[],3,0),"open")</f>
        <v>ok</v>
      </c>
      <c r="C748" s="68" t="s">
        <v>369</v>
      </c>
      <c r="D748" t="s">
        <v>2409</v>
      </c>
      <c r="E748" t="s">
        <v>2413</v>
      </c>
      <c r="F748" s="117" t="s">
        <v>2413</v>
      </c>
      <c r="G748" t="s">
        <v>406</v>
      </c>
      <c r="H748" s="69" t="str">
        <f>IF(Proc[[#This Row],[type]]="LFF (MDG-F)",MID(Proc[[#This Row],[Obj]],13,10),"")</f>
        <v>2128TMCZ95</v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45727.451701388891</v>
      </c>
      <c r="N748" s="71">
        <v>45730</v>
      </c>
      <c r="O748" s="71">
        <v>45730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3</v>
      </c>
      <c r="R748" s="70" t="s">
        <v>830</v>
      </c>
      <c r="S748" s="69"/>
    </row>
    <row r="749" spans="1:19" hidden="1">
      <c r="A749" s="68" t="s">
        <v>2403</v>
      </c>
      <c r="B749" s="149" t="str">
        <f>IFERROR(VLOOKUP(Proc[[#This Row],[App]],Table2[],3,0),"open")</f>
        <v>ok</v>
      </c>
      <c r="C749" s="68" t="s">
        <v>369</v>
      </c>
      <c r="D749" t="s">
        <v>2404</v>
      </c>
      <c r="E749" t="s">
        <v>413</v>
      </c>
      <c r="F749" s="117" t="s">
        <v>413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MGF</v>
      </c>
      <c r="L749" s="32" t="s">
        <v>509</v>
      </c>
      <c r="M749" s="71">
        <v>45727.481932870367</v>
      </c>
      <c r="N749" s="71">
        <v>45730</v>
      </c>
      <c r="O749" s="71">
        <v>45730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3</v>
      </c>
      <c r="R749" s="70" t="s">
        <v>515</v>
      </c>
      <c r="S749" s="69"/>
    </row>
    <row r="750" spans="1:19" hidden="1">
      <c r="A750" t="s">
        <v>2401</v>
      </c>
      <c r="B750" s="149" t="str">
        <f>IFERROR(VLOOKUP(Proc[[#This Row],[App]],Table2[],3,0),"open")</f>
        <v>ok</v>
      </c>
      <c r="C750" s="68" t="s">
        <v>369</v>
      </c>
      <c r="D750" t="s">
        <v>2402</v>
      </c>
      <c r="E750" t="s">
        <v>2415</v>
      </c>
      <c r="F750" s="117" t="s">
        <v>2415</v>
      </c>
      <c r="G750" t="s">
        <v>406</v>
      </c>
      <c r="H750" s="69" t="str">
        <f>IF(Proc[[#This Row],[type]]="LFF (MDG-F)",MID(Proc[[#This Row],[Obj]],13,10),"")</f>
        <v>DE10300049</v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MGF</v>
      </c>
      <c r="L750" s="32" t="s">
        <v>509</v>
      </c>
      <c r="M750" s="71">
        <v>45728.483611111114</v>
      </c>
      <c r="N750" s="71">
        <v>45730</v>
      </c>
      <c r="O750" s="71">
        <v>45730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515</v>
      </c>
      <c r="S750" s="69"/>
    </row>
    <row r="751" spans="1:19" hidden="1">
      <c r="A751" s="68" t="s">
        <v>2420</v>
      </c>
      <c r="B751" s="149" t="str">
        <f>IFERROR(VLOOKUP(Proc[[#This Row],[App]],Table2[],3,0),"open")</f>
        <v>ok</v>
      </c>
      <c r="C751" s="68" t="s">
        <v>369</v>
      </c>
      <c r="D751" t="s">
        <v>2421</v>
      </c>
      <c r="E751" t="s">
        <v>2430</v>
      </c>
      <c r="F751" s="117" t="s">
        <v>2430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MGF</v>
      </c>
      <c r="L751" s="32" t="s">
        <v>509</v>
      </c>
      <c r="M751" s="71">
        <v>45730.419768518521</v>
      </c>
      <c r="N751" s="71">
        <v>45733</v>
      </c>
      <c r="O751" s="71">
        <v>45733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1</v>
      </c>
      <c r="R751" s="70" t="s">
        <v>1076</v>
      </c>
      <c r="S751" s="69"/>
    </row>
    <row r="752" spans="1:19" hidden="1">
      <c r="A752" s="68" t="s">
        <v>2420</v>
      </c>
      <c r="B752" s="149" t="str">
        <f>IFERROR(VLOOKUP(Proc[[#This Row],[App]],Table2[],3,0),"open")</f>
        <v>ok</v>
      </c>
      <c r="C752" s="68" t="s">
        <v>369</v>
      </c>
      <c r="D752" t="s">
        <v>2422</v>
      </c>
      <c r="E752" t="s">
        <v>2430</v>
      </c>
      <c r="F752" s="117" t="s">
        <v>2430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MGF</v>
      </c>
      <c r="L752" s="32" t="s">
        <v>509</v>
      </c>
      <c r="M752" s="71">
        <v>45730.419768518521</v>
      </c>
      <c r="N752" s="71">
        <v>45733</v>
      </c>
      <c r="O752" s="71">
        <v>45733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1</v>
      </c>
      <c r="R752" s="70" t="s">
        <v>1076</v>
      </c>
      <c r="S752" s="69"/>
    </row>
    <row r="753" spans="1:19" hidden="1">
      <c r="A753" s="68" t="s">
        <v>2420</v>
      </c>
      <c r="B753" s="149" t="str">
        <f>IFERROR(VLOOKUP(Proc[[#This Row],[App]],Table2[],3,0),"open")</f>
        <v>ok</v>
      </c>
      <c r="C753" s="68" t="s">
        <v>369</v>
      </c>
      <c r="D753" t="s">
        <v>2423</v>
      </c>
      <c r="E753" t="s">
        <v>418</v>
      </c>
      <c r="F753" s="117" t="s">
        <v>418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MGF</v>
      </c>
      <c r="L753" s="32" t="s">
        <v>509</v>
      </c>
      <c r="M753" s="71">
        <v>45730.419768518521</v>
      </c>
      <c r="N753" s="71">
        <v>45733</v>
      </c>
      <c r="O753" s="71">
        <v>45733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1</v>
      </c>
      <c r="R753" s="70" t="s">
        <v>1076</v>
      </c>
      <c r="S753" s="69"/>
    </row>
    <row r="754" spans="1:19" hidden="1">
      <c r="A754" s="68" t="s">
        <v>2420</v>
      </c>
      <c r="B754" s="149" t="str">
        <f>IFERROR(VLOOKUP(Proc[[#This Row],[App]],Table2[],3,0),"open")</f>
        <v>ok</v>
      </c>
      <c r="C754" s="68" t="s">
        <v>369</v>
      </c>
      <c r="D754" t="s">
        <v>2424</v>
      </c>
      <c r="E754" t="s">
        <v>418</v>
      </c>
      <c r="F754" s="117" t="s">
        <v>418</v>
      </c>
      <c r="G754" s="68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MGF</v>
      </c>
      <c r="L754" s="32" t="s">
        <v>509</v>
      </c>
      <c r="M754" s="71">
        <v>45730.419768518521</v>
      </c>
      <c r="N754" s="71">
        <v>45733</v>
      </c>
      <c r="O754" s="71">
        <v>45733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1</v>
      </c>
      <c r="R754" s="70" t="s">
        <v>1076</v>
      </c>
      <c r="S754" s="69"/>
    </row>
    <row r="755" spans="1:19" hidden="1">
      <c r="A755" s="68" t="s">
        <v>2420</v>
      </c>
      <c r="B755" s="149" t="str">
        <f>IFERROR(VLOOKUP(Proc[[#This Row],[App]],Table2[],3,0),"open")</f>
        <v>ok</v>
      </c>
      <c r="C755" s="68" t="s">
        <v>369</v>
      </c>
      <c r="D755" t="s">
        <v>2425</v>
      </c>
      <c r="E755" t="s">
        <v>2431</v>
      </c>
      <c r="F755" s="117" t="s">
        <v>2431</v>
      </c>
      <c r="G755" s="68" t="s">
        <v>400</v>
      </c>
      <c r="H755" s="69" t="str">
        <f>IF(Proc[[#This Row],[type]]="LFF (MDG-F)",MID(Proc[[#This Row],[Obj]],13,10),"")</f>
        <v/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45730.419768518521</v>
      </c>
      <c r="N755" s="71">
        <v>45733</v>
      </c>
      <c r="O755" s="71">
        <v>45733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1</v>
      </c>
      <c r="R755" s="70" t="s">
        <v>1076</v>
      </c>
      <c r="S755" s="69"/>
    </row>
    <row r="756" spans="1:19" hidden="1">
      <c r="A756" s="68" t="s">
        <v>2420</v>
      </c>
      <c r="B756" s="149" t="str">
        <f>IFERROR(VLOOKUP(Proc[[#This Row],[App]],Table2[],3,0),"open")</f>
        <v>ok</v>
      </c>
      <c r="C756" s="68" t="s">
        <v>369</v>
      </c>
      <c r="D756" t="s">
        <v>2426</v>
      </c>
      <c r="E756" t="s">
        <v>2432</v>
      </c>
      <c r="F756" s="117" t="s">
        <v>2432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MGF</v>
      </c>
      <c r="L756" s="32" t="s">
        <v>509</v>
      </c>
      <c r="M756" s="71">
        <v>45730.419768518521</v>
      </c>
      <c r="N756" s="71">
        <v>45733</v>
      </c>
      <c r="O756" s="71">
        <v>45733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1</v>
      </c>
      <c r="R756" s="70" t="s">
        <v>1076</v>
      </c>
      <c r="S756" s="69"/>
    </row>
    <row r="757" spans="1:19" hidden="1">
      <c r="A757" s="68" t="s">
        <v>2420</v>
      </c>
      <c r="B757" s="149" t="str">
        <f>IFERROR(VLOOKUP(Proc[[#This Row],[App]],Table2[],3,0),"open")</f>
        <v>ok</v>
      </c>
      <c r="C757" s="68" t="s">
        <v>369</v>
      </c>
      <c r="D757" t="s">
        <v>2427</v>
      </c>
      <c r="E757" t="s">
        <v>2430</v>
      </c>
      <c r="F757" s="117" t="s">
        <v>2430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MGF</v>
      </c>
      <c r="L757" s="32" t="s">
        <v>509</v>
      </c>
      <c r="M757" s="71">
        <v>45730.419768518521</v>
      </c>
      <c r="N757" s="71">
        <v>45733</v>
      </c>
      <c r="O757" s="71">
        <v>45733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1</v>
      </c>
      <c r="R757" s="70" t="s">
        <v>1076</v>
      </c>
      <c r="S757" s="69"/>
    </row>
    <row r="758" spans="1:19" hidden="1">
      <c r="A758" s="68" t="s">
        <v>2420</v>
      </c>
      <c r="B758" s="149" t="str">
        <f>IFERROR(VLOOKUP(Proc[[#This Row],[App]],Table2[],3,0),"open")</f>
        <v>ok</v>
      </c>
      <c r="C758" s="68" t="s">
        <v>369</v>
      </c>
      <c r="D758" t="s">
        <v>2428</v>
      </c>
      <c r="E758" t="s">
        <v>2430</v>
      </c>
      <c r="F758" s="117" t="s">
        <v>2430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MGF</v>
      </c>
      <c r="L758" s="32" t="s">
        <v>509</v>
      </c>
      <c r="M758" s="71">
        <v>45730.419768518521</v>
      </c>
      <c r="N758" s="71">
        <v>45733</v>
      </c>
      <c r="O758" s="71">
        <v>45733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1</v>
      </c>
      <c r="R758" s="70" t="s">
        <v>1076</v>
      </c>
      <c r="S758" s="69"/>
    </row>
    <row r="759" spans="1:19" hidden="1">
      <c r="A759" t="s">
        <v>2420</v>
      </c>
      <c r="B759" s="149" t="str">
        <f>IFERROR(VLOOKUP(Proc[[#This Row],[App]],Table2[],3,0),"open")</f>
        <v>ok</v>
      </c>
      <c r="C759" s="68" t="s">
        <v>369</v>
      </c>
      <c r="D759" t="s">
        <v>2429</v>
      </c>
      <c r="E759" t="s">
        <v>2430</v>
      </c>
      <c r="F759" s="117" t="s">
        <v>2430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MGF</v>
      </c>
      <c r="L759" s="32" t="s">
        <v>509</v>
      </c>
      <c r="M759" s="71">
        <v>45730.419768518521</v>
      </c>
      <c r="N759" s="71">
        <v>45733</v>
      </c>
      <c r="O759" s="71">
        <v>45733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1</v>
      </c>
      <c r="R759" s="70" t="s">
        <v>1076</v>
      </c>
      <c r="S759" s="69"/>
    </row>
    <row r="760" spans="1:19" hidden="1">
      <c r="A760" t="s">
        <v>2435</v>
      </c>
      <c r="B760" s="149" t="str">
        <f>IFERROR(VLOOKUP(Proc[[#This Row],[App]],Table2[],3,0),"open")</f>
        <v>ok</v>
      </c>
      <c r="C760" s="68" t="s">
        <v>369</v>
      </c>
      <c r="D760" t="s">
        <v>2433</v>
      </c>
      <c r="E760" t="s">
        <v>2434</v>
      </c>
      <c r="F760" s="117" t="s">
        <v>2434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HC</v>
      </c>
      <c r="L760" s="32" t="s">
        <v>509</v>
      </c>
      <c r="M760" s="71">
        <v>45730.495949074073</v>
      </c>
      <c r="N760" s="71">
        <v>45733</v>
      </c>
      <c r="O760" s="71">
        <v>45733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1</v>
      </c>
      <c r="R760" s="70" t="s">
        <v>2436</v>
      </c>
      <c r="S760" s="69"/>
    </row>
    <row r="761" spans="1:19" hidden="1">
      <c r="A761" t="s">
        <v>2446</v>
      </c>
      <c r="B761" s="149" t="str">
        <f>IFERROR(VLOOKUP(Proc[[#This Row],[App]],Table2[],3,0),"open")</f>
        <v>ok</v>
      </c>
      <c r="C761" t="s">
        <v>369</v>
      </c>
      <c r="D761" s="73" t="s">
        <v>2445</v>
      </c>
      <c r="E761" t="s">
        <v>540</v>
      </c>
      <c r="F761" s="117" t="s">
        <v>540</v>
      </c>
      <c r="G761" s="68" t="s">
        <v>400</v>
      </c>
      <c r="H761" s="69" t="str">
        <f>IF(Proc[[#This Row],[type]]="LFF (MDG-F)",MID(Proc[[#This Row],[Obj]],13,10),"")</f>
        <v/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45733.760057870371</v>
      </c>
      <c r="P761" s="70" t="str">
        <f ca="1">IF(Proc[[#This Row],[DaysAgeing]]&gt;5,"yep","on track")</f>
        <v>yep</v>
      </c>
      <c r="Q761" s="3">
        <f ca="1">IF(Proc[[#This Row],[DateClosed]]="",ABS(NETWORKDAYS(Proc[[#This Row],[DateOpened]],TODAY()))-1,ABS(NETWORKDAYS(Proc[[#This Row],[DateOpened]],Proc[[#This Row],[DateClosed]]))-1)</f>
        <v>188</v>
      </c>
      <c r="R761" s="70" t="s">
        <v>515</v>
      </c>
      <c r="S761" s="69"/>
    </row>
    <row r="762" spans="1:19" hidden="1">
      <c r="A762" t="s">
        <v>2439</v>
      </c>
      <c r="B762" s="149" t="str">
        <f>IFERROR(VLOOKUP(Proc[[#This Row],[App]],Table2[],3,0),"open")</f>
        <v>ok</v>
      </c>
      <c r="C762" t="s">
        <v>369</v>
      </c>
      <c r="D762" s="72" t="s">
        <v>2437</v>
      </c>
      <c r="E762" t="s">
        <v>2438</v>
      </c>
      <c r="F762" s="117" t="s">
        <v>2438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LS</v>
      </c>
      <c r="L762" s="32" t="s">
        <v>509</v>
      </c>
      <c r="M762" s="71">
        <v>45734.231157407405</v>
      </c>
      <c r="P762" s="70" t="str">
        <f ca="1">IF(Proc[[#This Row],[DaysAgeing]]&gt;5,"yep","on track")</f>
        <v>yep</v>
      </c>
      <c r="Q762" s="3">
        <f ca="1">IF(Proc[[#This Row],[DateClosed]]="",ABS(NETWORKDAYS(Proc[[#This Row],[DateOpened]],TODAY()))-1,ABS(NETWORKDAYS(Proc[[#This Row],[DateOpened]],Proc[[#This Row],[DateClosed]]))-1)</f>
        <v>187</v>
      </c>
      <c r="R762" s="70" t="s">
        <v>2440</v>
      </c>
      <c r="S762" s="69"/>
    </row>
    <row r="763" spans="1:19" hidden="1">
      <c r="A763" t="s">
        <v>2459</v>
      </c>
      <c r="B763" s="149" t="str">
        <f>IFERROR(VLOOKUP(Proc[[#This Row],[App]],Table2[],3,0),"open")</f>
        <v>ok</v>
      </c>
      <c r="C763" s="72" t="s">
        <v>398</v>
      </c>
      <c r="D763" t="s">
        <v>2447</v>
      </c>
      <c r="E763" t="s">
        <v>2458</v>
      </c>
      <c r="F763" s="103" t="s">
        <v>2458</v>
      </c>
      <c r="G763" t="s">
        <v>406</v>
      </c>
      <c r="H763" s="69" t="str">
        <f>IF(Proc[[#This Row],[type]]="LFF (MDG-F)",MID(Proc[[#This Row],[Obj]],13,10),"")</f>
        <v>2148TASA01</v>
      </c>
      <c r="I763" t="s">
        <v>2474</v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LS</v>
      </c>
      <c r="L763" s="32" t="s">
        <v>509</v>
      </c>
      <c r="M763" s="71">
        <v>45734.760057870371</v>
      </c>
      <c r="P763" s="70" t="str">
        <f ca="1">IF(Proc[[#This Row],[DaysAgeing]]&gt;5,"yep","on track")</f>
        <v>yep</v>
      </c>
      <c r="Q763" s="3">
        <f ca="1">IF(Proc[[#This Row],[DateClosed]]="",ABS(NETWORKDAYS(Proc[[#This Row],[DateOpened]],TODAY()))-1,ABS(NETWORKDAYS(Proc[[#This Row],[DateOpened]],Proc[[#This Row],[DateClosed]]))-1)</f>
        <v>187</v>
      </c>
      <c r="R763" s="70" t="s">
        <v>830</v>
      </c>
      <c r="S763" s="94" t="e">
        <f>VLOOKUP(Proc[[#This Row],[Obj]],#REF!,2,0)</f>
        <v>#REF!</v>
      </c>
    </row>
    <row r="764" spans="1:19" hidden="1">
      <c r="A764" s="72" t="s">
        <v>2459</v>
      </c>
      <c r="B764" s="149" t="str">
        <f>IFERROR(VLOOKUP(Proc[[#This Row],[App]],Table2[],3,0),"open")</f>
        <v>ok</v>
      </c>
      <c r="C764" s="72" t="s">
        <v>398</v>
      </c>
      <c r="D764" t="s">
        <v>2448</v>
      </c>
      <c r="E764" t="s">
        <v>2458</v>
      </c>
      <c r="F764" s="103" t="s">
        <v>2458</v>
      </c>
      <c r="G764" s="72" t="s">
        <v>406</v>
      </c>
      <c r="H764" s="69" t="str">
        <f>IF(Proc[[#This Row],[type]]="LFF (MDG-F)",MID(Proc[[#This Row],[Obj]],13,10),"")</f>
        <v>2148TASA99</v>
      </c>
      <c r="I764" s="72" t="s">
        <v>2474</v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LS</v>
      </c>
      <c r="L764" s="32" t="s">
        <v>509</v>
      </c>
      <c r="M764" s="71">
        <v>45734.760057870371</v>
      </c>
      <c r="P764" s="70" t="str">
        <f ca="1">IF(Proc[[#This Row],[DaysAgeing]]&gt;5,"yep","on track")</f>
        <v>yep</v>
      </c>
      <c r="Q764" s="3">
        <f ca="1">IF(Proc[[#This Row],[DateClosed]]="",ABS(NETWORKDAYS(Proc[[#This Row],[DateOpened]],TODAY()))-1,ABS(NETWORKDAYS(Proc[[#This Row],[DateOpened]],Proc[[#This Row],[DateClosed]]))-1)</f>
        <v>187</v>
      </c>
      <c r="R764" s="70" t="s">
        <v>830</v>
      </c>
      <c r="S764" s="94" t="e">
        <f>VLOOKUP(Proc[[#This Row],[Obj]],#REF!,2,0)</f>
        <v>#REF!</v>
      </c>
    </row>
    <row r="765" spans="1:19" hidden="1">
      <c r="A765" s="72" t="s">
        <v>2459</v>
      </c>
      <c r="B765" s="149" t="str">
        <f>IFERROR(VLOOKUP(Proc[[#This Row],[App]],Table2[],3,0),"open")</f>
        <v>ok</v>
      </c>
      <c r="C765" s="72" t="s">
        <v>398</v>
      </c>
      <c r="D765" t="s">
        <v>2449</v>
      </c>
      <c r="E765" t="s">
        <v>2458</v>
      </c>
      <c r="F765" s="103" t="s">
        <v>2458</v>
      </c>
      <c r="G765" s="72" t="s">
        <v>406</v>
      </c>
      <c r="H765" s="69" t="str">
        <f>IF(Proc[[#This Row],[type]]="LFF (MDG-F)",MID(Proc[[#This Row],[Obj]],13,10),"")</f>
        <v>2148TASB00</v>
      </c>
      <c r="I765" s="72" t="s">
        <v>2474</v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LS</v>
      </c>
      <c r="L765" s="32" t="s">
        <v>509</v>
      </c>
      <c r="M765" s="71">
        <v>45734.760057870371</v>
      </c>
      <c r="P765" s="70" t="str">
        <f ca="1">IF(Proc[[#This Row],[DaysAgeing]]&gt;5,"yep","on track")</f>
        <v>yep</v>
      </c>
      <c r="Q765" s="3">
        <f ca="1">IF(Proc[[#This Row],[DateClosed]]="",ABS(NETWORKDAYS(Proc[[#This Row],[DateOpened]],TODAY()))-1,ABS(NETWORKDAYS(Proc[[#This Row],[DateOpened]],Proc[[#This Row],[DateClosed]]))-1)</f>
        <v>187</v>
      </c>
      <c r="R765" s="70" t="s">
        <v>830</v>
      </c>
      <c r="S765" s="94" t="e">
        <f>VLOOKUP(Proc[[#This Row],[Obj]],#REF!,2,0)</f>
        <v>#REF!</v>
      </c>
    </row>
    <row r="766" spans="1:19" hidden="1">
      <c r="A766" s="72" t="s">
        <v>2459</v>
      </c>
      <c r="B766" s="149" t="str">
        <f>IFERROR(VLOOKUP(Proc[[#This Row],[App]],Table2[],3,0),"open")</f>
        <v>ok</v>
      </c>
      <c r="C766" s="72" t="s">
        <v>398</v>
      </c>
      <c r="D766" t="s">
        <v>2450</v>
      </c>
      <c r="E766" t="s">
        <v>2458</v>
      </c>
      <c r="F766" s="103" t="s">
        <v>2458</v>
      </c>
      <c r="G766" s="72" t="s">
        <v>406</v>
      </c>
      <c r="H766" s="69" t="str">
        <f>IF(Proc[[#This Row],[type]]="LFF (MDG-F)",MID(Proc[[#This Row],[Obj]],13,10),"")</f>
        <v>2148TASB01</v>
      </c>
      <c r="I766" s="72" t="s">
        <v>2474</v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LS</v>
      </c>
      <c r="L766" s="32" t="s">
        <v>509</v>
      </c>
      <c r="M766" s="71">
        <v>45734.760057870371</v>
      </c>
      <c r="P766" s="70" t="str">
        <f ca="1">IF(Proc[[#This Row],[DaysAgeing]]&gt;5,"yep","on track")</f>
        <v>yep</v>
      </c>
      <c r="Q766" s="3">
        <f ca="1">IF(Proc[[#This Row],[DateClosed]]="",ABS(NETWORKDAYS(Proc[[#This Row],[DateOpened]],TODAY()))-1,ABS(NETWORKDAYS(Proc[[#This Row],[DateOpened]],Proc[[#This Row],[DateClosed]]))-1)</f>
        <v>187</v>
      </c>
      <c r="R766" s="70" t="s">
        <v>830</v>
      </c>
      <c r="S766" s="94" t="e">
        <f>VLOOKUP(Proc[[#This Row],[Obj]],#REF!,2,0)</f>
        <v>#REF!</v>
      </c>
    </row>
    <row r="767" spans="1:19" hidden="1">
      <c r="A767" s="72" t="s">
        <v>2459</v>
      </c>
      <c r="B767" s="149" t="str">
        <f>IFERROR(VLOOKUP(Proc[[#This Row],[App]],Table2[],3,0),"open")</f>
        <v>ok</v>
      </c>
      <c r="C767" s="72" t="s">
        <v>398</v>
      </c>
      <c r="D767" t="s">
        <v>2451</v>
      </c>
      <c r="E767" t="s">
        <v>2458</v>
      </c>
      <c r="F767" s="103" t="s">
        <v>2458</v>
      </c>
      <c r="G767" s="72" t="s">
        <v>406</v>
      </c>
      <c r="H767" s="69" t="str">
        <f>IF(Proc[[#This Row],[type]]="LFF (MDG-F)",MID(Proc[[#This Row],[Obj]],13,10),"")</f>
        <v>2148TASB99</v>
      </c>
      <c r="I767" s="72" t="s">
        <v>2474</v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LS</v>
      </c>
      <c r="L767" s="32" t="s">
        <v>509</v>
      </c>
      <c r="M767" s="71">
        <v>45734.760057870371</v>
      </c>
      <c r="P767" s="70" t="str">
        <f ca="1">IF(Proc[[#This Row],[DaysAgeing]]&gt;5,"yep","on track")</f>
        <v>yep</v>
      </c>
      <c r="Q767" s="3">
        <f ca="1">IF(Proc[[#This Row],[DateClosed]]="",ABS(NETWORKDAYS(Proc[[#This Row],[DateOpened]],TODAY()))-1,ABS(NETWORKDAYS(Proc[[#This Row],[DateOpened]],Proc[[#This Row],[DateClosed]]))-1)</f>
        <v>187</v>
      </c>
      <c r="R767" s="70" t="s">
        <v>830</v>
      </c>
      <c r="S767" s="94" t="e">
        <f>VLOOKUP(Proc[[#This Row],[Obj]],#REF!,2,0)</f>
        <v>#REF!</v>
      </c>
    </row>
    <row r="768" spans="1:19" hidden="1">
      <c r="A768" s="72" t="s">
        <v>2459</v>
      </c>
      <c r="B768" s="149" t="str">
        <f>IFERROR(VLOOKUP(Proc[[#This Row],[App]],Table2[],3,0),"open")</f>
        <v>ok</v>
      </c>
      <c r="C768" s="72" t="s">
        <v>398</v>
      </c>
      <c r="D768" t="s">
        <v>2452</v>
      </c>
      <c r="E768" t="s">
        <v>2458</v>
      </c>
      <c r="F768" s="103" t="s">
        <v>2458</v>
      </c>
      <c r="G768" s="72" t="s">
        <v>406</v>
      </c>
      <c r="H768" s="69" t="str">
        <f>IF(Proc[[#This Row],[type]]="LFF (MDG-F)",MID(Proc[[#This Row],[Obj]],13,10),"")</f>
        <v>2148TBSZ20</v>
      </c>
      <c r="I768" s="72" t="s">
        <v>2474</v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LS</v>
      </c>
      <c r="L768" s="32" t="s">
        <v>509</v>
      </c>
      <c r="M768" s="71">
        <v>45734.760057870371</v>
      </c>
      <c r="P768" s="70" t="str">
        <f ca="1">IF(Proc[[#This Row],[DaysAgeing]]&gt;5,"yep","on track")</f>
        <v>yep</v>
      </c>
      <c r="Q768" s="3">
        <f ca="1">IF(Proc[[#This Row],[DateClosed]]="",ABS(NETWORKDAYS(Proc[[#This Row],[DateOpened]],TODAY()))-1,ABS(NETWORKDAYS(Proc[[#This Row],[DateOpened]],Proc[[#This Row],[DateClosed]]))-1)</f>
        <v>187</v>
      </c>
      <c r="R768" s="70" t="s">
        <v>830</v>
      </c>
      <c r="S768" s="94" t="e">
        <f>VLOOKUP(Proc[[#This Row],[Obj]],#REF!,2,0)</f>
        <v>#REF!</v>
      </c>
    </row>
    <row r="769" spans="1:19" hidden="1">
      <c r="A769" s="72" t="s">
        <v>2459</v>
      </c>
      <c r="B769" s="149" t="str">
        <f>IFERROR(VLOOKUP(Proc[[#This Row],[App]],Table2[],3,0),"open")</f>
        <v>ok</v>
      </c>
      <c r="C769" s="72" t="s">
        <v>398</v>
      </c>
      <c r="D769" t="s">
        <v>2453</v>
      </c>
      <c r="E769" t="s">
        <v>2458</v>
      </c>
      <c r="F769" s="103" t="s">
        <v>2458</v>
      </c>
      <c r="G769" s="72" t="s">
        <v>406</v>
      </c>
      <c r="H769" s="69" t="str">
        <f>IF(Proc[[#This Row],[type]]="LFF (MDG-F)",MID(Proc[[#This Row],[Obj]],13,10),"")</f>
        <v>2148TBSZ21</v>
      </c>
      <c r="I769" s="72" t="s">
        <v>2474</v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LS</v>
      </c>
      <c r="L769" s="32" t="s">
        <v>509</v>
      </c>
      <c r="M769" s="71">
        <v>45734.760057870371</v>
      </c>
      <c r="P769" s="70" t="str">
        <f ca="1">IF(Proc[[#This Row],[DaysAgeing]]&gt;5,"yep","on track")</f>
        <v>yep</v>
      </c>
      <c r="Q769" s="3">
        <f ca="1">IF(Proc[[#This Row],[DateClosed]]="",ABS(NETWORKDAYS(Proc[[#This Row],[DateOpened]],TODAY()))-1,ABS(NETWORKDAYS(Proc[[#This Row],[DateOpened]],Proc[[#This Row],[DateClosed]]))-1)</f>
        <v>187</v>
      </c>
      <c r="R769" s="70" t="s">
        <v>830</v>
      </c>
      <c r="S769" s="94" t="e">
        <f>VLOOKUP(Proc[[#This Row],[Obj]],#REF!,2,0)</f>
        <v>#REF!</v>
      </c>
    </row>
    <row r="770" spans="1:19" hidden="1">
      <c r="A770" s="72" t="s">
        <v>2459</v>
      </c>
      <c r="B770" s="149" t="str">
        <f>IFERROR(VLOOKUP(Proc[[#This Row],[App]],Table2[],3,0),"open")</f>
        <v>ok</v>
      </c>
      <c r="C770" s="72" t="s">
        <v>398</v>
      </c>
      <c r="D770" t="s">
        <v>2454</v>
      </c>
      <c r="E770" t="s">
        <v>2458</v>
      </c>
      <c r="F770" s="103" t="s">
        <v>2458</v>
      </c>
      <c r="G770" s="72" t="s">
        <v>406</v>
      </c>
      <c r="H770" s="69" t="str">
        <f>IF(Proc[[#This Row],[type]]="LFF (MDG-F)",MID(Proc[[#This Row],[Obj]],13,10),"")</f>
        <v>2148TFSZ64</v>
      </c>
      <c r="I770" s="72" t="s">
        <v>2474</v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LS</v>
      </c>
      <c r="L770" s="32" t="s">
        <v>509</v>
      </c>
      <c r="M770" s="71">
        <v>45734.760057870371</v>
      </c>
      <c r="P770" s="70" t="str">
        <f ca="1">IF(Proc[[#This Row],[DaysAgeing]]&gt;5,"yep","on track")</f>
        <v>yep</v>
      </c>
      <c r="Q770" s="3">
        <f ca="1">IF(Proc[[#This Row],[DateClosed]]="",ABS(NETWORKDAYS(Proc[[#This Row],[DateOpened]],TODAY()))-1,ABS(NETWORKDAYS(Proc[[#This Row],[DateOpened]],Proc[[#This Row],[DateClosed]]))-1)</f>
        <v>187</v>
      </c>
      <c r="R770" s="70" t="s">
        <v>830</v>
      </c>
      <c r="S770" s="94" t="e">
        <f>VLOOKUP(Proc[[#This Row],[Obj]],#REF!,2,0)</f>
        <v>#REF!</v>
      </c>
    </row>
    <row r="771" spans="1:19" hidden="1">
      <c r="A771" s="72" t="s">
        <v>2459</v>
      </c>
      <c r="B771" s="149" t="str">
        <f>IFERROR(VLOOKUP(Proc[[#This Row],[App]],Table2[],3,0),"open")</f>
        <v>ok</v>
      </c>
      <c r="C771" s="72" t="s">
        <v>398</v>
      </c>
      <c r="D771" t="s">
        <v>2455</v>
      </c>
      <c r="E771" t="s">
        <v>2458</v>
      </c>
      <c r="F771" s="103" t="s">
        <v>2458</v>
      </c>
      <c r="G771" s="72" t="s">
        <v>406</v>
      </c>
      <c r="H771" s="69" t="str">
        <f>IF(Proc[[#This Row],[type]]="LFF (MDG-F)",MID(Proc[[#This Row],[Obj]],13,10),"")</f>
        <v>2148TKSZ70</v>
      </c>
      <c r="I771" s="72" t="s">
        <v>2474</v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LS</v>
      </c>
      <c r="L771" s="32" t="s">
        <v>509</v>
      </c>
      <c r="M771" s="71">
        <v>45734.760057870371</v>
      </c>
      <c r="P771" s="70" t="str">
        <f ca="1">IF(Proc[[#This Row],[DaysAgeing]]&gt;5,"yep","on track")</f>
        <v>yep</v>
      </c>
      <c r="Q771" s="3">
        <f ca="1">IF(Proc[[#This Row],[DateClosed]]="",ABS(NETWORKDAYS(Proc[[#This Row],[DateOpened]],TODAY()))-1,ABS(NETWORKDAYS(Proc[[#This Row],[DateOpened]],Proc[[#This Row],[DateClosed]]))-1)</f>
        <v>187</v>
      </c>
      <c r="R771" s="70" t="s">
        <v>830</v>
      </c>
      <c r="S771" s="94" t="e">
        <f>VLOOKUP(Proc[[#This Row],[Obj]],#REF!,2,0)</f>
        <v>#REF!</v>
      </c>
    </row>
    <row r="772" spans="1:19" hidden="1">
      <c r="A772" s="72" t="s">
        <v>2459</v>
      </c>
      <c r="B772" s="149" t="str">
        <f>IFERROR(VLOOKUP(Proc[[#This Row],[App]],Table2[],3,0),"open")</f>
        <v>ok</v>
      </c>
      <c r="C772" s="72" t="s">
        <v>398</v>
      </c>
      <c r="D772" t="s">
        <v>2456</v>
      </c>
      <c r="E772" t="s">
        <v>2458</v>
      </c>
      <c r="F772" s="103" t="s">
        <v>2458</v>
      </c>
      <c r="G772" s="72" t="s">
        <v>406</v>
      </c>
      <c r="H772" s="69" t="str">
        <f>IF(Proc[[#This Row],[type]]="LFF (MDG-F)",MID(Proc[[#This Row],[Obj]],13,10),"")</f>
        <v>2148TQSZ91</v>
      </c>
      <c r="I772" s="72" t="s">
        <v>2474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LS</v>
      </c>
      <c r="L772" s="32" t="s">
        <v>509</v>
      </c>
      <c r="M772" s="71">
        <v>45734.760057870371</v>
      </c>
      <c r="P772" s="70" t="str">
        <f ca="1">IF(Proc[[#This Row],[DaysAgeing]]&gt;5,"yep","on track")</f>
        <v>yep</v>
      </c>
      <c r="Q772" s="3">
        <f ca="1">IF(Proc[[#This Row],[DateClosed]]="",ABS(NETWORKDAYS(Proc[[#This Row],[DateOpened]],TODAY()))-1,ABS(NETWORKDAYS(Proc[[#This Row],[DateOpened]],Proc[[#This Row],[DateClosed]]))-1)</f>
        <v>187</v>
      </c>
      <c r="R772" s="70" t="s">
        <v>830</v>
      </c>
      <c r="S772" s="94" t="e">
        <f>VLOOKUP(Proc[[#This Row],[Obj]],#REF!,2,0)</f>
        <v>#REF!</v>
      </c>
    </row>
    <row r="773" spans="1:19" hidden="1">
      <c r="A773" s="72" t="s">
        <v>2459</v>
      </c>
      <c r="B773" s="149" t="str">
        <f>IFERROR(VLOOKUP(Proc[[#This Row],[App]],Table2[],3,0),"open")</f>
        <v>ok</v>
      </c>
      <c r="C773" s="72" t="s">
        <v>398</v>
      </c>
      <c r="D773" t="s">
        <v>2457</v>
      </c>
      <c r="E773" t="s">
        <v>2458</v>
      </c>
      <c r="F773" s="103" t="s">
        <v>2458</v>
      </c>
      <c r="G773" s="72" t="s">
        <v>406</v>
      </c>
      <c r="H773" s="69" t="str">
        <f>IF(Proc[[#This Row],[type]]="LFF (MDG-F)",MID(Proc[[#This Row],[Obj]],13,10),"")</f>
        <v>2148TQSZ92</v>
      </c>
      <c r="I773" s="72" t="s">
        <v>2474</v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LS</v>
      </c>
      <c r="L773" s="32" t="s">
        <v>509</v>
      </c>
      <c r="M773" s="71">
        <v>45734.760057870371</v>
      </c>
      <c r="P773" s="70" t="str">
        <f ca="1">IF(Proc[[#This Row],[DaysAgeing]]&gt;5,"yep","on track")</f>
        <v>yep</v>
      </c>
      <c r="Q773" s="3">
        <f ca="1">IF(Proc[[#This Row],[DateClosed]]="",ABS(NETWORKDAYS(Proc[[#This Row],[DateOpened]],TODAY()))-1,ABS(NETWORKDAYS(Proc[[#This Row],[DateOpened]],Proc[[#This Row],[DateClosed]]))-1)</f>
        <v>187</v>
      </c>
      <c r="R773" s="70" t="s">
        <v>830</v>
      </c>
      <c r="S773" s="94" t="e">
        <f>VLOOKUP(Proc[[#This Row],[Obj]],#REF!,2,0)</f>
        <v>#REF!</v>
      </c>
    </row>
    <row r="774" spans="1:19" hidden="1">
      <c r="A774" t="s">
        <v>2460</v>
      </c>
      <c r="B774" s="149" t="str">
        <f>IFERROR(VLOOKUP(Proc[[#This Row],[App]],Table2[],3,0),"open")</f>
        <v>ok</v>
      </c>
      <c r="C774" s="72" t="s">
        <v>369</v>
      </c>
      <c r="D774" t="s">
        <v>2461</v>
      </c>
      <c r="E774" t="s">
        <v>2463</v>
      </c>
      <c r="F774" s="117" t="s">
        <v>2463</v>
      </c>
      <c r="G774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LS</v>
      </c>
      <c r="L774" s="32" t="s">
        <v>509</v>
      </c>
      <c r="M774" s="71">
        <v>45734.760057870371</v>
      </c>
      <c r="N774" s="71">
        <v>45740</v>
      </c>
      <c r="O774" s="71">
        <v>45740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4</v>
      </c>
      <c r="R774" s="70" t="s">
        <v>972</v>
      </c>
      <c r="S774" s="69"/>
    </row>
    <row r="775" spans="1:19" hidden="1">
      <c r="A775" s="72" t="s">
        <v>2460</v>
      </c>
      <c r="B775" s="149" t="str">
        <f>IFERROR(VLOOKUP(Proc[[#This Row],[App]],Table2[],3,0),"open")</f>
        <v>ok</v>
      </c>
      <c r="C775" s="72" t="s">
        <v>369</v>
      </c>
      <c r="D775" t="s">
        <v>2462</v>
      </c>
      <c r="E775" t="s">
        <v>977</v>
      </c>
      <c r="F775" s="117" t="s">
        <v>977</v>
      </c>
      <c r="G775" s="72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LS</v>
      </c>
      <c r="L775" s="32" t="s">
        <v>509</v>
      </c>
      <c r="M775" s="71">
        <v>45734.760057870371</v>
      </c>
      <c r="N775" s="71">
        <v>45740</v>
      </c>
      <c r="O775" s="71">
        <v>45740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4</v>
      </c>
      <c r="R775" s="70" t="s">
        <v>972</v>
      </c>
      <c r="S775" s="69"/>
    </row>
    <row r="776" spans="1:19" hidden="1">
      <c r="A776" t="s">
        <v>2464</v>
      </c>
      <c r="B776" s="149" t="str">
        <f>IFERROR(VLOOKUP(Proc[[#This Row],[App]],Table2[],3,0),"open")</f>
        <v>ok</v>
      </c>
      <c r="C776" s="72" t="s">
        <v>369</v>
      </c>
      <c r="D776" t="s">
        <v>2306</v>
      </c>
      <c r="E776" s="72" t="s">
        <v>2308</v>
      </c>
      <c r="F776" s="117" t="s">
        <v>2308</v>
      </c>
      <c r="G776" t="s">
        <v>406</v>
      </c>
      <c r="H776" s="69" t="str">
        <f>IF(Proc[[#This Row],[type]]="LFF (MDG-F)",MID(Proc[[#This Row],[Obj]],13,10),"")</f>
        <v>DE10698316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MGF</v>
      </c>
      <c r="L776" s="32" t="s">
        <v>509</v>
      </c>
      <c r="M776" s="71">
        <v>45734.760057870371</v>
      </c>
      <c r="N776" s="71">
        <v>45736</v>
      </c>
      <c r="O776" s="71">
        <v>45736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2</v>
      </c>
      <c r="R776" s="70" t="s">
        <v>515</v>
      </c>
      <c r="S776" s="69"/>
    </row>
    <row r="777" spans="1:19" hidden="1">
      <c r="A777" t="s">
        <v>2465</v>
      </c>
      <c r="B777" s="149" t="str">
        <f>IFERROR(VLOOKUP(Proc[[#This Row],[App]],Table2[],3,0),"open")</f>
        <v>ok</v>
      </c>
      <c r="C777" s="72" t="s">
        <v>369</v>
      </c>
      <c r="D777" t="s">
        <v>2466</v>
      </c>
      <c r="E777" t="s">
        <v>2467</v>
      </c>
      <c r="F777" s="117" t="s">
        <v>2467</v>
      </c>
      <c r="G777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MGF</v>
      </c>
      <c r="L777" s="32" t="s">
        <v>509</v>
      </c>
      <c r="M777" s="71">
        <v>45734.760057870371</v>
      </c>
      <c r="N777" s="71">
        <v>45736</v>
      </c>
      <c r="O777" s="71">
        <v>45736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2</v>
      </c>
      <c r="R777" s="70" t="s">
        <v>1076</v>
      </c>
      <c r="S777" s="69"/>
    </row>
    <row r="778" spans="1:19" hidden="1">
      <c r="A778" t="s">
        <v>2469</v>
      </c>
      <c r="B778" s="149" t="str">
        <f>IFERROR(VLOOKUP(Proc[[#This Row],[App]],Table2[],3,0),"open")</f>
        <v>ok</v>
      </c>
      <c r="C778" s="72" t="s">
        <v>369</v>
      </c>
      <c r="D778" t="s">
        <v>2468</v>
      </c>
      <c r="E778" s="72" t="s">
        <v>2470</v>
      </c>
      <c r="F778" s="117" t="s">
        <v>2470</v>
      </c>
      <c r="G778" s="72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MGF</v>
      </c>
      <c r="L778" s="32" t="s">
        <v>509</v>
      </c>
      <c r="M778" s="71">
        <v>45735.357986111114</v>
      </c>
      <c r="N778" s="71">
        <v>45736</v>
      </c>
      <c r="O778" s="71">
        <v>45736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1</v>
      </c>
      <c r="R778" s="71" t="s">
        <v>1076</v>
      </c>
      <c r="S778" s="69"/>
    </row>
    <row r="779" spans="1:19" hidden="1">
      <c r="A779" t="s">
        <v>2471</v>
      </c>
      <c r="B779" s="149" t="str">
        <f>IFERROR(VLOOKUP(Proc[[#This Row],[App]],Table2[],3,0),"open")</f>
        <v>ok</v>
      </c>
      <c r="C779" s="72" t="s">
        <v>369</v>
      </c>
      <c r="D779" t="s">
        <v>2472</v>
      </c>
      <c r="E779" t="s">
        <v>2473</v>
      </c>
      <c r="F779" s="117" t="s">
        <v>2473</v>
      </c>
      <c r="G779" s="72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MGF</v>
      </c>
      <c r="L779" s="32" t="s">
        <v>509</v>
      </c>
      <c r="M779" s="71">
        <v>45735.557951388888</v>
      </c>
      <c r="N779" s="71">
        <v>45736</v>
      </c>
      <c r="O779" s="71">
        <v>45736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1</v>
      </c>
      <c r="R779" s="71" t="s">
        <v>1076</v>
      </c>
      <c r="S779" s="69"/>
    </row>
    <row r="780" spans="1:19" hidden="1">
      <c r="A780" t="s">
        <v>2478</v>
      </c>
      <c r="B780" s="149" t="str">
        <f>IFERROR(VLOOKUP(Proc[[#This Row],[App]],Table2[],3,0),"open")</f>
        <v>ok</v>
      </c>
      <c r="C780" t="s">
        <v>369</v>
      </c>
      <c r="D780" t="s">
        <v>2479</v>
      </c>
      <c r="E780" t="s">
        <v>2482</v>
      </c>
      <c r="F780" s="117" t="s">
        <v>2482</v>
      </c>
      <c r="G780" s="72" t="s">
        <v>406</v>
      </c>
      <c r="H780" s="69" t="str">
        <f>IF(Proc[[#This Row],[type]]="LFF (MDG-F)",MID(Proc[[#This Row],[Obj]],13,10),"")</f>
        <v>US01OF0102</v>
      </c>
      <c r="I780" t="s">
        <v>2483</v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MGF</v>
      </c>
      <c r="L780" s="32" t="s">
        <v>509</v>
      </c>
      <c r="M780" s="71">
        <v>45737.568136574075</v>
      </c>
      <c r="N780" s="71">
        <v>45743</v>
      </c>
      <c r="O780" s="71">
        <v>45743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4</v>
      </c>
      <c r="R780" s="74" t="s">
        <v>1076</v>
      </c>
      <c r="S780" s="69"/>
    </row>
    <row r="781" spans="1:19" hidden="1">
      <c r="A781" t="s">
        <v>2478</v>
      </c>
      <c r="B781" s="149" t="str">
        <f>IFERROR(VLOOKUP(Proc[[#This Row],[App]],Table2[],3,0),"open")</f>
        <v>ok</v>
      </c>
      <c r="C781" s="72" t="s">
        <v>369</v>
      </c>
      <c r="D781" t="s">
        <v>2480</v>
      </c>
      <c r="E781" t="s">
        <v>2044</v>
      </c>
      <c r="F781" s="117" t="s">
        <v>2044</v>
      </c>
      <c r="G781" s="72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MGF</v>
      </c>
      <c r="L781" s="32" t="s">
        <v>509</v>
      </c>
      <c r="M781" s="71">
        <v>45737.568136574075</v>
      </c>
      <c r="N781" s="71">
        <v>45743</v>
      </c>
      <c r="O781" s="71">
        <v>45743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4</v>
      </c>
      <c r="R781" s="74" t="s">
        <v>1076</v>
      </c>
      <c r="S781" s="69"/>
    </row>
    <row r="782" spans="1:19" hidden="1">
      <c r="A782" s="72" t="s">
        <v>2478</v>
      </c>
      <c r="B782" s="149" t="str">
        <f>IFERROR(VLOOKUP(Proc[[#This Row],[App]],Table2[],3,0),"open")</f>
        <v>ok</v>
      </c>
      <c r="C782" s="72" t="s">
        <v>369</v>
      </c>
      <c r="D782" t="s">
        <v>2040</v>
      </c>
      <c r="E782" t="s">
        <v>1249</v>
      </c>
      <c r="F782" s="117" t="s">
        <v>1249</v>
      </c>
      <c r="G782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MGF</v>
      </c>
      <c r="L782" s="32" t="s">
        <v>509</v>
      </c>
      <c r="M782" s="71">
        <v>45737.568136574075</v>
      </c>
      <c r="N782" s="71">
        <v>45743</v>
      </c>
      <c r="O782" s="71">
        <v>45743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4</v>
      </c>
      <c r="R782" s="74" t="s">
        <v>1076</v>
      </c>
      <c r="S782" s="69"/>
    </row>
    <row r="783" spans="1:19" hidden="1">
      <c r="A783" s="72" t="s">
        <v>2478</v>
      </c>
      <c r="B783" s="149" t="str">
        <f>IFERROR(VLOOKUP(Proc[[#This Row],[App]],Table2[],3,0),"open")</f>
        <v>ok</v>
      </c>
      <c r="C783" s="72" t="s">
        <v>369</v>
      </c>
      <c r="D783" t="s">
        <v>2481</v>
      </c>
      <c r="E783" t="s">
        <v>2044</v>
      </c>
      <c r="F783" s="117" t="s">
        <v>2044</v>
      </c>
      <c r="G783" s="72" t="s">
        <v>406</v>
      </c>
      <c r="H783" s="69" t="str">
        <f>IF(Proc[[#This Row],[type]]="LFF (MDG-F)",MID(Proc[[#This Row],[Obj]],13,10),"")</f>
        <v>CN90GM1271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MGF</v>
      </c>
      <c r="L783" s="32" t="s">
        <v>509</v>
      </c>
      <c r="M783" s="71">
        <v>45737.568136574075</v>
      </c>
      <c r="N783" s="71">
        <v>45743</v>
      </c>
      <c r="O783" s="71">
        <v>45743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4</v>
      </c>
      <c r="R783" s="74" t="s">
        <v>1076</v>
      </c>
      <c r="S783" s="69"/>
    </row>
    <row r="784" spans="1:19" hidden="1">
      <c r="A784" s="72" t="s">
        <v>2475</v>
      </c>
      <c r="B784" s="149" t="str">
        <f>IFERROR(VLOOKUP(Proc[[#This Row],[App]],Table2[],3,0),"open")</f>
        <v>ok</v>
      </c>
      <c r="C784" s="72" t="s">
        <v>369</v>
      </c>
      <c r="D784" t="s">
        <v>2476</v>
      </c>
      <c r="E784" t="s">
        <v>2477</v>
      </c>
      <c r="F784" s="117" t="s">
        <v>2477</v>
      </c>
      <c r="G784" s="72" t="s">
        <v>406</v>
      </c>
      <c r="H784" s="69" t="str">
        <f>IF(Proc[[#This Row],[type]]="LFF (MDG-F)",MID(Proc[[#This Row],[Obj]],13,10),"")</f>
        <v>DE10GM2000</v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MGF</v>
      </c>
      <c r="L784" s="32" t="s">
        <v>509</v>
      </c>
      <c r="M784" s="71">
        <v>45737.584166666667</v>
      </c>
      <c r="N784" s="71">
        <v>45741</v>
      </c>
      <c r="O784" s="71">
        <v>45741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2</v>
      </c>
      <c r="R784" s="74" t="s">
        <v>515</v>
      </c>
      <c r="S784" s="69"/>
    </row>
    <row r="785" spans="1:19" hidden="1">
      <c r="A785" t="s">
        <v>2488</v>
      </c>
      <c r="B785" s="149" t="str">
        <f>IFERROR(VLOOKUP(Proc[[#This Row],[App]],Table2[],3,0),"open")</f>
        <v>ok</v>
      </c>
      <c r="C785" s="72" t="s">
        <v>369</v>
      </c>
      <c r="D785" t="s">
        <v>2484</v>
      </c>
      <c r="E785" t="s">
        <v>2487</v>
      </c>
      <c r="F785" s="117" t="s">
        <v>2487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LS</v>
      </c>
      <c r="L785" s="32" t="s">
        <v>509</v>
      </c>
      <c r="M785" s="71">
        <v>45741.382430555554</v>
      </c>
      <c r="N785" s="71">
        <v>45742</v>
      </c>
      <c r="O785" s="71">
        <v>45742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1</v>
      </c>
      <c r="R785" s="74" t="s">
        <v>972</v>
      </c>
      <c r="S785" s="69"/>
    </row>
    <row r="786" spans="1:19" hidden="1">
      <c r="A786" s="72" t="s">
        <v>2488</v>
      </c>
      <c r="B786" s="149" t="str">
        <f>IFERROR(VLOOKUP(Proc[[#This Row],[App]],Table2[],3,0),"open")</f>
        <v>ok</v>
      </c>
      <c r="C786" s="72" t="s">
        <v>369</v>
      </c>
      <c r="D786" t="s">
        <v>2485</v>
      </c>
      <c r="E786" t="s">
        <v>2377</v>
      </c>
      <c r="F786" s="117" t="s">
        <v>2377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LS</v>
      </c>
      <c r="L786" s="32" t="s">
        <v>509</v>
      </c>
      <c r="M786" s="71">
        <v>45741.382430555554</v>
      </c>
      <c r="N786" s="71">
        <v>45742</v>
      </c>
      <c r="O786" s="71">
        <v>45742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1</v>
      </c>
      <c r="R786" s="74" t="s">
        <v>972</v>
      </c>
      <c r="S786" s="69"/>
    </row>
    <row r="787" spans="1:19" hidden="1">
      <c r="A787" s="72" t="s">
        <v>2488</v>
      </c>
      <c r="B787" s="149" t="str">
        <f>IFERROR(VLOOKUP(Proc[[#This Row],[App]],Table2[],3,0),"open")</f>
        <v>ok</v>
      </c>
      <c r="C787" s="72" t="s">
        <v>369</v>
      </c>
      <c r="D787" t="s">
        <v>2486</v>
      </c>
      <c r="E787" t="s">
        <v>1361</v>
      </c>
      <c r="F787" s="117" t="s">
        <v>1361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LS</v>
      </c>
      <c r="L787" s="32" t="s">
        <v>509</v>
      </c>
      <c r="M787" s="71">
        <v>45741.382430555554</v>
      </c>
      <c r="N787" s="71">
        <v>45742</v>
      </c>
      <c r="O787" s="71">
        <v>45742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1</v>
      </c>
      <c r="R787" s="74" t="s">
        <v>972</v>
      </c>
      <c r="S787" s="69"/>
    </row>
    <row r="788" spans="1:19" hidden="1">
      <c r="A788" t="s">
        <v>2497</v>
      </c>
      <c r="B788" s="149" t="str">
        <f>IFERROR(VLOOKUP(Proc[[#This Row],[App]],Table2[],3,0),"open")</f>
        <v>ok</v>
      </c>
      <c r="C788" s="72" t="s">
        <v>369</v>
      </c>
      <c r="D788" t="s">
        <v>2489</v>
      </c>
      <c r="E788" t="s">
        <v>2493</v>
      </c>
      <c r="F788" s="117" t="s">
        <v>2493</v>
      </c>
      <c r="G78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LS</v>
      </c>
      <c r="L788" s="32" t="s">
        <v>509</v>
      </c>
      <c r="M788" s="71">
        <v>45742.539895833332</v>
      </c>
      <c r="N788" s="71">
        <v>45744</v>
      </c>
      <c r="O788" s="71">
        <v>45744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2</v>
      </c>
      <c r="R788" s="74" t="s">
        <v>489</v>
      </c>
      <c r="S788" s="69"/>
    </row>
    <row r="789" spans="1:19" hidden="1">
      <c r="A789" s="72" t="s">
        <v>2497</v>
      </c>
      <c r="B789" s="149" t="str">
        <f>IFERROR(VLOOKUP(Proc[[#This Row],[App]],Table2[],3,0),"open")</f>
        <v>ok</v>
      </c>
      <c r="C789" s="72" t="s">
        <v>369</v>
      </c>
      <c r="D789" t="s">
        <v>2490</v>
      </c>
      <c r="E789" t="s">
        <v>2494</v>
      </c>
      <c r="F789" s="117" t="s">
        <v>2494</v>
      </c>
      <c r="G789" s="72" t="s">
        <v>406</v>
      </c>
      <c r="H789" s="69" t="str">
        <f>IF(Proc[[#This Row],[type]]="LFF (MDG-F)",MID(Proc[[#This Row],[Obj]],13,10),"")</f>
        <v>1919TQSZ93</v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LS</v>
      </c>
      <c r="L789" s="32" t="s">
        <v>509</v>
      </c>
      <c r="M789" s="71">
        <v>45742.539895833332</v>
      </c>
      <c r="N789" s="71">
        <v>45744</v>
      </c>
      <c r="O789" s="71">
        <v>45744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2</v>
      </c>
      <c r="R789" s="74" t="s">
        <v>489</v>
      </c>
      <c r="S789" s="69"/>
    </row>
    <row r="790" spans="1:19" hidden="1">
      <c r="A790" s="72" t="s">
        <v>2497</v>
      </c>
      <c r="B790" s="149" t="str">
        <f>IFERROR(VLOOKUP(Proc[[#This Row],[App]],Table2[],3,0),"open")</f>
        <v>ok</v>
      </c>
      <c r="C790" s="72" t="s">
        <v>369</v>
      </c>
      <c r="D790" t="s">
        <v>2491</v>
      </c>
      <c r="E790" t="s">
        <v>2495</v>
      </c>
      <c r="F790" s="117" t="s">
        <v>2495</v>
      </c>
      <c r="G790" s="72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LS</v>
      </c>
      <c r="L790" s="32" t="s">
        <v>509</v>
      </c>
      <c r="M790" s="71">
        <v>45742.539895833332</v>
      </c>
      <c r="N790" s="71">
        <v>45744</v>
      </c>
      <c r="O790" s="71">
        <v>45744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2</v>
      </c>
      <c r="R790" s="74" t="s">
        <v>489</v>
      </c>
      <c r="S790" s="69"/>
    </row>
    <row r="791" spans="1:19" hidden="1">
      <c r="A791" s="72" t="s">
        <v>2497</v>
      </c>
      <c r="B791" s="149" t="str">
        <f>IFERROR(VLOOKUP(Proc[[#This Row],[App]],Table2[],3,0),"open")</f>
        <v>ok</v>
      </c>
      <c r="C791" s="72" t="s">
        <v>369</v>
      </c>
      <c r="D791" t="s">
        <v>2492</v>
      </c>
      <c r="E791" t="s">
        <v>2496</v>
      </c>
      <c r="F791" s="117" t="s">
        <v>2496</v>
      </c>
      <c r="G791" s="72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LS</v>
      </c>
      <c r="L791" s="32" t="s">
        <v>509</v>
      </c>
      <c r="M791" s="71">
        <v>45742.539895833332</v>
      </c>
      <c r="N791" s="71">
        <v>45744</v>
      </c>
      <c r="O791" s="71">
        <v>45744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2</v>
      </c>
      <c r="R791" s="74" t="s">
        <v>489</v>
      </c>
      <c r="S791" s="69"/>
    </row>
    <row r="792" spans="1:19" hidden="1">
      <c r="A792" t="s">
        <v>2523</v>
      </c>
      <c r="B792" s="149" t="str">
        <f>IFERROR(VLOOKUP(Proc[[#This Row],[App]],Table2[],3,0),"open")</f>
        <v>ok</v>
      </c>
      <c r="C792" s="72" t="s">
        <v>369</v>
      </c>
      <c r="D792" t="s">
        <v>2513</v>
      </c>
      <c r="E792" t="s">
        <v>2522</v>
      </c>
      <c r="F792" s="117" t="s">
        <v>2522</v>
      </c>
      <c r="G792" s="72" t="s">
        <v>406</v>
      </c>
      <c r="H792" s="69" t="str">
        <f>IF(Proc[[#This Row],[type]]="LFF (MDG-F)",MID(Proc[[#This Row],[Obj]],13,10),"")</f>
        <v>IT50C02000</v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45743.430810185186</v>
      </c>
      <c r="N792" s="71">
        <v>45749</v>
      </c>
      <c r="O792" s="71">
        <v>45749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4</v>
      </c>
      <c r="R792" s="74" t="s">
        <v>2524</v>
      </c>
      <c r="S792" s="69"/>
    </row>
    <row r="793" spans="1:19" hidden="1">
      <c r="A793" s="72" t="s">
        <v>2523</v>
      </c>
      <c r="B793" s="149" t="str">
        <f>IFERROR(VLOOKUP(Proc[[#This Row],[App]],Table2[],3,0),"open")</f>
        <v>ok</v>
      </c>
      <c r="C793" s="72" t="s">
        <v>369</v>
      </c>
      <c r="D793" t="s">
        <v>2514</v>
      </c>
      <c r="E793" t="s">
        <v>2522</v>
      </c>
      <c r="F793" s="117" t="s">
        <v>2522</v>
      </c>
      <c r="G793" s="72" t="s">
        <v>406</v>
      </c>
      <c r="H793" s="69" t="str">
        <f>IF(Proc[[#This Row],[type]]="LFF (MDG-F)",MID(Proc[[#This Row],[Obj]],13,10),"")</f>
        <v>IT50C02004</v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45743.430810185186</v>
      </c>
      <c r="N793" s="71">
        <v>45749</v>
      </c>
      <c r="O793" s="71">
        <v>45749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4</v>
      </c>
      <c r="R793" s="74" t="s">
        <v>2524</v>
      </c>
      <c r="S793" s="69"/>
    </row>
    <row r="794" spans="1:19" hidden="1">
      <c r="A794" s="72" t="s">
        <v>2523</v>
      </c>
      <c r="B794" s="149" t="str">
        <f>IFERROR(VLOOKUP(Proc[[#This Row],[App]],Table2[],3,0),"open")</f>
        <v>ok</v>
      </c>
      <c r="C794" s="72" t="s">
        <v>369</v>
      </c>
      <c r="D794" t="s">
        <v>2515</v>
      </c>
      <c r="E794" t="s">
        <v>2522</v>
      </c>
      <c r="F794" s="117" t="s">
        <v>2522</v>
      </c>
      <c r="G794" s="72" t="s">
        <v>406</v>
      </c>
      <c r="H794" s="69" t="str">
        <f>IF(Proc[[#This Row],[type]]="LFF (MDG-F)",MID(Proc[[#This Row],[Obj]],13,10),"")</f>
        <v>IT50C03005</v>
      </c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45743.430810185186</v>
      </c>
      <c r="N794" s="71">
        <v>45749</v>
      </c>
      <c r="O794" s="71">
        <v>45749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4</v>
      </c>
      <c r="R794" s="74" t="s">
        <v>2524</v>
      </c>
      <c r="S794" s="69"/>
    </row>
    <row r="795" spans="1:19" hidden="1">
      <c r="A795" s="72" t="s">
        <v>2523</v>
      </c>
      <c r="B795" s="149" t="str">
        <f>IFERROR(VLOOKUP(Proc[[#This Row],[App]],Table2[],3,0),"open")</f>
        <v>ok</v>
      </c>
      <c r="C795" s="72" t="s">
        <v>369</v>
      </c>
      <c r="D795" t="s">
        <v>2516</v>
      </c>
      <c r="E795" t="s">
        <v>2522</v>
      </c>
      <c r="F795" s="117" t="s">
        <v>2522</v>
      </c>
      <c r="G795" s="72" t="s">
        <v>406</v>
      </c>
      <c r="H795" s="69" t="str">
        <f>IF(Proc[[#This Row],[type]]="LFF (MDG-F)",MID(Proc[[#This Row],[Obj]],13,10),"")</f>
        <v>IT50C03004</v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45743.430810185186</v>
      </c>
      <c r="N795" s="71">
        <v>45749</v>
      </c>
      <c r="O795" s="71">
        <v>45749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4</v>
      </c>
      <c r="R795" s="74" t="s">
        <v>2524</v>
      </c>
      <c r="S795" s="69"/>
    </row>
    <row r="796" spans="1:19" hidden="1">
      <c r="A796" s="72" t="s">
        <v>2523</v>
      </c>
      <c r="B796" s="149" t="str">
        <f>IFERROR(VLOOKUP(Proc[[#This Row],[App]],Table2[],3,0),"open")</f>
        <v>ok</v>
      </c>
      <c r="C796" s="72" t="s">
        <v>369</v>
      </c>
      <c r="D796" t="s">
        <v>2517</v>
      </c>
      <c r="E796" t="s">
        <v>2522</v>
      </c>
      <c r="F796" s="117" t="s">
        <v>2522</v>
      </c>
      <c r="G796" s="72" t="s">
        <v>406</v>
      </c>
      <c r="H796" s="69" t="str">
        <f>IF(Proc[[#This Row],[type]]="LFF (MDG-F)",MID(Proc[[#This Row],[Obj]],13,10),"")</f>
        <v>IT50C02009</v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45743.430810185186</v>
      </c>
      <c r="N796" s="71">
        <v>45749</v>
      </c>
      <c r="O796" s="71">
        <v>45749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4</v>
      </c>
      <c r="R796" s="74" t="s">
        <v>2524</v>
      </c>
      <c r="S796" s="69"/>
    </row>
    <row r="797" spans="1:19" hidden="1">
      <c r="A797" s="72" t="s">
        <v>2523</v>
      </c>
      <c r="B797" s="149" t="str">
        <f>IFERROR(VLOOKUP(Proc[[#This Row],[App]],Table2[],3,0),"open")</f>
        <v>ok</v>
      </c>
      <c r="C797" s="72" t="s">
        <v>369</v>
      </c>
      <c r="D797" t="s">
        <v>2518</v>
      </c>
      <c r="E797" t="s">
        <v>2522</v>
      </c>
      <c r="F797" s="117" t="s">
        <v>2522</v>
      </c>
      <c r="G797" s="72" t="s">
        <v>406</v>
      </c>
      <c r="H797" s="69" t="str">
        <f>IF(Proc[[#This Row],[type]]="LFF (MDG-F)",MID(Proc[[#This Row],[Obj]],13,10),"")</f>
        <v>IT50C02010</v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45743.430810185186</v>
      </c>
      <c r="N797" s="71">
        <v>45749</v>
      </c>
      <c r="O797" s="71">
        <v>45749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4</v>
      </c>
      <c r="R797" s="74" t="s">
        <v>2524</v>
      </c>
      <c r="S797" s="69"/>
    </row>
    <row r="798" spans="1:19" hidden="1">
      <c r="A798" t="s">
        <v>2523</v>
      </c>
      <c r="B798" s="149" t="str">
        <f>IFERROR(VLOOKUP(Proc[[#This Row],[App]],Table2[],3,0),"open")</f>
        <v>ok</v>
      </c>
      <c r="C798" s="72" t="s">
        <v>369</v>
      </c>
      <c r="D798" t="s">
        <v>2519</v>
      </c>
      <c r="E798" t="s">
        <v>2522</v>
      </c>
      <c r="F798" s="117" t="s">
        <v>2522</v>
      </c>
      <c r="G798" s="72" t="s">
        <v>406</v>
      </c>
      <c r="H798" s="69" t="str">
        <f>IF(Proc[[#This Row],[type]]="LFF (MDG-F)",MID(Proc[[#This Row],[Obj]],13,10),"")</f>
        <v>IT50C03007</v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45743.430810185186</v>
      </c>
      <c r="N798" s="71">
        <v>45749</v>
      </c>
      <c r="O798" s="71">
        <v>45749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4</v>
      </c>
      <c r="R798" s="74" t="s">
        <v>2524</v>
      </c>
      <c r="S798" s="69"/>
    </row>
    <row r="799" spans="1:19" hidden="1">
      <c r="A799" t="s">
        <v>2523</v>
      </c>
      <c r="B799" s="149" t="str">
        <f>IFERROR(VLOOKUP(Proc[[#This Row],[App]],Table2[],3,0),"open")</f>
        <v>ok</v>
      </c>
      <c r="C799" s="72" t="s">
        <v>369</v>
      </c>
      <c r="D799" t="s">
        <v>2520</v>
      </c>
      <c r="E799" t="s">
        <v>2522</v>
      </c>
      <c r="F799" s="117" t="s">
        <v>2522</v>
      </c>
      <c r="G799" s="72" t="s">
        <v>406</v>
      </c>
      <c r="H799" s="69" t="str">
        <f>IF(Proc[[#This Row],[type]]="LFF (MDG-F)",MID(Proc[[#This Row],[Obj]],13,10),"")</f>
        <v>IT50C02011</v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45743.430810185186</v>
      </c>
      <c r="N799" s="71">
        <v>45749</v>
      </c>
      <c r="O799" s="71">
        <v>45749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4</v>
      </c>
      <c r="R799" s="74" t="s">
        <v>2524</v>
      </c>
      <c r="S799" s="69"/>
    </row>
    <row r="800" spans="1:19" hidden="1">
      <c r="A800" s="72" t="s">
        <v>2510</v>
      </c>
      <c r="B800" s="149" t="str">
        <f>IFERROR(VLOOKUP(Proc[[#This Row],[App]],Table2[],3,0),"open")</f>
        <v>ok</v>
      </c>
      <c r="C800" s="72" t="s">
        <v>369</v>
      </c>
      <c r="D800" t="s">
        <v>2511</v>
      </c>
      <c r="E800" t="s">
        <v>476</v>
      </c>
      <c r="F800" s="117" t="s">
        <v>476</v>
      </c>
      <c r="G800" s="72" t="s">
        <v>406</v>
      </c>
      <c r="H800" s="69" t="str">
        <f>IF(Proc[[#This Row],[type]]="LFF (MDG-F)",MID(Proc[[#This Row],[Obj]],13,10),"")</f>
        <v>DZ50GM1100</v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MGF</v>
      </c>
      <c r="L800" s="32" t="s">
        <v>509</v>
      </c>
      <c r="M800" s="71">
        <v>45743.522430555553</v>
      </c>
      <c r="N800" s="71">
        <v>45749</v>
      </c>
      <c r="O800" s="71">
        <v>45749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4</v>
      </c>
      <c r="R800" s="74" t="s">
        <v>515</v>
      </c>
      <c r="S800" s="69"/>
    </row>
    <row r="801" spans="1:19" hidden="1">
      <c r="A801" t="s">
        <v>2510</v>
      </c>
      <c r="B801" s="149" t="str">
        <f>IFERROR(VLOOKUP(Proc[[#This Row],[App]],Table2[],3,0),"open")</f>
        <v>ok</v>
      </c>
      <c r="C801" s="72" t="s">
        <v>369</v>
      </c>
      <c r="D801" t="s">
        <v>2512</v>
      </c>
      <c r="E801" t="s">
        <v>2417</v>
      </c>
      <c r="F801" s="117" t="s">
        <v>2417</v>
      </c>
      <c r="G801" s="72" t="s">
        <v>406</v>
      </c>
      <c r="H801" s="69" t="str">
        <f>IF(Proc[[#This Row],[type]]="LFF (MDG-F)",MID(Proc[[#This Row],[Obj]],13,10),"")</f>
        <v>2053OF0000</v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MGF</v>
      </c>
      <c r="L801" s="32" t="s">
        <v>509</v>
      </c>
      <c r="M801" s="71">
        <v>45743.522430555553</v>
      </c>
      <c r="N801" s="71">
        <v>45749</v>
      </c>
      <c r="O801" s="71">
        <v>45749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4</v>
      </c>
      <c r="R801" s="74" t="s">
        <v>515</v>
      </c>
      <c r="S801" s="69"/>
    </row>
    <row r="802" spans="1:19" hidden="1">
      <c r="A802" s="72" t="s">
        <v>2507</v>
      </c>
      <c r="B802" s="149" t="str">
        <f>IFERROR(VLOOKUP(Proc[[#This Row],[App]],Table2[],3,0),"open")</f>
        <v>ok</v>
      </c>
      <c r="C802" s="72" t="s">
        <v>369</v>
      </c>
      <c r="D802" t="s">
        <v>2508</v>
      </c>
      <c r="E802" t="s">
        <v>2509</v>
      </c>
      <c r="F802" s="117" t="s">
        <v>2509</v>
      </c>
      <c r="G802" s="72" t="s">
        <v>406</v>
      </c>
      <c r="H802" s="69" t="str">
        <f>IF(Proc[[#This Row],[type]]="LFF (MDG-F)",MID(Proc[[#This Row],[Obj]],13,10),"")</f>
        <v>DE20569502</v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MGF</v>
      </c>
      <c r="L802" s="32" t="s">
        <v>509</v>
      </c>
      <c r="M802" s="71">
        <v>45743.525312500002</v>
      </c>
      <c r="N802" s="71">
        <v>45749</v>
      </c>
      <c r="O802" s="71">
        <v>45749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4</v>
      </c>
      <c r="R802" s="74" t="s">
        <v>549</v>
      </c>
      <c r="S802" s="69"/>
    </row>
    <row r="803" spans="1:19" hidden="1">
      <c r="A803" s="72" t="s">
        <v>2498</v>
      </c>
      <c r="B803" s="149" t="str">
        <f>IFERROR(VLOOKUP(Proc[[#This Row],[App]],Table2[],3,0),"open")</f>
        <v>ok</v>
      </c>
      <c r="C803" s="72" t="s">
        <v>369</v>
      </c>
      <c r="D803" t="s">
        <v>2499</v>
      </c>
      <c r="E803" t="s">
        <v>2417</v>
      </c>
      <c r="F803" s="117" t="s">
        <v>2417</v>
      </c>
      <c r="G803" s="72" t="s">
        <v>406</v>
      </c>
      <c r="H803" s="69" t="str">
        <f>IF(Proc[[#This Row],[type]]="LFF (MDG-F)",MID(Proc[[#This Row],[Obj]],13,10),"")</f>
        <v>ZA50GM1000</v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MGF</v>
      </c>
      <c r="L803" s="32" t="s">
        <v>509</v>
      </c>
      <c r="M803" s="71">
        <v>45743.614340277774</v>
      </c>
      <c r="N803" s="71">
        <v>45749</v>
      </c>
      <c r="O803" s="71">
        <v>45749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4</v>
      </c>
      <c r="R803" s="74" t="s">
        <v>515</v>
      </c>
      <c r="S803" s="69"/>
    </row>
    <row r="804" spans="1:19" hidden="1">
      <c r="A804" s="72" t="s">
        <v>2498</v>
      </c>
      <c r="B804" s="149" t="str">
        <f>IFERROR(VLOOKUP(Proc[[#This Row],[App]],Table2[],3,0),"open")</f>
        <v>ok</v>
      </c>
      <c r="C804" s="72" t="s">
        <v>369</v>
      </c>
      <c r="D804" t="s">
        <v>2500</v>
      </c>
      <c r="E804" t="s">
        <v>2417</v>
      </c>
      <c r="F804" s="117" t="s">
        <v>2417</v>
      </c>
      <c r="G804" s="72" t="s">
        <v>406</v>
      </c>
      <c r="H804" s="69" t="str">
        <f>IF(Proc[[#This Row],[type]]="LFF (MDG-F)",MID(Proc[[#This Row],[Obj]],13,10),"")</f>
        <v>ZA50GIT10D</v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MGF</v>
      </c>
      <c r="L804" s="32" t="s">
        <v>509</v>
      </c>
      <c r="M804" s="71">
        <v>45743.614340277774</v>
      </c>
      <c r="N804" s="71">
        <v>45749</v>
      </c>
      <c r="O804" s="71">
        <v>45749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4</v>
      </c>
      <c r="R804" s="74" t="s">
        <v>515</v>
      </c>
      <c r="S804" s="69"/>
    </row>
    <row r="805" spans="1:19" hidden="1">
      <c r="A805" s="72" t="s">
        <v>2498</v>
      </c>
      <c r="B805" s="149" t="str">
        <f>IFERROR(VLOOKUP(Proc[[#This Row],[App]],Table2[],3,0),"open")</f>
        <v>ok</v>
      </c>
      <c r="C805" s="72" t="s">
        <v>369</v>
      </c>
      <c r="D805" t="s">
        <v>2501</v>
      </c>
      <c r="E805" t="s">
        <v>2417</v>
      </c>
      <c r="F805" s="117" t="s">
        <v>2417</v>
      </c>
      <c r="G805" s="72" t="s">
        <v>406</v>
      </c>
      <c r="H805" s="69" t="str">
        <f>IF(Proc[[#This Row],[type]]="LFF (MDG-F)",MID(Proc[[#This Row],[Obj]],13,10),"")</f>
        <v>ZA50GHR014</v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MGF</v>
      </c>
      <c r="L805" s="32" t="s">
        <v>509</v>
      </c>
      <c r="M805" s="71">
        <v>45743.614340277774</v>
      </c>
      <c r="N805" s="71">
        <v>45749</v>
      </c>
      <c r="O805" s="71">
        <v>45749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4</v>
      </c>
      <c r="R805" s="74" t="s">
        <v>515</v>
      </c>
      <c r="S805" s="69"/>
    </row>
    <row r="806" spans="1:19" hidden="1">
      <c r="A806" s="72" t="s">
        <v>2498</v>
      </c>
      <c r="B806" s="149" t="str">
        <f>IFERROR(VLOOKUP(Proc[[#This Row],[App]],Table2[],3,0),"open")</f>
        <v>ok</v>
      </c>
      <c r="C806" s="72" t="s">
        <v>369</v>
      </c>
      <c r="D806" t="s">
        <v>2502</v>
      </c>
      <c r="E806" t="s">
        <v>2417</v>
      </c>
      <c r="F806" s="117" t="s">
        <v>2417</v>
      </c>
      <c r="G806" s="72" t="s">
        <v>406</v>
      </c>
      <c r="H806" s="69" t="str">
        <f>IF(Proc[[#This Row],[type]]="LFF (MDG-F)",MID(Proc[[#This Row],[Obj]],13,10),"")</f>
        <v>KE50GM2100</v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MGF</v>
      </c>
      <c r="L806" s="32" t="s">
        <v>509</v>
      </c>
      <c r="M806" s="71">
        <v>45743.614340277774</v>
      </c>
      <c r="N806" s="71">
        <v>45749</v>
      </c>
      <c r="O806" s="71">
        <v>45749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4</v>
      </c>
      <c r="R806" s="74" t="s">
        <v>515</v>
      </c>
      <c r="S806" s="69"/>
    </row>
    <row r="807" spans="1:19" hidden="1">
      <c r="A807" s="72" t="s">
        <v>2498</v>
      </c>
      <c r="B807" s="149" t="str">
        <f>IFERROR(VLOOKUP(Proc[[#This Row],[App]],Table2[],3,0),"open")</f>
        <v>ok</v>
      </c>
      <c r="C807" s="72" t="s">
        <v>369</v>
      </c>
      <c r="D807" t="s">
        <v>2503</v>
      </c>
      <c r="E807" t="s">
        <v>2417</v>
      </c>
      <c r="F807" s="117" t="s">
        <v>2417</v>
      </c>
      <c r="G807" s="72" t="s">
        <v>406</v>
      </c>
      <c r="H807" s="69" t="str">
        <f>IF(Proc[[#This Row],[type]]="LFF (MDG-F)",MID(Proc[[#This Row],[Obj]],13,10),"")</f>
        <v>CZ50GM2100</v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MGF</v>
      </c>
      <c r="L807" s="32" t="s">
        <v>509</v>
      </c>
      <c r="M807" s="71">
        <v>45743.614340277774</v>
      </c>
      <c r="N807" s="71">
        <v>45749</v>
      </c>
      <c r="O807" s="71">
        <v>45749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4</v>
      </c>
      <c r="R807" s="74" t="s">
        <v>515</v>
      </c>
      <c r="S807" s="69"/>
    </row>
    <row r="808" spans="1:19" hidden="1">
      <c r="A808" s="72" t="s">
        <v>2498</v>
      </c>
      <c r="B808" s="149" t="str">
        <f>IFERROR(VLOOKUP(Proc[[#This Row],[App]],Table2[],3,0),"open")</f>
        <v>ok</v>
      </c>
      <c r="C808" s="72" t="s">
        <v>369</v>
      </c>
      <c r="D808" t="s">
        <v>2504</v>
      </c>
      <c r="E808" t="s">
        <v>2417</v>
      </c>
      <c r="F808" s="117" t="s">
        <v>2417</v>
      </c>
      <c r="G808" s="72" t="s">
        <v>406</v>
      </c>
      <c r="H808" s="69" t="str">
        <f>IF(Proc[[#This Row],[type]]="LFF (MDG-F)",MID(Proc[[#This Row],[Obj]],13,10),"")</f>
        <v>CZ50GM2101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45743.614340277774</v>
      </c>
      <c r="N808" s="71">
        <v>45749</v>
      </c>
      <c r="O808" s="71">
        <v>45749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4</v>
      </c>
      <c r="R808" s="74" t="s">
        <v>515</v>
      </c>
      <c r="S808" s="69"/>
    </row>
    <row r="809" spans="1:19" hidden="1">
      <c r="A809" t="s">
        <v>2525</v>
      </c>
      <c r="B809" s="149" t="str">
        <f>IFERROR(VLOOKUP(Proc[[#This Row],[App]],Table2[],3,0),"open")</f>
        <v>ok</v>
      </c>
      <c r="C809" s="72" t="s">
        <v>369</v>
      </c>
      <c r="D809" t="s">
        <v>2526</v>
      </c>
      <c r="E809" t="s">
        <v>2536</v>
      </c>
      <c r="F809" s="117" t="s">
        <v>2536</v>
      </c>
      <c r="G809" t="s">
        <v>400</v>
      </c>
      <c r="H809" s="69" t="str">
        <f>IF(Proc[[#This Row],[type]]="LFF (MDG-F)",MID(Proc[[#This Row],[Obj]],13,10),"")</f>
        <v/>
      </c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LS</v>
      </c>
      <c r="L809" s="32" t="s">
        <v>509</v>
      </c>
      <c r="M809" s="71">
        <v>45744.427824074075</v>
      </c>
      <c r="N809" s="71">
        <v>45747</v>
      </c>
      <c r="O809" s="71">
        <v>45747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1</v>
      </c>
      <c r="R809" s="74" t="s">
        <v>972</v>
      </c>
      <c r="S809" s="69"/>
    </row>
    <row r="810" spans="1:19" hidden="1">
      <c r="A810" s="72" t="s">
        <v>2525</v>
      </c>
      <c r="B810" s="149" t="str">
        <f>IFERROR(VLOOKUP(Proc[[#This Row],[App]],Table2[],3,0),"open")</f>
        <v>ok</v>
      </c>
      <c r="C810" s="72" t="s">
        <v>369</v>
      </c>
      <c r="D810" t="s">
        <v>2527</v>
      </c>
      <c r="E810" t="s">
        <v>2537</v>
      </c>
      <c r="F810" s="117" t="s">
        <v>2537</v>
      </c>
      <c r="G810" s="72" t="s">
        <v>400</v>
      </c>
      <c r="H810" s="69" t="str">
        <f>IF(Proc[[#This Row],[type]]="LFF (MDG-F)",MID(Proc[[#This Row],[Obj]],13,10),"")</f>
        <v/>
      </c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LS</v>
      </c>
      <c r="L810" s="32" t="s">
        <v>509</v>
      </c>
      <c r="M810" s="71">
        <v>45744.427824074075</v>
      </c>
      <c r="N810" s="71">
        <v>45747</v>
      </c>
      <c r="O810" s="71">
        <v>45747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1</v>
      </c>
      <c r="R810" s="74" t="s">
        <v>972</v>
      </c>
      <c r="S810" s="69"/>
    </row>
    <row r="811" spans="1:19" hidden="1">
      <c r="A811" s="72" t="s">
        <v>2525</v>
      </c>
      <c r="B811" s="149" t="str">
        <f>IFERROR(VLOOKUP(Proc[[#This Row],[App]],Table2[],3,0),"open")</f>
        <v>ok</v>
      </c>
      <c r="C811" s="72" t="s">
        <v>369</v>
      </c>
      <c r="D811" t="s">
        <v>2528</v>
      </c>
      <c r="E811" t="s">
        <v>1974</v>
      </c>
      <c r="F811" s="117" t="s">
        <v>1974</v>
      </c>
      <c r="G811" s="72" t="s">
        <v>400</v>
      </c>
      <c r="H811" s="69" t="str">
        <f>IF(Proc[[#This Row],[type]]="LFF (MDG-F)",MID(Proc[[#This Row],[Obj]],13,10),"")</f>
        <v/>
      </c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LS</v>
      </c>
      <c r="L811" s="32" t="s">
        <v>509</v>
      </c>
      <c r="M811" s="71">
        <v>45744.427824074075</v>
      </c>
      <c r="N811" s="71">
        <v>45747</v>
      </c>
      <c r="O811" s="71">
        <v>45747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1</v>
      </c>
      <c r="R811" s="74" t="s">
        <v>972</v>
      </c>
      <c r="S811" s="69"/>
    </row>
    <row r="812" spans="1:19" hidden="1">
      <c r="A812" s="72" t="s">
        <v>2525</v>
      </c>
      <c r="B812" s="149" t="str">
        <f>IFERROR(VLOOKUP(Proc[[#This Row],[App]],Table2[],3,0),"open")</f>
        <v>ok</v>
      </c>
      <c r="C812" s="72" t="s">
        <v>369</v>
      </c>
      <c r="D812" t="s">
        <v>2529</v>
      </c>
      <c r="E812" t="s">
        <v>1716</v>
      </c>
      <c r="F812" s="117" t="s">
        <v>1716</v>
      </c>
      <c r="G812" s="72" t="s">
        <v>400</v>
      </c>
      <c r="H812" s="69" t="str">
        <f>IF(Proc[[#This Row],[type]]="LFF (MDG-F)",MID(Proc[[#This Row],[Obj]],13,10),"")</f>
        <v/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LS</v>
      </c>
      <c r="L812" s="32" t="s">
        <v>509</v>
      </c>
      <c r="M812" s="71">
        <v>45744.427824074075</v>
      </c>
      <c r="N812" s="71">
        <v>45747</v>
      </c>
      <c r="O812" s="71">
        <v>45747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1</v>
      </c>
      <c r="R812" s="74" t="s">
        <v>972</v>
      </c>
      <c r="S812" s="69"/>
    </row>
    <row r="813" spans="1:19" hidden="1">
      <c r="A813" s="72" t="s">
        <v>2525</v>
      </c>
      <c r="B813" s="149" t="str">
        <f>IFERROR(VLOOKUP(Proc[[#This Row],[App]],Table2[],3,0),"open")</f>
        <v>ok</v>
      </c>
      <c r="C813" s="72" t="s">
        <v>369</v>
      </c>
      <c r="D813" t="s">
        <v>2530</v>
      </c>
      <c r="E813" t="s">
        <v>1716</v>
      </c>
      <c r="F813" s="117" t="s">
        <v>1716</v>
      </c>
      <c r="G813" s="72" t="s">
        <v>400</v>
      </c>
      <c r="H813" s="69" t="str">
        <f>IF(Proc[[#This Row],[type]]="LFF (MDG-F)",MID(Proc[[#This Row],[Obj]],13,10),"")</f>
        <v/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LS</v>
      </c>
      <c r="L813" s="32" t="s">
        <v>509</v>
      </c>
      <c r="M813" s="71">
        <v>45744.427824074075</v>
      </c>
      <c r="N813" s="71">
        <v>45747</v>
      </c>
      <c r="O813" s="71">
        <v>45747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1</v>
      </c>
      <c r="R813" s="74" t="s">
        <v>972</v>
      </c>
      <c r="S813" s="69"/>
    </row>
    <row r="814" spans="1:19" hidden="1">
      <c r="A814" s="72" t="s">
        <v>2525</v>
      </c>
      <c r="B814" s="149" t="str">
        <f>IFERROR(VLOOKUP(Proc[[#This Row],[App]],Table2[],3,0),"open")</f>
        <v>ok</v>
      </c>
      <c r="C814" s="72" t="s">
        <v>369</v>
      </c>
      <c r="D814" t="s">
        <v>2531</v>
      </c>
      <c r="E814" t="s">
        <v>2538</v>
      </c>
      <c r="F814" s="117" t="s">
        <v>2538</v>
      </c>
      <c r="G814" s="72" t="s">
        <v>400</v>
      </c>
      <c r="H814" s="69" t="str">
        <f>IF(Proc[[#This Row],[type]]="LFF (MDG-F)",MID(Proc[[#This Row],[Obj]],13,10),"")</f>
        <v/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LS</v>
      </c>
      <c r="L814" s="32" t="s">
        <v>509</v>
      </c>
      <c r="M814" s="71">
        <v>45744.427824074075</v>
      </c>
      <c r="N814" s="71">
        <v>45747</v>
      </c>
      <c r="O814" s="71">
        <v>45747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1</v>
      </c>
      <c r="R814" s="74" t="s">
        <v>972</v>
      </c>
      <c r="S814" s="69"/>
    </row>
    <row r="815" spans="1:19" hidden="1">
      <c r="A815" s="72" t="s">
        <v>2525</v>
      </c>
      <c r="B815" s="149" t="str">
        <f>IFERROR(VLOOKUP(Proc[[#This Row],[App]],Table2[],3,0),"open")</f>
        <v>ok</v>
      </c>
      <c r="C815" s="72" t="s">
        <v>369</v>
      </c>
      <c r="D815" t="s">
        <v>2532</v>
      </c>
      <c r="E815" t="s">
        <v>774</v>
      </c>
      <c r="F815" s="117" t="s">
        <v>774</v>
      </c>
      <c r="G815" s="72" t="s">
        <v>400</v>
      </c>
      <c r="H815" s="69" t="str">
        <f>IF(Proc[[#This Row],[type]]="LFF (MDG-F)",MID(Proc[[#This Row],[Obj]],13,10),"")</f>
        <v/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LS</v>
      </c>
      <c r="L815" s="32" t="s">
        <v>509</v>
      </c>
      <c r="M815" s="71">
        <v>45744.427824074075</v>
      </c>
      <c r="N815" s="71">
        <v>45747</v>
      </c>
      <c r="O815" s="71">
        <v>45747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1</v>
      </c>
      <c r="R815" s="74" t="s">
        <v>972</v>
      </c>
      <c r="S815" s="69"/>
    </row>
    <row r="816" spans="1:19" hidden="1">
      <c r="A816" s="72" t="s">
        <v>2525</v>
      </c>
      <c r="B816" s="149" t="str">
        <f>IFERROR(VLOOKUP(Proc[[#This Row],[App]],Table2[],3,0),"open")</f>
        <v>ok</v>
      </c>
      <c r="C816" s="72" t="s">
        <v>369</v>
      </c>
      <c r="D816" t="s">
        <v>2533</v>
      </c>
      <c r="E816" t="s">
        <v>2539</v>
      </c>
      <c r="F816" s="117" t="s">
        <v>2539</v>
      </c>
      <c r="G816" s="72" t="s">
        <v>400</v>
      </c>
      <c r="H816" s="69" t="str">
        <f>IF(Proc[[#This Row],[type]]="LFF (MDG-F)",MID(Proc[[#This Row],[Obj]],13,10),"")</f>
        <v/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LS</v>
      </c>
      <c r="L816" s="32" t="s">
        <v>509</v>
      </c>
      <c r="M816" s="71">
        <v>45744.427824074075</v>
      </c>
      <c r="N816" s="71">
        <v>45747</v>
      </c>
      <c r="O816" s="71">
        <v>45747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1</v>
      </c>
      <c r="R816" s="74" t="s">
        <v>972</v>
      </c>
      <c r="S816" s="69"/>
    </row>
    <row r="817" spans="1:19" hidden="1">
      <c r="A817" s="72" t="s">
        <v>2525</v>
      </c>
      <c r="B817" s="149" t="str">
        <f>IFERROR(VLOOKUP(Proc[[#This Row],[App]],Table2[],3,0),"open")</f>
        <v>ok</v>
      </c>
      <c r="C817" s="72" t="s">
        <v>369</v>
      </c>
      <c r="D817" t="s">
        <v>2534</v>
      </c>
      <c r="E817" t="s">
        <v>774</v>
      </c>
      <c r="F817" s="117" t="s">
        <v>774</v>
      </c>
      <c r="G817" s="72" t="s">
        <v>400</v>
      </c>
      <c r="H817" s="69" t="str">
        <f>IF(Proc[[#This Row],[type]]="LFF (MDG-F)",MID(Proc[[#This Row],[Obj]],13,10),"")</f>
        <v/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LS</v>
      </c>
      <c r="L817" s="32" t="s">
        <v>509</v>
      </c>
      <c r="M817" s="71">
        <v>45744.427824074075</v>
      </c>
      <c r="N817" s="71">
        <v>45747</v>
      </c>
      <c r="O817" s="71">
        <v>45747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1</v>
      </c>
      <c r="R817" s="74" t="s">
        <v>972</v>
      </c>
      <c r="S817" s="69"/>
    </row>
    <row r="818" spans="1:19" hidden="1">
      <c r="A818" s="72" t="s">
        <v>2525</v>
      </c>
      <c r="B818" s="149" t="str">
        <f>IFERROR(VLOOKUP(Proc[[#This Row],[App]],Table2[],3,0),"open")</f>
        <v>ok</v>
      </c>
      <c r="C818" s="72" t="s">
        <v>369</v>
      </c>
      <c r="D818" t="s">
        <v>2535</v>
      </c>
      <c r="E818" t="s">
        <v>2540</v>
      </c>
      <c r="F818" s="117" t="s">
        <v>2540</v>
      </c>
      <c r="G818" s="72" t="s">
        <v>400</v>
      </c>
      <c r="H818" s="69" t="str">
        <f>IF(Proc[[#This Row],[type]]="LFF (MDG-F)",MID(Proc[[#This Row],[Obj]],13,10),"")</f>
        <v/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LS</v>
      </c>
      <c r="L818" s="32" t="s">
        <v>509</v>
      </c>
      <c r="M818" s="71">
        <v>45744.427824074075</v>
      </c>
      <c r="N818" s="71">
        <v>45747</v>
      </c>
      <c r="O818" s="71">
        <v>45747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1</v>
      </c>
      <c r="R818" s="74" t="s">
        <v>972</v>
      </c>
      <c r="S818" s="69"/>
    </row>
    <row r="819" spans="1:19" hidden="1">
      <c r="A819" t="s">
        <v>2602</v>
      </c>
      <c r="B819" s="149" t="str">
        <f>IFERROR(VLOOKUP(Proc[[#This Row],[App]],Table2[],3,0),"open")</f>
        <v>ok</v>
      </c>
      <c r="C819" s="72" t="s">
        <v>369</v>
      </c>
      <c r="D819" t="s">
        <v>2603</v>
      </c>
      <c r="E819" t="s">
        <v>476</v>
      </c>
      <c r="F819" s="117" t="s">
        <v>476</v>
      </c>
      <c r="G819" t="s">
        <v>406</v>
      </c>
      <c r="H819" s="69" t="str">
        <f>IF(Proc[[#This Row],[type]]="LFF (MDG-F)",MID(Proc[[#This Row],[Obj]],13,10),"")</f>
        <v>GB10GM4002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2563</v>
      </c>
      <c r="M819" s="71">
        <v>45744.61619212963</v>
      </c>
      <c r="N819" s="71">
        <v>45751</v>
      </c>
      <c r="O819" s="71">
        <v>45751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5</v>
      </c>
      <c r="R819" s="74" t="s">
        <v>530</v>
      </c>
      <c r="S819" s="69"/>
    </row>
    <row r="820" spans="1:19" hidden="1">
      <c r="A820" t="s">
        <v>2573</v>
      </c>
      <c r="B820" s="149" t="str">
        <f>IFERROR(VLOOKUP(Proc[[#This Row],[App]],Table2[],3,0),"open")</f>
        <v>ok</v>
      </c>
      <c r="C820" s="72" t="s">
        <v>369</v>
      </c>
      <c r="D820" s="45" t="s">
        <v>2572</v>
      </c>
      <c r="E820" t="s">
        <v>540</v>
      </c>
      <c r="F820" s="117" t="s">
        <v>540</v>
      </c>
      <c r="G820" s="72" t="s">
        <v>406</v>
      </c>
      <c r="H820" s="69" t="str">
        <f>IF(Proc[[#This Row],[type]]="LFF (MDG-F)",MID(Proc[[#This Row],[Obj]],13,10),"")</f>
        <v>US10GM4058</v>
      </c>
      <c r="I820" t="s">
        <v>2574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2563</v>
      </c>
      <c r="M820" s="71">
        <v>45744.623530092591</v>
      </c>
      <c r="N820" s="71">
        <v>45751</v>
      </c>
      <c r="O820" s="71">
        <v>45751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5</v>
      </c>
      <c r="R820" s="74" t="s">
        <v>530</v>
      </c>
      <c r="S820" s="69"/>
    </row>
    <row r="821" spans="1:19" hidden="1">
      <c r="A821" t="s">
        <v>2556</v>
      </c>
      <c r="B821" s="149" t="str">
        <f>IFERROR(VLOOKUP(Proc[[#This Row],[App]],Table2[],3,0),"open")</f>
        <v>ok</v>
      </c>
      <c r="C821" s="72" t="s">
        <v>369</v>
      </c>
      <c r="D821" t="s">
        <v>2557</v>
      </c>
      <c r="E821" t="s">
        <v>2559</v>
      </c>
      <c r="F821" s="117" t="s">
        <v>2559</v>
      </c>
      <c r="G821" s="72" t="s">
        <v>406</v>
      </c>
      <c r="H821" s="69" t="str">
        <f>IF(Proc[[#This Row],[type]]="LFF (MDG-F)",MID(Proc[[#This Row],[Obj]],13,10),"")</f>
        <v>CN95GM4000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45744.631527777776</v>
      </c>
      <c r="N821" s="71">
        <v>45749</v>
      </c>
      <c r="O821" s="71">
        <v>45749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530</v>
      </c>
      <c r="S821" s="69"/>
    </row>
    <row r="822" spans="1:19" hidden="1">
      <c r="A822" t="s">
        <v>2556</v>
      </c>
      <c r="B822" s="149" t="str">
        <f>IFERROR(VLOOKUP(Proc[[#This Row],[App]],Table2[],3,0),"open")</f>
        <v>ok</v>
      </c>
      <c r="C822" s="72" t="s">
        <v>369</v>
      </c>
      <c r="D822" t="s">
        <v>2558</v>
      </c>
      <c r="E822" t="s">
        <v>2559</v>
      </c>
      <c r="F822" s="117" t="s">
        <v>2559</v>
      </c>
      <c r="G822" s="72" t="s">
        <v>406</v>
      </c>
      <c r="H822" s="69" t="str">
        <f>IF(Proc[[#This Row],[type]]="LFF (MDG-F)",MID(Proc[[#This Row],[Obj]],13,10),"")</f>
        <v>CN96GM4002</v>
      </c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45744.631527777776</v>
      </c>
      <c r="N822" s="71">
        <v>45749</v>
      </c>
      <c r="O822" s="71">
        <v>45749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530</v>
      </c>
      <c r="S822" s="69"/>
    </row>
    <row r="823" spans="1:19" hidden="1">
      <c r="A823" t="s">
        <v>2619</v>
      </c>
      <c r="B823" s="149" t="str">
        <f>IFERROR(VLOOKUP(Proc[[#This Row],[App]],Table2[],3,0),"open")</f>
        <v>ok</v>
      </c>
      <c r="C823" s="72" t="s">
        <v>369</v>
      </c>
      <c r="D823" t="s">
        <v>2618</v>
      </c>
      <c r="E823" t="s">
        <v>2559</v>
      </c>
      <c r="F823" s="117" t="s">
        <v>2559</v>
      </c>
      <c r="G823" s="72" t="s">
        <v>400</v>
      </c>
      <c r="H823" s="69" t="str">
        <f>IF(Proc[[#This Row],[type]]="LFF (MDG-F)",MID(Proc[[#This Row],[Obj]],13,10),"")</f>
        <v/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69" t="s">
        <v>2563</v>
      </c>
      <c r="M823" s="71">
        <v>45744.635370370372</v>
      </c>
      <c r="N823" s="71">
        <v>45754</v>
      </c>
      <c r="O823" s="71">
        <v>45754</v>
      </c>
      <c r="P823" s="74" t="str">
        <f ca="1">IF(Proc[[#This Row],[DaysAgeing]]&gt;5,"yep","on track")</f>
        <v>yep</v>
      </c>
      <c r="Q823" s="3">
        <f ca="1">IF(Proc[[#This Row],[DateClosed]]="",ABS(NETWORKDAYS(Proc[[#This Row],[DateOpened]],TODAY()))-1,ABS(NETWORKDAYS(Proc[[#This Row],[DateOpened]],Proc[[#This Row],[DateClosed]]))-1)</f>
        <v>6</v>
      </c>
      <c r="R823" s="74" t="s">
        <v>530</v>
      </c>
      <c r="S823" s="69"/>
    </row>
    <row r="824" spans="1:19" hidden="1">
      <c r="A824" t="s">
        <v>2554</v>
      </c>
      <c r="B824" s="149" t="str">
        <f>IFERROR(VLOOKUP(Proc[[#This Row],[App]],Table2[],3,0),"open")</f>
        <v>ok</v>
      </c>
      <c r="C824" s="72" t="s">
        <v>369</v>
      </c>
      <c r="D824" s="75" t="s">
        <v>2555</v>
      </c>
      <c r="E824" t="s">
        <v>476</v>
      </c>
      <c r="F824" s="117" t="s">
        <v>476</v>
      </c>
      <c r="G824" s="72" t="s">
        <v>406</v>
      </c>
      <c r="H824" s="69" t="str">
        <f>IF(Proc[[#This Row],[type]]="LFF (MDG-F)",MID(Proc[[#This Row],[Obj]],13,10),"")</f>
        <v>CH50GM4010</v>
      </c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45744.666585648149</v>
      </c>
      <c r="N824" s="71">
        <v>45749</v>
      </c>
      <c r="O824" s="71">
        <v>45749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530</v>
      </c>
      <c r="S824" s="69"/>
    </row>
    <row r="825" spans="1:19" hidden="1">
      <c r="A825" t="s">
        <v>2553</v>
      </c>
      <c r="B825" s="149" t="str">
        <f>IFERROR(VLOOKUP(Proc[[#This Row],[App]],Table2[],3,0),"open")</f>
        <v>ok</v>
      </c>
      <c r="C825" s="72" t="s">
        <v>369</v>
      </c>
      <c r="D825" t="s">
        <v>2551</v>
      </c>
      <c r="E825" t="s">
        <v>476</v>
      </c>
      <c r="F825" s="117" t="s">
        <v>476</v>
      </c>
      <c r="G825" s="72" t="s">
        <v>400</v>
      </c>
      <c r="H825" s="69" t="str">
        <f>IF(Proc[[#This Row],[type]]="LFF (MDG-F)",MID(Proc[[#This Row],[Obj]],13,10),"")</f>
        <v/>
      </c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45744.676550925928</v>
      </c>
      <c r="N825" s="71">
        <v>45749</v>
      </c>
      <c r="O825" s="71">
        <v>45749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530</v>
      </c>
      <c r="S825" s="69"/>
    </row>
    <row r="826" spans="1:19" hidden="1">
      <c r="A826" t="s">
        <v>2550</v>
      </c>
      <c r="B826" s="149" t="str">
        <f>IFERROR(VLOOKUP(Proc[[#This Row],[App]],Table2[],3,0),"open")</f>
        <v>ok</v>
      </c>
      <c r="C826" s="72" t="s">
        <v>369</v>
      </c>
      <c r="D826" t="s">
        <v>2549</v>
      </c>
      <c r="E826" s="72" t="s">
        <v>476</v>
      </c>
      <c r="F826" s="117" t="s">
        <v>476</v>
      </c>
      <c r="G826" s="72" t="s">
        <v>400</v>
      </c>
      <c r="H826" s="69" t="str">
        <f>IF(Proc[[#This Row],[type]]="LFF (MDG-F)",MID(Proc[[#This Row],[Obj]],13,10),"")</f>
        <v/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45744.678877314815</v>
      </c>
      <c r="N826" s="71">
        <v>45749</v>
      </c>
      <c r="O826" s="71">
        <v>45749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4" t="s">
        <v>530</v>
      </c>
      <c r="S826" s="69"/>
    </row>
    <row r="827" spans="1:19" hidden="1">
      <c r="A827" t="s">
        <v>2547</v>
      </c>
      <c r="B827" s="149" t="str">
        <f>IFERROR(VLOOKUP(Proc[[#This Row],[App]],Table2[],3,0),"open")</f>
        <v>ok</v>
      </c>
      <c r="C827" s="72" t="s">
        <v>369</v>
      </c>
      <c r="D827" t="s">
        <v>2548</v>
      </c>
      <c r="E827" t="s">
        <v>476</v>
      </c>
      <c r="F827" s="117" t="s">
        <v>476</v>
      </c>
      <c r="G827" s="72" t="s">
        <v>406</v>
      </c>
      <c r="H827" s="69" t="str">
        <f>IF(Proc[[#This Row],[type]]="LFF (MDG-F)",MID(Proc[[#This Row],[Obj]],13,10),"")</f>
        <v>CH75GM8300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45744.687928240739</v>
      </c>
      <c r="N827" s="71">
        <v>45749</v>
      </c>
      <c r="O827" s="71">
        <v>45749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4" t="s">
        <v>530</v>
      </c>
      <c r="S827" s="69"/>
    </row>
    <row r="828" spans="1:19" hidden="1">
      <c r="A828" t="s">
        <v>2544</v>
      </c>
      <c r="B828" s="149" t="str">
        <f>IFERROR(VLOOKUP(Proc[[#This Row],[App]],Table2[],3,0),"open")</f>
        <v>ok</v>
      </c>
      <c r="C828" s="72" t="s">
        <v>369</v>
      </c>
      <c r="D828" t="s">
        <v>2545</v>
      </c>
      <c r="E828" t="s">
        <v>2546</v>
      </c>
      <c r="F828" s="117" t="s">
        <v>2546</v>
      </c>
      <c r="G828" t="s">
        <v>406</v>
      </c>
      <c r="H828" s="69" t="str">
        <f>IF(Proc[[#This Row],[type]]="LFF (MDG-F)",MID(Proc[[#This Row],[Obj]],13,10),"")</f>
        <v>ES50GPO794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45744.699282407404</v>
      </c>
      <c r="N828" s="71">
        <v>45749</v>
      </c>
      <c r="O828" s="71">
        <v>45749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4" t="s">
        <v>530</v>
      </c>
      <c r="S828" s="69"/>
    </row>
    <row r="829" spans="1:19" hidden="1">
      <c r="A829" t="s">
        <v>2541</v>
      </c>
      <c r="B829" s="149" t="str">
        <f>IFERROR(VLOOKUP(Proc[[#This Row],[App]],Table2[],3,0),"open")</f>
        <v>ok</v>
      </c>
      <c r="C829" s="72" t="s">
        <v>369</v>
      </c>
      <c r="D829" t="s">
        <v>2542</v>
      </c>
      <c r="E829" t="s">
        <v>2543</v>
      </c>
      <c r="F829" s="117" t="s">
        <v>2543</v>
      </c>
      <c r="G829" s="72" t="s">
        <v>400</v>
      </c>
      <c r="H829" s="69" t="str">
        <f>IF(Proc[[#This Row],[type]]="LFF (MDG-F)",MID(Proc[[#This Row],[Obj]],13,10),"")</f>
        <v/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45747.396412037036</v>
      </c>
      <c r="N829" s="71">
        <v>45749</v>
      </c>
      <c r="O829" s="71">
        <v>45749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1076</v>
      </c>
      <c r="S829" s="69"/>
    </row>
    <row r="830" spans="1:19" hidden="1">
      <c r="A830" t="s">
        <v>2562</v>
      </c>
      <c r="B830" s="149" t="str">
        <f>IFERROR(VLOOKUP(Proc[[#This Row],[App]],Table2[],3,0),"open")</f>
        <v>ok</v>
      </c>
      <c r="C830" s="72" t="s">
        <v>369</v>
      </c>
      <c r="D830" t="s">
        <v>2560</v>
      </c>
      <c r="E830" t="s">
        <v>2561</v>
      </c>
      <c r="F830" s="117" t="s">
        <v>2561</v>
      </c>
      <c r="G830" s="72" t="s">
        <v>400</v>
      </c>
      <c r="H830" s="69" t="str">
        <f>IF(Proc[[#This Row],[type]]="LFF (MDG-F)",MID(Proc[[#This Row],[Obj]],13,10),"")</f>
        <v/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HC</v>
      </c>
      <c r="L830" s="32" t="s">
        <v>509</v>
      </c>
      <c r="M830" s="71">
        <v>45747.472418981481</v>
      </c>
      <c r="N830" s="71">
        <v>45749</v>
      </c>
      <c r="O830" s="71">
        <v>45749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477</v>
      </c>
      <c r="S830" s="69"/>
    </row>
    <row r="831" spans="1:19" hidden="1">
      <c r="A831" t="s">
        <v>2568</v>
      </c>
      <c r="B831" s="149" t="str">
        <f>IFERROR(VLOOKUP(Proc[[#This Row],[App]],Table2[],3,0),"open")</f>
        <v>ok</v>
      </c>
      <c r="C831" s="72" t="s">
        <v>369</v>
      </c>
      <c r="D831" t="s">
        <v>2569</v>
      </c>
      <c r="E831" t="s">
        <v>2570</v>
      </c>
      <c r="F831" s="117" t="s">
        <v>2570</v>
      </c>
      <c r="G831" s="72" t="s">
        <v>406</v>
      </c>
      <c r="H831" s="69" t="str">
        <f>IF(Proc[[#This Row],[type]]="LFF (MDG-F)",MID(Proc[[#This Row],[Obj]],13,10),"")</f>
        <v>CH50GIT032</v>
      </c>
      <c r="I831" s="72" t="s">
        <v>2574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2563</v>
      </c>
      <c r="M831" s="71">
        <v>45747.711828703701</v>
      </c>
      <c r="N831" s="71">
        <v>45751</v>
      </c>
      <c r="O831" s="71">
        <v>45751</v>
      </c>
      <c r="P831" s="74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4</v>
      </c>
      <c r="R831" s="74" t="s">
        <v>1459</v>
      </c>
      <c r="S831" s="69"/>
    </row>
    <row r="832" spans="1:19" hidden="1">
      <c r="A832" s="72" t="s">
        <v>2566</v>
      </c>
      <c r="B832" s="149" t="str">
        <f>IFERROR(VLOOKUP(Proc[[#This Row],[App]],Table2[],3,0),"open")</f>
        <v>ok</v>
      </c>
      <c r="C832" s="72" t="s">
        <v>369</v>
      </c>
      <c r="D832" t="s">
        <v>2567</v>
      </c>
      <c r="E832" t="s">
        <v>474</v>
      </c>
      <c r="F832" s="117" t="s">
        <v>474</v>
      </c>
      <c r="G832" s="72" t="s">
        <v>400</v>
      </c>
      <c r="H832" s="69" t="str">
        <f>IF(Proc[[#This Row],[type]]="LFF (MDG-F)",MID(Proc[[#This Row],[Obj]],13,10),"")</f>
        <v/>
      </c>
      <c r="I832" s="72"/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MGF</v>
      </c>
      <c r="L832" s="32" t="s">
        <v>2563</v>
      </c>
      <c r="M832" s="71">
        <v>45748.710694444446</v>
      </c>
      <c r="N832" s="71">
        <v>45751</v>
      </c>
      <c r="O832" s="71">
        <v>45751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3</v>
      </c>
      <c r="R832" s="74" t="s">
        <v>530</v>
      </c>
      <c r="S832" s="69"/>
    </row>
    <row r="833" spans="1:19" hidden="1">
      <c r="A833" s="72" t="s">
        <v>2564</v>
      </c>
      <c r="B833" s="149" t="str">
        <f>IFERROR(VLOOKUP(Proc[[#This Row],[App]],Table2[],3,0),"open")</f>
        <v>ok</v>
      </c>
      <c r="C833" s="72" t="s">
        <v>369</v>
      </c>
      <c r="D833" t="s">
        <v>2565</v>
      </c>
      <c r="E833" t="s">
        <v>2552</v>
      </c>
      <c r="F833" s="117" t="s">
        <v>2552</v>
      </c>
      <c r="G833" s="72" t="s">
        <v>400</v>
      </c>
      <c r="H833" s="69" t="str">
        <f>IF(Proc[[#This Row],[type]]="LFF (MDG-F)",MID(Proc[[#This Row],[Obj]],13,10),"")</f>
        <v/>
      </c>
      <c r="I833" s="72"/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2563</v>
      </c>
      <c r="M833" s="71">
        <v>45749.402743055558</v>
      </c>
      <c r="N833" s="71">
        <v>45751</v>
      </c>
      <c r="O833" s="71">
        <v>45751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515</v>
      </c>
      <c r="S833" s="69"/>
    </row>
    <row r="834" spans="1:19" hidden="1">
      <c r="A834" s="72" t="s">
        <v>2571</v>
      </c>
      <c r="B834" s="149" t="str">
        <f>IFERROR(VLOOKUP(Proc[[#This Row],[App]],Table2[],3,0),"open")</f>
        <v>ok</v>
      </c>
      <c r="C834" s="72" t="s">
        <v>369</v>
      </c>
      <c r="D834" t="s">
        <v>2513</v>
      </c>
      <c r="E834" t="s">
        <v>2521</v>
      </c>
      <c r="F834" s="117" t="s">
        <v>2521</v>
      </c>
      <c r="G834" s="72" t="s">
        <v>406</v>
      </c>
      <c r="H834" s="69" t="str">
        <f>IF(Proc[[#This Row],[type]]="LFF (MDG-F)",MID(Proc[[#This Row],[Obj]],13,10),"")</f>
        <v>IT50C02000</v>
      </c>
      <c r="I834" s="72" t="s">
        <v>2574</v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HC</v>
      </c>
      <c r="L834" s="32" t="s">
        <v>2563</v>
      </c>
      <c r="M834" s="71">
        <v>45749.440416666665</v>
      </c>
      <c r="N834" s="71">
        <v>45751</v>
      </c>
      <c r="O834" s="71">
        <v>45751</v>
      </c>
      <c r="P834" s="74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4" t="s">
        <v>2524</v>
      </c>
      <c r="S834" s="69"/>
    </row>
    <row r="835" spans="1:19" hidden="1">
      <c r="A835" s="72" t="s">
        <v>2571</v>
      </c>
      <c r="B835" s="149" t="str">
        <f>IFERROR(VLOOKUP(Proc[[#This Row],[App]],Table2[],3,0),"open")</f>
        <v>ok</v>
      </c>
      <c r="C835" s="72" t="s">
        <v>369</v>
      </c>
      <c r="D835" t="s">
        <v>2514</v>
      </c>
      <c r="E835" t="s">
        <v>2521</v>
      </c>
      <c r="F835" s="117" t="s">
        <v>2521</v>
      </c>
      <c r="G835" s="72" t="s">
        <v>406</v>
      </c>
      <c r="H835" s="69" t="str">
        <f>IF(Proc[[#This Row],[type]]="LFF (MDG-F)",MID(Proc[[#This Row],[Obj]],13,10),"")</f>
        <v>IT50C02004</v>
      </c>
      <c r="I835" s="72" t="s">
        <v>2574</v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HC</v>
      </c>
      <c r="L835" s="32" t="s">
        <v>2563</v>
      </c>
      <c r="M835" s="71">
        <v>45749.440416666665</v>
      </c>
      <c r="N835" s="71">
        <v>45751</v>
      </c>
      <c r="O835" s="71">
        <v>45751</v>
      </c>
      <c r="P835" s="74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4" t="s">
        <v>2524</v>
      </c>
      <c r="S835" s="69"/>
    </row>
    <row r="836" spans="1:19" hidden="1">
      <c r="A836" s="72" t="s">
        <v>2571</v>
      </c>
      <c r="B836" s="149" t="str">
        <f>IFERROR(VLOOKUP(Proc[[#This Row],[App]],Table2[],3,0),"open")</f>
        <v>ok</v>
      </c>
      <c r="C836" s="72" t="s">
        <v>369</v>
      </c>
      <c r="D836" t="s">
        <v>2515</v>
      </c>
      <c r="E836" t="s">
        <v>2521</v>
      </c>
      <c r="F836" s="117" t="s">
        <v>2521</v>
      </c>
      <c r="G836" s="72" t="s">
        <v>406</v>
      </c>
      <c r="H836" s="69" t="str">
        <f>IF(Proc[[#This Row],[type]]="LFF (MDG-F)",MID(Proc[[#This Row],[Obj]],13,10),"")</f>
        <v>IT50C03005</v>
      </c>
      <c r="I836" s="72" t="s">
        <v>2574</v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HC</v>
      </c>
      <c r="L836" s="32" t="s">
        <v>2563</v>
      </c>
      <c r="M836" s="71">
        <v>45749.440416666665</v>
      </c>
      <c r="N836" s="71">
        <v>45751</v>
      </c>
      <c r="O836" s="71">
        <v>45751</v>
      </c>
      <c r="P836" s="74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4" t="s">
        <v>2524</v>
      </c>
      <c r="S836" s="69"/>
    </row>
    <row r="837" spans="1:19" hidden="1">
      <c r="A837" s="72" t="s">
        <v>2571</v>
      </c>
      <c r="B837" s="149" t="str">
        <f>IFERROR(VLOOKUP(Proc[[#This Row],[App]],Table2[],3,0),"open")</f>
        <v>ok</v>
      </c>
      <c r="C837" s="72" t="s">
        <v>369</v>
      </c>
      <c r="D837" t="s">
        <v>2516</v>
      </c>
      <c r="E837" t="s">
        <v>2521</v>
      </c>
      <c r="F837" s="117" t="s">
        <v>2521</v>
      </c>
      <c r="G837" s="72" t="s">
        <v>406</v>
      </c>
      <c r="H837" s="69" t="str">
        <f>IF(Proc[[#This Row],[type]]="LFF (MDG-F)",MID(Proc[[#This Row],[Obj]],13,10),"")</f>
        <v>IT50C03004</v>
      </c>
      <c r="I837" s="72" t="s">
        <v>2574</v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HC</v>
      </c>
      <c r="L837" s="32" t="s">
        <v>2563</v>
      </c>
      <c r="M837" s="71">
        <v>45749.440416666665</v>
      </c>
      <c r="N837" s="71">
        <v>45751</v>
      </c>
      <c r="O837" s="71">
        <v>45751</v>
      </c>
      <c r="P837" s="74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4" t="s">
        <v>2524</v>
      </c>
      <c r="S837" s="69"/>
    </row>
    <row r="838" spans="1:19" hidden="1">
      <c r="A838" s="72" t="s">
        <v>2571</v>
      </c>
      <c r="B838" s="149" t="str">
        <f>IFERROR(VLOOKUP(Proc[[#This Row],[App]],Table2[],3,0),"open")</f>
        <v>ok</v>
      </c>
      <c r="C838" s="72" t="s">
        <v>369</v>
      </c>
      <c r="D838" t="s">
        <v>2517</v>
      </c>
      <c r="E838" t="s">
        <v>2521</v>
      </c>
      <c r="F838" s="117" t="s">
        <v>2521</v>
      </c>
      <c r="G838" s="72" t="s">
        <v>406</v>
      </c>
      <c r="H838" s="69" t="str">
        <f>IF(Proc[[#This Row],[type]]="LFF (MDG-F)",MID(Proc[[#This Row],[Obj]],13,10),"")</f>
        <v>IT50C02009</v>
      </c>
      <c r="I838" s="72" t="s">
        <v>2574</v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HC</v>
      </c>
      <c r="L838" s="32" t="s">
        <v>2563</v>
      </c>
      <c r="M838" s="71">
        <v>45749.440416666665</v>
      </c>
      <c r="N838" s="71">
        <v>45751</v>
      </c>
      <c r="O838" s="71">
        <v>45751</v>
      </c>
      <c r="P838" s="74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4" t="s">
        <v>2524</v>
      </c>
      <c r="S838" s="69"/>
    </row>
    <row r="839" spans="1:19" hidden="1">
      <c r="A839" t="s">
        <v>2571</v>
      </c>
      <c r="B839" s="149" t="str">
        <f>IFERROR(VLOOKUP(Proc[[#This Row],[App]],Table2[],3,0),"open")</f>
        <v>ok</v>
      </c>
      <c r="C839" s="72" t="s">
        <v>369</v>
      </c>
      <c r="D839" s="72" t="s">
        <v>2518</v>
      </c>
      <c r="E839" t="s">
        <v>2521</v>
      </c>
      <c r="F839" s="117" t="s">
        <v>2521</v>
      </c>
      <c r="G839" s="72" t="s">
        <v>406</v>
      </c>
      <c r="H839" s="69" t="str">
        <f>IF(Proc[[#This Row],[type]]="LFF (MDG-F)",MID(Proc[[#This Row],[Obj]],13,10),"")</f>
        <v>IT50C02010</v>
      </c>
      <c r="I839" s="72" t="s">
        <v>2574</v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HC</v>
      </c>
      <c r="L839" s="32" t="s">
        <v>2563</v>
      </c>
      <c r="M839" s="71">
        <v>45749.440416666665</v>
      </c>
      <c r="N839" s="71">
        <v>45751</v>
      </c>
      <c r="O839" s="71">
        <v>45751</v>
      </c>
      <c r="P839" s="74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4" t="s">
        <v>2524</v>
      </c>
      <c r="S839" s="69"/>
    </row>
    <row r="840" spans="1:19" hidden="1">
      <c r="A840" t="s">
        <v>2571</v>
      </c>
      <c r="B840" s="149" t="str">
        <f>IFERROR(VLOOKUP(Proc[[#This Row],[App]],Table2[],3,0),"open")</f>
        <v>ok</v>
      </c>
      <c r="C840" t="s">
        <v>369</v>
      </c>
      <c r="D840" t="s">
        <v>2519</v>
      </c>
      <c r="E840" t="s">
        <v>2521</v>
      </c>
      <c r="F840" s="117" t="s">
        <v>2521</v>
      </c>
      <c r="G840" t="s">
        <v>406</v>
      </c>
      <c r="H840" s="69" t="str">
        <f>IF(Proc[[#This Row],[type]]="LFF (MDG-F)",MID(Proc[[#This Row],[Obj]],13,10),"")</f>
        <v>IT50C03007</v>
      </c>
      <c r="I840" t="s">
        <v>2574</v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HC</v>
      </c>
      <c r="L840" s="32" t="s">
        <v>2563</v>
      </c>
      <c r="M840" s="71">
        <v>45749.440416666665</v>
      </c>
      <c r="N840" s="71">
        <v>45751</v>
      </c>
      <c r="O840" s="71">
        <v>45751</v>
      </c>
      <c r="P840" s="74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4" t="s">
        <v>2524</v>
      </c>
      <c r="S840" s="69"/>
    </row>
    <row r="841" spans="1:19" hidden="1">
      <c r="A841" t="s">
        <v>2571</v>
      </c>
      <c r="B841" s="149" t="str">
        <f>IFERROR(VLOOKUP(Proc[[#This Row],[App]],Table2[],3,0),"open")</f>
        <v>ok</v>
      </c>
      <c r="C841" s="72" t="s">
        <v>369</v>
      </c>
      <c r="D841" t="s">
        <v>2520</v>
      </c>
      <c r="E841" t="s">
        <v>2521</v>
      </c>
      <c r="F841" s="117" t="s">
        <v>2521</v>
      </c>
      <c r="G841" s="72" t="s">
        <v>406</v>
      </c>
      <c r="H841" s="69" t="str">
        <f>IF(Proc[[#This Row],[type]]="LFF (MDG-F)",MID(Proc[[#This Row],[Obj]],13,10),"")</f>
        <v>IT50C02011</v>
      </c>
      <c r="I841" t="s">
        <v>2574</v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HC</v>
      </c>
      <c r="L841" s="32" t="s">
        <v>2563</v>
      </c>
      <c r="M841" s="71">
        <v>45749.440416666665</v>
      </c>
      <c r="N841" s="71">
        <v>45751</v>
      </c>
      <c r="O841" s="71">
        <v>45751</v>
      </c>
      <c r="P841" s="74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4" t="s">
        <v>2524</v>
      </c>
      <c r="S841" s="69"/>
    </row>
    <row r="842" spans="1:19" hidden="1">
      <c r="A842" s="72" t="s">
        <v>2594</v>
      </c>
      <c r="B842" s="149" t="str">
        <f>IFERROR(VLOOKUP(Proc[[#This Row],[App]],Table2[],3,0),"open")</f>
        <v>ok</v>
      </c>
      <c r="C842" s="72" t="s">
        <v>369</v>
      </c>
      <c r="D842" t="s">
        <v>2589</v>
      </c>
      <c r="E842" t="s">
        <v>2592</v>
      </c>
      <c r="F842" s="117" t="s">
        <v>2592</v>
      </c>
      <c r="G842" s="72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2563</v>
      </c>
      <c r="M842" s="71">
        <v>45749.499050925922</v>
      </c>
      <c r="N842" s="71">
        <v>45751</v>
      </c>
      <c r="O842" s="71">
        <v>45751</v>
      </c>
      <c r="P842" s="74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4" t="s">
        <v>972</v>
      </c>
      <c r="S842" s="69"/>
    </row>
    <row r="843" spans="1:19" hidden="1">
      <c r="A843" s="72" t="s">
        <v>2594</v>
      </c>
      <c r="B843" s="149" t="str">
        <f>IFERROR(VLOOKUP(Proc[[#This Row],[App]],Table2[],3,0),"open")</f>
        <v>ok</v>
      </c>
      <c r="C843" s="72" t="s">
        <v>369</v>
      </c>
      <c r="D843" t="s">
        <v>2590</v>
      </c>
      <c r="E843" t="s">
        <v>2593</v>
      </c>
      <c r="F843" s="117" t="s">
        <v>2593</v>
      </c>
      <c r="G843" s="72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2563</v>
      </c>
      <c r="M843" s="71">
        <v>45749.499050925922</v>
      </c>
      <c r="N843" s="71">
        <v>45751</v>
      </c>
      <c r="O843" s="71">
        <v>45751</v>
      </c>
      <c r="P843" s="74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4" t="s">
        <v>972</v>
      </c>
      <c r="S843" s="69"/>
    </row>
    <row r="844" spans="1:19" hidden="1">
      <c r="A844" s="72" t="s">
        <v>2594</v>
      </c>
      <c r="B844" s="149" t="str">
        <f>IFERROR(VLOOKUP(Proc[[#This Row],[App]],Table2[],3,0),"open")</f>
        <v>ok</v>
      </c>
      <c r="C844" s="72" t="s">
        <v>369</v>
      </c>
      <c r="D844" t="s">
        <v>2591</v>
      </c>
      <c r="E844" t="s">
        <v>652</v>
      </c>
      <c r="F844" s="117" t="s">
        <v>652</v>
      </c>
      <c r="G844" s="72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2563</v>
      </c>
      <c r="M844" s="71">
        <v>45749.499050925922</v>
      </c>
      <c r="N844" s="71">
        <v>45751</v>
      </c>
      <c r="O844" s="71">
        <v>45751</v>
      </c>
      <c r="P844" s="74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4" t="s">
        <v>972</v>
      </c>
      <c r="S844" s="69"/>
    </row>
    <row r="845" spans="1:19" hidden="1">
      <c r="A845" t="s">
        <v>2584</v>
      </c>
      <c r="B845" s="149" t="str">
        <f>IFERROR(VLOOKUP(Proc[[#This Row],[App]],Table2[],3,0),"open")</f>
        <v>ok</v>
      </c>
      <c r="C845" s="72" t="s">
        <v>369</v>
      </c>
      <c r="D845" t="s">
        <v>2585</v>
      </c>
      <c r="E845" t="s">
        <v>2598</v>
      </c>
      <c r="F845" s="117" t="s">
        <v>2598</v>
      </c>
      <c r="G845" s="72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2563</v>
      </c>
      <c r="M845" s="71">
        <v>45749.600416666668</v>
      </c>
      <c r="N845" s="71">
        <v>45751</v>
      </c>
      <c r="O845" s="71">
        <v>45751</v>
      </c>
      <c r="P845" s="74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4" t="s">
        <v>489</v>
      </c>
      <c r="S845" s="69"/>
    </row>
    <row r="846" spans="1:19" hidden="1">
      <c r="A846" s="72" t="s">
        <v>2584</v>
      </c>
      <c r="B846" s="149" t="str">
        <f>IFERROR(VLOOKUP(Proc[[#This Row],[App]],Table2[],3,0),"open")</f>
        <v>ok</v>
      </c>
      <c r="C846" s="72" t="s">
        <v>369</v>
      </c>
      <c r="D846" t="s">
        <v>2586</v>
      </c>
      <c r="E846" t="s">
        <v>2599</v>
      </c>
      <c r="F846" s="117" t="s">
        <v>2599</v>
      </c>
      <c r="G846" t="s">
        <v>406</v>
      </c>
      <c r="H846" s="69" t="str">
        <f>IF(Proc[[#This Row],[type]]="LFF (MDG-F)",MID(Proc[[#This Row],[Obj]],13,10),"")</f>
        <v>1937TNCZ90</v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2563</v>
      </c>
      <c r="M846" s="71">
        <v>45749.600416666668</v>
      </c>
      <c r="N846" s="71">
        <v>45751</v>
      </c>
      <c r="O846" s="71">
        <v>45751</v>
      </c>
      <c r="P846" s="74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4" t="s">
        <v>489</v>
      </c>
      <c r="S846" s="69"/>
    </row>
    <row r="847" spans="1:19" hidden="1">
      <c r="A847" s="72" t="s">
        <v>2584</v>
      </c>
      <c r="B847" s="149" t="str">
        <f>IFERROR(VLOOKUP(Proc[[#This Row],[App]],Table2[],3,0),"open")</f>
        <v>ok</v>
      </c>
      <c r="C847" s="72" t="s">
        <v>369</v>
      </c>
      <c r="D847" t="s">
        <v>2587</v>
      </c>
      <c r="E847" t="s">
        <v>2600</v>
      </c>
      <c r="F847" s="117" t="s">
        <v>2600</v>
      </c>
      <c r="G847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2563</v>
      </c>
      <c r="M847" s="71">
        <v>45749.600416666668</v>
      </c>
      <c r="N847" s="71">
        <v>45751</v>
      </c>
      <c r="O847" s="71">
        <v>45751</v>
      </c>
      <c r="P847" s="74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4" t="s">
        <v>489</v>
      </c>
      <c r="S847" s="69"/>
    </row>
    <row r="848" spans="1:19" hidden="1">
      <c r="A848" s="72" t="s">
        <v>2584</v>
      </c>
      <c r="B848" s="149" t="str">
        <f>IFERROR(VLOOKUP(Proc[[#This Row],[App]],Table2[],3,0),"open")</f>
        <v>ok</v>
      </c>
      <c r="C848" s="72" t="s">
        <v>369</v>
      </c>
      <c r="D848" t="s">
        <v>2588</v>
      </c>
      <c r="E848" t="s">
        <v>2496</v>
      </c>
      <c r="F848" s="117" t="s">
        <v>2496</v>
      </c>
      <c r="G848" s="72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2563</v>
      </c>
      <c r="M848" s="71">
        <v>45749.600416666668</v>
      </c>
      <c r="N848" s="71">
        <v>45751</v>
      </c>
      <c r="O848" s="71">
        <v>45751</v>
      </c>
      <c r="P848" s="74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4" t="s">
        <v>489</v>
      </c>
      <c r="S848" s="69"/>
    </row>
    <row r="849" spans="1:19" hidden="1">
      <c r="A849" t="s">
        <v>2583</v>
      </c>
      <c r="B849" s="149" t="str">
        <f>IFERROR(VLOOKUP(Proc[[#This Row],[App]],Table2[],3,0),"open")</f>
        <v>ok</v>
      </c>
      <c r="C849" s="72" t="s">
        <v>369</v>
      </c>
      <c r="D849" t="s">
        <v>2578</v>
      </c>
      <c r="E849" t="s">
        <v>2596</v>
      </c>
      <c r="F849" s="117" t="s">
        <v>2596</v>
      </c>
      <c r="G849" s="72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2563</v>
      </c>
      <c r="M849" s="71">
        <v>45749.710787037038</v>
      </c>
      <c r="N849" s="71">
        <v>45751</v>
      </c>
      <c r="O849" s="71">
        <v>45751</v>
      </c>
      <c r="P849" s="74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4" t="s">
        <v>489</v>
      </c>
      <c r="S849" s="69"/>
    </row>
    <row r="850" spans="1:19" hidden="1">
      <c r="A850" s="72" t="s">
        <v>2583</v>
      </c>
      <c r="B850" s="149" t="str">
        <f>IFERROR(VLOOKUP(Proc[[#This Row],[App]],Table2[],3,0),"open")</f>
        <v>ok</v>
      </c>
      <c r="C850" s="72" t="s">
        <v>369</v>
      </c>
      <c r="D850" t="s">
        <v>2579</v>
      </c>
      <c r="E850" t="s">
        <v>2597</v>
      </c>
      <c r="F850" s="117" t="s">
        <v>2597</v>
      </c>
      <c r="G850" s="72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2563</v>
      </c>
      <c r="M850" s="71">
        <v>45749.710787037038</v>
      </c>
      <c r="N850" s="71">
        <v>45751</v>
      </c>
      <c r="O850" s="71">
        <v>45751</v>
      </c>
      <c r="P850" s="74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4" t="s">
        <v>489</v>
      </c>
      <c r="S850" s="69"/>
    </row>
    <row r="851" spans="1:19" hidden="1">
      <c r="A851" s="72" t="s">
        <v>2583</v>
      </c>
      <c r="B851" s="149" t="str">
        <f>IFERROR(VLOOKUP(Proc[[#This Row],[App]],Table2[],3,0),"open")</f>
        <v>ok</v>
      </c>
      <c r="C851" s="72" t="s">
        <v>369</v>
      </c>
      <c r="D851" t="s">
        <v>2580</v>
      </c>
      <c r="E851" t="s">
        <v>2597</v>
      </c>
      <c r="F851" s="117" t="s">
        <v>2597</v>
      </c>
      <c r="G851" s="72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2563</v>
      </c>
      <c r="M851" s="71">
        <v>45749.710787037038</v>
      </c>
      <c r="N851" s="71">
        <v>45751</v>
      </c>
      <c r="O851" s="71">
        <v>45751</v>
      </c>
      <c r="P851" s="74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4" t="s">
        <v>489</v>
      </c>
      <c r="S851" s="69"/>
    </row>
    <row r="852" spans="1:19" hidden="1">
      <c r="A852" t="s">
        <v>2583</v>
      </c>
      <c r="B852" s="149" t="str">
        <f>IFERROR(VLOOKUP(Proc[[#This Row],[App]],Table2[],3,0),"open")</f>
        <v>ok</v>
      </c>
      <c r="C852" s="72" t="s">
        <v>369</v>
      </c>
      <c r="D852" t="s">
        <v>2581</v>
      </c>
      <c r="E852" t="s">
        <v>2582</v>
      </c>
      <c r="F852" s="117" t="s">
        <v>2582</v>
      </c>
      <c r="G852" s="72" t="s">
        <v>400</v>
      </c>
      <c r="H852" s="69" t="str">
        <f>IF(Proc[[#This Row],[type]]="LFF (MDG-F)",MID(Proc[[#This Row],[Obj]],13,10),"")</f>
        <v/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LS</v>
      </c>
      <c r="L852" s="32" t="s">
        <v>2563</v>
      </c>
      <c r="M852" s="71">
        <v>45749.710787037038</v>
      </c>
      <c r="N852" s="71">
        <v>45751</v>
      </c>
      <c r="O852" s="71">
        <v>45751</v>
      </c>
      <c r="P852" s="74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2</v>
      </c>
      <c r="R852" s="74" t="s">
        <v>489</v>
      </c>
      <c r="S852" s="69"/>
    </row>
    <row r="853" spans="1:19" hidden="1">
      <c r="A853" t="s">
        <v>2577</v>
      </c>
      <c r="B853" s="149" t="str">
        <f>IFERROR(VLOOKUP(Proc[[#This Row],[App]],Table2[],3,0),"open")</f>
        <v>ok</v>
      </c>
      <c r="C853" t="s">
        <v>369</v>
      </c>
      <c r="D853" t="s">
        <v>2576</v>
      </c>
      <c r="E853" t="s">
        <v>617</v>
      </c>
      <c r="F853" s="117" t="s">
        <v>617</v>
      </c>
      <c r="G853" s="72" t="s">
        <v>400</v>
      </c>
      <c r="H853" s="69" t="str">
        <f>IF(Proc[[#This Row],[type]]="LFF (MDG-F)",MID(Proc[[#This Row],[Obj]],13,10),"")</f>
        <v/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2563</v>
      </c>
      <c r="M853" s="71">
        <v>45750.310289351852</v>
      </c>
      <c r="N853" s="71">
        <v>45751</v>
      </c>
      <c r="O853" s="71">
        <v>45751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1</v>
      </c>
      <c r="R853" s="74" t="s">
        <v>515</v>
      </c>
      <c r="S853" s="69"/>
    </row>
    <row r="854" spans="1:19" hidden="1">
      <c r="A854" t="s">
        <v>2595</v>
      </c>
      <c r="B854" s="149" t="str">
        <f>IFERROR(VLOOKUP(Proc[[#This Row],[App]],Table2[],3,0),"open")</f>
        <v>ok</v>
      </c>
      <c r="C854" t="s">
        <v>369</v>
      </c>
      <c r="D854" t="s">
        <v>2601</v>
      </c>
      <c r="E854" t="s">
        <v>2405</v>
      </c>
      <c r="F854" s="117" t="s">
        <v>2405</v>
      </c>
      <c r="G854" t="s">
        <v>400</v>
      </c>
      <c r="H854" s="69" t="str">
        <f>IF(Proc[[#This Row],[type]]="LFF (MDG-F)",MID(Proc[[#This Row],[Obj]],13,10),"")</f>
        <v/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2563</v>
      </c>
      <c r="M854" s="71">
        <v>45750.367430555554</v>
      </c>
      <c r="N854" s="71">
        <v>45751</v>
      </c>
      <c r="O854" s="71">
        <v>45751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1</v>
      </c>
      <c r="R854" s="74" t="s">
        <v>515</v>
      </c>
      <c r="S854" s="69"/>
    </row>
    <row r="855" spans="1:19" hidden="1">
      <c r="A855" s="72" t="s">
        <v>2608</v>
      </c>
      <c r="B855" s="149" t="str">
        <f>IFERROR(VLOOKUP(Proc[[#This Row],[App]],Table2[],3,0),"open")</f>
        <v>ok</v>
      </c>
      <c r="C855" s="72" t="s">
        <v>369</v>
      </c>
      <c r="D855" t="s">
        <v>2609</v>
      </c>
      <c r="E855" t="s">
        <v>427</v>
      </c>
      <c r="F855" s="117" t="s">
        <v>427</v>
      </c>
      <c r="G855" s="72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MGF</v>
      </c>
      <c r="L855" s="69" t="s">
        <v>2563</v>
      </c>
      <c r="M855" s="71">
        <v>45750.463703703703</v>
      </c>
      <c r="N855" s="71">
        <v>45754</v>
      </c>
      <c r="O855" s="71">
        <v>45754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4" t="s">
        <v>1459</v>
      </c>
      <c r="S855" s="69"/>
    </row>
    <row r="856" spans="1:19" hidden="1">
      <c r="A856" t="s">
        <v>2608</v>
      </c>
      <c r="B856" s="149" t="str">
        <f>IFERROR(VLOOKUP(Proc[[#This Row],[App]],Table2[],3,0),"open")</f>
        <v>ok</v>
      </c>
      <c r="C856" s="72" t="s">
        <v>369</v>
      </c>
      <c r="D856" t="s">
        <v>2610</v>
      </c>
      <c r="E856" t="s">
        <v>2614</v>
      </c>
      <c r="F856" s="117" t="s">
        <v>2614</v>
      </c>
      <c r="G856" s="72" t="s">
        <v>406</v>
      </c>
      <c r="H856" s="69" t="str">
        <f>IF(Proc[[#This Row],[type]]="LFF (MDG-F)",MID(Proc[[#This Row],[Obj]],13,10),"")</f>
        <v>DE10600470</v>
      </c>
      <c r="I856" t="s">
        <v>2617</v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MGF</v>
      </c>
      <c r="L856" s="69" t="s">
        <v>2563</v>
      </c>
      <c r="M856" s="71">
        <v>45750.463703703703</v>
      </c>
      <c r="N856" s="71">
        <v>45754</v>
      </c>
      <c r="O856" s="71">
        <v>45754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4" t="s">
        <v>1459</v>
      </c>
      <c r="S856" s="69"/>
    </row>
    <row r="857" spans="1:19" hidden="1">
      <c r="A857" s="72" t="s">
        <v>2608</v>
      </c>
      <c r="B857" s="149" t="str">
        <f>IFERROR(VLOOKUP(Proc[[#This Row],[App]],Table2[],3,0),"open")</f>
        <v>ok</v>
      </c>
      <c r="C857" s="72" t="s">
        <v>369</v>
      </c>
      <c r="D857" t="s">
        <v>2611</v>
      </c>
      <c r="E857" t="s">
        <v>2615</v>
      </c>
      <c r="F857" s="117" t="s">
        <v>2615</v>
      </c>
      <c r="G857" t="s">
        <v>406</v>
      </c>
      <c r="H857" s="69" t="str">
        <f>IF(Proc[[#This Row],[type]]="LFF (MDG-F)",MID(Proc[[#This Row],[Obj]],13,10),"")</f>
        <v>DE10GIT705</v>
      </c>
      <c r="I857" t="s">
        <v>2617</v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MGF</v>
      </c>
      <c r="L857" s="69" t="s">
        <v>2563</v>
      </c>
      <c r="M857" s="71">
        <v>45750.463703703703</v>
      </c>
      <c r="N857" s="71">
        <v>45754</v>
      </c>
      <c r="O857" s="71">
        <v>45754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4" t="s">
        <v>1459</v>
      </c>
      <c r="S857" s="69"/>
    </row>
    <row r="858" spans="1:19" hidden="1">
      <c r="A858" s="72" t="s">
        <v>2608</v>
      </c>
      <c r="B858" s="149" t="str">
        <f>IFERROR(VLOOKUP(Proc[[#This Row],[App]],Table2[],3,0),"open")</f>
        <v>ok</v>
      </c>
      <c r="C858" s="72" t="s">
        <v>369</v>
      </c>
      <c r="D858" t="s">
        <v>2612</v>
      </c>
      <c r="E858" t="s">
        <v>759</v>
      </c>
      <c r="F858" s="117" t="s">
        <v>759</v>
      </c>
      <c r="G858" s="72" t="s">
        <v>400</v>
      </c>
      <c r="H858" s="69" t="str">
        <f>IF(Proc[[#This Row],[type]]="LFF (MDG-F)",MID(Proc[[#This Row],[Obj]],13,10),"")</f>
        <v/>
      </c>
      <c r="I858" s="72"/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MGF</v>
      </c>
      <c r="L858" s="69" t="s">
        <v>2563</v>
      </c>
      <c r="M858" s="71">
        <v>45750.463703703703</v>
      </c>
      <c r="N858" s="71">
        <v>45754</v>
      </c>
      <c r="O858" s="71">
        <v>45754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4" t="s">
        <v>1459</v>
      </c>
      <c r="S858" s="69"/>
    </row>
    <row r="859" spans="1:19" hidden="1">
      <c r="A859" s="72" t="s">
        <v>2608</v>
      </c>
      <c r="B859" s="149" t="str">
        <f>IFERROR(VLOOKUP(Proc[[#This Row],[App]],Table2[],3,0),"open")</f>
        <v>ok</v>
      </c>
      <c r="C859" s="72" t="s">
        <v>369</v>
      </c>
      <c r="D859" t="s">
        <v>2613</v>
      </c>
      <c r="E859" t="s">
        <v>2615</v>
      </c>
      <c r="F859" s="117" t="s">
        <v>2615</v>
      </c>
      <c r="G859" t="s">
        <v>406</v>
      </c>
      <c r="H859" s="69" t="str">
        <f>IF(Proc[[#This Row],[type]]="LFF (MDG-F)",MID(Proc[[#This Row],[Obj]],13,10),"")</f>
        <v>2123GIT261</v>
      </c>
      <c r="I859" t="s">
        <v>2617</v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MGF</v>
      </c>
      <c r="L859" s="69" t="s">
        <v>2563</v>
      </c>
      <c r="M859" s="71">
        <v>45750.463703703703</v>
      </c>
      <c r="N859" s="71">
        <v>45754</v>
      </c>
      <c r="O859" s="71">
        <v>45754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1459</v>
      </c>
      <c r="S859" s="69"/>
    </row>
    <row r="860" spans="1:19" hidden="1">
      <c r="A860" s="72" t="s">
        <v>2604</v>
      </c>
      <c r="B860" s="149" t="str">
        <f>IFERROR(VLOOKUP(Proc[[#This Row],[App]],Table2[],3,0),"open")</f>
        <v>ok</v>
      </c>
      <c r="C860" s="72" t="s">
        <v>369</v>
      </c>
      <c r="D860" t="s">
        <v>2605</v>
      </c>
      <c r="E860" t="s">
        <v>2505</v>
      </c>
      <c r="F860" s="117" t="s">
        <v>2505</v>
      </c>
      <c r="G860" s="72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MGF</v>
      </c>
      <c r="L860" s="69" t="s">
        <v>2563</v>
      </c>
      <c r="M860" s="71">
        <v>45750.696215277778</v>
      </c>
      <c r="N860" s="71">
        <v>45754</v>
      </c>
      <c r="O860" s="71">
        <v>45754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515</v>
      </c>
      <c r="S860" s="69"/>
    </row>
    <row r="861" spans="1:19" hidden="1">
      <c r="A861" t="s">
        <v>2604</v>
      </c>
      <c r="B861" s="149" t="str">
        <f>IFERROR(VLOOKUP(Proc[[#This Row],[App]],Table2[],3,0),"open")</f>
        <v>ok</v>
      </c>
      <c r="C861" s="72" t="s">
        <v>369</v>
      </c>
      <c r="D861" t="s">
        <v>2606</v>
      </c>
      <c r="E861" t="s">
        <v>2607</v>
      </c>
      <c r="F861" s="117" t="s">
        <v>2607</v>
      </c>
      <c r="G861" s="72" t="s">
        <v>400</v>
      </c>
      <c r="H861" s="69" t="str">
        <f>IF(Proc[[#This Row],[type]]="LFF (MDG-F)",MID(Proc[[#This Row],[Obj]],13,10),"")</f>
        <v/>
      </c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69" t="s">
        <v>2563</v>
      </c>
      <c r="M861" s="71">
        <v>45750.696215277778</v>
      </c>
      <c r="N861" s="71">
        <v>45754</v>
      </c>
      <c r="O861" s="71">
        <v>45754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2</v>
      </c>
      <c r="R861" s="74" t="s">
        <v>515</v>
      </c>
      <c r="S861" s="69"/>
    </row>
    <row r="862" spans="1:19" hidden="1">
      <c r="A862" t="s">
        <v>2626</v>
      </c>
      <c r="B862" s="149" t="str">
        <f>IFERROR(VLOOKUP(Proc[[#This Row],[App]],Table2[],3,0),"open")</f>
        <v>ok</v>
      </c>
      <c r="C862" t="s">
        <v>369</v>
      </c>
      <c r="D862" t="s">
        <v>2627</v>
      </c>
      <c r="E862" t="s">
        <v>622</v>
      </c>
      <c r="F862" s="117" t="s">
        <v>622</v>
      </c>
      <c r="G862" s="72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LS</v>
      </c>
      <c r="L862" s="69" t="s">
        <v>2563</v>
      </c>
      <c r="M862" s="71">
        <v>45754.504537037035</v>
      </c>
      <c r="N862" s="71">
        <v>45757</v>
      </c>
      <c r="O862" s="77"/>
      <c r="P862" s="74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173</v>
      </c>
      <c r="R862" s="74" t="s">
        <v>972</v>
      </c>
      <c r="S862" s="69"/>
    </row>
    <row r="863" spans="1:19" hidden="1">
      <c r="A863" s="72" t="s">
        <v>2626</v>
      </c>
      <c r="B863" s="149" t="str">
        <f>IFERROR(VLOOKUP(Proc[[#This Row],[App]],Table2[],3,0),"open")</f>
        <v>ok</v>
      </c>
      <c r="C863" s="72" t="s">
        <v>369</v>
      </c>
      <c r="D863" t="s">
        <v>2628</v>
      </c>
      <c r="E863" t="s">
        <v>468</v>
      </c>
      <c r="F863" s="117" t="s">
        <v>468</v>
      </c>
      <c r="G863" s="72" t="s">
        <v>400</v>
      </c>
      <c r="H863" s="69" t="str">
        <f>IF(Proc[[#This Row],[type]]="LFF (MDG-F)",MID(Proc[[#This Row],[Obj]],13,10),"")</f>
        <v/>
      </c>
      <c r="I863" s="72"/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LS</v>
      </c>
      <c r="L863" s="69" t="s">
        <v>2563</v>
      </c>
      <c r="M863" s="71">
        <v>45754.504537037035</v>
      </c>
      <c r="N863" s="71">
        <v>45757</v>
      </c>
      <c r="O863" s="77"/>
      <c r="P863" s="74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173</v>
      </c>
      <c r="R863" s="74" t="s">
        <v>972</v>
      </c>
      <c r="S863" s="69"/>
    </row>
    <row r="864" spans="1:19" hidden="1">
      <c r="A864" t="s">
        <v>2622</v>
      </c>
      <c r="B864" s="149" t="str">
        <f>IFERROR(VLOOKUP(Proc[[#This Row],[App]],Table2[],3,0),"open")</f>
        <v>ok</v>
      </c>
      <c r="C864" s="72" t="s">
        <v>369</v>
      </c>
      <c r="D864" t="s">
        <v>2623</v>
      </c>
      <c r="E864" t="s">
        <v>2625</v>
      </c>
      <c r="F864" s="117" t="s">
        <v>2625</v>
      </c>
      <c r="G864" t="s">
        <v>400</v>
      </c>
      <c r="H864" s="69" t="str">
        <f>IF(Proc[[#This Row],[type]]="LFF (MDG-F)",MID(Proc[[#This Row],[Obj]],13,10),"")</f>
        <v/>
      </c>
      <c r="I864" t="s">
        <v>2684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69" t="s">
        <v>2563</v>
      </c>
      <c r="M864" s="71">
        <v>45754.739930555559</v>
      </c>
      <c r="N864" s="79">
        <v>45758</v>
      </c>
      <c r="O864" s="79">
        <v>45758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4</v>
      </c>
      <c r="R864" s="74" t="s">
        <v>1459</v>
      </c>
      <c r="S864" s="69"/>
    </row>
    <row r="865" spans="1:19" hidden="1">
      <c r="A865" s="72" t="s">
        <v>2622</v>
      </c>
      <c r="B865" s="149" t="str">
        <f>IFERROR(VLOOKUP(Proc[[#This Row],[App]],Table2[],3,0),"open")</f>
        <v>ok</v>
      </c>
      <c r="C865" s="72" t="s">
        <v>369</v>
      </c>
      <c r="D865" t="s">
        <v>2624</v>
      </c>
      <c r="E865" t="s">
        <v>424</v>
      </c>
      <c r="F865" s="117" t="s">
        <v>424</v>
      </c>
      <c r="G865" s="72" t="s">
        <v>400</v>
      </c>
      <c r="H865" s="69" t="str">
        <f>IF(Proc[[#This Row],[type]]="LFF (MDG-F)",MID(Proc[[#This Row],[Obj]],13,10),"")</f>
        <v/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69" t="s">
        <v>2563</v>
      </c>
      <c r="M865" s="71">
        <v>45754.739930555559</v>
      </c>
      <c r="N865" s="77">
        <v>45757</v>
      </c>
      <c r="O865" s="77">
        <v>45758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4</v>
      </c>
      <c r="R865" s="74" t="s">
        <v>1459</v>
      </c>
      <c r="S865" s="69"/>
    </row>
    <row r="866" spans="1:19" hidden="1">
      <c r="A866" t="s">
        <v>2621</v>
      </c>
      <c r="B866" s="149" t="str">
        <f>IFERROR(VLOOKUP(Proc[[#This Row],[App]],Table2[],3,0),"open")</f>
        <v>ok</v>
      </c>
      <c r="C866" s="72" t="s">
        <v>369</v>
      </c>
      <c r="D866" t="s">
        <v>486</v>
      </c>
      <c r="E866" t="s">
        <v>2620</v>
      </c>
      <c r="F866" s="117" t="s">
        <v>2620</v>
      </c>
      <c r="G866" s="72" t="s">
        <v>406</v>
      </c>
      <c r="H866" s="69" t="str">
        <f>IF(Proc[[#This Row],[type]]="LFF (MDG-F)",MID(Proc[[#This Row],[Obj]],13,10),"")</f>
        <v>DE10566400</v>
      </c>
      <c r="I866" t="s">
        <v>2629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69" t="s">
        <v>2563</v>
      </c>
      <c r="M866" s="71">
        <v>45754.873298611114</v>
      </c>
      <c r="N866" s="77">
        <v>45757</v>
      </c>
      <c r="O866" s="77">
        <v>45757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3</v>
      </c>
      <c r="R866" s="74" t="s">
        <v>549</v>
      </c>
      <c r="S866" s="69"/>
    </row>
    <row r="867" spans="1:19" hidden="1">
      <c r="A867" t="s">
        <v>2621</v>
      </c>
      <c r="B867" s="149" t="str">
        <f>IFERROR(VLOOKUP(Proc[[#This Row],[App]],Table2[],3,0),"open")</f>
        <v>ok</v>
      </c>
      <c r="C867" s="72" t="s">
        <v>369</v>
      </c>
      <c r="D867" t="s">
        <v>2285</v>
      </c>
      <c r="E867" t="s">
        <v>2620</v>
      </c>
      <c r="F867" s="117" t="s">
        <v>2620</v>
      </c>
      <c r="G867" s="72" t="s">
        <v>406</v>
      </c>
      <c r="H867" s="69" t="str">
        <f>IF(Proc[[#This Row],[type]]="LFF (MDG-F)",MID(Proc[[#This Row],[Obj]],13,10),"")</f>
        <v>DE10566910</v>
      </c>
      <c r="I867" t="s">
        <v>2629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69" t="s">
        <v>2563</v>
      </c>
      <c r="M867" s="71">
        <v>45754.873298611114</v>
      </c>
      <c r="N867" s="77"/>
      <c r="O867" s="77">
        <v>45757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3</v>
      </c>
      <c r="R867" s="74" t="s">
        <v>549</v>
      </c>
      <c r="S867" s="69"/>
    </row>
    <row r="868" spans="1:19" hidden="1">
      <c r="A868" s="72" t="s">
        <v>2670</v>
      </c>
      <c r="B868" s="149" t="str">
        <f>IFERROR(VLOOKUP(Proc[[#This Row],[App]],Table2[],3,0),"open")</f>
        <v>ok</v>
      </c>
      <c r="C868" s="72" t="s">
        <v>369</v>
      </c>
      <c r="D868" s="72" t="s">
        <v>2671</v>
      </c>
      <c r="E868" s="72" t="s">
        <v>2417</v>
      </c>
      <c r="F868" s="117" t="s">
        <v>2417</v>
      </c>
      <c r="G868" t="s">
        <v>400</v>
      </c>
      <c r="H868" s="69" t="str">
        <f>IF(Proc[[#This Row],[type]]="LFF (MDG-F)",MID(Proc[[#This Row],[Obj]],13,10),"")</f>
        <v/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69" t="s">
        <v>2563</v>
      </c>
      <c r="M868" s="74">
        <v>45755.527407407404</v>
      </c>
      <c r="N868" s="79">
        <v>45758</v>
      </c>
      <c r="O868" s="79">
        <v>45758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3</v>
      </c>
      <c r="R868" s="74" t="s">
        <v>515</v>
      </c>
      <c r="S868" s="69"/>
    </row>
    <row r="869" spans="1:19" hidden="1">
      <c r="A869" s="72" t="s">
        <v>2674</v>
      </c>
      <c r="B869" s="149" t="str">
        <f>IFERROR(VLOOKUP(Proc[[#This Row],[App]],Table2[],3,0),"open")</f>
        <v>ok</v>
      </c>
      <c r="C869" s="72" t="s">
        <v>398</v>
      </c>
      <c r="D869" s="72" t="s">
        <v>2677</v>
      </c>
      <c r="E869" s="72" t="s">
        <v>2678</v>
      </c>
      <c r="F869" s="103" t="s">
        <v>2678</v>
      </c>
      <c r="G869" s="72" t="s">
        <v>400</v>
      </c>
      <c r="H869" s="69" t="str">
        <f>IF(Proc[[#This Row],[type]]="LFF (MDG-F)",MID(Proc[[#This Row],[Obj]],13,10),"")</f>
        <v/>
      </c>
      <c r="I869" t="s">
        <v>2685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LS</v>
      </c>
      <c r="L869" s="69" t="s">
        <v>2563</v>
      </c>
      <c r="M869" s="74">
        <v>45755.527407407404</v>
      </c>
      <c r="N869" s="79"/>
      <c r="O869" s="79">
        <v>45758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3</v>
      </c>
      <c r="R869" s="74" t="s">
        <v>2679</v>
      </c>
      <c r="S869" s="94" t="e">
        <f>VLOOKUP(Proc[[#This Row],[Obj]],#REF!,2,0)</f>
        <v>#REF!</v>
      </c>
    </row>
    <row r="870" spans="1:19" hidden="1">
      <c r="A870" s="72" t="s">
        <v>2673</v>
      </c>
      <c r="B870" s="149" t="str">
        <f>IFERROR(VLOOKUP(Proc[[#This Row],[App]],Table2[],3,0),"open")</f>
        <v>ok</v>
      </c>
      <c r="C870" s="72" t="s">
        <v>369</v>
      </c>
      <c r="D870" s="72" t="s">
        <v>2630</v>
      </c>
      <c r="E870" s="72" t="s">
        <v>1830</v>
      </c>
      <c r="F870" s="117" t="s">
        <v>1830</v>
      </c>
      <c r="G870" s="72" t="s">
        <v>400</v>
      </c>
      <c r="H870" s="69" t="str">
        <f>IF(Proc[[#This Row],[type]]="LFF (MDG-F)",MID(Proc[[#This Row],[Obj]],13,10),"")</f>
        <v/>
      </c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LS</v>
      </c>
      <c r="L870" s="69" t="s">
        <v>2563</v>
      </c>
      <c r="M870" s="74">
        <v>45755.527407407404</v>
      </c>
      <c r="N870" s="79"/>
      <c r="O870" s="79"/>
      <c r="P870" s="74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172</v>
      </c>
      <c r="R870" s="74" t="s">
        <v>489</v>
      </c>
      <c r="S870" s="69"/>
    </row>
    <row r="871" spans="1:19" hidden="1">
      <c r="A871" s="72" t="s">
        <v>2673</v>
      </c>
      <c r="B871" s="149" t="str">
        <f>IFERROR(VLOOKUP(Proc[[#This Row],[App]],Table2[],3,0),"open")</f>
        <v>ok</v>
      </c>
      <c r="C871" s="72" t="s">
        <v>369</v>
      </c>
      <c r="D871" s="72" t="s">
        <v>2631</v>
      </c>
      <c r="E871" s="72" t="s">
        <v>1830</v>
      </c>
      <c r="F871" s="117" t="s">
        <v>1830</v>
      </c>
      <c r="G871" s="72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LS</v>
      </c>
      <c r="L871" s="69" t="s">
        <v>2563</v>
      </c>
      <c r="M871" s="74">
        <v>45755.527407407404</v>
      </c>
      <c r="N871" s="79"/>
      <c r="O871" s="79"/>
      <c r="P871" s="74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172</v>
      </c>
      <c r="R871" s="74" t="s">
        <v>489</v>
      </c>
      <c r="S871" s="69"/>
    </row>
    <row r="872" spans="1:19" hidden="1">
      <c r="A872" s="72" t="s">
        <v>2673</v>
      </c>
      <c r="B872" s="149" t="str">
        <f>IFERROR(VLOOKUP(Proc[[#This Row],[App]],Table2[],3,0),"open")</f>
        <v>ok</v>
      </c>
      <c r="C872" s="72" t="s">
        <v>369</v>
      </c>
      <c r="D872" s="72" t="s">
        <v>2632</v>
      </c>
      <c r="E872" s="72" t="s">
        <v>1830</v>
      </c>
      <c r="F872" s="117" t="s">
        <v>1830</v>
      </c>
      <c r="G872" s="72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LS</v>
      </c>
      <c r="L872" s="69" t="s">
        <v>2563</v>
      </c>
      <c r="M872" s="74">
        <v>45755.527407407404</v>
      </c>
      <c r="N872" s="79"/>
      <c r="O872" s="79"/>
      <c r="P872" s="74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172</v>
      </c>
      <c r="R872" s="74" t="s">
        <v>489</v>
      </c>
      <c r="S872" s="69"/>
    </row>
    <row r="873" spans="1:19" hidden="1">
      <c r="A873" s="72" t="s">
        <v>2667</v>
      </c>
      <c r="B873" s="149" t="str">
        <f>IFERROR(VLOOKUP(Proc[[#This Row],[App]],Table2[],3,0),"open")</f>
        <v>ok</v>
      </c>
      <c r="C873" s="72" t="s">
        <v>369</v>
      </c>
      <c r="D873" s="72" t="s">
        <v>2668</v>
      </c>
      <c r="E873" s="72" t="s">
        <v>2669</v>
      </c>
      <c r="F873" s="117" t="s">
        <v>2669</v>
      </c>
      <c r="G873" s="72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69" t="s">
        <v>2563</v>
      </c>
      <c r="M873" s="74">
        <v>45756.387754629628</v>
      </c>
      <c r="N873" s="79">
        <v>45758</v>
      </c>
      <c r="O873" s="79">
        <v>45758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515</v>
      </c>
      <c r="S873" s="69"/>
    </row>
    <row r="874" spans="1:19" hidden="1">
      <c r="A874" s="72" t="s">
        <v>2663</v>
      </c>
      <c r="B874" s="149" t="str">
        <f>IFERROR(VLOOKUP(Proc[[#This Row],[App]],Table2[],3,0),"open")</f>
        <v>ok</v>
      </c>
      <c r="C874" s="72" t="s">
        <v>369</v>
      </c>
      <c r="D874" s="72" t="s">
        <v>2664</v>
      </c>
      <c r="E874" s="72" t="s">
        <v>2666</v>
      </c>
      <c r="F874" s="117" t="s">
        <v>2666</v>
      </c>
      <c r="G874" s="72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69" t="s">
        <v>2563</v>
      </c>
      <c r="M874" s="74">
        <v>45756.453032407408</v>
      </c>
      <c r="N874" s="79">
        <v>45758</v>
      </c>
      <c r="O874" s="79">
        <v>45758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515</v>
      </c>
      <c r="S874" s="69"/>
    </row>
    <row r="875" spans="1:19" hidden="1">
      <c r="A875" s="72" t="s">
        <v>2663</v>
      </c>
      <c r="B875" s="149" t="str">
        <f>IFERROR(VLOOKUP(Proc[[#This Row],[App]],Table2[],3,0),"open")</f>
        <v>ok</v>
      </c>
      <c r="C875" s="72" t="s">
        <v>369</v>
      </c>
      <c r="D875" s="72" t="s">
        <v>2665</v>
      </c>
      <c r="E875" s="72" t="s">
        <v>2666</v>
      </c>
      <c r="F875" s="117" t="s">
        <v>2666</v>
      </c>
      <c r="G875" s="72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69" t="s">
        <v>2563</v>
      </c>
      <c r="M875" s="74">
        <v>45756.453032407408</v>
      </c>
      <c r="N875" s="79">
        <v>45758</v>
      </c>
      <c r="O875" s="79">
        <v>45758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515</v>
      </c>
      <c r="S875" s="69"/>
    </row>
    <row r="876" spans="1:19" hidden="1">
      <c r="A876" s="72" t="s">
        <v>2675</v>
      </c>
      <c r="B876" s="149" t="str">
        <f>IFERROR(VLOOKUP(Proc[[#This Row],[App]],Table2[],3,0),"open")</f>
        <v>ok</v>
      </c>
      <c r="C876" s="72" t="s">
        <v>369</v>
      </c>
      <c r="D876" s="72" t="s">
        <v>2680</v>
      </c>
      <c r="E876" s="72" t="s">
        <v>2669</v>
      </c>
      <c r="F876" s="117" t="s">
        <v>2669</v>
      </c>
      <c r="G876" s="72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69" t="s">
        <v>2563</v>
      </c>
      <c r="M876" s="74">
        <v>45756.453032407408</v>
      </c>
      <c r="N876" s="79">
        <v>45758</v>
      </c>
      <c r="O876" s="79">
        <v>45758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530</v>
      </c>
      <c r="S876" s="69"/>
    </row>
    <row r="877" spans="1:19" hidden="1">
      <c r="A877" s="72" t="s">
        <v>2676</v>
      </c>
      <c r="B877" s="149" t="str">
        <f>IFERROR(VLOOKUP(Proc[[#This Row],[App]],Table2[],3,0),"open")</f>
        <v>ok</v>
      </c>
      <c r="C877" s="72" t="s">
        <v>369</v>
      </c>
      <c r="D877" s="72" t="s">
        <v>2686</v>
      </c>
      <c r="E877" s="72" t="s">
        <v>2681</v>
      </c>
      <c r="F877" s="117" t="s">
        <v>2681</v>
      </c>
      <c r="G877" s="72" t="s">
        <v>406</v>
      </c>
      <c r="H877" s="69" t="str">
        <f>IF(Proc[[#This Row],[type]]="LFF (MDG-F)",MID(Proc[[#This Row],[Obj]],13,10),"")</f>
        <v>1919O05003</v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69" t="s">
        <v>2563</v>
      </c>
      <c r="M877" s="74">
        <v>45756.453032407408</v>
      </c>
      <c r="N877" s="79">
        <v>45758</v>
      </c>
      <c r="O877" s="79">
        <v>45758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2682</v>
      </c>
      <c r="S877" s="69"/>
    </row>
    <row r="878" spans="1:19" hidden="1">
      <c r="A878" s="72" t="s">
        <v>2633</v>
      </c>
      <c r="B878" s="149" t="str">
        <f>IFERROR(VLOOKUP(Proc[[#This Row],[App]],Table2[],3,0),"open")</f>
        <v>ok</v>
      </c>
      <c r="C878" s="72" t="s">
        <v>369</v>
      </c>
      <c r="D878" s="76" t="s">
        <v>2630</v>
      </c>
      <c r="E878" s="72" t="s">
        <v>1830</v>
      </c>
      <c r="F878" s="117" t="s">
        <v>1830</v>
      </c>
      <c r="G878" s="72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LS</v>
      </c>
      <c r="L878" s="69" t="s">
        <v>2563</v>
      </c>
      <c r="M878" s="74">
        <v>45755.504537037035</v>
      </c>
      <c r="N878" s="77">
        <v>45757</v>
      </c>
      <c r="O878" s="77">
        <v>45757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489</v>
      </c>
      <c r="S878" s="69"/>
    </row>
    <row r="879" spans="1:19" hidden="1">
      <c r="A879" s="72" t="s">
        <v>2633</v>
      </c>
      <c r="B879" s="149" t="str">
        <f>IFERROR(VLOOKUP(Proc[[#This Row],[App]],Table2[],3,0),"open")</f>
        <v>ok</v>
      </c>
      <c r="C879" s="72" t="s">
        <v>369</v>
      </c>
      <c r="D879" s="76" t="s">
        <v>2631</v>
      </c>
      <c r="E879" s="72" t="s">
        <v>1830</v>
      </c>
      <c r="F879" s="117" t="s">
        <v>1830</v>
      </c>
      <c r="G879" s="72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LS</v>
      </c>
      <c r="L879" s="69" t="s">
        <v>2563</v>
      </c>
      <c r="M879" s="74">
        <v>45755.504537037035</v>
      </c>
      <c r="N879" s="77">
        <v>45757</v>
      </c>
      <c r="O879" s="77">
        <v>45757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489</v>
      </c>
      <c r="S879" s="69"/>
    </row>
    <row r="880" spans="1:19" hidden="1">
      <c r="A880" s="72" t="s">
        <v>2633</v>
      </c>
      <c r="B880" s="149" t="str">
        <f>IFERROR(VLOOKUP(Proc[[#This Row],[App]],Table2[],3,0),"open")</f>
        <v>ok</v>
      </c>
      <c r="C880" s="72" t="s">
        <v>369</v>
      </c>
      <c r="D880" s="76" t="s">
        <v>2632</v>
      </c>
      <c r="E880" s="72" t="s">
        <v>1830</v>
      </c>
      <c r="F880" s="117" t="s">
        <v>1830</v>
      </c>
      <c r="G880" s="72" t="s">
        <v>400</v>
      </c>
      <c r="H880" s="69" t="str">
        <f>IF(Proc[[#This Row],[type]]="LFF (MDG-F)",MID(Proc[[#This Row],[Obj]],13,10),"")</f>
        <v/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LS</v>
      </c>
      <c r="L880" s="69" t="s">
        <v>2563</v>
      </c>
      <c r="M880" s="74">
        <v>45755.504537037035</v>
      </c>
      <c r="N880" s="77">
        <v>45757</v>
      </c>
      <c r="O880" s="77">
        <v>45757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4" t="s">
        <v>489</v>
      </c>
      <c r="S880" s="69"/>
    </row>
    <row r="881" spans="1:19" hidden="1">
      <c r="A881" s="72" t="s">
        <v>2633</v>
      </c>
      <c r="B881" s="149" t="str">
        <f>IFERROR(VLOOKUP(Proc[[#This Row],[App]],Table2[],3,0),"open")</f>
        <v>ok</v>
      </c>
      <c r="C881" s="72" t="s">
        <v>369</v>
      </c>
      <c r="D881" s="76" t="s">
        <v>2634</v>
      </c>
      <c r="E881" s="72" t="s">
        <v>1830</v>
      </c>
      <c r="F881" s="117" t="s">
        <v>1830</v>
      </c>
      <c r="G881" s="72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LS</v>
      </c>
      <c r="L881" s="69" t="s">
        <v>2563</v>
      </c>
      <c r="M881" s="74">
        <v>45756.504537037035</v>
      </c>
      <c r="N881" s="77">
        <v>45757</v>
      </c>
      <c r="O881" s="77">
        <v>45757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1</v>
      </c>
      <c r="R881" s="74" t="s">
        <v>489</v>
      </c>
      <c r="S881" s="69"/>
    </row>
    <row r="882" spans="1:19" hidden="1">
      <c r="A882" s="72" t="s">
        <v>2633</v>
      </c>
      <c r="B882" s="149" t="str">
        <f>IFERROR(VLOOKUP(Proc[[#This Row],[App]],Table2[],3,0),"open")</f>
        <v>ok</v>
      </c>
      <c r="C882" s="72" t="s">
        <v>369</v>
      </c>
      <c r="D882" s="76" t="s">
        <v>2635</v>
      </c>
      <c r="E882" s="72" t="s">
        <v>1830</v>
      </c>
      <c r="F882" s="117" t="s">
        <v>1830</v>
      </c>
      <c r="G882" s="72" t="s">
        <v>400</v>
      </c>
      <c r="H882" s="69" t="str">
        <f>IF(Proc[[#This Row],[type]]="LFF (MDG-F)",MID(Proc[[#This Row],[Obj]],13,10),"")</f>
        <v/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LS</v>
      </c>
      <c r="L882" s="69" t="s">
        <v>2563</v>
      </c>
      <c r="M882" s="74">
        <v>45756.504537037035</v>
      </c>
      <c r="N882" s="77">
        <v>45757</v>
      </c>
      <c r="O882" s="77">
        <v>45757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1</v>
      </c>
      <c r="R882" s="74" t="s">
        <v>489</v>
      </c>
      <c r="S882" s="69"/>
    </row>
    <row r="883" spans="1:19" hidden="1">
      <c r="A883" s="72" t="s">
        <v>2633</v>
      </c>
      <c r="B883" s="149" t="str">
        <f>IFERROR(VLOOKUP(Proc[[#This Row],[App]],Table2[],3,0),"open")</f>
        <v>ok</v>
      </c>
      <c r="C883" s="72" t="s">
        <v>369</v>
      </c>
      <c r="D883" s="72" t="s">
        <v>2636</v>
      </c>
      <c r="E883" s="72" t="s">
        <v>1830</v>
      </c>
      <c r="F883" s="117" t="s">
        <v>1830</v>
      </c>
      <c r="G883" s="72" t="s">
        <v>400</v>
      </c>
      <c r="H883" s="69" t="str">
        <f>IF(Proc[[#This Row],[type]]="LFF (MDG-F)",MID(Proc[[#This Row],[Obj]],13,10),"")</f>
        <v/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LS</v>
      </c>
      <c r="L883" s="69" t="s">
        <v>2563</v>
      </c>
      <c r="M883" s="74">
        <v>45756.504537037035</v>
      </c>
      <c r="N883" s="77">
        <v>45757</v>
      </c>
      <c r="O883" s="77">
        <v>45757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1</v>
      </c>
      <c r="R883" s="74" t="s">
        <v>489</v>
      </c>
      <c r="S883" s="69"/>
    </row>
    <row r="884" spans="1:19" hidden="1">
      <c r="A884" s="72" t="s">
        <v>2633</v>
      </c>
      <c r="B884" s="149" t="str">
        <f>IFERROR(VLOOKUP(Proc[[#This Row],[App]],Table2[],3,0),"open")</f>
        <v>ok</v>
      </c>
      <c r="C884" s="72" t="s">
        <v>369</v>
      </c>
      <c r="D884" s="72" t="s">
        <v>2637</v>
      </c>
      <c r="E884" s="72" t="s">
        <v>1830</v>
      </c>
      <c r="F884" s="117" t="s">
        <v>1830</v>
      </c>
      <c r="G884" s="72" t="s">
        <v>400</v>
      </c>
      <c r="H884" s="69" t="str">
        <f>IF(Proc[[#This Row],[type]]="LFF (MDG-F)",MID(Proc[[#This Row],[Obj]],13,10),"")</f>
        <v/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69" t="s">
        <v>2563</v>
      </c>
      <c r="M884" s="74">
        <v>45756.504537037035</v>
      </c>
      <c r="N884" s="77">
        <v>45757</v>
      </c>
      <c r="O884" s="77">
        <v>45757</v>
      </c>
      <c r="P884" s="74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1</v>
      </c>
      <c r="R884" s="74" t="s">
        <v>489</v>
      </c>
      <c r="S884" s="69"/>
    </row>
    <row r="885" spans="1:19" hidden="1">
      <c r="A885" s="72" t="s">
        <v>2633</v>
      </c>
      <c r="B885" s="149" t="str">
        <f>IFERROR(VLOOKUP(Proc[[#This Row],[App]],Table2[],3,0),"open")</f>
        <v>ok</v>
      </c>
      <c r="C885" s="72" t="s">
        <v>369</v>
      </c>
      <c r="D885" s="72" t="s">
        <v>2638</v>
      </c>
      <c r="E885" s="72" t="s">
        <v>1830</v>
      </c>
      <c r="F885" s="117" t="s">
        <v>1830</v>
      </c>
      <c r="G885" s="72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69" t="s">
        <v>2563</v>
      </c>
      <c r="M885" s="74">
        <v>45756.504537037035</v>
      </c>
      <c r="N885" s="77">
        <v>45757</v>
      </c>
      <c r="O885" s="77">
        <v>45757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1</v>
      </c>
      <c r="R885" s="74" t="s">
        <v>489</v>
      </c>
      <c r="S885" s="69"/>
    </row>
    <row r="886" spans="1:19" hidden="1">
      <c r="A886" s="72" t="s">
        <v>2633</v>
      </c>
      <c r="B886" s="149" t="str">
        <f>IFERROR(VLOOKUP(Proc[[#This Row],[App]],Table2[],3,0),"open")</f>
        <v>ok</v>
      </c>
      <c r="C886" s="72" t="s">
        <v>369</v>
      </c>
      <c r="D886" s="72" t="s">
        <v>2639</v>
      </c>
      <c r="E886" s="72" t="s">
        <v>1830</v>
      </c>
      <c r="F886" s="117" t="s">
        <v>1830</v>
      </c>
      <c r="G886" s="72" t="s">
        <v>400</v>
      </c>
      <c r="H886" s="69" t="str">
        <f>IF(Proc[[#This Row],[type]]="LFF (MDG-F)",MID(Proc[[#This Row],[Obj]],13,10),"")</f>
        <v/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LS</v>
      </c>
      <c r="L886" s="69" t="s">
        <v>2563</v>
      </c>
      <c r="M886" s="74">
        <v>45756.504537037035</v>
      </c>
      <c r="N886" s="77">
        <v>45757</v>
      </c>
      <c r="O886" s="77">
        <v>45757</v>
      </c>
      <c r="P886" s="74" t="str">
        <f ca="1">IF(Proc[[#This Row],[DaysAgeing]]&gt;5,"yep","on track")</f>
        <v>on track</v>
      </c>
      <c r="Q886" s="3">
        <f ca="1">IF(Proc[[#This Row],[DateClosed]]="",ABS(NETWORKDAYS(Proc[[#This Row],[DateOpened]],TODAY()))-1,ABS(NETWORKDAYS(Proc[[#This Row],[DateOpened]],Proc[[#This Row],[DateClosed]]))-1)</f>
        <v>1</v>
      </c>
      <c r="R886" s="74" t="s">
        <v>489</v>
      </c>
      <c r="S886" s="69"/>
    </row>
    <row r="887" spans="1:19" hidden="1">
      <c r="A887" s="72" t="s">
        <v>2633</v>
      </c>
      <c r="B887" s="149" t="str">
        <f>IFERROR(VLOOKUP(Proc[[#This Row],[App]],Table2[],3,0),"open")</f>
        <v>ok</v>
      </c>
      <c r="C887" s="72" t="s">
        <v>369</v>
      </c>
      <c r="D887" s="72" t="s">
        <v>2640</v>
      </c>
      <c r="E887" s="72" t="s">
        <v>1830</v>
      </c>
      <c r="F887" s="117" t="s">
        <v>1830</v>
      </c>
      <c r="G887" s="72" t="s">
        <v>400</v>
      </c>
      <c r="H887" s="69" t="str">
        <f>IF(Proc[[#This Row],[type]]="LFF (MDG-F)",MID(Proc[[#This Row],[Obj]],13,10),"")</f>
        <v/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LS</v>
      </c>
      <c r="L887" s="69" t="s">
        <v>2563</v>
      </c>
      <c r="M887" s="74">
        <v>45756.504537037035</v>
      </c>
      <c r="N887" s="77">
        <v>45757</v>
      </c>
      <c r="O887" s="77">
        <v>45757</v>
      </c>
      <c r="P887" s="74" t="str">
        <f ca="1">IF(Proc[[#This Row],[DaysAgeing]]&gt;5,"yep","on track")</f>
        <v>on track</v>
      </c>
      <c r="Q887" s="3">
        <f ca="1">IF(Proc[[#This Row],[DateClosed]]="",ABS(NETWORKDAYS(Proc[[#This Row],[DateOpened]],TODAY()))-1,ABS(NETWORKDAYS(Proc[[#This Row],[DateOpened]],Proc[[#This Row],[DateClosed]]))-1)</f>
        <v>1</v>
      </c>
      <c r="R887" s="74" t="s">
        <v>489</v>
      </c>
      <c r="S887" s="69"/>
    </row>
    <row r="888" spans="1:19" hidden="1">
      <c r="A888" s="72" t="s">
        <v>2633</v>
      </c>
      <c r="B888" s="149" t="str">
        <f>IFERROR(VLOOKUP(Proc[[#This Row],[App]],Table2[],3,0),"open")</f>
        <v>ok</v>
      </c>
      <c r="C888" s="72" t="s">
        <v>369</v>
      </c>
      <c r="D888" s="72" t="s">
        <v>2641</v>
      </c>
      <c r="E888" s="72" t="s">
        <v>1830</v>
      </c>
      <c r="F888" s="117" t="s">
        <v>1830</v>
      </c>
      <c r="G888" s="72" t="s">
        <v>400</v>
      </c>
      <c r="H888" s="69" t="str">
        <f>IF(Proc[[#This Row],[type]]="LFF (MDG-F)",MID(Proc[[#This Row],[Obj]],13,10),"")</f>
        <v/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LS</v>
      </c>
      <c r="L888" s="69" t="s">
        <v>2563</v>
      </c>
      <c r="M888" s="74">
        <v>45756.504537037035</v>
      </c>
      <c r="N888" s="77">
        <v>45757</v>
      </c>
      <c r="O888" s="77">
        <v>45757</v>
      </c>
      <c r="P888" s="74" t="str">
        <f ca="1">IF(Proc[[#This Row],[DaysAgeing]]&gt;5,"yep","on track")</f>
        <v>on track</v>
      </c>
      <c r="Q888" s="3">
        <f ca="1">IF(Proc[[#This Row],[DateClosed]]="",ABS(NETWORKDAYS(Proc[[#This Row],[DateOpened]],TODAY()))-1,ABS(NETWORKDAYS(Proc[[#This Row],[DateOpened]],Proc[[#This Row],[DateClosed]]))-1)</f>
        <v>1</v>
      </c>
      <c r="R888" s="74" t="s">
        <v>489</v>
      </c>
      <c r="S888" s="69"/>
    </row>
    <row r="889" spans="1:19" hidden="1">
      <c r="A889" s="72" t="s">
        <v>2633</v>
      </c>
      <c r="B889" s="149" t="str">
        <f>IFERROR(VLOOKUP(Proc[[#This Row],[App]],Table2[],3,0),"open")</f>
        <v>ok</v>
      </c>
      <c r="C889" s="72" t="s">
        <v>369</v>
      </c>
      <c r="D889" s="72" t="s">
        <v>2642</v>
      </c>
      <c r="E889" s="72" t="s">
        <v>1830</v>
      </c>
      <c r="F889" s="117" t="s">
        <v>1830</v>
      </c>
      <c r="G889" s="72" t="s">
        <v>400</v>
      </c>
      <c r="H889" s="69" t="str">
        <f>IF(Proc[[#This Row],[type]]="LFF (MDG-F)",MID(Proc[[#This Row],[Obj]],13,10),"")</f>
        <v/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LS</v>
      </c>
      <c r="L889" s="69" t="s">
        <v>2563</v>
      </c>
      <c r="M889" s="74">
        <v>45756.504537037035</v>
      </c>
      <c r="N889" s="77">
        <v>45757</v>
      </c>
      <c r="O889" s="77">
        <v>45757</v>
      </c>
      <c r="P889" s="74" t="str">
        <f ca="1">IF(Proc[[#This Row],[DaysAgeing]]&gt;5,"yep","on track")</f>
        <v>on track</v>
      </c>
      <c r="Q889" s="3">
        <f ca="1">IF(Proc[[#This Row],[DateClosed]]="",ABS(NETWORKDAYS(Proc[[#This Row],[DateOpened]],TODAY()))-1,ABS(NETWORKDAYS(Proc[[#This Row],[DateOpened]],Proc[[#This Row],[DateClosed]]))-1)</f>
        <v>1</v>
      </c>
      <c r="R889" s="74" t="s">
        <v>489</v>
      </c>
      <c r="S889" s="69"/>
    </row>
    <row r="890" spans="1:19" hidden="1">
      <c r="A890" s="72" t="s">
        <v>2633</v>
      </c>
      <c r="B890" s="149" t="str">
        <f>IFERROR(VLOOKUP(Proc[[#This Row],[App]],Table2[],3,0),"open")</f>
        <v>ok</v>
      </c>
      <c r="C890" s="72" t="s">
        <v>369</v>
      </c>
      <c r="D890" s="72" t="s">
        <v>2643</v>
      </c>
      <c r="E890" s="72" t="s">
        <v>1830</v>
      </c>
      <c r="F890" s="117" t="s">
        <v>1830</v>
      </c>
      <c r="G890" s="72" t="s">
        <v>400</v>
      </c>
      <c r="H890" s="69" t="str">
        <f>IF(Proc[[#This Row],[type]]="LFF (MDG-F)",MID(Proc[[#This Row],[Obj]],13,10),"")</f>
        <v/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LS</v>
      </c>
      <c r="L890" s="69" t="s">
        <v>2563</v>
      </c>
      <c r="M890" s="74">
        <v>45756.504537037035</v>
      </c>
      <c r="N890" s="77">
        <v>45757</v>
      </c>
      <c r="O890" s="77">
        <v>45757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1</v>
      </c>
      <c r="R890" s="74" t="s">
        <v>489</v>
      </c>
      <c r="S890" s="69"/>
    </row>
    <row r="891" spans="1:19" hidden="1">
      <c r="A891" s="72" t="s">
        <v>2633</v>
      </c>
      <c r="B891" s="149" t="str">
        <f>IFERROR(VLOOKUP(Proc[[#This Row],[App]],Table2[],3,0),"open")</f>
        <v>ok</v>
      </c>
      <c r="C891" s="72" t="s">
        <v>369</v>
      </c>
      <c r="D891" s="72" t="s">
        <v>2644</v>
      </c>
      <c r="E891" s="72" t="s">
        <v>1830</v>
      </c>
      <c r="F891" s="117" t="s">
        <v>1830</v>
      </c>
      <c r="G891" s="72" t="s">
        <v>400</v>
      </c>
      <c r="H891" s="69" t="str">
        <f>IF(Proc[[#This Row],[type]]="LFF (MDG-F)",MID(Proc[[#This Row],[Obj]],13,10),"")</f>
        <v/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69" t="s">
        <v>2563</v>
      </c>
      <c r="M891" s="74">
        <v>45756.504537037035</v>
      </c>
      <c r="N891" s="77">
        <v>45757</v>
      </c>
      <c r="O891" s="77">
        <v>45757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1</v>
      </c>
      <c r="R891" s="74" t="s">
        <v>489</v>
      </c>
      <c r="S891" s="69"/>
    </row>
    <row r="892" spans="1:19" hidden="1">
      <c r="A892" s="72" t="s">
        <v>2633</v>
      </c>
      <c r="B892" s="149" t="str">
        <f>IFERROR(VLOOKUP(Proc[[#This Row],[App]],Table2[],3,0),"open")</f>
        <v>ok</v>
      </c>
      <c r="C892" s="72" t="s">
        <v>369</v>
      </c>
      <c r="D892" s="72" t="s">
        <v>2645</v>
      </c>
      <c r="E892" s="72" t="s">
        <v>1830</v>
      </c>
      <c r="F892" s="117" t="s">
        <v>1830</v>
      </c>
      <c r="G892" s="72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69" t="s">
        <v>2563</v>
      </c>
      <c r="M892" s="74">
        <v>45756.504537037035</v>
      </c>
      <c r="N892" s="77">
        <v>45757</v>
      </c>
      <c r="O892" s="77">
        <v>45757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1</v>
      </c>
      <c r="R892" s="74" t="s">
        <v>489</v>
      </c>
      <c r="S892" s="69"/>
    </row>
    <row r="893" spans="1:19" hidden="1">
      <c r="A893" s="72" t="s">
        <v>2633</v>
      </c>
      <c r="B893" s="149" t="str">
        <f>IFERROR(VLOOKUP(Proc[[#This Row],[App]],Table2[],3,0),"open")</f>
        <v>ok</v>
      </c>
      <c r="C893" s="72" t="s">
        <v>369</v>
      </c>
      <c r="D893" s="72" t="s">
        <v>2646</v>
      </c>
      <c r="E893" s="72" t="s">
        <v>1830</v>
      </c>
      <c r="F893" s="117" t="s">
        <v>1830</v>
      </c>
      <c r="G893" s="72" t="s">
        <v>400</v>
      </c>
      <c r="H893" s="69" t="str">
        <f>IF(Proc[[#This Row],[type]]="LFF (MDG-F)",MID(Proc[[#This Row],[Obj]],13,10),"")</f>
        <v/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69" t="s">
        <v>2563</v>
      </c>
      <c r="M893" s="74">
        <v>45756.504537037035</v>
      </c>
      <c r="N893" s="77">
        <v>45757</v>
      </c>
      <c r="O893" s="77">
        <v>45757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1</v>
      </c>
      <c r="R893" s="74" t="s">
        <v>489</v>
      </c>
      <c r="S893" s="69"/>
    </row>
    <row r="894" spans="1:19" hidden="1">
      <c r="A894" s="72" t="s">
        <v>2633</v>
      </c>
      <c r="B894" s="149" t="str">
        <f>IFERROR(VLOOKUP(Proc[[#This Row],[App]],Table2[],3,0),"open")</f>
        <v>ok</v>
      </c>
      <c r="C894" s="72" t="s">
        <v>369</v>
      </c>
      <c r="D894" s="72" t="s">
        <v>2647</v>
      </c>
      <c r="E894" s="72" t="s">
        <v>1830</v>
      </c>
      <c r="F894" s="117" t="s">
        <v>1830</v>
      </c>
      <c r="G894" s="72" t="s">
        <v>400</v>
      </c>
      <c r="H894" s="69" t="str">
        <f>IF(Proc[[#This Row],[type]]="LFF (MDG-F)",MID(Proc[[#This Row],[Obj]],13,10),"")</f>
        <v/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69" t="s">
        <v>2563</v>
      </c>
      <c r="M894" s="74">
        <v>45756.504537037035</v>
      </c>
      <c r="N894" s="77">
        <v>45757</v>
      </c>
      <c r="O894" s="77">
        <v>45757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1</v>
      </c>
      <c r="R894" s="74" t="s">
        <v>489</v>
      </c>
      <c r="S894" s="69"/>
    </row>
    <row r="895" spans="1:19" hidden="1">
      <c r="A895" s="72" t="s">
        <v>2633</v>
      </c>
      <c r="B895" s="149" t="str">
        <f>IFERROR(VLOOKUP(Proc[[#This Row],[App]],Table2[],3,0),"open")</f>
        <v>ok</v>
      </c>
      <c r="C895" s="72" t="s">
        <v>369</v>
      </c>
      <c r="D895" s="72" t="s">
        <v>2648</v>
      </c>
      <c r="E895" s="72" t="s">
        <v>1830</v>
      </c>
      <c r="F895" s="117" t="s">
        <v>1830</v>
      </c>
      <c r="G895" s="72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LS</v>
      </c>
      <c r="L895" s="69" t="s">
        <v>2563</v>
      </c>
      <c r="M895" s="74">
        <v>45756.504537037035</v>
      </c>
      <c r="N895" s="77">
        <v>45757</v>
      </c>
      <c r="O895" s="77">
        <v>45757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1</v>
      </c>
      <c r="R895" s="74" t="s">
        <v>489</v>
      </c>
      <c r="S895" s="69"/>
    </row>
    <row r="896" spans="1:19" hidden="1">
      <c r="A896" s="72" t="s">
        <v>2633</v>
      </c>
      <c r="B896" s="149" t="str">
        <f>IFERROR(VLOOKUP(Proc[[#This Row],[App]],Table2[],3,0),"open")</f>
        <v>ok</v>
      </c>
      <c r="C896" s="72" t="s">
        <v>369</v>
      </c>
      <c r="D896" s="72" t="s">
        <v>2649</v>
      </c>
      <c r="E896" s="72" t="s">
        <v>1830</v>
      </c>
      <c r="F896" s="117" t="s">
        <v>1830</v>
      </c>
      <c r="G896" s="72" t="s">
        <v>400</v>
      </c>
      <c r="H896" s="69" t="str">
        <f>IF(Proc[[#This Row],[type]]="LFF (MDG-F)",MID(Proc[[#This Row],[Obj]],13,10),"")</f>
        <v/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LS</v>
      </c>
      <c r="L896" s="69" t="s">
        <v>2563</v>
      </c>
      <c r="M896" s="74">
        <v>45756.504537037035</v>
      </c>
      <c r="N896" s="77">
        <v>45757</v>
      </c>
      <c r="O896" s="77">
        <v>45757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489</v>
      </c>
      <c r="S896" s="69"/>
    </row>
    <row r="897" spans="1:19" hidden="1">
      <c r="A897" t="s">
        <v>2633</v>
      </c>
      <c r="B897" s="149" t="str">
        <f>IFERROR(VLOOKUP(Proc[[#This Row],[App]],Table2[],3,0),"open")</f>
        <v>ok</v>
      </c>
      <c r="C897" t="s">
        <v>369</v>
      </c>
      <c r="D897" t="s">
        <v>2650</v>
      </c>
      <c r="E897" t="s">
        <v>1830</v>
      </c>
      <c r="F897" s="117" t="s">
        <v>1830</v>
      </c>
      <c r="G897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LS</v>
      </c>
      <c r="L897" s="69" t="s">
        <v>2563</v>
      </c>
      <c r="M897" s="77">
        <v>45756.504537037035</v>
      </c>
      <c r="N897" s="77">
        <v>45757</v>
      </c>
      <c r="O897" s="77">
        <v>45757</v>
      </c>
      <c r="P897" s="78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8" t="s">
        <v>489</v>
      </c>
      <c r="S897" s="69"/>
    </row>
    <row r="898" spans="1:19" hidden="1">
      <c r="A898" t="s">
        <v>2633</v>
      </c>
      <c r="B898" s="149" t="str">
        <f>IFERROR(VLOOKUP(Proc[[#This Row],[App]],Table2[],3,0),"open")</f>
        <v>ok</v>
      </c>
      <c r="C898" s="72" t="s">
        <v>369</v>
      </c>
      <c r="D898" t="s">
        <v>2651</v>
      </c>
      <c r="E898" t="s">
        <v>1830</v>
      </c>
      <c r="F898" s="117" t="s">
        <v>1830</v>
      </c>
      <c r="G898" s="72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LS</v>
      </c>
      <c r="L898" s="69" t="s">
        <v>2563</v>
      </c>
      <c r="M898" s="77">
        <v>45756.504537037035</v>
      </c>
      <c r="N898" s="77">
        <v>45757</v>
      </c>
      <c r="O898" s="77">
        <v>45757</v>
      </c>
      <c r="P898" s="78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8" t="s">
        <v>489</v>
      </c>
      <c r="S898" s="69"/>
    </row>
    <row r="899" spans="1:19" hidden="1">
      <c r="A899" s="72" t="s">
        <v>2633</v>
      </c>
      <c r="B899" s="149" t="str">
        <f>IFERROR(VLOOKUP(Proc[[#This Row],[App]],Table2[],3,0),"open")</f>
        <v>ok</v>
      </c>
      <c r="C899" s="72" t="s">
        <v>369</v>
      </c>
      <c r="D899" t="s">
        <v>2652</v>
      </c>
      <c r="E899" t="s">
        <v>1830</v>
      </c>
      <c r="F899" s="117" t="s">
        <v>1830</v>
      </c>
      <c r="G899" s="72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LS</v>
      </c>
      <c r="L899" s="69" t="s">
        <v>2563</v>
      </c>
      <c r="M899" s="77">
        <v>45756.504537037035</v>
      </c>
      <c r="N899" s="77">
        <v>45757</v>
      </c>
      <c r="O899" s="77">
        <v>45757</v>
      </c>
      <c r="P899" s="78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8" t="s">
        <v>489</v>
      </c>
      <c r="S899" s="69"/>
    </row>
    <row r="900" spans="1:19" hidden="1">
      <c r="A900" t="s">
        <v>2633</v>
      </c>
      <c r="B900" s="149" t="str">
        <f>IFERROR(VLOOKUP(Proc[[#This Row],[App]],Table2[],3,0),"open")</f>
        <v>ok</v>
      </c>
      <c r="C900" s="72" t="s">
        <v>369</v>
      </c>
      <c r="D900" t="s">
        <v>2653</v>
      </c>
      <c r="E900" t="s">
        <v>1830</v>
      </c>
      <c r="F900" s="117" t="s">
        <v>1830</v>
      </c>
      <c r="G900" s="72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LS</v>
      </c>
      <c r="L900" s="69" t="s">
        <v>2563</v>
      </c>
      <c r="M900" s="77">
        <v>45756.504537037035</v>
      </c>
      <c r="N900" s="77">
        <v>45757</v>
      </c>
      <c r="O900" s="77">
        <v>45757</v>
      </c>
      <c r="P900" s="78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8" t="s">
        <v>489</v>
      </c>
      <c r="S900" s="69"/>
    </row>
    <row r="901" spans="1:19" hidden="1">
      <c r="A901" t="s">
        <v>2633</v>
      </c>
      <c r="B901" s="149" t="str">
        <f>IFERROR(VLOOKUP(Proc[[#This Row],[App]],Table2[],3,0),"open")</f>
        <v>ok</v>
      </c>
      <c r="C901" s="72" t="s">
        <v>369</v>
      </c>
      <c r="D901" t="s">
        <v>2654</v>
      </c>
      <c r="E901" t="s">
        <v>1830</v>
      </c>
      <c r="F901" s="117" t="s">
        <v>1830</v>
      </c>
      <c r="G901" s="72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LS</v>
      </c>
      <c r="L901" s="69" t="s">
        <v>2563</v>
      </c>
      <c r="M901" s="77">
        <v>45756.504537037035</v>
      </c>
      <c r="N901" s="77">
        <v>45757</v>
      </c>
      <c r="O901" s="77">
        <v>45757</v>
      </c>
      <c r="P901" s="78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8" t="s">
        <v>489</v>
      </c>
      <c r="S901" s="69"/>
    </row>
    <row r="902" spans="1:19" hidden="1">
      <c r="A902" t="s">
        <v>2633</v>
      </c>
      <c r="B902" s="149" t="str">
        <f>IFERROR(VLOOKUP(Proc[[#This Row],[App]],Table2[],3,0),"open")</f>
        <v>ok</v>
      </c>
      <c r="C902" s="72" t="s">
        <v>369</v>
      </c>
      <c r="D902" t="s">
        <v>2655</v>
      </c>
      <c r="E902" s="72" t="s">
        <v>1830</v>
      </c>
      <c r="F902" s="117" t="s">
        <v>1830</v>
      </c>
      <c r="G902" s="72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LS</v>
      </c>
      <c r="L902" s="69" t="s">
        <v>2563</v>
      </c>
      <c r="M902" s="78">
        <v>45756.504537037035</v>
      </c>
      <c r="N902" s="78">
        <v>45757</v>
      </c>
      <c r="O902" s="78">
        <v>45757</v>
      </c>
      <c r="P902" s="78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8" t="s">
        <v>489</v>
      </c>
      <c r="S902" s="69"/>
    </row>
    <row r="903" spans="1:19" hidden="1">
      <c r="A903" s="72" t="s">
        <v>2633</v>
      </c>
      <c r="B903" s="149" t="str">
        <f>IFERROR(VLOOKUP(Proc[[#This Row],[App]],Table2[],3,0),"open")</f>
        <v>ok</v>
      </c>
      <c r="C903" s="72" t="s">
        <v>369</v>
      </c>
      <c r="D903" t="s">
        <v>2656</v>
      </c>
      <c r="E903" s="72" t="s">
        <v>1830</v>
      </c>
      <c r="F903" s="117" t="s">
        <v>1830</v>
      </c>
      <c r="G903" s="72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LS</v>
      </c>
      <c r="L903" s="69" t="s">
        <v>2563</v>
      </c>
      <c r="M903" s="78">
        <v>45756.504537037035</v>
      </c>
      <c r="N903" s="78">
        <v>45757</v>
      </c>
      <c r="O903" s="78">
        <v>45757</v>
      </c>
      <c r="P903" s="78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8" t="s">
        <v>489</v>
      </c>
      <c r="S903" s="69"/>
    </row>
    <row r="904" spans="1:19" hidden="1">
      <c r="A904" s="72" t="s">
        <v>2633</v>
      </c>
      <c r="B904" s="149" t="str">
        <f>IFERROR(VLOOKUP(Proc[[#This Row],[App]],Table2[],3,0),"open")</f>
        <v>ok</v>
      </c>
      <c r="C904" s="72" t="s">
        <v>369</v>
      </c>
      <c r="D904" t="s">
        <v>2657</v>
      </c>
      <c r="E904" t="s">
        <v>1830</v>
      </c>
      <c r="F904" s="117" t="s">
        <v>1830</v>
      </c>
      <c r="G904" s="72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LS</v>
      </c>
      <c r="L904" s="69" t="s">
        <v>2563</v>
      </c>
      <c r="M904" s="78">
        <v>45756.504537037035</v>
      </c>
      <c r="N904" s="78">
        <v>45757</v>
      </c>
      <c r="O904" s="78">
        <v>45757</v>
      </c>
      <c r="P904" s="78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8" t="s">
        <v>489</v>
      </c>
      <c r="S904" s="69"/>
    </row>
    <row r="905" spans="1:19" hidden="1">
      <c r="A905" s="72" t="s">
        <v>2633</v>
      </c>
      <c r="B905" s="149" t="str">
        <f>IFERROR(VLOOKUP(Proc[[#This Row],[App]],Table2[],3,0),"open")</f>
        <v>ok</v>
      </c>
      <c r="C905" t="s">
        <v>369</v>
      </c>
      <c r="D905" t="s">
        <v>2658</v>
      </c>
      <c r="E905" t="s">
        <v>1830</v>
      </c>
      <c r="F905" s="117" t="s">
        <v>1830</v>
      </c>
      <c r="G905" s="72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LS</v>
      </c>
      <c r="L905" s="69" t="s">
        <v>2563</v>
      </c>
      <c r="M905" s="78">
        <v>45756.504537037035</v>
      </c>
      <c r="N905" s="78">
        <v>45757</v>
      </c>
      <c r="O905" s="78">
        <v>45757</v>
      </c>
      <c r="P905" s="78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8" t="s">
        <v>489</v>
      </c>
      <c r="S905" s="69"/>
    </row>
    <row r="906" spans="1:19" hidden="1">
      <c r="A906" t="s">
        <v>2633</v>
      </c>
      <c r="B906" s="149" t="str">
        <f>IFERROR(VLOOKUP(Proc[[#This Row],[App]],Table2[],3,0),"open")</f>
        <v>ok</v>
      </c>
      <c r="C906" s="72" t="s">
        <v>369</v>
      </c>
      <c r="D906" t="s">
        <v>2659</v>
      </c>
      <c r="E906" t="s">
        <v>1830</v>
      </c>
      <c r="F906" s="117" t="s">
        <v>1830</v>
      </c>
      <c r="G906" s="72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LS</v>
      </c>
      <c r="L906" s="69" t="s">
        <v>2563</v>
      </c>
      <c r="M906" s="78">
        <v>45756.504537037035</v>
      </c>
      <c r="N906" s="78">
        <v>45757</v>
      </c>
      <c r="O906" s="78">
        <v>45757</v>
      </c>
      <c r="P906" s="78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8" t="s">
        <v>489</v>
      </c>
      <c r="S906" s="69"/>
    </row>
    <row r="907" spans="1:19" hidden="1">
      <c r="A907" t="s">
        <v>2661</v>
      </c>
      <c r="B907" s="149" t="str">
        <f>IFERROR(VLOOKUP(Proc[[#This Row],[App]],Table2[],3,0),"open")</f>
        <v>ok</v>
      </c>
      <c r="C907" s="72" t="s">
        <v>369</v>
      </c>
      <c r="D907" t="s">
        <v>2683</v>
      </c>
      <c r="E907" t="s">
        <v>2660</v>
      </c>
      <c r="F907" s="117" t="s">
        <v>2660</v>
      </c>
      <c r="G907" s="72" t="s">
        <v>406</v>
      </c>
      <c r="H907" s="69" t="str">
        <f>IF(Proc[[#This Row],[type]]="LFF (MDG-F)",MID(Proc[[#This Row],[Obj]],13,10),"")</f>
        <v>2029C01022</v>
      </c>
      <c r="I907" t="s">
        <v>2672</v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69" t="s">
        <v>2563</v>
      </c>
      <c r="M907" s="78">
        <v>45756.958229166667</v>
      </c>
      <c r="N907" s="78">
        <v>45758</v>
      </c>
      <c r="O907" s="78">
        <v>45758</v>
      </c>
      <c r="P907" s="78" t="str">
        <f ca="1">IF(Proc[[#This Row],[DaysAgeing]]&gt;5,"yep","on track")</f>
        <v>on track</v>
      </c>
      <c r="Q907" s="3">
        <f ca="1">IF(Proc[[#This Row],[DateClosed]]="",ABS(NETWORKDAYS(Proc[[#This Row],[DateOpened]],TODAY()))-1,ABS(NETWORKDAYS(Proc[[#This Row],[DateOpened]],Proc[[#This Row],[DateClosed]]))-1)</f>
        <v>2</v>
      </c>
      <c r="R907" s="78" t="s">
        <v>2662</v>
      </c>
      <c r="S907" s="69"/>
    </row>
    <row r="908" spans="1:19" hidden="1">
      <c r="A908" t="s">
        <v>2688</v>
      </c>
      <c r="B908" s="149" t="str">
        <f>IFERROR(VLOOKUP(Proc[[#This Row],[App]],Table2[],3,0),"open")</f>
        <v>ok</v>
      </c>
      <c r="C908" t="s">
        <v>369</v>
      </c>
      <c r="D908" t="s">
        <v>2713</v>
      </c>
      <c r="E908" t="s">
        <v>2687</v>
      </c>
      <c r="F908" s="117" t="s">
        <v>2687</v>
      </c>
      <c r="G908" s="72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HC</v>
      </c>
      <c r="L908" s="69" t="s">
        <v>2563</v>
      </c>
      <c r="M908" s="79">
        <v>45758.372824074075</v>
      </c>
      <c r="N908" s="79">
        <v>45761</v>
      </c>
      <c r="O908" s="79">
        <v>45761</v>
      </c>
      <c r="P908" s="80" t="str">
        <f ca="1">IF(Proc[[#This Row],[DaysAgeing]]&gt;5,"yep","on track")</f>
        <v>on track</v>
      </c>
      <c r="Q908" s="3">
        <f ca="1">IF(Proc[[#This Row],[DateClosed]]="",ABS(NETWORKDAYS(Proc[[#This Row],[DateOpened]],TODAY()))-1,ABS(NETWORKDAYS(Proc[[#This Row],[DateOpened]],Proc[[#This Row],[DateClosed]]))-1)</f>
        <v>1</v>
      </c>
      <c r="R908" s="80" t="s">
        <v>478</v>
      </c>
      <c r="S908" s="69"/>
    </row>
    <row r="909" spans="1:19" hidden="1">
      <c r="A909" t="s">
        <v>2692</v>
      </c>
      <c r="B909" s="149" t="str">
        <f>IFERROR(VLOOKUP(Proc[[#This Row],[App]],Table2[],3,0),"open")</f>
        <v>ok</v>
      </c>
      <c r="C909" s="72" t="s">
        <v>369</v>
      </c>
      <c r="D909" t="s">
        <v>2689</v>
      </c>
      <c r="E909" t="s">
        <v>2373</v>
      </c>
      <c r="F909" s="117" t="s">
        <v>2373</v>
      </c>
      <c r="G909" s="72" t="s">
        <v>400</v>
      </c>
      <c r="H909" s="69" t="str">
        <f>IF(Proc[[#This Row],[type]]="LFF (MDG-F)",MID(Proc[[#This Row],[Obj]],13,10),"")</f>
        <v/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69" t="s">
        <v>2563</v>
      </c>
      <c r="M909" s="79">
        <v>45758.358437499999</v>
      </c>
      <c r="N909" s="79">
        <v>45761</v>
      </c>
      <c r="O909" s="79">
        <v>45761</v>
      </c>
      <c r="P909" s="80" t="str">
        <f ca="1">IF(Proc[[#This Row],[DaysAgeing]]&gt;5,"yep","on track")</f>
        <v>on track</v>
      </c>
      <c r="Q909" s="3">
        <f ca="1">IF(Proc[[#This Row],[DateClosed]]="",ABS(NETWORKDAYS(Proc[[#This Row],[DateOpened]],TODAY()))-1,ABS(NETWORKDAYS(Proc[[#This Row],[DateOpened]],Proc[[#This Row],[DateClosed]]))-1)</f>
        <v>1</v>
      </c>
      <c r="R909" s="80" t="s">
        <v>830</v>
      </c>
      <c r="S909" s="69"/>
    </row>
    <row r="910" spans="1:19" hidden="1">
      <c r="A910" s="72" t="s">
        <v>2692</v>
      </c>
      <c r="B910" s="149" t="str">
        <f>IFERROR(VLOOKUP(Proc[[#This Row],[App]],Table2[],3,0),"open")</f>
        <v>ok</v>
      </c>
      <c r="C910" s="72" t="s">
        <v>369</v>
      </c>
      <c r="D910" t="s">
        <v>2690</v>
      </c>
      <c r="E910" t="s">
        <v>2691</v>
      </c>
      <c r="F910" s="117" t="s">
        <v>2691</v>
      </c>
      <c r="G910" s="72" t="s">
        <v>400</v>
      </c>
      <c r="H910" s="69" t="str">
        <f>IF(Proc[[#This Row],[type]]="LFF (MDG-F)",MID(Proc[[#This Row],[Obj]],13,10),"")</f>
        <v/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69" t="s">
        <v>2563</v>
      </c>
      <c r="M910" s="79">
        <v>45758.358437499999</v>
      </c>
      <c r="N910" s="79">
        <v>45761</v>
      </c>
      <c r="O910" s="79">
        <v>45761</v>
      </c>
      <c r="P910" s="80" t="str">
        <f ca="1">IF(Proc[[#This Row],[DaysAgeing]]&gt;5,"yep","on track")</f>
        <v>on track</v>
      </c>
      <c r="Q910" s="3">
        <f ca="1">IF(Proc[[#This Row],[DateClosed]]="",ABS(NETWORKDAYS(Proc[[#This Row],[DateOpened]],TODAY()))-1,ABS(NETWORKDAYS(Proc[[#This Row],[DateOpened]],Proc[[#This Row],[DateClosed]]))-1)</f>
        <v>1</v>
      </c>
      <c r="R910" s="80" t="s">
        <v>830</v>
      </c>
      <c r="S910" s="69"/>
    </row>
    <row r="911" spans="1:19" hidden="1">
      <c r="A911" t="s">
        <v>2711</v>
      </c>
      <c r="B911" s="149" t="str">
        <f>IFERROR(VLOOKUP(Proc[[#This Row],[App]],Table2[],3,0),"open")</f>
        <v>ok</v>
      </c>
      <c r="C911" s="72" t="s">
        <v>369</v>
      </c>
      <c r="D911" t="s">
        <v>2693</v>
      </c>
      <c r="E911" t="s">
        <v>2694</v>
      </c>
      <c r="F911" s="117" t="s">
        <v>2694</v>
      </c>
      <c r="G911" t="s">
        <v>406</v>
      </c>
      <c r="H911" s="69" t="str">
        <f>IF(Proc[[#This Row],[type]]="LFF (MDG-F)",MID(Proc[[#This Row],[Obj]],13,10),"")</f>
        <v>DE10N12380</v>
      </c>
      <c r="I911" t="s">
        <v>2714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MGF</v>
      </c>
      <c r="L911" s="69" t="s">
        <v>2563</v>
      </c>
      <c r="M911" s="79">
        <v>45757.718622685185</v>
      </c>
      <c r="N911" s="79">
        <v>45768</v>
      </c>
      <c r="O911" s="79">
        <v>45768</v>
      </c>
      <c r="P911" s="8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7</v>
      </c>
      <c r="R911" s="80" t="s">
        <v>2712</v>
      </c>
      <c r="S911" s="69"/>
    </row>
    <row r="912" spans="1:19" hidden="1">
      <c r="A912" s="72" t="s">
        <v>2711</v>
      </c>
      <c r="B912" s="149" t="str">
        <f>IFERROR(VLOOKUP(Proc[[#This Row],[App]],Table2[],3,0),"open")</f>
        <v>ok</v>
      </c>
      <c r="C912" s="72" t="s">
        <v>369</v>
      </c>
      <c r="D912" t="s">
        <v>2695</v>
      </c>
      <c r="E912" t="s">
        <v>2694</v>
      </c>
      <c r="F912" s="117" t="s">
        <v>2694</v>
      </c>
      <c r="G912" s="72" t="s">
        <v>406</v>
      </c>
      <c r="H912" s="69" t="str">
        <f>IF(Proc[[#This Row],[type]]="LFF (MDG-F)",MID(Proc[[#This Row],[Obj]],13,10),"")</f>
        <v>DE10N12340</v>
      </c>
      <c r="I912" s="72" t="s">
        <v>2714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MGF</v>
      </c>
      <c r="L912" s="69" t="s">
        <v>2563</v>
      </c>
      <c r="M912" s="79">
        <v>45757.718622685185</v>
      </c>
      <c r="N912" s="79">
        <v>45768</v>
      </c>
      <c r="O912" s="79">
        <v>45768</v>
      </c>
      <c r="P912" s="8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7</v>
      </c>
      <c r="R912" s="80" t="s">
        <v>2712</v>
      </c>
      <c r="S912" s="69"/>
    </row>
    <row r="913" spans="1:19" hidden="1">
      <c r="A913" s="72" t="s">
        <v>2711</v>
      </c>
      <c r="B913" s="149" t="str">
        <f>IFERROR(VLOOKUP(Proc[[#This Row],[App]],Table2[],3,0),"open")</f>
        <v>ok</v>
      </c>
      <c r="C913" s="72" t="s">
        <v>369</v>
      </c>
      <c r="D913" t="s">
        <v>2696</v>
      </c>
      <c r="E913" t="s">
        <v>2697</v>
      </c>
      <c r="F913" s="117" t="s">
        <v>2697</v>
      </c>
      <c r="G913" s="72" t="s">
        <v>406</v>
      </c>
      <c r="H913" s="69" t="str">
        <f>IF(Proc[[#This Row],[type]]="LFF (MDG-F)",MID(Proc[[#This Row],[Obj]],13,10),"")</f>
        <v>DE10N11170</v>
      </c>
      <c r="I913" s="72" t="s">
        <v>2714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MGF</v>
      </c>
      <c r="L913" s="69" t="s">
        <v>2563</v>
      </c>
      <c r="M913" s="79">
        <v>45757.718622685185</v>
      </c>
      <c r="N913" s="79">
        <v>45768</v>
      </c>
      <c r="O913" s="79">
        <v>45768</v>
      </c>
      <c r="P913" s="8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7</v>
      </c>
      <c r="R913" s="80" t="s">
        <v>2712</v>
      </c>
      <c r="S913" s="69"/>
    </row>
    <row r="914" spans="1:19" hidden="1">
      <c r="A914" s="72" t="s">
        <v>2711</v>
      </c>
      <c r="B914" s="149" t="str">
        <f>IFERROR(VLOOKUP(Proc[[#This Row],[App]],Table2[],3,0),"open")</f>
        <v>ok</v>
      </c>
      <c r="C914" s="72" t="s">
        <v>369</v>
      </c>
      <c r="D914" t="s">
        <v>2698</v>
      </c>
      <c r="E914" t="s">
        <v>2697</v>
      </c>
      <c r="F914" s="117" t="s">
        <v>2697</v>
      </c>
      <c r="G914" s="72" t="s">
        <v>406</v>
      </c>
      <c r="H914" s="69" t="str">
        <f>IF(Proc[[#This Row],[type]]="LFF (MDG-F)",MID(Proc[[#This Row],[Obj]],13,10),"")</f>
        <v>DE10N11115</v>
      </c>
      <c r="I914" s="72" t="s">
        <v>2714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MGF</v>
      </c>
      <c r="L914" s="69" t="s">
        <v>2563</v>
      </c>
      <c r="M914" s="79">
        <v>45757.718622685185</v>
      </c>
      <c r="N914" s="79">
        <v>45768</v>
      </c>
      <c r="O914" s="79">
        <v>45768</v>
      </c>
      <c r="P914" s="8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7</v>
      </c>
      <c r="R914" s="80" t="s">
        <v>2712</v>
      </c>
      <c r="S914" s="69"/>
    </row>
    <row r="915" spans="1:19" hidden="1">
      <c r="A915" s="72" t="s">
        <v>2711</v>
      </c>
      <c r="B915" s="149" t="str">
        <f>IFERROR(VLOOKUP(Proc[[#This Row],[App]],Table2[],3,0),"open")</f>
        <v>ok</v>
      </c>
      <c r="C915" s="72" t="s">
        <v>369</v>
      </c>
      <c r="D915" t="s">
        <v>2699</v>
      </c>
      <c r="E915" t="s">
        <v>2697</v>
      </c>
      <c r="F915" s="117" t="s">
        <v>2697</v>
      </c>
      <c r="G915" s="72" t="s">
        <v>406</v>
      </c>
      <c r="H915" s="69" t="str">
        <f>IF(Proc[[#This Row],[type]]="LFF (MDG-F)",MID(Proc[[#This Row],[Obj]],13,10),"")</f>
        <v>DE10N11181</v>
      </c>
      <c r="I915" s="72" t="s">
        <v>2714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MGF</v>
      </c>
      <c r="L915" s="69" t="s">
        <v>2563</v>
      </c>
      <c r="M915" s="79">
        <v>45757.718622685185</v>
      </c>
      <c r="N915" s="79">
        <v>45768</v>
      </c>
      <c r="O915" s="79">
        <v>45768</v>
      </c>
      <c r="P915" s="8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7</v>
      </c>
      <c r="R915" s="80" t="s">
        <v>2712</v>
      </c>
      <c r="S915" s="69"/>
    </row>
    <row r="916" spans="1:19" hidden="1">
      <c r="A916" s="72" t="s">
        <v>2711</v>
      </c>
      <c r="B916" s="149" t="str">
        <f>IFERROR(VLOOKUP(Proc[[#This Row],[App]],Table2[],3,0),"open")</f>
        <v>ok</v>
      </c>
      <c r="C916" s="72" t="s">
        <v>369</v>
      </c>
      <c r="D916" t="s">
        <v>2700</v>
      </c>
      <c r="E916" t="s">
        <v>2697</v>
      </c>
      <c r="F916" s="117" t="s">
        <v>2697</v>
      </c>
      <c r="G916" s="72" t="s">
        <v>406</v>
      </c>
      <c r="H916" s="69" t="str">
        <f>IF(Proc[[#This Row],[type]]="LFF (MDG-F)",MID(Proc[[#This Row],[Obj]],13,10),"")</f>
        <v>DE10N11160</v>
      </c>
      <c r="I916" s="72" t="s">
        <v>2714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MGF</v>
      </c>
      <c r="L916" s="69" t="s">
        <v>2563</v>
      </c>
      <c r="M916" s="79">
        <v>45757.718622685185</v>
      </c>
      <c r="N916" s="79">
        <v>45768</v>
      </c>
      <c r="O916" s="79">
        <v>45768</v>
      </c>
      <c r="P916" s="8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7</v>
      </c>
      <c r="R916" s="80" t="s">
        <v>2712</v>
      </c>
      <c r="S916" s="69"/>
    </row>
    <row r="917" spans="1:19" hidden="1">
      <c r="A917" s="72" t="s">
        <v>2711</v>
      </c>
      <c r="B917" s="149" t="str">
        <f>IFERROR(VLOOKUP(Proc[[#This Row],[App]],Table2[],3,0),"open")</f>
        <v>ok</v>
      </c>
      <c r="C917" s="72" t="s">
        <v>369</v>
      </c>
      <c r="D917" t="s">
        <v>2701</v>
      </c>
      <c r="E917" t="s">
        <v>2697</v>
      </c>
      <c r="F917" s="117" t="s">
        <v>2697</v>
      </c>
      <c r="G917" s="72" t="s">
        <v>406</v>
      </c>
      <c r="H917" s="69" t="str">
        <f>IF(Proc[[#This Row],[type]]="LFF (MDG-F)",MID(Proc[[#This Row],[Obj]],13,10),"")</f>
        <v>DE10N11180</v>
      </c>
      <c r="I917" s="72" t="s">
        <v>2714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MGF</v>
      </c>
      <c r="L917" s="69" t="s">
        <v>2563</v>
      </c>
      <c r="M917" s="79">
        <v>45757.718622685185</v>
      </c>
      <c r="N917" s="79">
        <v>45768</v>
      </c>
      <c r="O917" s="79">
        <v>45768</v>
      </c>
      <c r="P917" s="8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7</v>
      </c>
      <c r="R917" s="80" t="s">
        <v>2712</v>
      </c>
      <c r="S917" s="69"/>
    </row>
    <row r="918" spans="1:19" hidden="1">
      <c r="A918" s="72" t="s">
        <v>2711</v>
      </c>
      <c r="B918" s="149" t="str">
        <f>IFERROR(VLOOKUP(Proc[[#This Row],[App]],Table2[],3,0),"open")</f>
        <v>ok</v>
      </c>
      <c r="C918" s="72" t="s">
        <v>369</v>
      </c>
      <c r="D918" t="s">
        <v>2702</v>
      </c>
      <c r="E918" t="s">
        <v>2697</v>
      </c>
      <c r="F918" s="117" t="s">
        <v>2697</v>
      </c>
      <c r="G918" s="72" t="s">
        <v>406</v>
      </c>
      <c r="H918" s="69" t="str">
        <f>IF(Proc[[#This Row],[type]]="LFF (MDG-F)",MID(Proc[[#This Row],[Obj]],13,10),"")</f>
        <v>DE10N11131</v>
      </c>
      <c r="I918" s="72" t="s">
        <v>2714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MGF</v>
      </c>
      <c r="L918" s="69" t="s">
        <v>2563</v>
      </c>
      <c r="M918" s="79">
        <v>45757.718622685185</v>
      </c>
      <c r="N918" s="79">
        <v>45768</v>
      </c>
      <c r="O918" s="79">
        <v>45768</v>
      </c>
      <c r="P918" s="8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7</v>
      </c>
      <c r="R918" s="80" t="s">
        <v>2712</v>
      </c>
      <c r="S918" s="69"/>
    </row>
    <row r="919" spans="1:19" hidden="1">
      <c r="A919" s="72" t="s">
        <v>2711</v>
      </c>
      <c r="B919" s="149" t="str">
        <f>IFERROR(VLOOKUP(Proc[[#This Row],[App]],Table2[],3,0),"open")</f>
        <v>ok</v>
      </c>
      <c r="C919" s="72" t="s">
        <v>369</v>
      </c>
      <c r="D919" t="s">
        <v>2703</v>
      </c>
      <c r="E919" t="s">
        <v>2697</v>
      </c>
      <c r="F919" s="117" t="s">
        <v>2697</v>
      </c>
      <c r="G919" s="72" t="s">
        <v>406</v>
      </c>
      <c r="H919" s="69" t="str">
        <f>IF(Proc[[#This Row],[type]]="LFF (MDG-F)",MID(Proc[[#This Row],[Obj]],13,10),"")</f>
        <v>DE10N11116</v>
      </c>
      <c r="I919" s="72" t="s">
        <v>2714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MGF</v>
      </c>
      <c r="L919" s="69" t="s">
        <v>2563</v>
      </c>
      <c r="M919" s="79">
        <v>45757.718622685185</v>
      </c>
      <c r="N919" s="79">
        <v>45768</v>
      </c>
      <c r="O919" s="79">
        <v>45768</v>
      </c>
      <c r="P919" s="8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7</v>
      </c>
      <c r="R919" s="80" t="s">
        <v>2712</v>
      </c>
      <c r="S919" s="69"/>
    </row>
    <row r="920" spans="1:19" hidden="1">
      <c r="A920" s="72" t="s">
        <v>2711</v>
      </c>
      <c r="B920" s="149" t="str">
        <f>IFERROR(VLOOKUP(Proc[[#This Row],[App]],Table2[],3,0),"open")</f>
        <v>ok</v>
      </c>
      <c r="C920" s="72" t="s">
        <v>369</v>
      </c>
      <c r="D920" t="s">
        <v>2704</v>
      </c>
      <c r="E920" t="s">
        <v>2697</v>
      </c>
      <c r="F920" s="117" t="s">
        <v>2697</v>
      </c>
      <c r="G920" s="72" t="s">
        <v>406</v>
      </c>
      <c r="H920" s="69" t="str">
        <f>IF(Proc[[#This Row],[type]]="LFF (MDG-F)",MID(Proc[[#This Row],[Obj]],13,10),"")</f>
        <v>DE10N12312</v>
      </c>
      <c r="I920" s="72" t="s">
        <v>2714</v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MGF</v>
      </c>
      <c r="L920" s="69" t="s">
        <v>2563</v>
      </c>
      <c r="M920" s="79">
        <v>45757.718622685185</v>
      </c>
      <c r="N920" s="79">
        <v>45768</v>
      </c>
      <c r="O920" s="79">
        <v>45768</v>
      </c>
      <c r="P920" s="80" t="str">
        <f ca="1">IF(Proc[[#This Row],[DaysAgeing]]&gt;5,"yep","on track")</f>
        <v>yep</v>
      </c>
      <c r="Q920" s="3">
        <f ca="1">IF(Proc[[#This Row],[DateClosed]]="",ABS(NETWORKDAYS(Proc[[#This Row],[DateOpened]],TODAY()))-1,ABS(NETWORKDAYS(Proc[[#This Row],[DateOpened]],Proc[[#This Row],[DateClosed]]))-1)</f>
        <v>7</v>
      </c>
      <c r="R920" s="80" t="s">
        <v>2712</v>
      </c>
      <c r="S920" s="69"/>
    </row>
    <row r="921" spans="1:19" hidden="1">
      <c r="A921" s="72" t="s">
        <v>2711</v>
      </c>
      <c r="B921" s="149" t="str">
        <f>IFERROR(VLOOKUP(Proc[[#This Row],[App]],Table2[],3,0),"open")</f>
        <v>ok</v>
      </c>
      <c r="C921" s="72" t="s">
        <v>369</v>
      </c>
      <c r="D921" t="s">
        <v>2705</v>
      </c>
      <c r="E921" t="s">
        <v>2697</v>
      </c>
      <c r="F921" s="117" t="s">
        <v>2697</v>
      </c>
      <c r="G921" s="72" t="s">
        <v>406</v>
      </c>
      <c r="H921" s="69" t="str">
        <f>IF(Proc[[#This Row],[type]]="LFF (MDG-F)",MID(Proc[[#This Row],[Obj]],13,10),"")</f>
        <v>DE10N12313</v>
      </c>
      <c r="I921" s="72" t="s">
        <v>2714</v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MGF</v>
      </c>
      <c r="L921" s="69" t="s">
        <v>2563</v>
      </c>
      <c r="M921" s="79">
        <v>45757.718622685185</v>
      </c>
      <c r="N921" s="79">
        <v>45768</v>
      </c>
      <c r="O921" s="79">
        <v>45768</v>
      </c>
      <c r="P921" s="80" t="str">
        <f ca="1">IF(Proc[[#This Row],[DaysAgeing]]&gt;5,"yep","on track")</f>
        <v>yep</v>
      </c>
      <c r="Q921" s="3">
        <f ca="1">IF(Proc[[#This Row],[DateClosed]]="",ABS(NETWORKDAYS(Proc[[#This Row],[DateOpened]],TODAY()))-1,ABS(NETWORKDAYS(Proc[[#This Row],[DateOpened]],Proc[[#This Row],[DateClosed]]))-1)</f>
        <v>7</v>
      </c>
      <c r="R921" s="80" t="s">
        <v>2712</v>
      </c>
      <c r="S921" s="69"/>
    </row>
    <row r="922" spans="1:19" hidden="1">
      <c r="A922" s="72" t="s">
        <v>2711</v>
      </c>
      <c r="B922" s="149" t="str">
        <f>IFERROR(VLOOKUP(Proc[[#This Row],[App]],Table2[],3,0),"open")</f>
        <v>ok</v>
      </c>
      <c r="C922" s="72" t="s">
        <v>369</v>
      </c>
      <c r="D922" t="s">
        <v>2706</v>
      </c>
      <c r="E922" t="s">
        <v>2707</v>
      </c>
      <c r="F922" s="117" t="s">
        <v>2707</v>
      </c>
      <c r="G922" s="72" t="s">
        <v>406</v>
      </c>
      <c r="H922" s="69" t="str">
        <f>IF(Proc[[#This Row],[type]]="LFF (MDG-F)",MID(Proc[[#This Row],[Obj]],13,10),"")</f>
        <v>DE10N12321</v>
      </c>
      <c r="I922" s="72" t="s">
        <v>2714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69" t="s">
        <v>2563</v>
      </c>
      <c r="M922" s="79">
        <v>45757.718622685185</v>
      </c>
      <c r="N922" s="79">
        <v>45768</v>
      </c>
      <c r="O922" s="79">
        <v>45768</v>
      </c>
      <c r="P922" s="80" t="str">
        <f ca="1">IF(Proc[[#This Row],[DaysAgeing]]&gt;5,"yep","on track")</f>
        <v>yep</v>
      </c>
      <c r="Q922" s="3">
        <f ca="1">IF(Proc[[#This Row],[DateClosed]]="",ABS(NETWORKDAYS(Proc[[#This Row],[DateOpened]],TODAY()))-1,ABS(NETWORKDAYS(Proc[[#This Row],[DateOpened]],Proc[[#This Row],[DateClosed]]))-1)</f>
        <v>7</v>
      </c>
      <c r="R922" s="80" t="s">
        <v>2712</v>
      </c>
      <c r="S922" s="69"/>
    </row>
    <row r="923" spans="1:19" hidden="1">
      <c r="A923" s="72" t="s">
        <v>2711</v>
      </c>
      <c r="B923" s="149" t="str">
        <f>IFERROR(VLOOKUP(Proc[[#This Row],[App]],Table2[],3,0),"open")</f>
        <v>ok</v>
      </c>
      <c r="C923" s="72" t="s">
        <v>369</v>
      </c>
      <c r="D923" t="s">
        <v>2708</v>
      </c>
      <c r="E923" t="s">
        <v>2707</v>
      </c>
      <c r="F923" s="117" t="s">
        <v>2707</v>
      </c>
      <c r="G923" s="72" t="s">
        <v>406</v>
      </c>
      <c r="H923" s="69" t="str">
        <f>IF(Proc[[#This Row],[type]]="LFF (MDG-F)",MID(Proc[[#This Row],[Obj]],13,10),"")</f>
        <v>DE10N12323</v>
      </c>
      <c r="I923" s="72" t="s">
        <v>2714</v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69" t="s">
        <v>2563</v>
      </c>
      <c r="M923" s="79">
        <v>45757.718622685185</v>
      </c>
      <c r="N923" s="79">
        <v>45768</v>
      </c>
      <c r="O923" s="79">
        <v>45768</v>
      </c>
      <c r="P923" s="80" t="str">
        <f ca="1">IF(Proc[[#This Row],[DaysAgeing]]&gt;5,"yep","on track")</f>
        <v>yep</v>
      </c>
      <c r="Q923" s="3">
        <f ca="1">IF(Proc[[#This Row],[DateClosed]]="",ABS(NETWORKDAYS(Proc[[#This Row],[DateOpened]],TODAY()))-1,ABS(NETWORKDAYS(Proc[[#This Row],[DateOpened]],Proc[[#This Row],[DateClosed]]))-1)</f>
        <v>7</v>
      </c>
      <c r="R923" s="80" t="s">
        <v>2712</v>
      </c>
      <c r="S923" s="69"/>
    </row>
    <row r="924" spans="1:19" hidden="1">
      <c r="A924" s="72" t="s">
        <v>2711</v>
      </c>
      <c r="B924" s="149" t="str">
        <f>IFERROR(VLOOKUP(Proc[[#This Row],[App]],Table2[],3,0),"open")</f>
        <v>ok</v>
      </c>
      <c r="C924" s="72" t="s">
        <v>369</v>
      </c>
      <c r="D924" t="s">
        <v>2709</v>
      </c>
      <c r="E924" t="s">
        <v>2707</v>
      </c>
      <c r="F924" s="117" t="s">
        <v>2707</v>
      </c>
      <c r="G924" s="72" t="s">
        <v>406</v>
      </c>
      <c r="H924" s="69" t="str">
        <f>IF(Proc[[#This Row],[type]]="LFF (MDG-F)",MID(Proc[[#This Row],[Obj]],13,10),"")</f>
        <v>DE10N12395</v>
      </c>
      <c r="I924" s="72" t="s">
        <v>2714</v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69" t="s">
        <v>2563</v>
      </c>
      <c r="M924" s="79">
        <v>45757.718622685185</v>
      </c>
      <c r="N924" s="79">
        <v>45768</v>
      </c>
      <c r="O924" s="79">
        <v>45768</v>
      </c>
      <c r="P924" s="80" t="str">
        <f ca="1">IF(Proc[[#This Row],[DaysAgeing]]&gt;5,"yep","on track")</f>
        <v>yep</v>
      </c>
      <c r="Q924" s="3">
        <f ca="1">IF(Proc[[#This Row],[DateClosed]]="",ABS(NETWORKDAYS(Proc[[#This Row],[DateOpened]],TODAY()))-1,ABS(NETWORKDAYS(Proc[[#This Row],[DateOpened]],Proc[[#This Row],[DateClosed]]))-1)</f>
        <v>7</v>
      </c>
      <c r="R924" s="80" t="s">
        <v>2712</v>
      </c>
      <c r="S924" s="69"/>
    </row>
    <row r="925" spans="1:19" hidden="1">
      <c r="A925" s="72" t="s">
        <v>2711</v>
      </c>
      <c r="B925" s="149" t="str">
        <f>IFERROR(VLOOKUP(Proc[[#This Row],[App]],Table2[],3,0),"open")</f>
        <v>ok</v>
      </c>
      <c r="C925" s="72" t="s">
        <v>369</v>
      </c>
      <c r="D925" t="s">
        <v>2710</v>
      </c>
      <c r="E925" t="s">
        <v>2707</v>
      </c>
      <c r="F925" s="117" t="s">
        <v>2707</v>
      </c>
      <c r="G925" s="72" t="s">
        <v>406</v>
      </c>
      <c r="H925" s="69" t="str">
        <f>IF(Proc[[#This Row],[type]]="LFF (MDG-F)",MID(Proc[[#This Row],[Obj]],13,10),"")</f>
        <v>DE10N11195</v>
      </c>
      <c r="I925" s="72" t="s">
        <v>2714</v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69" t="s">
        <v>2563</v>
      </c>
      <c r="M925" s="79">
        <v>45757.718622685185</v>
      </c>
      <c r="N925" s="79">
        <v>45768</v>
      </c>
      <c r="O925" s="79">
        <v>45768</v>
      </c>
      <c r="P925" s="80" t="str">
        <f ca="1">IF(Proc[[#This Row],[DaysAgeing]]&gt;5,"yep","on track")</f>
        <v>yep</v>
      </c>
      <c r="Q925" s="3">
        <f ca="1">IF(Proc[[#This Row],[DateClosed]]="",ABS(NETWORKDAYS(Proc[[#This Row],[DateOpened]],TODAY()))-1,ABS(NETWORKDAYS(Proc[[#This Row],[DateOpened]],Proc[[#This Row],[DateClosed]]))-1)</f>
        <v>7</v>
      </c>
      <c r="R925" s="80" t="s">
        <v>2712</v>
      </c>
      <c r="S925" s="69"/>
    </row>
    <row r="926" spans="1:19" hidden="1">
      <c r="A926" t="s">
        <v>2715</v>
      </c>
      <c r="B926" s="149" t="str">
        <f>IFERROR(VLOOKUP(Proc[[#This Row],[App]],Table2[],3,0),"open")</f>
        <v>ok</v>
      </c>
      <c r="C926" s="72" t="s">
        <v>369</v>
      </c>
      <c r="D926" t="s">
        <v>2716</v>
      </c>
      <c r="E926" t="s">
        <v>2691</v>
      </c>
      <c r="F926" s="117" t="s">
        <v>2691</v>
      </c>
      <c r="G926" t="s">
        <v>400</v>
      </c>
      <c r="H926" s="69" t="str">
        <f>IF(Proc[[#This Row],[type]]="LFF (MDG-F)",MID(Proc[[#This Row],[Obj]],13,10),"")</f>
        <v/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LS</v>
      </c>
      <c r="L926" s="69" t="s">
        <v>2563</v>
      </c>
      <c r="M926" s="79">
        <v>45765.420370370368</v>
      </c>
      <c r="N926" s="79">
        <v>45769</v>
      </c>
      <c r="O926" s="79">
        <v>45769</v>
      </c>
      <c r="P926" s="80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2</v>
      </c>
      <c r="R926" s="80" t="s">
        <v>489</v>
      </c>
      <c r="S926" s="69"/>
    </row>
    <row r="927" spans="1:19" hidden="1">
      <c r="A927" s="72" t="s">
        <v>2715</v>
      </c>
      <c r="B927" s="149" t="str">
        <f>IFERROR(VLOOKUP(Proc[[#This Row],[App]],Table2[],3,0),"open")</f>
        <v>ok</v>
      </c>
      <c r="C927" s="72" t="s">
        <v>369</v>
      </c>
      <c r="D927" t="s">
        <v>2717</v>
      </c>
      <c r="E927" t="s">
        <v>2691</v>
      </c>
      <c r="F927" s="117" t="s">
        <v>2691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LS</v>
      </c>
      <c r="L927" s="69" t="s">
        <v>2563</v>
      </c>
      <c r="M927" s="79">
        <v>45765.420370370368</v>
      </c>
      <c r="N927" s="79">
        <v>45769</v>
      </c>
      <c r="O927" s="79">
        <v>45769</v>
      </c>
      <c r="P927" s="80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2</v>
      </c>
      <c r="R927" s="80" t="s">
        <v>489</v>
      </c>
      <c r="S927" s="69"/>
    </row>
    <row r="928" spans="1:19" hidden="1">
      <c r="A928" s="72" t="s">
        <v>2715</v>
      </c>
      <c r="B928" s="149" t="str">
        <f>IFERROR(VLOOKUP(Proc[[#This Row],[App]],Table2[],3,0),"open")</f>
        <v>ok</v>
      </c>
      <c r="C928" s="72" t="s">
        <v>369</v>
      </c>
      <c r="D928" t="s">
        <v>2718</v>
      </c>
      <c r="E928" t="s">
        <v>2768</v>
      </c>
      <c r="F928" s="117" t="s">
        <v>2768</v>
      </c>
      <c r="G928" s="72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LS</v>
      </c>
      <c r="L928" s="69" t="s">
        <v>2563</v>
      </c>
      <c r="M928" s="79">
        <v>45765.420370370368</v>
      </c>
      <c r="N928" s="79">
        <v>45769</v>
      </c>
      <c r="O928" s="79">
        <v>45769</v>
      </c>
      <c r="P928" s="80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2</v>
      </c>
      <c r="R928" s="80" t="s">
        <v>489</v>
      </c>
      <c r="S928" s="69"/>
    </row>
    <row r="929" spans="1:19" hidden="1">
      <c r="A929" s="72" t="s">
        <v>2715</v>
      </c>
      <c r="B929" s="149" t="str">
        <f>IFERROR(VLOOKUP(Proc[[#This Row],[App]],Table2[],3,0),"open")</f>
        <v>ok</v>
      </c>
      <c r="C929" s="72" t="s">
        <v>369</v>
      </c>
      <c r="D929" t="s">
        <v>2719</v>
      </c>
      <c r="E929" t="s">
        <v>2691</v>
      </c>
      <c r="F929" s="117" t="s">
        <v>2691</v>
      </c>
      <c r="G929" s="72" t="s">
        <v>400</v>
      </c>
      <c r="H929" s="69" t="str">
        <f>IF(Proc[[#This Row],[type]]="LFF (MDG-F)",MID(Proc[[#This Row],[Obj]],13,10),"")</f>
        <v/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LS</v>
      </c>
      <c r="L929" s="69" t="s">
        <v>2563</v>
      </c>
      <c r="M929" s="79">
        <v>45765.420370370368</v>
      </c>
      <c r="N929" s="79">
        <v>45769</v>
      </c>
      <c r="O929" s="79">
        <v>45769</v>
      </c>
      <c r="P929" s="80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2</v>
      </c>
      <c r="R929" s="80" t="s">
        <v>489</v>
      </c>
      <c r="S929" s="69"/>
    </row>
    <row r="930" spans="1:19" hidden="1">
      <c r="A930" s="72" t="s">
        <v>2715</v>
      </c>
      <c r="B930" s="149" t="str">
        <f>IFERROR(VLOOKUP(Proc[[#This Row],[App]],Table2[],3,0),"open")</f>
        <v>ok</v>
      </c>
      <c r="C930" s="72" t="s">
        <v>369</v>
      </c>
      <c r="D930" t="s">
        <v>2720</v>
      </c>
      <c r="E930" t="s">
        <v>2691</v>
      </c>
      <c r="F930" s="117" t="s">
        <v>2691</v>
      </c>
      <c r="G930" s="72" t="s">
        <v>400</v>
      </c>
      <c r="H930" s="69" t="str">
        <f>IF(Proc[[#This Row],[type]]="LFF (MDG-F)",MID(Proc[[#This Row],[Obj]],13,10),"")</f>
        <v/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LS</v>
      </c>
      <c r="L930" s="69" t="s">
        <v>2563</v>
      </c>
      <c r="M930" s="79">
        <v>45765.420370370368</v>
      </c>
      <c r="N930" s="79">
        <v>45769</v>
      </c>
      <c r="O930" s="79">
        <v>45769</v>
      </c>
      <c r="P930" s="80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80" t="s">
        <v>489</v>
      </c>
      <c r="S930" s="69"/>
    </row>
    <row r="931" spans="1:19" hidden="1">
      <c r="A931" s="72" t="s">
        <v>2715</v>
      </c>
      <c r="B931" s="149" t="str">
        <f>IFERROR(VLOOKUP(Proc[[#This Row],[App]],Table2[],3,0),"open")</f>
        <v>ok</v>
      </c>
      <c r="C931" s="72" t="s">
        <v>369</v>
      </c>
      <c r="D931" t="s">
        <v>2721</v>
      </c>
      <c r="E931" t="s">
        <v>2691</v>
      </c>
      <c r="F931" s="117" t="s">
        <v>2691</v>
      </c>
      <c r="G931" s="72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69" t="s">
        <v>2563</v>
      </c>
      <c r="M931" s="79">
        <v>45765.420370370368</v>
      </c>
      <c r="N931" s="79">
        <v>45769</v>
      </c>
      <c r="O931" s="79">
        <v>45769</v>
      </c>
      <c r="P931" s="80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2</v>
      </c>
      <c r="R931" s="80" t="s">
        <v>489</v>
      </c>
      <c r="S931" s="69"/>
    </row>
    <row r="932" spans="1:19" hidden="1">
      <c r="A932" s="72" t="s">
        <v>2715</v>
      </c>
      <c r="B932" s="149" t="str">
        <f>IFERROR(VLOOKUP(Proc[[#This Row],[App]],Table2[],3,0),"open")</f>
        <v>ok</v>
      </c>
      <c r="C932" s="72" t="s">
        <v>369</v>
      </c>
      <c r="D932" t="s">
        <v>2763</v>
      </c>
      <c r="E932" t="s">
        <v>2769</v>
      </c>
      <c r="F932" s="117" t="s">
        <v>2769</v>
      </c>
      <c r="G932" s="72" t="s">
        <v>406</v>
      </c>
      <c r="H932" s="69" t="str">
        <f>IF(Proc[[#This Row],[type]]="LFF (MDG-F)",MID(Proc[[#This Row],[Obj]],13,10),"")</f>
        <v>KE50C0FF11</v>
      </c>
      <c r="I932" t="s">
        <v>2816</v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69" t="s">
        <v>2563</v>
      </c>
      <c r="M932" s="79">
        <v>45765.420370370368</v>
      </c>
      <c r="N932" s="79">
        <v>45769</v>
      </c>
      <c r="O932" s="79">
        <v>45769</v>
      </c>
      <c r="P932" s="80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2</v>
      </c>
      <c r="R932" s="80" t="s">
        <v>489</v>
      </c>
      <c r="S932" s="69"/>
    </row>
    <row r="933" spans="1:19" hidden="1">
      <c r="A933" s="72" t="s">
        <v>2715</v>
      </c>
      <c r="B933" s="149" t="str">
        <f>IFERROR(VLOOKUP(Proc[[#This Row],[App]],Table2[],3,0),"open")</f>
        <v>ok</v>
      </c>
      <c r="C933" s="72" t="s">
        <v>369</v>
      </c>
      <c r="D933" t="s">
        <v>2764</v>
      </c>
      <c r="E933" t="s">
        <v>2769</v>
      </c>
      <c r="F933" s="117" t="s">
        <v>2769</v>
      </c>
      <c r="G933" s="72" t="s">
        <v>406</v>
      </c>
      <c r="H933" s="69" t="str">
        <f>IF(Proc[[#This Row],[type]]="LFF (MDG-F)",MID(Proc[[#This Row],[Obj]],13,10),"")</f>
        <v>KE50C0IM11</v>
      </c>
      <c r="I933" s="72" t="s">
        <v>2816</v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69" t="s">
        <v>2563</v>
      </c>
      <c r="M933" s="79">
        <v>45765.420370370368</v>
      </c>
      <c r="N933" s="79">
        <v>45769</v>
      </c>
      <c r="O933" s="79">
        <v>45769</v>
      </c>
      <c r="P933" s="80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2</v>
      </c>
      <c r="R933" s="80" t="s">
        <v>489</v>
      </c>
      <c r="S933" s="69"/>
    </row>
    <row r="934" spans="1:19" hidden="1">
      <c r="A934" s="72" t="s">
        <v>2715</v>
      </c>
      <c r="B934" s="149" t="str">
        <f>IFERROR(VLOOKUP(Proc[[#This Row],[App]],Table2[],3,0),"open")</f>
        <v>ok</v>
      </c>
      <c r="C934" s="72" t="s">
        <v>369</v>
      </c>
      <c r="D934" t="s">
        <v>2765</v>
      </c>
      <c r="E934" t="s">
        <v>2691</v>
      </c>
      <c r="F934" s="117" t="s">
        <v>2691</v>
      </c>
      <c r="G934" s="72" t="s">
        <v>406</v>
      </c>
      <c r="H934" s="69" t="str">
        <f>IF(Proc[[#This Row],[type]]="LFF (MDG-F)",MID(Proc[[#This Row],[Obj]],13,10),"")</f>
        <v>2029C00004</v>
      </c>
      <c r="I934" s="72" t="s">
        <v>2816</v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69" t="s">
        <v>2563</v>
      </c>
      <c r="M934" s="79">
        <v>45765.420370370368</v>
      </c>
      <c r="N934" s="79">
        <v>45769</v>
      </c>
      <c r="O934" s="79">
        <v>45769</v>
      </c>
      <c r="P934" s="80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80" t="s">
        <v>489</v>
      </c>
      <c r="S934" s="69"/>
    </row>
    <row r="935" spans="1:19" hidden="1">
      <c r="A935" s="72" t="s">
        <v>2715</v>
      </c>
      <c r="B935" s="149" t="str">
        <f>IFERROR(VLOOKUP(Proc[[#This Row],[App]],Table2[],3,0),"open")</f>
        <v>ok</v>
      </c>
      <c r="C935" s="72" t="s">
        <v>369</v>
      </c>
      <c r="D935" t="s">
        <v>2766</v>
      </c>
      <c r="E935" t="s">
        <v>2691</v>
      </c>
      <c r="F935" s="117" t="s">
        <v>2691</v>
      </c>
      <c r="G935" s="72" t="s">
        <v>406</v>
      </c>
      <c r="H935" s="69" t="str">
        <f>IF(Proc[[#This Row],[type]]="LFF (MDG-F)",MID(Proc[[#This Row],[Obj]],13,10),"")</f>
        <v>2031C00005</v>
      </c>
      <c r="I935" s="72" t="s">
        <v>2816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69" t="s">
        <v>2563</v>
      </c>
      <c r="M935" s="79">
        <v>45765.420370370368</v>
      </c>
      <c r="N935" s="79">
        <v>45769</v>
      </c>
      <c r="O935" s="79">
        <v>45769</v>
      </c>
      <c r="P935" s="80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80" t="s">
        <v>489</v>
      </c>
      <c r="S935" s="69"/>
    </row>
    <row r="936" spans="1:19" hidden="1">
      <c r="A936" s="72" t="s">
        <v>2715</v>
      </c>
      <c r="B936" s="149" t="str">
        <f>IFERROR(VLOOKUP(Proc[[#This Row],[App]],Table2[],3,0),"open")</f>
        <v>ok</v>
      </c>
      <c r="C936" s="72" t="s">
        <v>369</v>
      </c>
      <c r="D936" t="s">
        <v>2767</v>
      </c>
      <c r="E936" t="s">
        <v>2691</v>
      </c>
      <c r="F936" s="117" t="s">
        <v>2691</v>
      </c>
      <c r="G936" s="72" t="s">
        <v>406</v>
      </c>
      <c r="H936" s="69" t="str">
        <f>IF(Proc[[#This Row],[type]]="LFF (MDG-F)",MID(Proc[[#This Row],[Obj]],13,10),"")</f>
        <v>2034C00012</v>
      </c>
      <c r="I936" s="72" t="s">
        <v>2816</v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69" t="s">
        <v>2563</v>
      </c>
      <c r="M936" s="79">
        <v>45765.420370370368</v>
      </c>
      <c r="N936" s="79">
        <v>45769</v>
      </c>
      <c r="O936" s="79">
        <v>45769</v>
      </c>
      <c r="P936" s="80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80" t="s">
        <v>489</v>
      </c>
      <c r="S936" s="69"/>
    </row>
    <row r="937" spans="1:19" hidden="1">
      <c r="A937" s="72" t="s">
        <v>2715</v>
      </c>
      <c r="B937" s="149" t="str">
        <f>IFERROR(VLOOKUP(Proc[[#This Row],[App]],Table2[],3,0),"open")</f>
        <v>ok</v>
      </c>
      <c r="C937" s="72" t="s">
        <v>369</v>
      </c>
      <c r="D937" t="s">
        <v>2722</v>
      </c>
      <c r="E937" t="s">
        <v>2770</v>
      </c>
      <c r="F937" s="117" t="s">
        <v>2770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69" t="s">
        <v>2563</v>
      </c>
      <c r="M937" s="79">
        <v>45765.420370370368</v>
      </c>
      <c r="N937" s="79">
        <v>45769</v>
      </c>
      <c r="O937" s="79">
        <v>45769</v>
      </c>
      <c r="P937" s="80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80" t="s">
        <v>489</v>
      </c>
      <c r="S937" s="69"/>
    </row>
    <row r="938" spans="1:19" hidden="1">
      <c r="A938" s="72" t="s">
        <v>2715</v>
      </c>
      <c r="B938" s="149" t="str">
        <f>IFERROR(VLOOKUP(Proc[[#This Row],[App]],Table2[],3,0),"open")</f>
        <v>ok</v>
      </c>
      <c r="C938" s="72" t="s">
        <v>369</v>
      </c>
      <c r="D938" t="s">
        <v>2723</v>
      </c>
      <c r="E938" t="s">
        <v>2770</v>
      </c>
      <c r="F938" s="117" t="s">
        <v>2770</v>
      </c>
      <c r="G938" s="72" t="s">
        <v>400</v>
      </c>
      <c r="H938" s="69" t="str">
        <f>IF(Proc[[#This Row],[type]]="LFF (MDG-F)",MID(Proc[[#This Row],[Obj]],13,10),"")</f>
        <v/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LS</v>
      </c>
      <c r="L938" s="69" t="s">
        <v>2563</v>
      </c>
      <c r="M938" s="79">
        <v>45765.420370370368</v>
      </c>
      <c r="N938" s="79">
        <v>45769</v>
      </c>
      <c r="O938" s="79">
        <v>45769</v>
      </c>
      <c r="P938" s="80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2</v>
      </c>
      <c r="R938" s="80" t="s">
        <v>489</v>
      </c>
      <c r="S938" s="69"/>
    </row>
    <row r="939" spans="1:19" hidden="1">
      <c r="A939" s="72" t="s">
        <v>2715</v>
      </c>
      <c r="B939" s="149" t="str">
        <f>IFERROR(VLOOKUP(Proc[[#This Row],[App]],Table2[],3,0),"open")</f>
        <v>ok</v>
      </c>
      <c r="C939" s="72" t="s">
        <v>369</v>
      </c>
      <c r="D939" t="s">
        <v>2724</v>
      </c>
      <c r="E939" t="s">
        <v>2770</v>
      </c>
      <c r="F939" s="117" t="s">
        <v>2770</v>
      </c>
      <c r="G939" s="72" t="s">
        <v>400</v>
      </c>
      <c r="H939" s="69" t="str">
        <f>IF(Proc[[#This Row],[type]]="LFF (MDG-F)",MID(Proc[[#This Row],[Obj]],13,10),"")</f>
        <v/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LS</v>
      </c>
      <c r="L939" s="69" t="s">
        <v>2563</v>
      </c>
      <c r="M939" s="79">
        <v>45765.420370370368</v>
      </c>
      <c r="N939" s="79">
        <v>45769</v>
      </c>
      <c r="O939" s="79">
        <v>45769</v>
      </c>
      <c r="P939" s="80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2</v>
      </c>
      <c r="R939" s="80" t="s">
        <v>489</v>
      </c>
      <c r="S939" s="69"/>
    </row>
    <row r="940" spans="1:19" hidden="1">
      <c r="A940" s="72" t="s">
        <v>2715</v>
      </c>
      <c r="B940" s="149" t="str">
        <f>IFERROR(VLOOKUP(Proc[[#This Row],[App]],Table2[],3,0),"open")</f>
        <v>ok</v>
      </c>
      <c r="C940" s="72" t="s">
        <v>369</v>
      </c>
      <c r="D940" t="s">
        <v>2725</v>
      </c>
      <c r="E940" t="s">
        <v>2770</v>
      </c>
      <c r="F940" s="117" t="s">
        <v>2770</v>
      </c>
      <c r="G940" s="72" t="s">
        <v>400</v>
      </c>
      <c r="H940" s="69" t="str">
        <f>IF(Proc[[#This Row],[type]]="LFF (MDG-F)",MID(Proc[[#This Row],[Obj]],13,10),"")</f>
        <v/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LS</v>
      </c>
      <c r="L940" s="69" t="s">
        <v>2563</v>
      </c>
      <c r="M940" s="79">
        <v>45765.420370370368</v>
      </c>
      <c r="N940" s="79">
        <v>45769</v>
      </c>
      <c r="O940" s="79">
        <v>45769</v>
      </c>
      <c r="P940" s="80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2</v>
      </c>
      <c r="R940" s="80" t="s">
        <v>489</v>
      </c>
      <c r="S940" s="69"/>
    </row>
    <row r="941" spans="1:19" hidden="1">
      <c r="A941" s="72" t="s">
        <v>2715</v>
      </c>
      <c r="B941" s="149" t="str">
        <f>IFERROR(VLOOKUP(Proc[[#This Row],[App]],Table2[],3,0),"open")</f>
        <v>ok</v>
      </c>
      <c r="C941" s="72" t="s">
        <v>369</v>
      </c>
      <c r="D941" t="s">
        <v>2726</v>
      </c>
      <c r="E941" t="s">
        <v>2770</v>
      </c>
      <c r="F941" s="117" t="s">
        <v>2770</v>
      </c>
      <c r="G941" s="72" t="s">
        <v>400</v>
      </c>
      <c r="H941" s="69" t="str">
        <f>IF(Proc[[#This Row],[type]]="LFF (MDG-F)",MID(Proc[[#This Row],[Obj]],13,10),"")</f>
        <v/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LS</v>
      </c>
      <c r="L941" s="69" t="s">
        <v>2563</v>
      </c>
      <c r="M941" s="79">
        <v>45765.420370370368</v>
      </c>
      <c r="N941" s="79">
        <v>45769</v>
      </c>
      <c r="O941" s="79">
        <v>45769</v>
      </c>
      <c r="P941" s="80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2</v>
      </c>
      <c r="R941" s="80" t="s">
        <v>489</v>
      </c>
      <c r="S941" s="69"/>
    </row>
    <row r="942" spans="1:19" hidden="1">
      <c r="A942" s="72" t="s">
        <v>2715</v>
      </c>
      <c r="B942" s="149" t="str">
        <f>IFERROR(VLOOKUP(Proc[[#This Row],[App]],Table2[],3,0),"open")</f>
        <v>ok</v>
      </c>
      <c r="C942" s="72" t="s">
        <v>369</v>
      </c>
      <c r="D942" t="s">
        <v>2727</v>
      </c>
      <c r="E942" t="s">
        <v>2770</v>
      </c>
      <c r="F942" s="117" t="s">
        <v>2770</v>
      </c>
      <c r="G942" s="72" t="s">
        <v>400</v>
      </c>
      <c r="H942" s="69" t="str">
        <f>IF(Proc[[#This Row],[type]]="LFF (MDG-F)",MID(Proc[[#This Row],[Obj]],13,10),"")</f>
        <v/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LS</v>
      </c>
      <c r="L942" s="69" t="s">
        <v>2563</v>
      </c>
      <c r="M942" s="79">
        <v>45765.420370370368</v>
      </c>
      <c r="N942" s="79">
        <v>45769</v>
      </c>
      <c r="O942" s="79">
        <v>45769</v>
      </c>
      <c r="P942" s="80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2</v>
      </c>
      <c r="R942" s="80" t="s">
        <v>489</v>
      </c>
      <c r="S942" s="69"/>
    </row>
    <row r="943" spans="1:19" hidden="1">
      <c r="A943" s="72" t="s">
        <v>2715</v>
      </c>
      <c r="B943" s="149" t="str">
        <f>IFERROR(VLOOKUP(Proc[[#This Row],[App]],Table2[],3,0),"open")</f>
        <v>ok</v>
      </c>
      <c r="C943" s="72" t="s">
        <v>369</v>
      </c>
      <c r="D943" t="s">
        <v>2728</v>
      </c>
      <c r="E943" t="s">
        <v>2770</v>
      </c>
      <c r="F943" s="117" t="s">
        <v>2770</v>
      </c>
      <c r="G943" s="72" t="s">
        <v>400</v>
      </c>
      <c r="H943" s="69" t="str">
        <f>IF(Proc[[#This Row],[type]]="LFF (MDG-F)",MID(Proc[[#This Row],[Obj]],13,10),"")</f>
        <v/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LS</v>
      </c>
      <c r="L943" s="69" t="s">
        <v>2563</v>
      </c>
      <c r="M943" s="79">
        <v>45765.420370370368</v>
      </c>
      <c r="N943" s="79">
        <v>45769</v>
      </c>
      <c r="O943" s="79">
        <v>45769</v>
      </c>
      <c r="P943" s="80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2</v>
      </c>
      <c r="R943" s="80" t="s">
        <v>489</v>
      </c>
      <c r="S943" s="69"/>
    </row>
    <row r="944" spans="1:19" hidden="1">
      <c r="A944" s="72" t="s">
        <v>2715</v>
      </c>
      <c r="B944" s="149" t="str">
        <f>IFERROR(VLOOKUP(Proc[[#This Row],[App]],Table2[],3,0),"open")</f>
        <v>ok</v>
      </c>
      <c r="C944" s="72" t="s">
        <v>369</v>
      </c>
      <c r="D944" t="s">
        <v>2729</v>
      </c>
      <c r="E944" t="s">
        <v>2770</v>
      </c>
      <c r="F944" s="117" t="s">
        <v>2770</v>
      </c>
      <c r="G944" s="72" t="s">
        <v>400</v>
      </c>
      <c r="H944" s="69" t="str">
        <f>IF(Proc[[#This Row],[type]]="LFF (MDG-F)",MID(Proc[[#This Row],[Obj]],13,10),"")</f>
        <v/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LS</v>
      </c>
      <c r="L944" s="69" t="s">
        <v>2563</v>
      </c>
      <c r="M944" s="79">
        <v>45765.420370370368</v>
      </c>
      <c r="N944" s="79">
        <v>45769</v>
      </c>
      <c r="O944" s="79">
        <v>45769</v>
      </c>
      <c r="P944" s="80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2</v>
      </c>
      <c r="R944" s="80" t="s">
        <v>489</v>
      </c>
      <c r="S944" s="69"/>
    </row>
    <row r="945" spans="1:19" hidden="1">
      <c r="A945" s="72" t="s">
        <v>2715</v>
      </c>
      <c r="B945" s="149" t="str">
        <f>IFERROR(VLOOKUP(Proc[[#This Row],[App]],Table2[],3,0),"open")</f>
        <v>ok</v>
      </c>
      <c r="C945" s="72" t="s">
        <v>369</v>
      </c>
      <c r="D945" t="s">
        <v>2730</v>
      </c>
      <c r="E945" t="s">
        <v>2770</v>
      </c>
      <c r="F945" s="117" t="s">
        <v>2770</v>
      </c>
      <c r="G945" s="72" t="s">
        <v>400</v>
      </c>
      <c r="H945" s="69" t="str">
        <f>IF(Proc[[#This Row],[type]]="LFF (MDG-F)",MID(Proc[[#This Row],[Obj]],13,10),"")</f>
        <v/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LS</v>
      </c>
      <c r="L945" s="69" t="s">
        <v>2563</v>
      </c>
      <c r="M945" s="79">
        <v>45765.420370370368</v>
      </c>
      <c r="N945" s="79">
        <v>45769</v>
      </c>
      <c r="O945" s="79">
        <v>45769</v>
      </c>
      <c r="P945" s="80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2</v>
      </c>
      <c r="R945" s="80" t="s">
        <v>489</v>
      </c>
      <c r="S945" s="69"/>
    </row>
    <row r="946" spans="1:19" hidden="1">
      <c r="A946" s="72" t="s">
        <v>2715</v>
      </c>
      <c r="B946" s="149" t="str">
        <f>IFERROR(VLOOKUP(Proc[[#This Row],[App]],Table2[],3,0),"open")</f>
        <v>ok</v>
      </c>
      <c r="C946" s="72" t="s">
        <v>369</v>
      </c>
      <c r="D946" t="s">
        <v>2731</v>
      </c>
      <c r="E946" t="s">
        <v>2770</v>
      </c>
      <c r="F946" s="117" t="s">
        <v>2770</v>
      </c>
      <c r="G946" s="72" t="s">
        <v>400</v>
      </c>
      <c r="H946" s="69" t="str">
        <f>IF(Proc[[#This Row],[type]]="LFF (MDG-F)",MID(Proc[[#This Row],[Obj]],13,10),"")</f>
        <v/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LS</v>
      </c>
      <c r="L946" s="69" t="s">
        <v>2563</v>
      </c>
      <c r="M946" s="79">
        <v>45765.420370370368</v>
      </c>
      <c r="N946" s="79">
        <v>45769</v>
      </c>
      <c r="O946" s="79">
        <v>45769</v>
      </c>
      <c r="P946" s="80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2</v>
      </c>
      <c r="R946" s="80" t="s">
        <v>489</v>
      </c>
      <c r="S946" s="69"/>
    </row>
    <row r="947" spans="1:19" hidden="1">
      <c r="A947" s="72" t="s">
        <v>2715</v>
      </c>
      <c r="B947" s="149" t="str">
        <f>IFERROR(VLOOKUP(Proc[[#This Row],[App]],Table2[],3,0),"open")</f>
        <v>ok</v>
      </c>
      <c r="C947" s="72" t="s">
        <v>369</v>
      </c>
      <c r="D947" t="s">
        <v>2732</v>
      </c>
      <c r="E947" t="s">
        <v>2771</v>
      </c>
      <c r="F947" s="117" t="s">
        <v>2771</v>
      </c>
      <c r="G947" s="72" t="s">
        <v>400</v>
      </c>
      <c r="H947" s="69" t="str">
        <f>IF(Proc[[#This Row],[type]]="LFF (MDG-F)",MID(Proc[[#This Row],[Obj]],13,10),"")</f>
        <v/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LS</v>
      </c>
      <c r="L947" s="69" t="s">
        <v>2563</v>
      </c>
      <c r="M947" s="79">
        <v>45765.420370370368</v>
      </c>
      <c r="N947" s="79">
        <v>45769</v>
      </c>
      <c r="O947" s="79">
        <v>45769</v>
      </c>
      <c r="P947" s="80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2</v>
      </c>
      <c r="R947" s="80" t="s">
        <v>489</v>
      </c>
      <c r="S947" s="69"/>
    </row>
    <row r="948" spans="1:19" hidden="1">
      <c r="A948" s="72" t="s">
        <v>2715</v>
      </c>
      <c r="B948" s="149" t="str">
        <f>IFERROR(VLOOKUP(Proc[[#This Row],[App]],Table2[],3,0),"open")</f>
        <v>ok</v>
      </c>
      <c r="C948" s="72" t="s">
        <v>369</v>
      </c>
      <c r="D948" t="s">
        <v>2733</v>
      </c>
      <c r="E948" t="s">
        <v>2772</v>
      </c>
      <c r="F948" s="117" t="s">
        <v>2772</v>
      </c>
      <c r="G948" s="72" t="s">
        <v>400</v>
      </c>
      <c r="H948" s="69" t="str">
        <f>IF(Proc[[#This Row],[type]]="LFF (MDG-F)",MID(Proc[[#This Row],[Obj]],13,10),"")</f>
        <v/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LS</v>
      </c>
      <c r="L948" s="69" t="s">
        <v>2563</v>
      </c>
      <c r="M948" s="79">
        <v>45765.420370370368</v>
      </c>
      <c r="N948" s="79">
        <v>45769</v>
      </c>
      <c r="O948" s="79">
        <v>45769</v>
      </c>
      <c r="P948" s="80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2</v>
      </c>
      <c r="R948" s="80" t="s">
        <v>489</v>
      </c>
      <c r="S948" s="69"/>
    </row>
    <row r="949" spans="1:19" hidden="1">
      <c r="A949" s="72" t="s">
        <v>2715</v>
      </c>
      <c r="B949" s="149" t="str">
        <f>IFERROR(VLOOKUP(Proc[[#This Row],[App]],Table2[],3,0),"open")</f>
        <v>ok</v>
      </c>
      <c r="C949" s="72" t="s">
        <v>369</v>
      </c>
      <c r="D949" t="s">
        <v>2734</v>
      </c>
      <c r="E949" t="s">
        <v>2773</v>
      </c>
      <c r="F949" s="117" t="s">
        <v>2773</v>
      </c>
      <c r="G949" s="72" t="s">
        <v>400</v>
      </c>
      <c r="H949" s="69" t="str">
        <f>IF(Proc[[#This Row],[type]]="LFF (MDG-F)",MID(Proc[[#This Row],[Obj]],13,10),"")</f>
        <v/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LS</v>
      </c>
      <c r="L949" s="69" t="s">
        <v>2563</v>
      </c>
      <c r="M949" s="79">
        <v>45765.420370370368</v>
      </c>
      <c r="N949" s="79">
        <v>45769</v>
      </c>
      <c r="O949" s="79">
        <v>45769</v>
      </c>
      <c r="P949" s="80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2</v>
      </c>
      <c r="R949" s="80" t="s">
        <v>489</v>
      </c>
      <c r="S949" s="69"/>
    </row>
    <row r="950" spans="1:19" hidden="1">
      <c r="A950" s="72" t="s">
        <v>2715</v>
      </c>
      <c r="B950" s="149" t="str">
        <f>IFERROR(VLOOKUP(Proc[[#This Row],[App]],Table2[],3,0),"open")</f>
        <v>ok</v>
      </c>
      <c r="C950" s="72" t="s">
        <v>369</v>
      </c>
      <c r="D950" t="s">
        <v>2735</v>
      </c>
      <c r="E950" t="s">
        <v>2770</v>
      </c>
      <c r="F950" s="117" t="s">
        <v>2770</v>
      </c>
      <c r="G950" s="72" t="s">
        <v>400</v>
      </c>
      <c r="H950" s="69" t="str">
        <f>IF(Proc[[#This Row],[type]]="LFF (MDG-F)",MID(Proc[[#This Row],[Obj]],13,10),"")</f>
        <v/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LS</v>
      </c>
      <c r="L950" s="69" t="s">
        <v>2563</v>
      </c>
      <c r="M950" s="79">
        <v>45765.420370370368</v>
      </c>
      <c r="N950" s="79">
        <v>45769</v>
      </c>
      <c r="O950" s="79">
        <v>45769</v>
      </c>
      <c r="P950" s="80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2</v>
      </c>
      <c r="R950" s="80" t="s">
        <v>489</v>
      </c>
      <c r="S950" s="69"/>
    </row>
    <row r="951" spans="1:19" hidden="1">
      <c r="A951" s="72" t="s">
        <v>2715</v>
      </c>
      <c r="B951" s="149" t="str">
        <f>IFERROR(VLOOKUP(Proc[[#This Row],[App]],Table2[],3,0),"open")</f>
        <v>ok</v>
      </c>
      <c r="C951" s="72" t="s">
        <v>369</v>
      </c>
      <c r="D951" t="s">
        <v>2736</v>
      </c>
      <c r="E951" t="s">
        <v>2691</v>
      </c>
      <c r="F951" s="117" t="s">
        <v>2691</v>
      </c>
      <c r="G951" s="72" t="s">
        <v>400</v>
      </c>
      <c r="H951" s="69" t="str">
        <f>IF(Proc[[#This Row],[type]]="LFF (MDG-F)",MID(Proc[[#This Row],[Obj]],13,10),"")</f>
        <v/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LS</v>
      </c>
      <c r="L951" s="69" t="s">
        <v>2563</v>
      </c>
      <c r="M951" s="79">
        <v>45765.420370370368</v>
      </c>
      <c r="N951" s="79">
        <v>45769</v>
      </c>
      <c r="O951" s="79">
        <v>45769</v>
      </c>
      <c r="P951" s="80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2</v>
      </c>
      <c r="R951" s="80" t="s">
        <v>489</v>
      </c>
      <c r="S951" s="69"/>
    </row>
    <row r="952" spans="1:19" hidden="1">
      <c r="A952" s="72" t="s">
        <v>2715</v>
      </c>
      <c r="B952" s="149" t="str">
        <f>IFERROR(VLOOKUP(Proc[[#This Row],[App]],Table2[],3,0),"open")</f>
        <v>ok</v>
      </c>
      <c r="C952" s="72" t="s">
        <v>369</v>
      </c>
      <c r="D952" t="s">
        <v>2737</v>
      </c>
      <c r="E952" t="s">
        <v>2691</v>
      </c>
      <c r="F952" s="117" t="s">
        <v>2691</v>
      </c>
      <c r="G952" s="72" t="s">
        <v>400</v>
      </c>
      <c r="H952" s="69" t="str">
        <f>IF(Proc[[#This Row],[type]]="LFF (MDG-F)",MID(Proc[[#This Row],[Obj]],13,10),"")</f>
        <v/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LS</v>
      </c>
      <c r="L952" s="69" t="s">
        <v>2563</v>
      </c>
      <c r="M952" s="79">
        <v>45765.420370370368</v>
      </c>
      <c r="N952" s="79">
        <v>45769</v>
      </c>
      <c r="O952" s="79">
        <v>45769</v>
      </c>
      <c r="P952" s="80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2</v>
      </c>
      <c r="R952" s="80" t="s">
        <v>489</v>
      </c>
      <c r="S952" s="69"/>
    </row>
    <row r="953" spans="1:19" hidden="1">
      <c r="A953" s="72" t="s">
        <v>2715</v>
      </c>
      <c r="B953" s="149" t="str">
        <f>IFERROR(VLOOKUP(Proc[[#This Row],[App]],Table2[],3,0),"open")</f>
        <v>ok</v>
      </c>
      <c r="C953" s="72" t="s">
        <v>369</v>
      </c>
      <c r="D953" t="s">
        <v>2738</v>
      </c>
      <c r="E953" t="s">
        <v>2691</v>
      </c>
      <c r="F953" s="117" t="s">
        <v>2691</v>
      </c>
      <c r="G953" s="72" t="s">
        <v>400</v>
      </c>
      <c r="H953" s="69" t="str">
        <f>IF(Proc[[#This Row],[type]]="LFF (MDG-F)",MID(Proc[[#This Row],[Obj]],13,10),"")</f>
        <v/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LS</v>
      </c>
      <c r="L953" s="69" t="s">
        <v>2563</v>
      </c>
      <c r="M953" s="79">
        <v>45765.420370370368</v>
      </c>
      <c r="N953" s="79">
        <v>45769</v>
      </c>
      <c r="O953" s="79">
        <v>45769</v>
      </c>
      <c r="P953" s="80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2</v>
      </c>
      <c r="R953" s="80" t="s">
        <v>489</v>
      </c>
      <c r="S953" s="69"/>
    </row>
    <row r="954" spans="1:19" hidden="1">
      <c r="A954" s="72" t="s">
        <v>2715</v>
      </c>
      <c r="B954" s="149" t="str">
        <f>IFERROR(VLOOKUP(Proc[[#This Row],[App]],Table2[],3,0),"open")</f>
        <v>ok</v>
      </c>
      <c r="C954" s="72" t="s">
        <v>369</v>
      </c>
      <c r="D954" t="s">
        <v>2739</v>
      </c>
      <c r="E954" t="s">
        <v>2774</v>
      </c>
      <c r="F954" s="117" t="s">
        <v>2774</v>
      </c>
      <c r="G954" s="72" t="s">
        <v>400</v>
      </c>
      <c r="H954" s="69" t="str">
        <f>IF(Proc[[#This Row],[type]]="LFF (MDG-F)",MID(Proc[[#This Row],[Obj]],13,10),"")</f>
        <v/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LS</v>
      </c>
      <c r="L954" s="69" t="s">
        <v>2563</v>
      </c>
      <c r="M954" s="79">
        <v>45765.420370370368</v>
      </c>
      <c r="N954" s="79">
        <v>45769</v>
      </c>
      <c r="O954" s="79">
        <v>45769</v>
      </c>
      <c r="P954" s="80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2</v>
      </c>
      <c r="R954" s="80" t="s">
        <v>489</v>
      </c>
      <c r="S954" s="69"/>
    </row>
    <row r="955" spans="1:19" hidden="1">
      <c r="A955" s="72" t="s">
        <v>2715</v>
      </c>
      <c r="B955" s="149" t="str">
        <f>IFERROR(VLOOKUP(Proc[[#This Row],[App]],Table2[],3,0),"open")</f>
        <v>ok</v>
      </c>
      <c r="C955" s="72" t="s">
        <v>369</v>
      </c>
      <c r="D955" t="s">
        <v>2740</v>
      </c>
      <c r="E955" t="s">
        <v>2774</v>
      </c>
      <c r="F955" s="117" t="s">
        <v>2774</v>
      </c>
      <c r="G955" s="72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69" t="s">
        <v>2563</v>
      </c>
      <c r="M955" s="79">
        <v>45765.420370370368</v>
      </c>
      <c r="N955" s="79">
        <v>45769</v>
      </c>
      <c r="O955" s="79">
        <v>45769</v>
      </c>
      <c r="P955" s="80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2</v>
      </c>
      <c r="R955" s="80" t="s">
        <v>489</v>
      </c>
      <c r="S955" s="69"/>
    </row>
    <row r="956" spans="1:19" hidden="1">
      <c r="A956" s="72" t="s">
        <v>2715</v>
      </c>
      <c r="B956" s="149" t="str">
        <f>IFERROR(VLOOKUP(Proc[[#This Row],[App]],Table2[],3,0),"open")</f>
        <v>ok</v>
      </c>
      <c r="C956" s="72" t="s">
        <v>369</v>
      </c>
      <c r="D956" t="s">
        <v>2741</v>
      </c>
      <c r="E956" t="s">
        <v>2691</v>
      </c>
      <c r="F956" s="117" t="s">
        <v>2691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69" t="s">
        <v>2563</v>
      </c>
      <c r="M956" s="79">
        <v>45765.420370370368</v>
      </c>
      <c r="N956" s="79">
        <v>45769</v>
      </c>
      <c r="O956" s="79">
        <v>45769</v>
      </c>
      <c r="P956" s="80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2</v>
      </c>
      <c r="R956" s="80" t="s">
        <v>489</v>
      </c>
      <c r="S956" s="69"/>
    </row>
    <row r="957" spans="1:19" hidden="1">
      <c r="A957" s="72" t="s">
        <v>2715</v>
      </c>
      <c r="B957" s="149" t="str">
        <f>IFERROR(VLOOKUP(Proc[[#This Row],[App]],Table2[],3,0),"open")</f>
        <v>ok</v>
      </c>
      <c r="C957" s="72" t="s">
        <v>369</v>
      </c>
      <c r="D957" t="s">
        <v>2742</v>
      </c>
      <c r="E957" t="s">
        <v>2775</v>
      </c>
      <c r="F957" s="117" t="s">
        <v>2775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69" t="s">
        <v>2563</v>
      </c>
      <c r="M957" s="79">
        <v>45765.420370370368</v>
      </c>
      <c r="N957" s="79">
        <v>45769</v>
      </c>
      <c r="O957" s="79">
        <v>45769</v>
      </c>
      <c r="P957" s="80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2</v>
      </c>
      <c r="R957" s="80" t="s">
        <v>489</v>
      </c>
      <c r="S957" s="69"/>
    </row>
    <row r="958" spans="1:19" hidden="1">
      <c r="A958" s="72" t="s">
        <v>2715</v>
      </c>
      <c r="B958" s="149" t="str">
        <f>IFERROR(VLOOKUP(Proc[[#This Row],[App]],Table2[],3,0),"open")</f>
        <v>ok</v>
      </c>
      <c r="C958" s="72" t="s">
        <v>369</v>
      </c>
      <c r="D958" t="s">
        <v>2743</v>
      </c>
      <c r="E958" t="s">
        <v>2776</v>
      </c>
      <c r="F958" s="117" t="s">
        <v>2776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69" t="s">
        <v>2563</v>
      </c>
      <c r="M958" s="79">
        <v>45765.420370370368</v>
      </c>
      <c r="N958" s="79">
        <v>45769</v>
      </c>
      <c r="O958" s="79">
        <v>45769</v>
      </c>
      <c r="P958" s="80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2</v>
      </c>
      <c r="R958" s="80" t="s">
        <v>489</v>
      </c>
      <c r="S958" s="69"/>
    </row>
    <row r="959" spans="1:19" hidden="1">
      <c r="A959" s="72" t="s">
        <v>2715</v>
      </c>
      <c r="B959" s="149" t="str">
        <f>IFERROR(VLOOKUP(Proc[[#This Row],[App]],Table2[],3,0),"open")</f>
        <v>ok</v>
      </c>
      <c r="C959" s="72" t="s">
        <v>369</v>
      </c>
      <c r="D959" t="s">
        <v>2744</v>
      </c>
      <c r="E959" t="s">
        <v>2777</v>
      </c>
      <c r="F959" s="117" t="s">
        <v>2777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69" t="s">
        <v>2563</v>
      </c>
      <c r="M959" s="79">
        <v>45765.420370370368</v>
      </c>
      <c r="N959" s="79">
        <v>45769</v>
      </c>
      <c r="O959" s="79">
        <v>45769</v>
      </c>
      <c r="P959" s="80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2</v>
      </c>
      <c r="R959" s="80" t="s">
        <v>489</v>
      </c>
      <c r="S959" s="69"/>
    </row>
    <row r="960" spans="1:19" hidden="1">
      <c r="A960" s="72" t="s">
        <v>2715</v>
      </c>
      <c r="B960" s="149" t="str">
        <f>IFERROR(VLOOKUP(Proc[[#This Row],[App]],Table2[],3,0),"open")</f>
        <v>ok</v>
      </c>
      <c r="C960" s="72" t="s">
        <v>369</v>
      </c>
      <c r="D960" t="s">
        <v>2745</v>
      </c>
      <c r="E960" t="s">
        <v>2774</v>
      </c>
      <c r="F960" s="117" t="s">
        <v>2774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69" t="s">
        <v>2563</v>
      </c>
      <c r="M960" s="79">
        <v>45765.420370370368</v>
      </c>
      <c r="N960" s="79">
        <v>45769</v>
      </c>
      <c r="O960" s="79">
        <v>45769</v>
      </c>
      <c r="P960" s="80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2</v>
      </c>
      <c r="R960" s="80" t="s">
        <v>489</v>
      </c>
      <c r="S960" s="69"/>
    </row>
    <row r="961" spans="1:19" hidden="1">
      <c r="A961" s="72" t="s">
        <v>2715</v>
      </c>
      <c r="B961" s="149" t="str">
        <f>IFERROR(VLOOKUP(Proc[[#This Row],[App]],Table2[],3,0),"open")</f>
        <v>ok</v>
      </c>
      <c r="C961" s="72" t="s">
        <v>369</v>
      </c>
      <c r="D961" t="s">
        <v>2746</v>
      </c>
      <c r="E961" t="s">
        <v>2774</v>
      </c>
      <c r="F961" s="117" t="s">
        <v>2774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69" t="s">
        <v>2563</v>
      </c>
      <c r="M961" s="79">
        <v>45765.420370370368</v>
      </c>
      <c r="N961" s="79">
        <v>45769</v>
      </c>
      <c r="O961" s="79">
        <v>45769</v>
      </c>
      <c r="P961" s="80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2</v>
      </c>
      <c r="R961" s="80" t="s">
        <v>489</v>
      </c>
      <c r="S961" s="69"/>
    </row>
    <row r="962" spans="1:19" hidden="1">
      <c r="A962" s="72" t="s">
        <v>2715</v>
      </c>
      <c r="B962" s="149" t="str">
        <f>IFERROR(VLOOKUP(Proc[[#This Row],[App]],Table2[],3,0),"open")</f>
        <v>ok</v>
      </c>
      <c r="C962" s="72" t="s">
        <v>369</v>
      </c>
      <c r="D962" t="s">
        <v>2747</v>
      </c>
      <c r="E962" t="s">
        <v>2774</v>
      </c>
      <c r="F962" s="117" t="s">
        <v>2774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69" t="s">
        <v>2563</v>
      </c>
      <c r="M962" s="79">
        <v>45765.420370370368</v>
      </c>
      <c r="N962" s="79">
        <v>45769</v>
      </c>
      <c r="O962" s="79">
        <v>45769</v>
      </c>
      <c r="P962" s="80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2</v>
      </c>
      <c r="R962" s="80" t="s">
        <v>489</v>
      </c>
      <c r="S962" s="69"/>
    </row>
    <row r="963" spans="1:19" hidden="1">
      <c r="A963" s="72" t="s">
        <v>2715</v>
      </c>
      <c r="B963" s="149" t="str">
        <f>IFERROR(VLOOKUP(Proc[[#This Row],[App]],Table2[],3,0),"open")</f>
        <v>ok</v>
      </c>
      <c r="C963" s="72" t="s">
        <v>369</v>
      </c>
      <c r="D963" t="s">
        <v>2748</v>
      </c>
      <c r="E963" t="s">
        <v>2774</v>
      </c>
      <c r="F963" s="117" t="s">
        <v>2774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69" t="s">
        <v>2563</v>
      </c>
      <c r="M963" s="79">
        <v>45765.420370370368</v>
      </c>
      <c r="N963" s="79">
        <v>45769</v>
      </c>
      <c r="O963" s="79">
        <v>45769</v>
      </c>
      <c r="P963" s="80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2</v>
      </c>
      <c r="R963" s="80" t="s">
        <v>489</v>
      </c>
      <c r="S963" s="69"/>
    </row>
    <row r="964" spans="1:19" hidden="1">
      <c r="A964" s="72" t="s">
        <v>2715</v>
      </c>
      <c r="B964" s="149" t="str">
        <f>IFERROR(VLOOKUP(Proc[[#This Row],[App]],Table2[],3,0),"open")</f>
        <v>ok</v>
      </c>
      <c r="C964" s="72" t="s">
        <v>369</v>
      </c>
      <c r="D964" t="s">
        <v>2749</v>
      </c>
      <c r="E964" t="s">
        <v>2775</v>
      </c>
      <c r="F964" s="117" t="s">
        <v>2775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69" t="s">
        <v>2563</v>
      </c>
      <c r="M964" s="79">
        <v>45765.420370370368</v>
      </c>
      <c r="N964" s="79">
        <v>45769</v>
      </c>
      <c r="O964" s="79">
        <v>45769</v>
      </c>
      <c r="P964" s="80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2</v>
      </c>
      <c r="R964" s="80" t="s">
        <v>489</v>
      </c>
      <c r="S964" s="69"/>
    </row>
    <row r="965" spans="1:19" hidden="1">
      <c r="A965" s="72" t="s">
        <v>2715</v>
      </c>
      <c r="B965" s="149" t="str">
        <f>IFERROR(VLOOKUP(Proc[[#This Row],[App]],Table2[],3,0),"open")</f>
        <v>ok</v>
      </c>
      <c r="C965" s="72" t="s">
        <v>369</v>
      </c>
      <c r="D965" t="s">
        <v>2750</v>
      </c>
      <c r="E965" t="s">
        <v>2776</v>
      </c>
      <c r="F965" s="117" t="s">
        <v>2776</v>
      </c>
      <c r="G965" s="72" t="s">
        <v>400</v>
      </c>
      <c r="H965" s="69" t="str">
        <f>IF(Proc[[#This Row],[type]]="LFF (MDG-F)",MID(Proc[[#This Row],[Obj]],13,10),"")</f>
        <v/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LS</v>
      </c>
      <c r="L965" s="69" t="s">
        <v>2563</v>
      </c>
      <c r="M965" s="79">
        <v>45765.420370370368</v>
      </c>
      <c r="N965" s="79">
        <v>45769</v>
      </c>
      <c r="O965" s="79">
        <v>45769</v>
      </c>
      <c r="P965" s="80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2</v>
      </c>
      <c r="R965" s="80" t="s">
        <v>489</v>
      </c>
      <c r="S965" s="69"/>
    </row>
    <row r="966" spans="1:19" hidden="1">
      <c r="A966" s="72" t="s">
        <v>2715</v>
      </c>
      <c r="B966" s="149" t="str">
        <f>IFERROR(VLOOKUP(Proc[[#This Row],[App]],Table2[],3,0),"open")</f>
        <v>ok</v>
      </c>
      <c r="C966" s="72" t="s">
        <v>369</v>
      </c>
      <c r="D966" t="s">
        <v>2751</v>
      </c>
      <c r="E966" t="s">
        <v>2778</v>
      </c>
      <c r="F966" s="117" t="s">
        <v>2778</v>
      </c>
      <c r="G966" s="72" t="s">
        <v>400</v>
      </c>
      <c r="H966" s="69" t="str">
        <f>IF(Proc[[#This Row],[type]]="LFF (MDG-F)",MID(Proc[[#This Row],[Obj]],13,10),"")</f>
        <v/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LS</v>
      </c>
      <c r="L966" s="69" t="s">
        <v>2563</v>
      </c>
      <c r="M966" s="79">
        <v>45765.420370370368</v>
      </c>
      <c r="N966" s="79">
        <v>45769</v>
      </c>
      <c r="O966" s="79">
        <v>45769</v>
      </c>
      <c r="P966" s="80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2</v>
      </c>
      <c r="R966" s="80" t="s">
        <v>489</v>
      </c>
      <c r="S966" s="69"/>
    </row>
    <row r="967" spans="1:19" hidden="1">
      <c r="A967" s="72" t="s">
        <v>2715</v>
      </c>
      <c r="B967" s="149" t="str">
        <f>IFERROR(VLOOKUP(Proc[[#This Row],[App]],Table2[],3,0),"open")</f>
        <v>ok</v>
      </c>
      <c r="C967" s="72" t="s">
        <v>369</v>
      </c>
      <c r="D967" t="s">
        <v>2752</v>
      </c>
      <c r="E967" t="s">
        <v>2779</v>
      </c>
      <c r="F967" s="117" t="s">
        <v>2779</v>
      </c>
      <c r="G967" s="72" t="s">
        <v>400</v>
      </c>
      <c r="H967" s="69" t="str">
        <f>IF(Proc[[#This Row],[type]]="LFF (MDG-F)",MID(Proc[[#This Row],[Obj]],13,10),"")</f>
        <v/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LS</v>
      </c>
      <c r="L967" s="69" t="s">
        <v>2563</v>
      </c>
      <c r="M967" s="79">
        <v>45765.420370370368</v>
      </c>
      <c r="N967" s="79">
        <v>45769</v>
      </c>
      <c r="O967" s="79">
        <v>45769</v>
      </c>
      <c r="P967" s="80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2</v>
      </c>
      <c r="R967" s="80" t="s">
        <v>489</v>
      </c>
      <c r="S967" s="69"/>
    </row>
    <row r="968" spans="1:19" hidden="1">
      <c r="A968" s="72" t="s">
        <v>2715</v>
      </c>
      <c r="B968" s="149" t="str">
        <f>IFERROR(VLOOKUP(Proc[[#This Row],[App]],Table2[],3,0),"open")</f>
        <v>ok</v>
      </c>
      <c r="C968" s="72" t="s">
        <v>369</v>
      </c>
      <c r="D968" t="s">
        <v>2753</v>
      </c>
      <c r="E968" t="s">
        <v>2691</v>
      </c>
      <c r="F968" s="117" t="s">
        <v>2691</v>
      </c>
      <c r="G968" s="72" t="s">
        <v>400</v>
      </c>
      <c r="H968" s="69" t="str">
        <f>IF(Proc[[#This Row],[type]]="LFF (MDG-F)",MID(Proc[[#This Row],[Obj]],13,10),"")</f>
        <v/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LS</v>
      </c>
      <c r="L968" s="69" t="s">
        <v>2563</v>
      </c>
      <c r="M968" s="79">
        <v>45765.420370370368</v>
      </c>
      <c r="N968" s="79">
        <v>45769</v>
      </c>
      <c r="O968" s="79">
        <v>45769</v>
      </c>
      <c r="P968" s="80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2</v>
      </c>
      <c r="R968" s="80" t="s">
        <v>489</v>
      </c>
      <c r="S968" s="69"/>
    </row>
    <row r="969" spans="1:19" hidden="1">
      <c r="A969" s="72" t="s">
        <v>2715</v>
      </c>
      <c r="B969" s="149" t="str">
        <f>IFERROR(VLOOKUP(Proc[[#This Row],[App]],Table2[],3,0),"open")</f>
        <v>ok</v>
      </c>
      <c r="C969" s="72" t="s">
        <v>369</v>
      </c>
      <c r="D969" t="s">
        <v>2754</v>
      </c>
      <c r="E969" t="s">
        <v>2776</v>
      </c>
      <c r="F969" s="117" t="s">
        <v>2776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LS</v>
      </c>
      <c r="L969" s="69" t="s">
        <v>2563</v>
      </c>
      <c r="M969" s="79">
        <v>45765.420370370368</v>
      </c>
      <c r="N969" s="79">
        <v>45769</v>
      </c>
      <c r="O969" s="79">
        <v>45769</v>
      </c>
      <c r="P969" s="80" t="str">
        <f ca="1">IF(Proc[[#This Row],[DaysAgeing]]&gt;5,"yep","on track")</f>
        <v>on track</v>
      </c>
      <c r="Q969" s="3">
        <f ca="1">IF(Proc[[#This Row],[DateClosed]]="",ABS(NETWORKDAYS(Proc[[#This Row],[DateOpened]],TODAY()))-1,ABS(NETWORKDAYS(Proc[[#This Row],[DateOpened]],Proc[[#This Row],[DateClosed]]))-1)</f>
        <v>2</v>
      </c>
      <c r="R969" s="80" t="s">
        <v>489</v>
      </c>
      <c r="S969" s="69"/>
    </row>
    <row r="970" spans="1:19" hidden="1">
      <c r="A970" s="72" t="s">
        <v>2715</v>
      </c>
      <c r="B970" s="149" t="str">
        <f>IFERROR(VLOOKUP(Proc[[#This Row],[App]],Table2[],3,0),"open")</f>
        <v>ok</v>
      </c>
      <c r="C970" s="72" t="s">
        <v>369</v>
      </c>
      <c r="D970" t="s">
        <v>2755</v>
      </c>
      <c r="E970" t="s">
        <v>2776</v>
      </c>
      <c r="F970" s="117" t="s">
        <v>2776</v>
      </c>
      <c r="G970" s="72" t="s">
        <v>400</v>
      </c>
      <c r="H970" s="69" t="str">
        <f>IF(Proc[[#This Row],[type]]="LFF (MDG-F)",MID(Proc[[#This Row],[Obj]],13,10),"")</f>
        <v/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LS</v>
      </c>
      <c r="L970" s="69" t="s">
        <v>2563</v>
      </c>
      <c r="M970" s="79">
        <v>45765.420370370368</v>
      </c>
      <c r="N970" s="79">
        <v>45769</v>
      </c>
      <c r="O970" s="79">
        <v>45769</v>
      </c>
      <c r="P970" s="80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2</v>
      </c>
      <c r="R970" s="80" t="s">
        <v>489</v>
      </c>
      <c r="S970" s="69"/>
    </row>
    <row r="971" spans="1:19" hidden="1">
      <c r="A971" s="72" t="s">
        <v>2715</v>
      </c>
      <c r="B971" s="149" t="str">
        <f>IFERROR(VLOOKUP(Proc[[#This Row],[App]],Table2[],3,0),"open")</f>
        <v>ok</v>
      </c>
      <c r="C971" s="72" t="s">
        <v>369</v>
      </c>
      <c r="D971" t="s">
        <v>2756</v>
      </c>
      <c r="E971" t="s">
        <v>2691</v>
      </c>
      <c r="F971" s="117" t="s">
        <v>2691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LS</v>
      </c>
      <c r="L971" s="69" t="s">
        <v>2563</v>
      </c>
      <c r="M971" s="79">
        <v>45765.420370370368</v>
      </c>
      <c r="N971" s="79">
        <v>45769</v>
      </c>
      <c r="O971" s="79">
        <v>45769</v>
      </c>
      <c r="P971" s="80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2</v>
      </c>
      <c r="R971" s="80" t="s">
        <v>489</v>
      </c>
      <c r="S971" s="69"/>
    </row>
    <row r="972" spans="1:19" hidden="1">
      <c r="A972" s="72" t="s">
        <v>2715</v>
      </c>
      <c r="B972" s="149" t="str">
        <f>IFERROR(VLOOKUP(Proc[[#This Row],[App]],Table2[],3,0),"open")</f>
        <v>ok</v>
      </c>
      <c r="C972" s="72" t="s">
        <v>369</v>
      </c>
      <c r="D972" t="s">
        <v>2757</v>
      </c>
      <c r="E972" t="s">
        <v>2691</v>
      </c>
      <c r="F972" s="117" t="s">
        <v>2691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LS</v>
      </c>
      <c r="L972" s="69" t="s">
        <v>2563</v>
      </c>
      <c r="M972" s="79">
        <v>45765.420370370368</v>
      </c>
      <c r="N972" s="79">
        <v>45769</v>
      </c>
      <c r="O972" s="79">
        <v>45769</v>
      </c>
      <c r="P972" s="80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2</v>
      </c>
      <c r="R972" s="80" t="s">
        <v>489</v>
      </c>
      <c r="S972" s="69"/>
    </row>
    <row r="973" spans="1:19" hidden="1">
      <c r="A973" s="72" t="s">
        <v>2715</v>
      </c>
      <c r="B973" s="149" t="str">
        <f>IFERROR(VLOOKUP(Proc[[#This Row],[App]],Table2[],3,0),"open")</f>
        <v>ok</v>
      </c>
      <c r="C973" s="72" t="s">
        <v>369</v>
      </c>
      <c r="D973" t="s">
        <v>2758</v>
      </c>
      <c r="E973" t="s">
        <v>2777</v>
      </c>
      <c r="F973" s="117" t="s">
        <v>2777</v>
      </c>
      <c r="G973" s="72" t="s">
        <v>400</v>
      </c>
      <c r="H973" s="69" t="str">
        <f>IF(Proc[[#This Row],[type]]="LFF (MDG-F)",MID(Proc[[#This Row],[Obj]],13,10),"")</f>
        <v/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LS</v>
      </c>
      <c r="L973" s="69" t="s">
        <v>2563</v>
      </c>
      <c r="M973" s="79">
        <v>45765.420370370368</v>
      </c>
      <c r="N973" s="79">
        <v>45769</v>
      </c>
      <c r="O973" s="79">
        <v>45769</v>
      </c>
      <c r="P973" s="80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2</v>
      </c>
      <c r="R973" s="80" t="s">
        <v>489</v>
      </c>
      <c r="S973" s="69"/>
    </row>
    <row r="974" spans="1:19" hidden="1">
      <c r="A974" s="72" t="s">
        <v>2715</v>
      </c>
      <c r="B974" s="149" t="str">
        <f>IFERROR(VLOOKUP(Proc[[#This Row],[App]],Table2[],3,0),"open")</f>
        <v>ok</v>
      </c>
      <c r="C974" s="72" t="s">
        <v>369</v>
      </c>
      <c r="D974" t="s">
        <v>2759</v>
      </c>
      <c r="E974" t="s">
        <v>2777</v>
      </c>
      <c r="F974" s="117" t="s">
        <v>2777</v>
      </c>
      <c r="G974" s="72" t="s">
        <v>400</v>
      </c>
      <c r="H974" s="69" t="str">
        <f>IF(Proc[[#This Row],[type]]="LFF (MDG-F)",MID(Proc[[#This Row],[Obj]],13,10),"")</f>
        <v/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LS</v>
      </c>
      <c r="L974" s="69" t="s">
        <v>2563</v>
      </c>
      <c r="M974" s="79">
        <v>45765.420370370368</v>
      </c>
      <c r="N974" s="79">
        <v>45769</v>
      </c>
      <c r="O974" s="79">
        <v>45769</v>
      </c>
      <c r="P974" s="80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2</v>
      </c>
      <c r="R974" s="80" t="s">
        <v>489</v>
      </c>
      <c r="S974" s="69"/>
    </row>
    <row r="975" spans="1:19" hidden="1">
      <c r="A975" s="72" t="s">
        <v>2715</v>
      </c>
      <c r="B975" s="149" t="str">
        <f>IFERROR(VLOOKUP(Proc[[#This Row],[App]],Table2[],3,0),"open")</f>
        <v>ok</v>
      </c>
      <c r="C975" s="72" t="s">
        <v>369</v>
      </c>
      <c r="D975" t="s">
        <v>2760</v>
      </c>
      <c r="E975" t="s">
        <v>2770</v>
      </c>
      <c r="F975" s="117" t="s">
        <v>2770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LS</v>
      </c>
      <c r="L975" s="69" t="s">
        <v>2563</v>
      </c>
      <c r="M975" s="79">
        <v>45765.420370370368</v>
      </c>
      <c r="N975" s="79">
        <v>45769</v>
      </c>
      <c r="O975" s="79">
        <v>45769</v>
      </c>
      <c r="P975" s="80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80" t="s">
        <v>489</v>
      </c>
      <c r="S975" s="69"/>
    </row>
    <row r="976" spans="1:19" hidden="1">
      <c r="A976" s="72" t="s">
        <v>2715</v>
      </c>
      <c r="B976" s="149" t="str">
        <f>IFERROR(VLOOKUP(Proc[[#This Row],[App]],Table2[],3,0),"open")</f>
        <v>ok</v>
      </c>
      <c r="C976" s="72" t="s">
        <v>369</v>
      </c>
      <c r="D976" t="s">
        <v>2761</v>
      </c>
      <c r="E976" t="s">
        <v>2772</v>
      </c>
      <c r="F976" s="117" t="s">
        <v>2772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LS</v>
      </c>
      <c r="L976" s="69" t="s">
        <v>2563</v>
      </c>
      <c r="M976" s="79">
        <v>45765.420370370368</v>
      </c>
      <c r="N976" s="79">
        <v>45769</v>
      </c>
      <c r="O976" s="79">
        <v>45769</v>
      </c>
      <c r="P976" s="80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80" t="s">
        <v>489</v>
      </c>
      <c r="S976" s="69"/>
    </row>
    <row r="977" spans="1:19" hidden="1">
      <c r="A977" s="72" t="s">
        <v>2715</v>
      </c>
      <c r="B977" s="149" t="str">
        <f>IFERROR(VLOOKUP(Proc[[#This Row],[App]],Table2[],3,0),"open")</f>
        <v>ok</v>
      </c>
      <c r="C977" s="72" t="s">
        <v>369</v>
      </c>
      <c r="D977" t="s">
        <v>2762</v>
      </c>
      <c r="E977" t="s">
        <v>2773</v>
      </c>
      <c r="F977" s="117" t="s">
        <v>2773</v>
      </c>
      <c r="G977" s="72" t="s">
        <v>400</v>
      </c>
      <c r="H977" s="69" t="str">
        <f>IF(Proc[[#This Row],[type]]="LFF (MDG-F)",MID(Proc[[#This Row],[Obj]],13,10),"")</f>
        <v/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LS</v>
      </c>
      <c r="L977" s="69" t="s">
        <v>2563</v>
      </c>
      <c r="M977" s="79">
        <v>45765.420370370368</v>
      </c>
      <c r="N977" s="79">
        <v>45769</v>
      </c>
      <c r="O977" s="79">
        <v>45769</v>
      </c>
      <c r="P977" s="80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2</v>
      </c>
      <c r="R977" s="80" t="s">
        <v>489</v>
      </c>
      <c r="S977" s="69"/>
    </row>
    <row r="978" spans="1:19" hidden="1">
      <c r="A978" t="s">
        <v>2780</v>
      </c>
      <c r="B978" s="149" t="str">
        <f>IFERROR(VLOOKUP(Proc[[#This Row],[App]],Table2[],3,0),"open")</f>
        <v>ok</v>
      </c>
      <c r="C978" s="72" t="s">
        <v>369</v>
      </c>
      <c r="D978" t="s">
        <v>2781</v>
      </c>
      <c r="E978" t="s">
        <v>418</v>
      </c>
      <c r="F978" s="117" t="s">
        <v>418</v>
      </c>
      <c r="G978" s="72" t="s">
        <v>400</v>
      </c>
      <c r="H978" s="69" t="str">
        <f>IF(Proc[[#This Row],[type]]="LFF (MDG-F)",MID(Proc[[#This Row],[Obj]],13,10),"")</f>
        <v/>
      </c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69" t="s">
        <v>2563</v>
      </c>
      <c r="M978" s="79">
        <v>45763.611655092594</v>
      </c>
      <c r="N978" s="79">
        <v>45770</v>
      </c>
      <c r="O978" s="79">
        <v>45770</v>
      </c>
      <c r="P978" s="80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5</v>
      </c>
      <c r="R978" s="80" t="s">
        <v>1076</v>
      </c>
      <c r="S978" s="69"/>
    </row>
    <row r="979" spans="1:19" hidden="1">
      <c r="A979" s="72" t="s">
        <v>2780</v>
      </c>
      <c r="B979" s="149" t="str">
        <f>IFERROR(VLOOKUP(Proc[[#This Row],[App]],Table2[],3,0),"open")</f>
        <v>ok</v>
      </c>
      <c r="C979" s="72" t="s">
        <v>369</v>
      </c>
      <c r="D979" t="s">
        <v>2782</v>
      </c>
      <c r="E979" t="s">
        <v>418</v>
      </c>
      <c r="F979" s="117" t="s">
        <v>418</v>
      </c>
      <c r="G979" s="72" t="s">
        <v>400</v>
      </c>
      <c r="H979" s="69" t="str">
        <f>IF(Proc[[#This Row],[type]]="LFF (MDG-F)",MID(Proc[[#This Row],[Obj]],13,10),"")</f>
        <v/>
      </c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69" t="s">
        <v>2563</v>
      </c>
      <c r="M979" s="79">
        <v>45763.611655092594</v>
      </c>
      <c r="N979" s="79">
        <v>45770</v>
      </c>
      <c r="O979" s="79">
        <v>45770</v>
      </c>
      <c r="P979" s="80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5</v>
      </c>
      <c r="R979" s="80" t="s">
        <v>1076</v>
      </c>
      <c r="S979" s="69"/>
    </row>
    <row r="980" spans="1:19" hidden="1">
      <c r="A980" s="72" t="s">
        <v>2780</v>
      </c>
      <c r="B980" s="149" t="str">
        <f>IFERROR(VLOOKUP(Proc[[#This Row],[App]],Table2[],3,0),"open")</f>
        <v>ok</v>
      </c>
      <c r="C980" s="72" t="s">
        <v>369</v>
      </c>
      <c r="D980" t="s">
        <v>2783</v>
      </c>
      <c r="E980" t="s">
        <v>418</v>
      </c>
      <c r="F980" s="117" t="s">
        <v>418</v>
      </c>
      <c r="G980" s="72" t="s">
        <v>400</v>
      </c>
      <c r="H980" s="69" t="str">
        <f>IF(Proc[[#This Row],[type]]="LFF (MDG-F)",MID(Proc[[#This Row],[Obj]],13,10),"")</f>
        <v/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MGF</v>
      </c>
      <c r="L980" s="69" t="s">
        <v>2563</v>
      </c>
      <c r="M980" s="79">
        <v>45763.611655092594</v>
      </c>
      <c r="N980" s="79">
        <v>45770</v>
      </c>
      <c r="O980" s="79">
        <v>45770</v>
      </c>
      <c r="P980" s="80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5</v>
      </c>
      <c r="R980" s="80" t="s">
        <v>1076</v>
      </c>
      <c r="S980" s="69"/>
    </row>
    <row r="981" spans="1:19" hidden="1">
      <c r="A981" s="72" t="s">
        <v>2780</v>
      </c>
      <c r="B981" s="149" t="str">
        <f>IFERROR(VLOOKUP(Proc[[#This Row],[App]],Table2[],3,0),"open")</f>
        <v>ok</v>
      </c>
      <c r="C981" s="72" t="s">
        <v>369</v>
      </c>
      <c r="D981" t="s">
        <v>2784</v>
      </c>
      <c r="E981" t="s">
        <v>418</v>
      </c>
      <c r="F981" s="117" t="s">
        <v>418</v>
      </c>
      <c r="G981" s="72" t="s">
        <v>400</v>
      </c>
      <c r="H981" s="69" t="str">
        <f>IF(Proc[[#This Row],[type]]="LFF (MDG-F)",MID(Proc[[#This Row],[Obj]],13,10),"")</f>
        <v/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MGF</v>
      </c>
      <c r="L981" s="69" t="s">
        <v>2563</v>
      </c>
      <c r="M981" s="79">
        <v>45763.611655092594</v>
      </c>
      <c r="N981" s="79">
        <v>45770</v>
      </c>
      <c r="O981" s="79">
        <v>45770</v>
      </c>
      <c r="P981" s="80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5</v>
      </c>
      <c r="R981" s="80" t="s">
        <v>1076</v>
      </c>
      <c r="S981" s="69"/>
    </row>
    <row r="982" spans="1:19" hidden="1">
      <c r="A982" s="72" t="s">
        <v>2780</v>
      </c>
      <c r="B982" s="149" t="str">
        <f>IFERROR(VLOOKUP(Proc[[#This Row],[App]],Table2[],3,0),"open")</f>
        <v>ok</v>
      </c>
      <c r="C982" s="72" t="s">
        <v>377</v>
      </c>
      <c r="D982" t="s">
        <v>2785</v>
      </c>
      <c r="E982" t="s">
        <v>418</v>
      </c>
      <c r="F982" s="103" t="s">
        <v>418</v>
      </c>
      <c r="G982" s="72" t="s">
        <v>400</v>
      </c>
      <c r="H982" s="69" t="str">
        <f>IF(Proc[[#This Row],[type]]="LFF (MDG-F)",MID(Proc[[#This Row],[Obj]],13,10),"")</f>
        <v/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MGF</v>
      </c>
      <c r="L982" s="69" t="s">
        <v>2563</v>
      </c>
      <c r="M982" s="79">
        <v>45763.611655092594</v>
      </c>
      <c r="N982" s="79"/>
      <c r="O982" s="79">
        <v>45770</v>
      </c>
      <c r="P982" s="80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5</v>
      </c>
      <c r="R982" s="80" t="s">
        <v>1076</v>
      </c>
      <c r="S982" s="94" t="e">
        <f>VLOOKUP(Proc[[#This Row],[Obj]],#REF!,2,0)</f>
        <v>#REF!</v>
      </c>
    </row>
    <row r="983" spans="1:19" hidden="1">
      <c r="A983" s="72" t="s">
        <v>2780</v>
      </c>
      <c r="B983" s="149" t="str">
        <f>IFERROR(VLOOKUP(Proc[[#This Row],[App]],Table2[],3,0),"open")</f>
        <v>ok</v>
      </c>
      <c r="C983" s="72" t="s">
        <v>377</v>
      </c>
      <c r="D983" t="s">
        <v>2786</v>
      </c>
      <c r="E983" t="s">
        <v>418</v>
      </c>
      <c r="F983" s="103" t="s">
        <v>418</v>
      </c>
      <c r="G983" s="72" t="s">
        <v>400</v>
      </c>
      <c r="H983" s="69" t="str">
        <f>IF(Proc[[#This Row],[type]]="LFF (MDG-F)",MID(Proc[[#This Row],[Obj]],13,10),"")</f>
        <v/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MGF</v>
      </c>
      <c r="L983" s="69" t="s">
        <v>2563</v>
      </c>
      <c r="M983" s="79">
        <v>45763.611655092594</v>
      </c>
      <c r="N983" s="79"/>
      <c r="O983" s="79">
        <v>45770</v>
      </c>
      <c r="P983" s="80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5</v>
      </c>
      <c r="R983" s="80" t="s">
        <v>1076</v>
      </c>
      <c r="S983" s="94" t="e">
        <f>VLOOKUP(Proc[[#This Row],[Obj]],#REF!,2,0)</f>
        <v>#REF!</v>
      </c>
    </row>
    <row r="984" spans="1:19" hidden="1">
      <c r="A984" s="72" t="s">
        <v>2780</v>
      </c>
      <c r="B984" s="149" t="str">
        <f>IFERROR(VLOOKUP(Proc[[#This Row],[App]],Table2[],3,0),"open")</f>
        <v>ok</v>
      </c>
      <c r="C984" s="72" t="s">
        <v>377</v>
      </c>
      <c r="D984" t="s">
        <v>2787</v>
      </c>
      <c r="E984" t="s">
        <v>418</v>
      </c>
      <c r="F984" s="103" t="s">
        <v>418</v>
      </c>
      <c r="G984" s="72" t="s">
        <v>400</v>
      </c>
      <c r="H984" s="69" t="str">
        <f>IF(Proc[[#This Row],[type]]="LFF (MDG-F)",MID(Proc[[#This Row],[Obj]],13,10),"")</f>
        <v/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MGF</v>
      </c>
      <c r="L984" s="69" t="s">
        <v>2563</v>
      </c>
      <c r="M984" s="79">
        <v>45763.611655092594</v>
      </c>
      <c r="N984" s="79"/>
      <c r="O984" s="79">
        <v>45770</v>
      </c>
      <c r="P984" s="80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5</v>
      </c>
      <c r="R984" s="80" t="s">
        <v>1076</v>
      </c>
      <c r="S984" s="94" t="e">
        <f>VLOOKUP(Proc[[#This Row],[Obj]],#REF!,2,0)</f>
        <v>#REF!</v>
      </c>
    </row>
    <row r="985" spans="1:19" hidden="1">
      <c r="A985" s="72" t="s">
        <v>2780</v>
      </c>
      <c r="B985" s="149" t="str">
        <f>IFERROR(VLOOKUP(Proc[[#This Row],[App]],Table2[],3,0),"open")</f>
        <v>ok</v>
      </c>
      <c r="C985" s="72" t="s">
        <v>377</v>
      </c>
      <c r="D985" t="s">
        <v>2788</v>
      </c>
      <c r="E985" t="s">
        <v>418</v>
      </c>
      <c r="F985" s="103" t="s">
        <v>418</v>
      </c>
      <c r="G985" s="72" t="s">
        <v>400</v>
      </c>
      <c r="H985" s="69" t="str">
        <f>IF(Proc[[#This Row],[type]]="LFF (MDG-F)",MID(Proc[[#This Row],[Obj]],13,10),"")</f>
        <v/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MGF</v>
      </c>
      <c r="L985" s="69" t="s">
        <v>2563</v>
      </c>
      <c r="M985" s="79">
        <v>45763.611655092594</v>
      </c>
      <c r="N985" s="79"/>
      <c r="O985" s="79">
        <v>45770</v>
      </c>
      <c r="P985" s="80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5</v>
      </c>
      <c r="R985" s="80" t="s">
        <v>1076</v>
      </c>
      <c r="S985" s="94" t="e">
        <f>VLOOKUP(Proc[[#This Row],[Obj]],#REF!,2,0)</f>
        <v>#REF!</v>
      </c>
    </row>
    <row r="986" spans="1:19" hidden="1">
      <c r="A986" t="s">
        <v>2789</v>
      </c>
      <c r="B986" s="149" t="str">
        <f>IFERROR(VLOOKUP(Proc[[#This Row],[App]],Table2[],3,0),"open")</f>
        <v>ok</v>
      </c>
      <c r="C986" s="72" t="s">
        <v>369</v>
      </c>
      <c r="D986" t="s">
        <v>2790</v>
      </c>
      <c r="E986" t="s">
        <v>2791</v>
      </c>
      <c r="F986" s="117" t="s">
        <v>2791</v>
      </c>
      <c r="G986" t="s">
        <v>406</v>
      </c>
      <c r="H986" s="69" t="str">
        <f>IF(Proc[[#This Row],[type]]="LFF (MDG-F)",MID(Proc[[#This Row],[Obj]],13,10),"")</f>
        <v>2123OF0027</v>
      </c>
      <c r="I986" t="s">
        <v>2792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MGF</v>
      </c>
      <c r="L986" s="69" t="s">
        <v>2563</v>
      </c>
      <c r="M986" s="79">
        <v>45763.611655092594</v>
      </c>
      <c r="N986" s="79">
        <v>45770</v>
      </c>
      <c r="O986" s="79">
        <v>45770</v>
      </c>
      <c r="P986" s="80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5</v>
      </c>
      <c r="R986" s="80" t="s">
        <v>515</v>
      </c>
      <c r="S986" s="69"/>
    </row>
    <row r="987" spans="1:19" hidden="1">
      <c r="A987" t="s">
        <v>2795</v>
      </c>
      <c r="B987" s="149" t="str">
        <f>IFERROR(VLOOKUP(Proc[[#This Row],[App]],Table2[],3,0),"open")</f>
        <v>ok</v>
      </c>
      <c r="C987" s="72" t="s">
        <v>369</v>
      </c>
      <c r="D987" t="s">
        <v>2793</v>
      </c>
      <c r="E987" t="s">
        <v>2417</v>
      </c>
      <c r="F987" s="117" t="s">
        <v>2417</v>
      </c>
      <c r="G987" s="72" t="s">
        <v>400</v>
      </c>
      <c r="H987" s="69" t="str">
        <f>IF(Proc[[#This Row],[type]]="LFF (MDG-F)",MID(Proc[[#This Row],[Obj]],13,10),"")</f>
        <v/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MGF</v>
      </c>
      <c r="L987" s="69" t="s">
        <v>2563</v>
      </c>
      <c r="M987" s="79">
        <v>45763.415729166663</v>
      </c>
      <c r="N987" s="79">
        <v>45770</v>
      </c>
      <c r="O987" s="79">
        <v>45770</v>
      </c>
      <c r="P987" s="80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5</v>
      </c>
      <c r="R987" s="80" t="s">
        <v>515</v>
      </c>
      <c r="S987" s="69"/>
    </row>
    <row r="988" spans="1:19" hidden="1">
      <c r="A988" s="72" t="s">
        <v>2795</v>
      </c>
      <c r="B988" s="149" t="str">
        <f>IFERROR(VLOOKUP(Proc[[#This Row],[App]],Table2[],3,0),"open")</f>
        <v>ok</v>
      </c>
      <c r="C988" s="72" t="s">
        <v>369</v>
      </c>
      <c r="D988" t="s">
        <v>2794</v>
      </c>
      <c r="E988" t="s">
        <v>2417</v>
      </c>
      <c r="F988" s="117" t="s">
        <v>2417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MGF</v>
      </c>
      <c r="L988" s="69" t="s">
        <v>2563</v>
      </c>
      <c r="M988" s="79">
        <v>45763.415729166663</v>
      </c>
      <c r="N988" s="79">
        <v>45770</v>
      </c>
      <c r="O988" s="79">
        <v>45770</v>
      </c>
      <c r="P988" s="80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5</v>
      </c>
      <c r="R988" s="80" t="s">
        <v>515</v>
      </c>
      <c r="S988" s="69"/>
    </row>
    <row r="989" spans="1:19" hidden="1">
      <c r="A989" t="s">
        <v>2796</v>
      </c>
      <c r="B989" s="149" t="str">
        <f>IFERROR(VLOOKUP(Proc[[#This Row],[App]],Table2[],3,0),"open")</f>
        <v>ok</v>
      </c>
      <c r="C989" s="72" t="s">
        <v>369</v>
      </c>
      <c r="D989" s="72" t="s">
        <v>2797</v>
      </c>
      <c r="E989" t="s">
        <v>2798</v>
      </c>
      <c r="F989" s="117" t="s">
        <v>2798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MGF</v>
      </c>
      <c r="L989" s="69" t="s">
        <v>2563</v>
      </c>
      <c r="M989" s="79">
        <v>45762.764386574076</v>
      </c>
      <c r="N989" s="79">
        <v>45770</v>
      </c>
      <c r="O989" s="79">
        <v>45770</v>
      </c>
      <c r="P989" s="80" t="str">
        <f ca="1">IF(Proc[[#This Row],[DaysAgeing]]&gt;5,"yep","on track")</f>
        <v>yep</v>
      </c>
      <c r="Q989" s="3">
        <f ca="1">IF(Proc[[#This Row],[DateClosed]]="",ABS(NETWORKDAYS(Proc[[#This Row],[DateOpened]],TODAY()))-1,ABS(NETWORKDAYS(Proc[[#This Row],[DateOpened]],Proc[[#This Row],[DateClosed]]))-1)</f>
        <v>6</v>
      </c>
      <c r="R989" s="80" t="s">
        <v>515</v>
      </c>
      <c r="S989" s="69"/>
    </row>
    <row r="990" spans="1:19" hidden="1">
      <c r="A990" t="s">
        <v>2800</v>
      </c>
      <c r="B990" s="149" t="str">
        <f>IFERROR(VLOOKUP(Proc[[#This Row],[App]],Table2[],3,0),"open")</f>
        <v>ok</v>
      </c>
      <c r="C990" s="72" t="s">
        <v>369</v>
      </c>
      <c r="D990" t="s">
        <v>2799</v>
      </c>
      <c r="E990" t="s">
        <v>473</v>
      </c>
      <c r="F990" s="117" t="s">
        <v>473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MGF</v>
      </c>
      <c r="L990" s="69" t="s">
        <v>2563</v>
      </c>
      <c r="M990" s="79">
        <v>45762.624085648145</v>
      </c>
      <c r="N990" s="79">
        <v>45770</v>
      </c>
      <c r="O990" s="79">
        <v>45770</v>
      </c>
      <c r="P990" s="80" t="str">
        <f ca="1">IF(Proc[[#This Row],[DaysAgeing]]&gt;5,"yep","on track")</f>
        <v>yep</v>
      </c>
      <c r="Q990" s="3">
        <f ca="1">IF(Proc[[#This Row],[DateClosed]]="",ABS(NETWORKDAYS(Proc[[#This Row],[DateOpened]],TODAY()))-1,ABS(NETWORKDAYS(Proc[[#This Row],[DateOpened]],Proc[[#This Row],[DateClosed]]))-1)</f>
        <v>6</v>
      </c>
      <c r="R990" s="80" t="s">
        <v>515</v>
      </c>
      <c r="S990" s="69"/>
    </row>
    <row r="991" spans="1:19" hidden="1">
      <c r="A991" t="s">
        <v>2801</v>
      </c>
      <c r="B991" s="149" t="str">
        <f>IFERROR(VLOOKUP(Proc[[#This Row],[App]],Table2[],3,0),"open")</f>
        <v>ok</v>
      </c>
      <c r="C991" s="72" t="s">
        <v>369</v>
      </c>
      <c r="D991" t="s">
        <v>2802</v>
      </c>
      <c r="E991" t="s">
        <v>2592</v>
      </c>
      <c r="F991" s="117" t="s">
        <v>2592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69" t="s">
        <v>2563</v>
      </c>
      <c r="M991" s="79">
        <v>45768.444976851853</v>
      </c>
      <c r="N991" s="79">
        <v>45770</v>
      </c>
      <c r="O991" s="79">
        <v>45770</v>
      </c>
      <c r="P991" s="80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80" t="s">
        <v>972</v>
      </c>
      <c r="S991" s="69"/>
    </row>
    <row r="992" spans="1:19" hidden="1">
      <c r="A992" s="72" t="s">
        <v>2801</v>
      </c>
      <c r="B992" s="149" t="str">
        <f>IFERROR(VLOOKUP(Proc[[#This Row],[App]],Table2[],3,0),"open")</f>
        <v>ok</v>
      </c>
      <c r="C992" s="72" t="s">
        <v>377</v>
      </c>
      <c r="D992" t="s">
        <v>2803</v>
      </c>
      <c r="E992" t="s">
        <v>2811</v>
      </c>
      <c r="F992" s="103" t="s">
        <v>2811</v>
      </c>
      <c r="G992" s="72" t="s">
        <v>406</v>
      </c>
      <c r="H992" s="69" t="str">
        <f>IF(Proc[[#This Row],[type]]="LFF (MDG-F)",MID(Proc[[#This Row],[Obj]],13,10),"")</f>
        <v>2102TPSZ93</v>
      </c>
      <c r="I992" t="s">
        <v>822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69" t="s">
        <v>2563</v>
      </c>
      <c r="M992" s="79">
        <v>45768.444976851853</v>
      </c>
      <c r="N992" s="79"/>
      <c r="O992" s="79">
        <v>45770</v>
      </c>
      <c r="P992" s="80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80" t="s">
        <v>972</v>
      </c>
      <c r="S992" s="94" t="e">
        <f>VLOOKUP(Proc[[#This Row],[Obj]],#REF!,2,0)</f>
        <v>#REF!</v>
      </c>
    </row>
    <row r="993" spans="1:19" hidden="1">
      <c r="A993" s="72" t="s">
        <v>2801</v>
      </c>
      <c r="B993" s="149" t="str">
        <f>IFERROR(VLOOKUP(Proc[[#This Row],[App]],Table2[],3,0),"open")</f>
        <v>ok</v>
      </c>
      <c r="C993" s="72" t="s">
        <v>369</v>
      </c>
      <c r="D993" t="s">
        <v>2804</v>
      </c>
      <c r="E993" t="s">
        <v>2812</v>
      </c>
      <c r="F993" s="117" t="s">
        <v>2812</v>
      </c>
      <c r="G993" s="72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69" t="s">
        <v>2563</v>
      </c>
      <c r="M993" s="79">
        <v>45768.444976851853</v>
      </c>
      <c r="N993" s="79">
        <v>45770</v>
      </c>
      <c r="O993" s="79">
        <v>45770</v>
      </c>
      <c r="P993" s="80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80" t="s">
        <v>972</v>
      </c>
      <c r="S993" s="69"/>
    </row>
    <row r="994" spans="1:19" hidden="1">
      <c r="A994" s="72" t="s">
        <v>2801</v>
      </c>
      <c r="B994" s="149" t="str">
        <f>IFERROR(VLOOKUP(Proc[[#This Row],[App]],Table2[],3,0),"open")</f>
        <v>ok</v>
      </c>
      <c r="C994" s="72" t="s">
        <v>369</v>
      </c>
      <c r="D994" t="s">
        <v>2805</v>
      </c>
      <c r="E994" t="s">
        <v>2813</v>
      </c>
      <c r="F994" s="117" t="s">
        <v>2813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69" t="s">
        <v>2563</v>
      </c>
      <c r="M994" s="79">
        <v>45768.444976851853</v>
      </c>
      <c r="N994" s="79">
        <v>45770</v>
      </c>
      <c r="O994" s="79">
        <v>45770</v>
      </c>
      <c r="P994" s="80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80" t="s">
        <v>972</v>
      </c>
      <c r="S994" s="69"/>
    </row>
    <row r="995" spans="1:19" hidden="1">
      <c r="A995" s="72" t="s">
        <v>2801</v>
      </c>
      <c r="B995" s="149" t="str">
        <f>IFERROR(VLOOKUP(Proc[[#This Row],[App]],Table2[],3,0),"open")</f>
        <v>ok</v>
      </c>
      <c r="C995" s="72" t="s">
        <v>369</v>
      </c>
      <c r="D995" t="s">
        <v>2806</v>
      </c>
      <c r="E995" t="s">
        <v>2813</v>
      </c>
      <c r="F995" s="117" t="s">
        <v>2813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69" t="s">
        <v>2563</v>
      </c>
      <c r="M995" s="79">
        <v>45768.444976851853</v>
      </c>
      <c r="N995" s="79">
        <v>45770</v>
      </c>
      <c r="O995" s="79">
        <v>45770</v>
      </c>
      <c r="P995" s="80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80" t="s">
        <v>972</v>
      </c>
      <c r="S995" s="69"/>
    </row>
    <row r="996" spans="1:19" hidden="1">
      <c r="A996" s="72" t="s">
        <v>2801</v>
      </c>
      <c r="B996" s="149" t="str">
        <f>IFERROR(VLOOKUP(Proc[[#This Row],[App]],Table2[],3,0),"open")</f>
        <v>ok</v>
      </c>
      <c r="C996" s="72" t="s">
        <v>369</v>
      </c>
      <c r="D996" t="s">
        <v>2807</v>
      </c>
      <c r="E996" t="s">
        <v>2814</v>
      </c>
      <c r="F996" s="117" t="s">
        <v>2814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69" t="s">
        <v>2563</v>
      </c>
      <c r="M996" s="79">
        <v>45768.444976851853</v>
      </c>
      <c r="N996" s="79">
        <v>45770</v>
      </c>
      <c r="O996" s="79">
        <v>45770</v>
      </c>
      <c r="P996" s="80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80" t="s">
        <v>972</v>
      </c>
      <c r="S996" s="69"/>
    </row>
    <row r="997" spans="1:19" hidden="1">
      <c r="A997" s="72" t="s">
        <v>2801</v>
      </c>
      <c r="B997" s="149" t="str">
        <f>IFERROR(VLOOKUP(Proc[[#This Row],[App]],Table2[],3,0),"open")</f>
        <v>ok</v>
      </c>
      <c r="C997" s="72" t="s">
        <v>369</v>
      </c>
      <c r="D997" t="s">
        <v>2808</v>
      </c>
      <c r="E997" t="s">
        <v>2376</v>
      </c>
      <c r="F997" s="117" t="s">
        <v>2376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69" t="s">
        <v>2563</v>
      </c>
      <c r="M997" s="79">
        <v>45768.444976851853</v>
      </c>
      <c r="N997" s="79">
        <v>45770</v>
      </c>
      <c r="O997" s="79">
        <v>45770</v>
      </c>
      <c r="P997" s="80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80" t="s">
        <v>972</v>
      </c>
      <c r="S997" s="69"/>
    </row>
    <row r="998" spans="1:19" hidden="1">
      <c r="A998" s="72" t="s">
        <v>2801</v>
      </c>
      <c r="B998" s="149" t="str">
        <f>IFERROR(VLOOKUP(Proc[[#This Row],[App]],Table2[],3,0),"open")</f>
        <v>ok</v>
      </c>
      <c r="C998" s="72" t="s">
        <v>369</v>
      </c>
      <c r="D998" t="s">
        <v>2809</v>
      </c>
      <c r="E998" t="s">
        <v>2376</v>
      </c>
      <c r="F998" s="117" t="s">
        <v>2376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69" t="s">
        <v>2563</v>
      </c>
      <c r="M998" s="79">
        <v>45768.444976851853</v>
      </c>
      <c r="N998" s="79">
        <v>45770</v>
      </c>
      <c r="O998" s="79">
        <v>45770</v>
      </c>
      <c r="P998" s="80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80" t="s">
        <v>972</v>
      </c>
      <c r="S998" s="69"/>
    </row>
    <row r="999" spans="1:19" hidden="1">
      <c r="A999" s="72" t="s">
        <v>2801</v>
      </c>
      <c r="B999" s="149" t="str">
        <f>IFERROR(VLOOKUP(Proc[[#This Row],[App]],Table2[],3,0),"open")</f>
        <v>ok</v>
      </c>
      <c r="C999" s="72" t="s">
        <v>369</v>
      </c>
      <c r="D999" t="s">
        <v>2810</v>
      </c>
      <c r="E999" t="s">
        <v>2376</v>
      </c>
      <c r="F999" s="117" t="s">
        <v>2376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LS</v>
      </c>
      <c r="L999" s="69" t="s">
        <v>2563</v>
      </c>
      <c r="M999" s="79">
        <v>45768.444976851853</v>
      </c>
      <c r="N999" s="79">
        <v>45770</v>
      </c>
      <c r="O999" s="79">
        <v>45770</v>
      </c>
      <c r="P999" s="80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2</v>
      </c>
      <c r="R999" s="80" t="s">
        <v>972</v>
      </c>
      <c r="S999" s="69"/>
    </row>
    <row r="1000" spans="1:19" hidden="1">
      <c r="A1000" s="72" t="s">
        <v>2801</v>
      </c>
      <c r="B1000" s="149" t="str">
        <f>IFERROR(VLOOKUP(Proc[[#This Row],[App]],Table2[],3,0),"open")</f>
        <v>ok</v>
      </c>
      <c r="C1000" s="72" t="s">
        <v>369</v>
      </c>
      <c r="D1000" t="s">
        <v>2817</v>
      </c>
      <c r="E1000" t="s">
        <v>2815</v>
      </c>
      <c r="F1000" s="117" t="s">
        <v>2815</v>
      </c>
      <c r="G1000" s="72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LS</v>
      </c>
      <c r="L1000" s="69" t="s">
        <v>2563</v>
      </c>
      <c r="M1000" s="79">
        <v>45768.444976851853</v>
      </c>
      <c r="N1000" s="79">
        <v>45770</v>
      </c>
      <c r="O1000" s="79">
        <v>45770</v>
      </c>
      <c r="P1000" s="80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2</v>
      </c>
      <c r="R1000" s="80" t="s">
        <v>972</v>
      </c>
      <c r="S1000" s="69"/>
    </row>
    <row r="1001" spans="1:19" hidden="1">
      <c r="A1001" t="s">
        <v>2819</v>
      </c>
      <c r="B1001" s="149" t="str">
        <f>IFERROR(VLOOKUP(Proc[[#This Row],[App]],Table2[],3,0),"open")</f>
        <v>ok</v>
      </c>
      <c r="C1001" s="72" t="s">
        <v>369</v>
      </c>
      <c r="D1001" t="s">
        <v>2818</v>
      </c>
      <c r="E1001" t="s">
        <v>413</v>
      </c>
      <c r="F1001" s="117" t="s">
        <v>413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HC</v>
      </c>
      <c r="L1001" s="69" t="s">
        <v>2563</v>
      </c>
      <c r="M1001" s="79">
        <v>45769.308611111112</v>
      </c>
      <c r="N1001" s="79">
        <v>45770</v>
      </c>
      <c r="O1001" s="79">
        <v>45770</v>
      </c>
      <c r="P1001" s="80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1</v>
      </c>
      <c r="R1001" s="80" t="s">
        <v>955</v>
      </c>
      <c r="S1001" s="69"/>
    </row>
    <row r="1002" spans="1:19" hidden="1">
      <c r="A1002" t="s">
        <v>2826</v>
      </c>
      <c r="B1002" s="149" t="str">
        <f>IFERROR(VLOOKUP(Proc[[#This Row],[App]],Table2[],3,0),"open")</f>
        <v>ok</v>
      </c>
      <c r="C1002" t="s">
        <v>369</v>
      </c>
      <c r="D1002" t="s">
        <v>2820</v>
      </c>
      <c r="E1002" t="s">
        <v>2824</v>
      </c>
      <c r="F1002" s="117" t="s">
        <v>2824</v>
      </c>
      <c r="G1002" t="s">
        <v>406</v>
      </c>
      <c r="H1002" s="69" t="str">
        <f>IF(Proc[[#This Row],[type]]="LFF (MDG-F)",MID(Proc[[#This Row],[Obj]],13,10),"")</f>
        <v>AE50R0GR11</v>
      </c>
      <c r="I1002" t="s">
        <v>2830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HC</v>
      </c>
      <c r="L1002" s="69" t="s">
        <v>2563</v>
      </c>
      <c r="M1002" s="79">
        <v>45770.381412037037</v>
      </c>
      <c r="N1002" s="79">
        <v>45772</v>
      </c>
      <c r="O1002" s="79">
        <v>45772</v>
      </c>
      <c r="P1002" s="80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80" t="s">
        <v>415</v>
      </c>
      <c r="S1002" s="69"/>
    </row>
    <row r="1003" spans="1:19" hidden="1">
      <c r="A1003" s="72" t="s">
        <v>2826</v>
      </c>
      <c r="B1003" s="149" t="str">
        <f>IFERROR(VLOOKUP(Proc[[#This Row],[App]],Table2[],3,0),"open")</f>
        <v>ok</v>
      </c>
      <c r="C1003" s="72" t="s">
        <v>369</v>
      </c>
      <c r="D1003" t="s">
        <v>2821</v>
      </c>
      <c r="E1003" t="s">
        <v>2825</v>
      </c>
      <c r="F1003" s="117" t="s">
        <v>2825</v>
      </c>
      <c r="G1003" s="72" t="s">
        <v>400</v>
      </c>
      <c r="H1003" s="69" t="str">
        <f>IF(Proc[[#This Row],[type]]="LFF (MDG-F)",MID(Proc[[#This Row],[Obj]],13,10),"")</f>
        <v/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HC</v>
      </c>
      <c r="L1003" s="69" t="s">
        <v>2563</v>
      </c>
      <c r="M1003" s="79">
        <v>45770.381412037037</v>
      </c>
      <c r="N1003" s="79">
        <v>45772</v>
      </c>
      <c r="O1003" s="79">
        <v>45772</v>
      </c>
      <c r="P1003" s="80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80" t="s">
        <v>415</v>
      </c>
      <c r="S1003" s="69"/>
    </row>
    <row r="1004" spans="1:19" hidden="1">
      <c r="A1004" s="72" t="s">
        <v>2826</v>
      </c>
      <c r="B1004" s="149" t="str">
        <f>IFERROR(VLOOKUP(Proc[[#This Row],[App]],Table2[],3,0),"open")</f>
        <v>ok</v>
      </c>
      <c r="C1004" s="72" t="s">
        <v>369</v>
      </c>
      <c r="D1004" t="s">
        <v>2822</v>
      </c>
      <c r="E1004" t="s">
        <v>2825</v>
      </c>
      <c r="F1004" s="117" t="s">
        <v>2825</v>
      </c>
      <c r="G1004" s="72" t="s">
        <v>400</v>
      </c>
      <c r="H1004" s="69" t="str">
        <f>IF(Proc[[#This Row],[type]]="LFF (MDG-F)",MID(Proc[[#This Row],[Obj]],13,10),"")</f>
        <v/>
      </c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HC</v>
      </c>
      <c r="L1004" s="69" t="s">
        <v>2563</v>
      </c>
      <c r="M1004" s="79">
        <v>45770.381412037037</v>
      </c>
      <c r="N1004" s="79">
        <v>45772</v>
      </c>
      <c r="O1004" s="79">
        <v>45772</v>
      </c>
      <c r="P1004" s="80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80" t="s">
        <v>415</v>
      </c>
      <c r="S1004" s="69"/>
    </row>
    <row r="1005" spans="1:19" hidden="1">
      <c r="A1005" s="72" t="s">
        <v>2826</v>
      </c>
      <c r="B1005" s="149" t="str">
        <f>IFERROR(VLOOKUP(Proc[[#This Row],[App]],Table2[],3,0),"open")</f>
        <v>ok</v>
      </c>
      <c r="C1005" s="72" t="s">
        <v>369</v>
      </c>
      <c r="D1005" t="s">
        <v>2823</v>
      </c>
      <c r="E1005" t="s">
        <v>2825</v>
      </c>
      <c r="F1005" s="117" t="s">
        <v>2825</v>
      </c>
      <c r="G1005" s="72" t="s">
        <v>400</v>
      </c>
      <c r="H1005" s="69" t="str">
        <f>IF(Proc[[#This Row],[type]]="LFF (MDG-F)",MID(Proc[[#This Row],[Obj]],13,10),"")</f>
        <v/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HC</v>
      </c>
      <c r="L1005" s="69" t="s">
        <v>2563</v>
      </c>
      <c r="M1005" s="79">
        <v>45770.381412037037</v>
      </c>
      <c r="N1005" s="79">
        <v>45772</v>
      </c>
      <c r="O1005" s="79">
        <v>45772</v>
      </c>
      <c r="P1005" s="80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80" t="s">
        <v>415</v>
      </c>
      <c r="S1005" s="69"/>
    </row>
    <row r="1006" spans="1:19" hidden="1">
      <c r="A1006" t="s">
        <v>2829</v>
      </c>
      <c r="B1006" s="149" t="str">
        <f>IFERROR(VLOOKUP(Proc[[#This Row],[App]],Table2[],3,0),"open")</f>
        <v>ok</v>
      </c>
      <c r="C1006" s="72" t="s">
        <v>369</v>
      </c>
      <c r="D1006" t="s">
        <v>2799</v>
      </c>
      <c r="E1006" t="s">
        <v>473</v>
      </c>
      <c r="F1006" s="117" t="s">
        <v>473</v>
      </c>
      <c r="G1006" s="72" t="s">
        <v>400</v>
      </c>
      <c r="H1006" s="69" t="str">
        <f>IF(Proc[[#This Row],[type]]="LFF (MDG-F)",MID(Proc[[#This Row],[Obj]],13,10),"")</f>
        <v/>
      </c>
      <c r="I1006" t="s">
        <v>1198</v>
      </c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9">
        <v>45769.638298611113</v>
      </c>
      <c r="N1006" s="79"/>
      <c r="O1006" s="79"/>
      <c r="P1006" s="80" t="str">
        <f ca="1">IF(Proc[[#This Row],[DaysAgeing]]&gt;5,"yep","on track")</f>
        <v>yep</v>
      </c>
      <c r="Q1006" s="3">
        <f ca="1">IF(Proc[[#This Row],[DateClosed]]="",ABS(NETWORKDAYS(Proc[[#This Row],[DateOpened]],TODAY()))-1,ABS(NETWORKDAYS(Proc[[#This Row],[DateOpened]],Proc[[#This Row],[DateClosed]]))-1)</f>
        <v>162</v>
      </c>
      <c r="R1006" s="80" t="s">
        <v>515</v>
      </c>
      <c r="S1006" s="69"/>
    </row>
    <row r="1007" spans="1:19" hidden="1">
      <c r="A1007" s="72" t="s">
        <v>2829</v>
      </c>
      <c r="B1007" s="149" t="str">
        <f>IFERROR(VLOOKUP(Proc[[#This Row],[App]],Table2[],3,0),"open")</f>
        <v>ok</v>
      </c>
      <c r="C1007" s="72" t="s">
        <v>369</v>
      </c>
      <c r="D1007" t="s">
        <v>2827</v>
      </c>
      <c r="E1007" t="s">
        <v>2505</v>
      </c>
      <c r="F1007" s="117" t="s">
        <v>2505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9">
        <v>45769.638298611113</v>
      </c>
      <c r="N1007" s="79">
        <v>45772</v>
      </c>
      <c r="O1007" s="79">
        <v>45772</v>
      </c>
      <c r="P1007" s="80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3</v>
      </c>
      <c r="R1007" s="80" t="s">
        <v>515</v>
      </c>
      <c r="S1007" s="69"/>
    </row>
    <row r="1008" spans="1:19" hidden="1">
      <c r="A1008" s="72" t="s">
        <v>2829</v>
      </c>
      <c r="B1008" s="149" t="str">
        <f>IFERROR(VLOOKUP(Proc[[#This Row],[App]],Table2[],3,0),"open")</f>
        <v>ok</v>
      </c>
      <c r="C1008" s="72" t="s">
        <v>369</v>
      </c>
      <c r="D1008" t="s">
        <v>2828</v>
      </c>
      <c r="E1008" t="s">
        <v>2607</v>
      </c>
      <c r="F1008" s="117" t="s">
        <v>2607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MGF</v>
      </c>
      <c r="L1008" s="69" t="s">
        <v>2563</v>
      </c>
      <c r="M1008" s="79">
        <v>45769.638298611113</v>
      </c>
      <c r="N1008" s="79">
        <v>45772</v>
      </c>
      <c r="O1008" s="79">
        <v>45772</v>
      </c>
      <c r="P1008" s="80" t="str">
        <f ca="1">IF(Proc[[#This Row],[DaysAgeing]]&gt;5,"yep","on track")</f>
        <v>on track</v>
      </c>
      <c r="Q1008" s="3">
        <f ca="1">IF(Proc[[#This Row],[DateClosed]]="",ABS(NETWORKDAYS(Proc[[#This Row],[DateOpened]],TODAY()))-1,ABS(NETWORKDAYS(Proc[[#This Row],[DateOpened]],Proc[[#This Row],[DateClosed]]))-1)</f>
        <v>3</v>
      </c>
      <c r="R1008" s="80" t="s">
        <v>515</v>
      </c>
      <c r="S1008" s="69"/>
    </row>
    <row r="1009" spans="1:19" hidden="1">
      <c r="A1009" t="s">
        <v>2831</v>
      </c>
      <c r="B1009" s="149" t="str">
        <f>IFERROR(VLOOKUP(Proc[[#This Row],[App]],Table2[],3,0),"open")</f>
        <v>ok</v>
      </c>
      <c r="C1009" s="72" t="s">
        <v>369</v>
      </c>
      <c r="D1009" t="s">
        <v>2832</v>
      </c>
      <c r="E1009" t="s">
        <v>2839</v>
      </c>
      <c r="F1009" s="117" t="s">
        <v>2839</v>
      </c>
      <c r="G1009" s="72" t="s">
        <v>400</v>
      </c>
      <c r="H1009" s="69" t="str">
        <f>IF(Proc[[#This Row],[type]]="LFF (MDG-F)",MID(Proc[[#This Row],[Obj]],13,10),"")</f>
        <v/>
      </c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9">
        <v>45772.348194444443</v>
      </c>
      <c r="N1009" s="79">
        <v>45775</v>
      </c>
      <c r="O1009" s="79">
        <v>45775</v>
      </c>
      <c r="P1009" s="80" t="str">
        <f ca="1">IF(Proc[[#This Row],[DaysAgeing]]&gt;5,"yep","on track")</f>
        <v>on track</v>
      </c>
      <c r="Q1009" s="3">
        <f ca="1">IF(Proc[[#This Row],[DateClosed]]="",ABS(NETWORKDAYS(Proc[[#This Row],[DateOpened]],TODAY()))-1,ABS(NETWORKDAYS(Proc[[#This Row],[DateOpened]],Proc[[#This Row],[DateClosed]]))-1)</f>
        <v>1</v>
      </c>
      <c r="R1009" s="80" t="s">
        <v>489</v>
      </c>
      <c r="S1009" s="69"/>
    </row>
    <row r="1010" spans="1:19" hidden="1">
      <c r="A1010" s="72" t="s">
        <v>2831</v>
      </c>
      <c r="B1010" s="149" t="str">
        <f>IFERROR(VLOOKUP(Proc[[#This Row],[App]],Table2[],3,0),"open")</f>
        <v>ok</v>
      </c>
      <c r="C1010" s="72" t="s">
        <v>369</v>
      </c>
      <c r="D1010" t="s">
        <v>2833</v>
      </c>
      <c r="E1010" t="s">
        <v>2840</v>
      </c>
      <c r="F1010" s="117" t="s">
        <v>2840</v>
      </c>
      <c r="G1010" s="72" t="s">
        <v>400</v>
      </c>
      <c r="H1010" s="69" t="str">
        <f>IF(Proc[[#This Row],[type]]="LFF (MDG-F)",MID(Proc[[#This Row],[Obj]],13,10),"")</f>
        <v/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LS</v>
      </c>
      <c r="L1010" s="69" t="s">
        <v>2563</v>
      </c>
      <c r="M1010" s="79">
        <v>45772.348194444443</v>
      </c>
      <c r="N1010" s="79">
        <v>45775</v>
      </c>
      <c r="O1010" s="79">
        <v>45775</v>
      </c>
      <c r="P1010" s="80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1</v>
      </c>
      <c r="R1010" s="80" t="s">
        <v>489</v>
      </c>
      <c r="S1010" s="69"/>
    </row>
    <row r="1011" spans="1:19" hidden="1">
      <c r="A1011" s="72" t="s">
        <v>2831</v>
      </c>
      <c r="B1011" s="149" t="str">
        <f>IFERROR(VLOOKUP(Proc[[#This Row],[App]],Table2[],3,0),"open")</f>
        <v>ok</v>
      </c>
      <c r="C1011" s="72" t="s">
        <v>369</v>
      </c>
      <c r="D1011" t="s">
        <v>2834</v>
      </c>
      <c r="E1011" t="s">
        <v>2841</v>
      </c>
      <c r="F1011" s="117" t="s">
        <v>2841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LS</v>
      </c>
      <c r="L1011" s="69" t="s">
        <v>2563</v>
      </c>
      <c r="M1011" s="79">
        <v>45772.348194444443</v>
      </c>
      <c r="N1011" s="79">
        <v>45775</v>
      </c>
      <c r="O1011" s="79">
        <v>45775</v>
      </c>
      <c r="P1011" s="80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1</v>
      </c>
      <c r="R1011" s="80" t="s">
        <v>489</v>
      </c>
      <c r="S1011" s="69"/>
    </row>
    <row r="1012" spans="1:19" hidden="1">
      <c r="A1012" s="72" t="s">
        <v>2831</v>
      </c>
      <c r="B1012" s="149" t="str">
        <f>IFERROR(VLOOKUP(Proc[[#This Row],[App]],Table2[],3,0),"open")</f>
        <v>ok</v>
      </c>
      <c r="C1012" s="72" t="s">
        <v>369</v>
      </c>
      <c r="D1012" t="s">
        <v>2835</v>
      </c>
      <c r="E1012" t="s">
        <v>2842</v>
      </c>
      <c r="F1012" s="117" t="s">
        <v>2842</v>
      </c>
      <c r="G1012" s="72" t="s">
        <v>400</v>
      </c>
      <c r="H1012" s="69" t="str">
        <f>IF(Proc[[#This Row],[type]]="LFF (MDG-F)",MID(Proc[[#This Row],[Obj]],13,10),"")</f>
        <v/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LS</v>
      </c>
      <c r="L1012" s="69" t="s">
        <v>2563</v>
      </c>
      <c r="M1012" s="79">
        <v>45772.348194444443</v>
      </c>
      <c r="N1012" s="79">
        <v>45775</v>
      </c>
      <c r="O1012" s="79">
        <v>45775</v>
      </c>
      <c r="P1012" s="80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1</v>
      </c>
      <c r="R1012" s="80" t="s">
        <v>489</v>
      </c>
      <c r="S1012" s="69"/>
    </row>
    <row r="1013" spans="1:19" hidden="1">
      <c r="A1013" s="72" t="s">
        <v>2831</v>
      </c>
      <c r="B1013" s="149" t="str">
        <f>IFERROR(VLOOKUP(Proc[[#This Row],[App]],Table2[],3,0),"open")</f>
        <v>ok</v>
      </c>
      <c r="C1013" s="72" t="s">
        <v>369</v>
      </c>
      <c r="D1013" t="s">
        <v>2836</v>
      </c>
      <c r="E1013" t="s">
        <v>2840</v>
      </c>
      <c r="F1013" s="117" t="s">
        <v>2840</v>
      </c>
      <c r="G1013" s="72" t="s">
        <v>400</v>
      </c>
      <c r="H1013" s="69" t="str">
        <f>IF(Proc[[#This Row],[type]]="LFF (MDG-F)",MID(Proc[[#This Row],[Obj]],13,10),"")</f>
        <v/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LS</v>
      </c>
      <c r="L1013" s="69" t="s">
        <v>2563</v>
      </c>
      <c r="M1013" s="79">
        <v>45772.348194444443</v>
      </c>
      <c r="N1013" s="79">
        <v>45775</v>
      </c>
      <c r="O1013" s="79">
        <v>45775</v>
      </c>
      <c r="P1013" s="80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1</v>
      </c>
      <c r="R1013" s="80" t="s">
        <v>489</v>
      </c>
      <c r="S1013" s="69"/>
    </row>
    <row r="1014" spans="1:19" hidden="1">
      <c r="A1014" s="72" t="s">
        <v>2831</v>
      </c>
      <c r="B1014" s="149" t="str">
        <f>IFERROR(VLOOKUP(Proc[[#This Row],[App]],Table2[],3,0),"open")</f>
        <v>ok</v>
      </c>
      <c r="C1014" s="72" t="s">
        <v>369</v>
      </c>
      <c r="D1014" t="s">
        <v>2837</v>
      </c>
      <c r="E1014" t="s">
        <v>2841</v>
      </c>
      <c r="F1014" s="117" t="s">
        <v>2841</v>
      </c>
      <c r="G1014" s="72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LS</v>
      </c>
      <c r="L1014" s="69" t="s">
        <v>2563</v>
      </c>
      <c r="M1014" s="79">
        <v>45772.348194444443</v>
      </c>
      <c r="N1014" s="79">
        <v>45775</v>
      </c>
      <c r="O1014" s="79">
        <v>45775</v>
      </c>
      <c r="P1014" s="80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1</v>
      </c>
      <c r="R1014" s="80" t="s">
        <v>489</v>
      </c>
      <c r="S1014" s="69"/>
    </row>
    <row r="1015" spans="1:19" hidden="1">
      <c r="A1015" s="72" t="s">
        <v>2831</v>
      </c>
      <c r="B1015" s="149" t="str">
        <f>IFERROR(VLOOKUP(Proc[[#This Row],[App]],Table2[],3,0),"open")</f>
        <v>ok</v>
      </c>
      <c r="C1015" s="72" t="s">
        <v>369</v>
      </c>
      <c r="D1015" t="s">
        <v>2838</v>
      </c>
      <c r="E1015" t="s">
        <v>2842</v>
      </c>
      <c r="F1015" s="117" t="s">
        <v>2842</v>
      </c>
      <c r="G1015" s="72" t="s">
        <v>400</v>
      </c>
      <c r="H1015" s="69" t="str">
        <f>IF(Proc[[#This Row],[type]]="LFF (MDG-F)",MID(Proc[[#This Row],[Obj]],13,10),"")</f>
        <v/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9">
        <v>45772.348194444443</v>
      </c>
      <c r="N1015" s="79">
        <v>45775</v>
      </c>
      <c r="O1015" s="79">
        <v>45775</v>
      </c>
      <c r="P1015" s="80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1</v>
      </c>
      <c r="R1015" s="80" t="s">
        <v>489</v>
      </c>
      <c r="S1015" s="69"/>
    </row>
    <row r="1016" spans="1:19" hidden="1">
      <c r="A1016" t="s">
        <v>2843</v>
      </c>
      <c r="B1016" s="149" t="str">
        <f>IFERROR(VLOOKUP(Proc[[#This Row],[App]],Table2[],3,0),"open")</f>
        <v>ok</v>
      </c>
      <c r="C1016" s="72" t="s">
        <v>369</v>
      </c>
      <c r="D1016" t="s">
        <v>2844</v>
      </c>
      <c r="E1016" t="s">
        <v>2845</v>
      </c>
      <c r="F1016" s="117" t="s">
        <v>2845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MGF</v>
      </c>
      <c r="L1016" s="69" t="s">
        <v>2563</v>
      </c>
      <c r="M1016" s="79">
        <v>45771.599537037036</v>
      </c>
      <c r="N1016" s="79">
        <v>45775</v>
      </c>
      <c r="O1016" s="79">
        <v>45775</v>
      </c>
      <c r="P1016" s="80" t="str">
        <f ca="1">IF(Proc[[#This Row],[DaysAgeing]]&gt;5,"yep","on track")</f>
        <v>on track</v>
      </c>
      <c r="Q1016" s="3">
        <f ca="1">IF(Proc[[#This Row],[DateClosed]]="",ABS(NETWORKDAYS(Proc[[#This Row],[DateOpened]],TODAY()))-1,ABS(NETWORKDAYS(Proc[[#This Row],[DateOpened]],Proc[[#This Row],[DateClosed]]))-1)</f>
        <v>2</v>
      </c>
      <c r="R1016" s="80" t="s">
        <v>515</v>
      </c>
      <c r="S1016" s="69"/>
    </row>
    <row r="1017" spans="1:19" hidden="1">
      <c r="A1017" t="s">
        <v>2846</v>
      </c>
      <c r="B1017" s="149" t="str">
        <f>IFERROR(VLOOKUP(Proc[[#This Row],[App]],Table2[],3,0),"open")</f>
        <v>ok</v>
      </c>
      <c r="C1017" s="72" t="s">
        <v>369</v>
      </c>
      <c r="D1017" t="s">
        <v>2847</v>
      </c>
      <c r="E1017" t="s">
        <v>2853</v>
      </c>
      <c r="F1017" s="117" t="s">
        <v>2853</v>
      </c>
      <c r="G1017" t="s">
        <v>406</v>
      </c>
      <c r="H1017" s="69" t="str">
        <f>IF(Proc[[#This Row],[type]]="LFF (MDG-F)",MID(Proc[[#This Row],[Obj]],13,10),"")</f>
        <v>CH65R00020</v>
      </c>
      <c r="I1017" t="s">
        <v>2854</v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HC</v>
      </c>
      <c r="L1017" s="69" t="s">
        <v>2563</v>
      </c>
      <c r="M1017" s="79">
        <v>45771.413831018515</v>
      </c>
      <c r="N1017" s="79">
        <v>45776</v>
      </c>
      <c r="O1017" s="79">
        <v>45776</v>
      </c>
      <c r="P1017" s="80" t="str">
        <f ca="1">IF(Proc[[#This Row],[DaysAgeing]]&gt;5,"yep","on track")</f>
        <v>on track</v>
      </c>
      <c r="Q1017" s="3">
        <f ca="1">IF(Proc[[#This Row],[DateClosed]]="",ABS(NETWORKDAYS(Proc[[#This Row],[DateOpened]],TODAY()))-1,ABS(NETWORKDAYS(Proc[[#This Row],[DateOpened]],Proc[[#This Row],[DateClosed]]))-1)</f>
        <v>3</v>
      </c>
      <c r="R1017" s="80" t="s">
        <v>415</v>
      </c>
      <c r="S1017" s="69"/>
    </row>
    <row r="1018" spans="1:19" hidden="1">
      <c r="A1018" s="72" t="s">
        <v>2846</v>
      </c>
      <c r="B1018" s="149" t="str">
        <f>IFERROR(VLOOKUP(Proc[[#This Row],[App]],Table2[],3,0),"open")</f>
        <v>ok</v>
      </c>
      <c r="C1018" s="72" t="s">
        <v>369</v>
      </c>
      <c r="D1018" t="s">
        <v>2848</v>
      </c>
      <c r="E1018" t="s">
        <v>2853</v>
      </c>
      <c r="F1018" s="117" t="s">
        <v>2853</v>
      </c>
      <c r="G1018" s="72" t="s">
        <v>406</v>
      </c>
      <c r="H1018" s="69" t="str">
        <f>IF(Proc[[#This Row],[type]]="LFF (MDG-F)",MID(Proc[[#This Row],[Obj]],13,10),"")</f>
        <v>CH65R00048</v>
      </c>
      <c r="I1018" s="72" t="s">
        <v>2854</v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HC</v>
      </c>
      <c r="L1018" s="69" t="s">
        <v>2563</v>
      </c>
      <c r="M1018" s="79">
        <v>45771.413831018515</v>
      </c>
      <c r="N1018" s="79">
        <v>45776</v>
      </c>
      <c r="O1018" s="79">
        <v>45776</v>
      </c>
      <c r="P1018" s="80" t="str">
        <f ca="1">IF(Proc[[#This Row],[DaysAgeing]]&gt;5,"yep","on track")</f>
        <v>on track</v>
      </c>
      <c r="Q1018" s="3">
        <f ca="1">IF(Proc[[#This Row],[DateClosed]]="",ABS(NETWORKDAYS(Proc[[#This Row],[DateOpened]],TODAY()))-1,ABS(NETWORKDAYS(Proc[[#This Row],[DateOpened]],Proc[[#This Row],[DateClosed]]))-1)</f>
        <v>3</v>
      </c>
      <c r="R1018" s="80" t="s">
        <v>415</v>
      </c>
      <c r="S1018" s="69"/>
    </row>
    <row r="1019" spans="1:19" hidden="1">
      <c r="A1019" s="72" t="s">
        <v>2846</v>
      </c>
      <c r="B1019" s="149" t="str">
        <f>IFERROR(VLOOKUP(Proc[[#This Row],[App]],Table2[],3,0),"open")</f>
        <v>ok</v>
      </c>
      <c r="C1019" s="72" t="s">
        <v>369</v>
      </c>
      <c r="D1019" t="s">
        <v>2849</v>
      </c>
      <c r="E1019" t="s">
        <v>2853</v>
      </c>
      <c r="F1019" s="117" t="s">
        <v>2853</v>
      </c>
      <c r="G1019" s="72" t="s">
        <v>406</v>
      </c>
      <c r="H1019" s="69" t="str">
        <f>IF(Proc[[#This Row],[type]]="LFF (MDG-F)",MID(Proc[[#This Row],[Obj]],13,10),"")</f>
        <v>CH65R00050</v>
      </c>
      <c r="I1019" s="72" t="s">
        <v>2854</v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HC</v>
      </c>
      <c r="L1019" s="69" t="s">
        <v>2563</v>
      </c>
      <c r="M1019" s="79">
        <v>45771.413831018515</v>
      </c>
      <c r="N1019" s="79">
        <v>45776</v>
      </c>
      <c r="O1019" s="79">
        <v>45776</v>
      </c>
      <c r="P1019" s="80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3</v>
      </c>
      <c r="R1019" s="80" t="s">
        <v>415</v>
      </c>
      <c r="S1019" s="69"/>
    </row>
    <row r="1020" spans="1:19" hidden="1">
      <c r="A1020" s="72" t="s">
        <v>2846</v>
      </c>
      <c r="B1020" s="149" t="str">
        <f>IFERROR(VLOOKUP(Proc[[#This Row],[App]],Table2[],3,0),"open")</f>
        <v>ok</v>
      </c>
      <c r="C1020" s="72" t="s">
        <v>369</v>
      </c>
      <c r="D1020" t="s">
        <v>2850</v>
      </c>
      <c r="E1020" t="s">
        <v>2853</v>
      </c>
      <c r="F1020" s="117" t="s">
        <v>2853</v>
      </c>
      <c r="G1020" s="72" t="s">
        <v>406</v>
      </c>
      <c r="H1020" s="69" t="str">
        <f>IF(Proc[[#This Row],[type]]="LFF (MDG-F)",MID(Proc[[#This Row],[Obj]],13,10),"")</f>
        <v>CH65R00052</v>
      </c>
      <c r="I1020" s="72" t="s">
        <v>2854</v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HC</v>
      </c>
      <c r="L1020" s="69" t="s">
        <v>2563</v>
      </c>
      <c r="M1020" s="79">
        <v>45771.413831018515</v>
      </c>
      <c r="N1020" s="79">
        <v>45776</v>
      </c>
      <c r="O1020" s="79">
        <v>45776</v>
      </c>
      <c r="P1020" s="80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3</v>
      </c>
      <c r="R1020" s="80" t="s">
        <v>415</v>
      </c>
      <c r="S1020" s="69"/>
    </row>
    <row r="1021" spans="1:19" hidden="1">
      <c r="A1021" t="s">
        <v>2851</v>
      </c>
      <c r="B1021" s="149" t="str">
        <f>IFERROR(VLOOKUP(Proc[[#This Row],[App]],Table2[],3,0),"open")</f>
        <v>ok</v>
      </c>
      <c r="C1021" s="72" t="s">
        <v>369</v>
      </c>
      <c r="D1021" t="s">
        <v>2852</v>
      </c>
      <c r="E1021" t="s">
        <v>473</v>
      </c>
      <c r="F1021" s="117" t="s">
        <v>473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9">
        <v>45770.666944444441</v>
      </c>
      <c r="N1021" s="79">
        <v>45775</v>
      </c>
      <c r="O1021" s="79">
        <v>45775</v>
      </c>
      <c r="P1021" s="80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3</v>
      </c>
      <c r="R1021" s="80" t="s">
        <v>515</v>
      </c>
      <c r="S1021" s="69"/>
    </row>
    <row r="1022" spans="1:19" hidden="1">
      <c r="A1022" t="s">
        <v>2855</v>
      </c>
      <c r="B1022" s="149" t="str">
        <f>IFERROR(VLOOKUP(Proc[[#This Row],[App]],Table2[],3,0),"open")</f>
        <v>ok</v>
      </c>
      <c r="C1022" t="s">
        <v>369</v>
      </c>
      <c r="D1022" t="s">
        <v>2856</v>
      </c>
      <c r="E1022" t="s">
        <v>2373</v>
      </c>
      <c r="F1022" s="117" t="s">
        <v>2373</v>
      </c>
      <c r="G102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LS</v>
      </c>
      <c r="L1022" s="69" t="s">
        <v>2563</v>
      </c>
      <c r="M1022" s="79">
        <v>45775.693912037037</v>
      </c>
      <c r="N1022" s="79">
        <v>45777</v>
      </c>
      <c r="O1022" s="79">
        <v>45777</v>
      </c>
      <c r="P1022" s="80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80" t="s">
        <v>489</v>
      </c>
      <c r="S1022" s="69"/>
    </row>
    <row r="1023" spans="1:19" hidden="1">
      <c r="A1023" t="s">
        <v>2857</v>
      </c>
      <c r="B1023" s="149" t="str">
        <f>IFERROR(VLOOKUP(Proc[[#This Row],[App]],Table2[],3,0),"open")</f>
        <v>ok</v>
      </c>
      <c r="C1023" s="72" t="s">
        <v>369</v>
      </c>
      <c r="D1023" t="s">
        <v>2865</v>
      </c>
      <c r="E1023" t="s">
        <v>417</v>
      </c>
      <c r="F1023" s="117" t="s">
        <v>417</v>
      </c>
      <c r="G1023" s="72" t="s">
        <v>400</v>
      </c>
      <c r="H1023" s="69" t="str">
        <f>IF(Proc[[#This Row],[type]]="LFF (MDG-F)",MID(Proc[[#This Row],[Obj]],13,10),"")</f>
        <v/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LS</v>
      </c>
      <c r="L1023" s="69" t="s">
        <v>2563</v>
      </c>
      <c r="M1023" s="79">
        <v>45776.423101851855</v>
      </c>
      <c r="N1023" s="79">
        <v>45779</v>
      </c>
      <c r="O1023" s="79">
        <v>45779</v>
      </c>
      <c r="P1023" s="80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3</v>
      </c>
      <c r="R1023" s="80" t="s">
        <v>972</v>
      </c>
      <c r="S1023" s="69"/>
    </row>
    <row r="1024" spans="1:19" hidden="1">
      <c r="A1024" s="72" t="s">
        <v>2857</v>
      </c>
      <c r="B1024" s="149" t="str">
        <f>IFERROR(VLOOKUP(Proc[[#This Row],[App]],Table2[],3,0),"open")</f>
        <v>ok</v>
      </c>
      <c r="C1024" s="72" t="s">
        <v>369</v>
      </c>
      <c r="D1024" t="s">
        <v>2858</v>
      </c>
      <c r="E1024" t="s">
        <v>2862</v>
      </c>
      <c r="F1024" s="117" t="s">
        <v>2862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9">
        <v>45776.423101851855</v>
      </c>
      <c r="N1024" s="79">
        <v>45779</v>
      </c>
      <c r="O1024" s="79">
        <v>45779</v>
      </c>
      <c r="P1024" s="80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3</v>
      </c>
      <c r="R1024" s="80" t="s">
        <v>972</v>
      </c>
      <c r="S1024" s="69"/>
    </row>
    <row r="1025" spans="1:19" hidden="1">
      <c r="A1025" s="72" t="s">
        <v>2857</v>
      </c>
      <c r="B1025" s="149" t="str">
        <f>IFERROR(VLOOKUP(Proc[[#This Row],[App]],Table2[],3,0),"open")</f>
        <v>ok</v>
      </c>
      <c r="C1025" s="72" t="s">
        <v>369</v>
      </c>
      <c r="D1025" t="s">
        <v>2859</v>
      </c>
      <c r="E1025" t="s">
        <v>2863</v>
      </c>
      <c r="F1025" s="117" t="s">
        <v>2863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9">
        <v>45776.423101851855</v>
      </c>
      <c r="N1025" s="79">
        <v>45779</v>
      </c>
      <c r="O1025" s="79">
        <v>45779</v>
      </c>
      <c r="P1025" s="80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3</v>
      </c>
      <c r="R1025" s="80" t="s">
        <v>972</v>
      </c>
      <c r="S1025" s="69"/>
    </row>
    <row r="1026" spans="1:19" hidden="1">
      <c r="A1026" s="72" t="s">
        <v>2857</v>
      </c>
      <c r="B1026" s="149" t="str">
        <f>IFERROR(VLOOKUP(Proc[[#This Row],[App]],Table2[],3,0),"open")</f>
        <v>ok</v>
      </c>
      <c r="C1026" s="72" t="s">
        <v>369</v>
      </c>
      <c r="D1026" t="s">
        <v>2860</v>
      </c>
      <c r="E1026" t="s">
        <v>2864</v>
      </c>
      <c r="F1026" s="117" t="s">
        <v>2864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9">
        <v>45776.423101851855</v>
      </c>
      <c r="N1026" s="79">
        <v>45779</v>
      </c>
      <c r="O1026" s="79">
        <v>45779</v>
      </c>
      <c r="P1026" s="80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3</v>
      </c>
      <c r="R1026" s="80" t="s">
        <v>972</v>
      </c>
      <c r="S1026" s="69"/>
    </row>
    <row r="1027" spans="1:19" hidden="1">
      <c r="A1027" s="72" t="s">
        <v>2857</v>
      </c>
      <c r="B1027" s="149" t="str">
        <f>IFERROR(VLOOKUP(Proc[[#This Row],[App]],Table2[],3,0),"open")</f>
        <v>ok</v>
      </c>
      <c r="C1027" s="72" t="s">
        <v>369</v>
      </c>
      <c r="D1027" t="s">
        <v>2861</v>
      </c>
      <c r="E1027" t="s">
        <v>2864</v>
      </c>
      <c r="F1027" s="117" t="s">
        <v>2864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9">
        <v>45776.423101851855</v>
      </c>
      <c r="N1027" s="79">
        <v>45779</v>
      </c>
      <c r="O1027" s="79">
        <v>45779</v>
      </c>
      <c r="P1027" s="80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3</v>
      </c>
      <c r="R1027" s="80" t="s">
        <v>972</v>
      </c>
      <c r="S1027" s="69"/>
    </row>
    <row r="1028" spans="1:19" hidden="1">
      <c r="A1028" t="s">
        <v>2866</v>
      </c>
      <c r="B1028" s="149" t="str">
        <f>IFERROR(VLOOKUP(Proc[[#This Row],[App]],Table2[],3,0),"open")</f>
        <v>ok</v>
      </c>
      <c r="C1028" s="72" t="s">
        <v>369</v>
      </c>
      <c r="D1028" t="s">
        <v>2295</v>
      </c>
      <c r="E1028" t="s">
        <v>2869</v>
      </c>
      <c r="F1028" s="117" t="s">
        <v>2869</v>
      </c>
      <c r="G1028" t="s">
        <v>406</v>
      </c>
      <c r="H1028" s="69" t="str">
        <f>IF(Proc[[#This Row],[type]]="LFF (MDG-F)",MID(Proc[[#This Row],[Obj]],13,10),"")</f>
        <v>DE20675106</v>
      </c>
      <c r="I1028" t="s">
        <v>2870</v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MGF</v>
      </c>
      <c r="L1028" s="69" t="s">
        <v>2563</v>
      </c>
      <c r="M1028" s="79">
        <v>45776.467129629629</v>
      </c>
      <c r="N1028" s="79">
        <v>45779</v>
      </c>
      <c r="O1028" s="79">
        <v>45779</v>
      </c>
      <c r="P1028" s="80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3</v>
      </c>
      <c r="R1028" s="80" t="s">
        <v>549</v>
      </c>
      <c r="S1028" s="69"/>
    </row>
    <row r="1029" spans="1:19" hidden="1">
      <c r="A1029" s="81" t="s">
        <v>2868</v>
      </c>
      <c r="B1029" s="149" t="str">
        <f>IFERROR(VLOOKUP(Proc[[#This Row],[App]],Table2[],3,0),"open")</f>
        <v>ok</v>
      </c>
      <c r="C1029" s="72" t="s">
        <v>369</v>
      </c>
      <c r="D1029" t="s">
        <v>2867</v>
      </c>
      <c r="E1029" t="s">
        <v>2044</v>
      </c>
      <c r="F1029" s="117" t="s">
        <v>2044</v>
      </c>
      <c r="G1029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MGF</v>
      </c>
      <c r="L1029" s="69" t="s">
        <v>2563</v>
      </c>
      <c r="M1029" s="79">
        <v>45777.351076388892</v>
      </c>
      <c r="N1029" s="79">
        <v>45779</v>
      </c>
      <c r="O1029" s="79">
        <v>45779</v>
      </c>
      <c r="P1029" s="80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2</v>
      </c>
      <c r="R1029" s="80" t="s">
        <v>1076</v>
      </c>
      <c r="S1029" s="69"/>
    </row>
    <row r="1030" spans="1:19" hidden="1">
      <c r="A1030" t="s">
        <v>2871</v>
      </c>
      <c r="B1030" s="149" t="str">
        <f>IFERROR(VLOOKUP(Proc[[#This Row],[App]],Table2[],3,0),"open")</f>
        <v>ok</v>
      </c>
      <c r="C1030" t="s">
        <v>369</v>
      </c>
      <c r="D1030" t="s">
        <v>2872</v>
      </c>
      <c r="E1030" t="s">
        <v>2873</v>
      </c>
      <c r="F1030" s="117" t="s">
        <v>2873</v>
      </c>
      <c r="G1030" t="s">
        <v>406</v>
      </c>
      <c r="H1030" s="69" t="str">
        <f>IF(Proc[[#This Row],[type]]="LFF (MDG-F)",MID(Proc[[#This Row],[Obj]],13,10),"")</f>
        <v>CN50R03152</v>
      </c>
      <c r="I1030" t="s">
        <v>2885</v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HC</v>
      </c>
      <c r="L1030" s="69" t="s">
        <v>2563</v>
      </c>
      <c r="M1030" s="79">
        <v>45779.37295138889</v>
      </c>
      <c r="N1030" s="79">
        <v>45784</v>
      </c>
      <c r="O1030" s="79">
        <v>45784</v>
      </c>
      <c r="P1030" s="80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3</v>
      </c>
      <c r="R1030" s="80" t="s">
        <v>478</v>
      </c>
      <c r="S1030" s="69"/>
    </row>
    <row r="1031" spans="1:19" hidden="1">
      <c r="A1031" t="s">
        <v>2884</v>
      </c>
      <c r="B1031" s="149" t="str">
        <f>IFERROR(VLOOKUP(Proc[[#This Row],[App]],Table2[],3,0),"open")</f>
        <v>ok</v>
      </c>
      <c r="C1031" s="72" t="s">
        <v>398</v>
      </c>
      <c r="D1031" t="s">
        <v>2874</v>
      </c>
      <c r="E1031" t="s">
        <v>2117</v>
      </c>
      <c r="F1031" s="103" t="s">
        <v>2117</v>
      </c>
      <c r="G1031" t="s">
        <v>400</v>
      </c>
      <c r="H1031" s="69" t="str">
        <f>IF(Proc[[#This Row],[type]]="LFF (MDG-F)",MID(Proc[[#This Row],[Obj]],13,10),"")</f>
        <v/>
      </c>
      <c r="I1031" t="s">
        <v>2886</v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HC</v>
      </c>
      <c r="L1031" s="69" t="s">
        <v>2563</v>
      </c>
      <c r="M1031" s="79">
        <v>45779.37096064815</v>
      </c>
      <c r="N1031" s="79"/>
      <c r="O1031" s="79">
        <v>45784</v>
      </c>
      <c r="P1031" s="80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3</v>
      </c>
      <c r="R1031" s="80" t="s">
        <v>478</v>
      </c>
      <c r="S1031" s="94" t="e">
        <f>VLOOKUP(Proc[[#This Row],[Obj]],#REF!,2,0)</f>
        <v>#REF!</v>
      </c>
    </row>
    <row r="1032" spans="1:19" hidden="1">
      <c r="A1032" s="72" t="s">
        <v>2884</v>
      </c>
      <c r="B1032" s="149" t="str">
        <f>IFERROR(VLOOKUP(Proc[[#This Row],[App]],Table2[],3,0),"open")</f>
        <v>ok</v>
      </c>
      <c r="C1032" s="72" t="s">
        <v>398</v>
      </c>
      <c r="D1032" t="s">
        <v>2875</v>
      </c>
      <c r="E1032" t="s">
        <v>2117</v>
      </c>
      <c r="F1032" s="103" t="s">
        <v>2117</v>
      </c>
      <c r="G1032" s="72" t="s">
        <v>400</v>
      </c>
      <c r="H1032" s="69" t="str">
        <f>IF(Proc[[#This Row],[type]]="LFF (MDG-F)",MID(Proc[[#This Row],[Obj]],13,10),"")</f>
        <v/>
      </c>
      <c r="I1032" s="72" t="s">
        <v>2886</v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HC</v>
      </c>
      <c r="L1032" s="69" t="s">
        <v>2563</v>
      </c>
      <c r="M1032" s="79">
        <v>45779.37096064815</v>
      </c>
      <c r="N1032" s="79"/>
      <c r="O1032" s="79">
        <v>45784</v>
      </c>
      <c r="P1032" s="80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3</v>
      </c>
      <c r="R1032" s="80" t="s">
        <v>478</v>
      </c>
      <c r="S1032" s="94" t="e">
        <f>VLOOKUP(Proc[[#This Row],[Obj]],#REF!,2,0)</f>
        <v>#REF!</v>
      </c>
    </row>
    <row r="1033" spans="1:19" hidden="1">
      <c r="A1033" s="72" t="s">
        <v>2884</v>
      </c>
      <c r="B1033" s="149" t="str">
        <f>IFERROR(VLOOKUP(Proc[[#This Row],[App]],Table2[],3,0),"open")</f>
        <v>ok</v>
      </c>
      <c r="C1033" s="72" t="s">
        <v>398</v>
      </c>
      <c r="D1033" t="s">
        <v>2876</v>
      </c>
      <c r="E1033" t="s">
        <v>2117</v>
      </c>
      <c r="F1033" s="103" t="s">
        <v>2117</v>
      </c>
      <c r="G1033" s="72" t="s">
        <v>400</v>
      </c>
      <c r="H1033" s="69" t="str">
        <f>IF(Proc[[#This Row],[type]]="LFF (MDG-F)",MID(Proc[[#This Row],[Obj]],13,10),"")</f>
        <v/>
      </c>
      <c r="I1033" s="72" t="s">
        <v>2886</v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HC</v>
      </c>
      <c r="L1033" s="69" t="s">
        <v>2563</v>
      </c>
      <c r="M1033" s="79">
        <v>45779.37096064815</v>
      </c>
      <c r="N1033" s="79"/>
      <c r="O1033" s="79">
        <v>45784</v>
      </c>
      <c r="P1033" s="80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3</v>
      </c>
      <c r="R1033" s="80" t="s">
        <v>478</v>
      </c>
      <c r="S1033" s="94" t="e">
        <f>VLOOKUP(Proc[[#This Row],[Obj]],#REF!,2,0)</f>
        <v>#REF!</v>
      </c>
    </row>
    <row r="1034" spans="1:19" hidden="1">
      <c r="A1034" s="72" t="s">
        <v>2884</v>
      </c>
      <c r="B1034" s="149" t="str">
        <f>IFERROR(VLOOKUP(Proc[[#This Row],[App]],Table2[],3,0),"open")</f>
        <v>ok</v>
      </c>
      <c r="C1034" s="72" t="s">
        <v>398</v>
      </c>
      <c r="D1034" t="s">
        <v>2877</v>
      </c>
      <c r="E1034" t="s">
        <v>2117</v>
      </c>
      <c r="F1034" s="103" t="s">
        <v>2117</v>
      </c>
      <c r="G1034" s="72" t="s">
        <v>400</v>
      </c>
      <c r="H1034" s="69" t="str">
        <f>IF(Proc[[#This Row],[type]]="LFF (MDG-F)",MID(Proc[[#This Row],[Obj]],13,10),"")</f>
        <v/>
      </c>
      <c r="I1034" s="72" t="s">
        <v>2886</v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HC</v>
      </c>
      <c r="L1034" s="69" t="s">
        <v>2563</v>
      </c>
      <c r="M1034" s="79">
        <v>45779.37096064815</v>
      </c>
      <c r="N1034" s="79"/>
      <c r="O1034" s="79">
        <v>45784</v>
      </c>
      <c r="P1034" s="80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3</v>
      </c>
      <c r="R1034" s="80" t="s">
        <v>478</v>
      </c>
      <c r="S1034" s="94" t="e">
        <f>VLOOKUP(Proc[[#This Row],[Obj]],#REF!,2,0)</f>
        <v>#REF!</v>
      </c>
    </row>
    <row r="1035" spans="1:19" hidden="1">
      <c r="A1035" s="72" t="s">
        <v>2884</v>
      </c>
      <c r="B1035" s="149" t="str">
        <f>IFERROR(VLOOKUP(Proc[[#This Row],[App]],Table2[],3,0),"open")</f>
        <v>ok</v>
      </c>
      <c r="C1035" s="72" t="s">
        <v>398</v>
      </c>
      <c r="D1035" t="s">
        <v>2878</v>
      </c>
      <c r="E1035" t="s">
        <v>2882</v>
      </c>
      <c r="F1035" s="103" t="s">
        <v>2882</v>
      </c>
      <c r="G1035" s="72" t="s">
        <v>400</v>
      </c>
      <c r="H1035" s="69" t="str">
        <f>IF(Proc[[#This Row],[type]]="LFF (MDG-F)",MID(Proc[[#This Row],[Obj]],13,10),"")</f>
        <v/>
      </c>
      <c r="I1035" s="72" t="s">
        <v>2886</v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HC</v>
      </c>
      <c r="L1035" s="69" t="s">
        <v>2563</v>
      </c>
      <c r="M1035" s="79">
        <v>45779.37096064815</v>
      </c>
      <c r="N1035" s="79"/>
      <c r="O1035" s="79">
        <v>45784</v>
      </c>
      <c r="P1035" s="80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3</v>
      </c>
      <c r="R1035" s="80" t="s">
        <v>478</v>
      </c>
      <c r="S1035" s="94" t="e">
        <f>VLOOKUP(Proc[[#This Row],[Obj]],#REF!,2,0)</f>
        <v>#REF!</v>
      </c>
    </row>
    <row r="1036" spans="1:19" hidden="1">
      <c r="A1036" s="72" t="s">
        <v>2884</v>
      </c>
      <c r="B1036" s="149" t="str">
        <f>IFERROR(VLOOKUP(Proc[[#This Row],[App]],Table2[],3,0),"open")</f>
        <v>ok</v>
      </c>
      <c r="C1036" s="72" t="s">
        <v>398</v>
      </c>
      <c r="D1036" t="s">
        <v>2879</v>
      </c>
      <c r="E1036" t="s">
        <v>2882</v>
      </c>
      <c r="F1036" s="103" t="s">
        <v>2882</v>
      </c>
      <c r="G1036" s="72" t="s">
        <v>400</v>
      </c>
      <c r="H1036" s="69" t="str">
        <f>IF(Proc[[#This Row],[type]]="LFF (MDG-F)",MID(Proc[[#This Row],[Obj]],13,10),"")</f>
        <v/>
      </c>
      <c r="I1036" s="72" t="s">
        <v>2886</v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HC</v>
      </c>
      <c r="L1036" s="69" t="s">
        <v>2563</v>
      </c>
      <c r="M1036" s="79">
        <v>45779.37096064815</v>
      </c>
      <c r="N1036" s="79"/>
      <c r="O1036" s="79">
        <v>45784</v>
      </c>
      <c r="P1036" s="80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3</v>
      </c>
      <c r="R1036" s="80" t="s">
        <v>478</v>
      </c>
      <c r="S1036" s="94" t="e">
        <f>VLOOKUP(Proc[[#This Row],[Obj]],#REF!,2,0)</f>
        <v>#REF!</v>
      </c>
    </row>
    <row r="1037" spans="1:19" hidden="1">
      <c r="A1037" s="72" t="s">
        <v>2884</v>
      </c>
      <c r="B1037" s="149" t="str">
        <f>IFERROR(VLOOKUP(Proc[[#This Row],[App]],Table2[],3,0),"open")</f>
        <v>ok</v>
      </c>
      <c r="C1037" s="72" t="s">
        <v>398</v>
      </c>
      <c r="D1037" t="s">
        <v>2880</v>
      </c>
      <c r="E1037" t="s">
        <v>2883</v>
      </c>
      <c r="F1037" s="103" t="s">
        <v>2883</v>
      </c>
      <c r="G1037" s="72" t="s">
        <v>400</v>
      </c>
      <c r="H1037" s="69" t="str">
        <f>IF(Proc[[#This Row],[type]]="LFF (MDG-F)",MID(Proc[[#This Row],[Obj]],13,10),"")</f>
        <v/>
      </c>
      <c r="I1037" s="72" t="s">
        <v>2886</v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HC</v>
      </c>
      <c r="L1037" s="69" t="s">
        <v>2563</v>
      </c>
      <c r="M1037" s="79">
        <v>45779.37096064815</v>
      </c>
      <c r="N1037" s="79"/>
      <c r="O1037" s="79">
        <v>45784</v>
      </c>
      <c r="P1037" s="80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3</v>
      </c>
      <c r="R1037" s="80" t="s">
        <v>478</v>
      </c>
      <c r="S1037" s="94" t="e">
        <f>VLOOKUP(Proc[[#This Row],[Obj]],#REF!,2,0)</f>
        <v>#REF!</v>
      </c>
    </row>
    <row r="1038" spans="1:19" hidden="1">
      <c r="A1038" s="72" t="s">
        <v>2884</v>
      </c>
      <c r="B1038" s="149" t="str">
        <f>IFERROR(VLOOKUP(Proc[[#This Row],[App]],Table2[],3,0),"open")</f>
        <v>ok</v>
      </c>
      <c r="C1038" s="72" t="s">
        <v>398</v>
      </c>
      <c r="D1038" t="s">
        <v>2881</v>
      </c>
      <c r="E1038" t="s">
        <v>2144</v>
      </c>
      <c r="F1038" s="103" t="s">
        <v>2144</v>
      </c>
      <c r="G1038" s="72" t="s">
        <v>400</v>
      </c>
      <c r="H1038" s="69" t="str">
        <f>IF(Proc[[#This Row],[type]]="LFF (MDG-F)",MID(Proc[[#This Row],[Obj]],13,10),"")</f>
        <v/>
      </c>
      <c r="I1038" s="72" t="s">
        <v>2886</v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HC</v>
      </c>
      <c r="L1038" s="69" t="s">
        <v>2563</v>
      </c>
      <c r="M1038" s="79">
        <v>45779.37096064815</v>
      </c>
      <c r="N1038" s="79"/>
      <c r="O1038" s="79">
        <v>45784</v>
      </c>
      <c r="P1038" s="80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3</v>
      </c>
      <c r="R1038" s="80" t="s">
        <v>478</v>
      </c>
      <c r="S1038" s="94" t="e">
        <f>VLOOKUP(Proc[[#This Row],[Obj]],#REF!,2,0)</f>
        <v>#REF!</v>
      </c>
    </row>
    <row r="1039" spans="1:19" hidden="1">
      <c r="A1039" t="s">
        <v>2887</v>
      </c>
      <c r="B1039" s="149" t="str">
        <f>IFERROR(VLOOKUP(Proc[[#This Row],[App]],Table2[],3,0),"open")</f>
        <v>ok</v>
      </c>
      <c r="C1039" t="s">
        <v>369</v>
      </c>
      <c r="D1039" t="s">
        <v>2888</v>
      </c>
      <c r="E1039" t="s">
        <v>2889</v>
      </c>
      <c r="F1039" s="117" t="s">
        <v>2889</v>
      </c>
      <c r="G1039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9">
        <v>45779.507777777777</v>
      </c>
      <c r="N1039" s="79">
        <v>45790</v>
      </c>
      <c r="O1039" s="79">
        <v>45790</v>
      </c>
      <c r="P1039" s="80" t="str">
        <f ca="1">IF(Proc[[#This Row],[DaysAgeing]]&gt;5,"yep","on track")</f>
        <v>yep</v>
      </c>
      <c r="Q1039" s="3">
        <f ca="1">IF(Proc[[#This Row],[DateClosed]]="",ABS(NETWORKDAYS(Proc[[#This Row],[DateOpened]],TODAY()))-1,ABS(NETWORKDAYS(Proc[[#This Row],[DateOpened]],Proc[[#This Row],[DateClosed]]))-1)</f>
        <v>7</v>
      </c>
      <c r="R1039" s="80" t="s">
        <v>2890</v>
      </c>
      <c r="S1039" s="69"/>
    </row>
    <row r="1040" spans="1:19" hidden="1">
      <c r="A1040" t="s">
        <v>2895</v>
      </c>
      <c r="B1040" s="149" t="str">
        <f>IFERROR(VLOOKUP(Proc[[#This Row],[App]],Table2[],3,0),"open")</f>
        <v>ok</v>
      </c>
      <c r="C1040" s="72" t="s">
        <v>369</v>
      </c>
      <c r="D1040" t="s">
        <v>2891</v>
      </c>
      <c r="E1040" t="s">
        <v>2616</v>
      </c>
      <c r="F1040" s="117" t="s">
        <v>2616</v>
      </c>
      <c r="G1040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MGF</v>
      </c>
      <c r="L1040" s="69" t="s">
        <v>2563</v>
      </c>
      <c r="M1040" s="79">
        <v>45782.435740740744</v>
      </c>
      <c r="N1040" s="79">
        <v>45790</v>
      </c>
      <c r="O1040" s="79">
        <v>45790</v>
      </c>
      <c r="P1040" s="80" t="str">
        <f ca="1">IF(Proc[[#This Row],[DaysAgeing]]&gt;5,"yep","on track")</f>
        <v>yep</v>
      </c>
      <c r="Q1040" s="3">
        <f ca="1">IF(Proc[[#This Row],[DateClosed]]="",ABS(NETWORKDAYS(Proc[[#This Row],[DateOpened]],TODAY()))-1,ABS(NETWORKDAYS(Proc[[#This Row],[DateOpened]],Proc[[#This Row],[DateClosed]]))-1)</f>
        <v>6</v>
      </c>
      <c r="R1040" s="80" t="s">
        <v>1459</v>
      </c>
      <c r="S1040" s="69"/>
    </row>
    <row r="1041" spans="1:19" hidden="1">
      <c r="A1041" s="72" t="s">
        <v>2895</v>
      </c>
      <c r="B1041" s="149" t="str">
        <f>IFERROR(VLOOKUP(Proc[[#This Row],[App]],Table2[],3,0),"open")</f>
        <v>ok</v>
      </c>
      <c r="C1041" s="72" t="s">
        <v>369</v>
      </c>
      <c r="D1041" t="s">
        <v>2892</v>
      </c>
      <c r="E1041" t="s">
        <v>2616</v>
      </c>
      <c r="F1041" s="117" t="s">
        <v>2616</v>
      </c>
      <c r="G1041" t="s">
        <v>406</v>
      </c>
      <c r="H1041" s="69" t="str">
        <f>IF(Proc[[#This Row],[type]]="LFF (MDG-F)",MID(Proc[[#This Row],[Obj]],13,10),"")</f>
        <v>2123GIT02F</v>
      </c>
      <c r="I1041" t="s">
        <v>3014</v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MGF</v>
      </c>
      <c r="L1041" s="69" t="s">
        <v>2563</v>
      </c>
      <c r="M1041" s="79">
        <v>45782.435740740744</v>
      </c>
      <c r="N1041" s="79">
        <v>45790</v>
      </c>
      <c r="O1041" s="79">
        <v>45790</v>
      </c>
      <c r="P1041" s="80" t="str">
        <f ca="1">IF(Proc[[#This Row],[DaysAgeing]]&gt;5,"yep","on track")</f>
        <v>yep</v>
      </c>
      <c r="Q1041" s="3">
        <f ca="1">IF(Proc[[#This Row],[DateClosed]]="",ABS(NETWORKDAYS(Proc[[#This Row],[DateOpened]],TODAY()))-1,ABS(NETWORKDAYS(Proc[[#This Row],[DateOpened]],Proc[[#This Row],[DateClosed]]))-1)</f>
        <v>6</v>
      </c>
      <c r="R1041" s="80" t="s">
        <v>1459</v>
      </c>
      <c r="S1041" s="69"/>
    </row>
    <row r="1042" spans="1:19" hidden="1">
      <c r="A1042" s="72" t="s">
        <v>2895</v>
      </c>
      <c r="B1042" s="149" t="str">
        <f>IFERROR(VLOOKUP(Proc[[#This Row],[App]],Table2[],3,0),"open")</f>
        <v>ok</v>
      </c>
      <c r="C1042" s="72" t="s">
        <v>369</v>
      </c>
      <c r="D1042" t="s">
        <v>2893</v>
      </c>
      <c r="E1042" t="s">
        <v>2616</v>
      </c>
      <c r="F1042" s="117" t="s">
        <v>2616</v>
      </c>
      <c r="G1042" s="72" t="s">
        <v>406</v>
      </c>
      <c r="H1042" s="69" t="str">
        <f>IF(Proc[[#This Row],[type]]="LFF (MDG-F)",MID(Proc[[#This Row],[Obj]],13,10),"")</f>
        <v>2123GIT01F</v>
      </c>
      <c r="I1042" s="72" t="s">
        <v>3014</v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MGF</v>
      </c>
      <c r="L1042" s="69" t="s">
        <v>2563</v>
      </c>
      <c r="M1042" s="79">
        <v>45782.435740740744</v>
      </c>
      <c r="N1042" s="79">
        <v>45790</v>
      </c>
      <c r="O1042" s="79">
        <v>45790</v>
      </c>
      <c r="P1042" s="80" t="str">
        <f ca="1">IF(Proc[[#This Row],[DaysAgeing]]&gt;5,"yep","on track")</f>
        <v>yep</v>
      </c>
      <c r="Q1042" s="3">
        <f ca="1">IF(Proc[[#This Row],[DateClosed]]="",ABS(NETWORKDAYS(Proc[[#This Row],[DateOpened]],TODAY()))-1,ABS(NETWORKDAYS(Proc[[#This Row],[DateOpened]],Proc[[#This Row],[DateClosed]]))-1)</f>
        <v>6</v>
      </c>
      <c r="R1042" s="80" t="s">
        <v>1459</v>
      </c>
      <c r="S1042" s="69"/>
    </row>
    <row r="1043" spans="1:19" hidden="1">
      <c r="A1043" s="72" t="s">
        <v>2895</v>
      </c>
      <c r="B1043" s="149" t="str">
        <f>IFERROR(VLOOKUP(Proc[[#This Row],[App]],Table2[],3,0),"open")</f>
        <v>ok</v>
      </c>
      <c r="C1043" s="72" t="s">
        <v>369</v>
      </c>
      <c r="D1043" t="s">
        <v>2894</v>
      </c>
      <c r="E1043" t="s">
        <v>2616</v>
      </c>
      <c r="F1043" s="117" t="s">
        <v>2616</v>
      </c>
      <c r="G1043" s="72" t="s">
        <v>406</v>
      </c>
      <c r="H1043" s="69" t="str">
        <f>IF(Proc[[#This Row],[type]]="LFF (MDG-F)",MID(Proc[[#This Row],[Obj]],13,10),"")</f>
        <v>US10GIT01F</v>
      </c>
      <c r="I1043" s="72" t="s">
        <v>3014</v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MGF</v>
      </c>
      <c r="L1043" s="69" t="s">
        <v>2563</v>
      </c>
      <c r="M1043" s="79">
        <v>45782.435740740744</v>
      </c>
      <c r="N1043" s="79">
        <v>45790</v>
      </c>
      <c r="O1043" s="79">
        <v>45790</v>
      </c>
      <c r="P1043" s="80" t="str">
        <f ca="1">IF(Proc[[#This Row],[DaysAgeing]]&gt;5,"yep","on track")</f>
        <v>yep</v>
      </c>
      <c r="Q1043" s="3">
        <f ca="1">IF(Proc[[#This Row],[DateClosed]]="",ABS(NETWORKDAYS(Proc[[#This Row],[DateOpened]],TODAY()))-1,ABS(NETWORKDAYS(Proc[[#This Row],[DateOpened]],Proc[[#This Row],[DateClosed]]))-1)</f>
        <v>6</v>
      </c>
      <c r="R1043" s="80" t="s">
        <v>1459</v>
      </c>
      <c r="S1043" s="69"/>
    </row>
    <row r="1044" spans="1:19" hidden="1">
      <c r="A1044" t="s">
        <v>2896</v>
      </c>
      <c r="B1044" s="149" t="str">
        <f>IFERROR(VLOOKUP(Proc[[#This Row],[App]],Table2[],3,0),"open")</f>
        <v>ok</v>
      </c>
      <c r="C1044" s="72" t="s">
        <v>369</v>
      </c>
      <c r="D1044" t="s">
        <v>1410</v>
      </c>
      <c r="E1044" t="s">
        <v>2897</v>
      </c>
      <c r="F1044" s="117" t="s">
        <v>2897</v>
      </c>
      <c r="G1044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9">
        <v>45782.437094907407</v>
      </c>
      <c r="N1044" s="79">
        <v>45790</v>
      </c>
      <c r="O1044" s="79">
        <v>45790</v>
      </c>
      <c r="P1044" s="80" t="str">
        <f ca="1">IF(Proc[[#This Row],[DaysAgeing]]&gt;5,"yep","on track")</f>
        <v>yep</v>
      </c>
      <c r="Q1044" s="3">
        <f ca="1">IF(Proc[[#This Row],[DateClosed]]="",ABS(NETWORKDAYS(Proc[[#This Row],[DateOpened]],TODAY()))-1,ABS(NETWORKDAYS(Proc[[#This Row],[DateOpened]],Proc[[#This Row],[DateClosed]]))-1)</f>
        <v>6</v>
      </c>
      <c r="R1044" s="80" t="s">
        <v>489</v>
      </c>
      <c r="S1044" s="69"/>
    </row>
    <row r="1045" spans="1:19" hidden="1">
      <c r="A1045" t="s">
        <v>2896</v>
      </c>
      <c r="B1045" s="149" t="str">
        <f>IFERROR(VLOOKUP(Proc[[#This Row],[App]],Table2[],3,0),"open")</f>
        <v>ok</v>
      </c>
      <c r="C1045" s="72" t="s">
        <v>369</v>
      </c>
      <c r="D1045" t="s">
        <v>1412</v>
      </c>
      <c r="E1045" t="s">
        <v>2897</v>
      </c>
      <c r="F1045" s="117" t="s">
        <v>2897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9">
        <v>45782.437094907407</v>
      </c>
      <c r="N1045" s="79">
        <v>45790</v>
      </c>
      <c r="O1045" s="79">
        <v>45790</v>
      </c>
      <c r="P1045" s="80" t="str">
        <f ca="1">IF(Proc[[#This Row],[DaysAgeing]]&gt;5,"yep","on track")</f>
        <v>yep</v>
      </c>
      <c r="Q1045" s="3">
        <f ca="1">IF(Proc[[#This Row],[DateClosed]]="",ABS(NETWORKDAYS(Proc[[#This Row],[DateOpened]],TODAY()))-1,ABS(NETWORKDAYS(Proc[[#This Row],[DateOpened]],Proc[[#This Row],[DateClosed]]))-1)</f>
        <v>6</v>
      </c>
      <c r="R1045" s="80" t="s">
        <v>489</v>
      </c>
      <c r="S1045" s="69"/>
    </row>
    <row r="1046" spans="1:19" hidden="1">
      <c r="A1046" t="s">
        <v>2898</v>
      </c>
      <c r="B1046" s="149" t="str">
        <f>IFERROR(VLOOKUP(Proc[[#This Row],[App]],Table2[],3,0),"open")</f>
        <v>ok</v>
      </c>
      <c r="C1046" s="72" t="s">
        <v>369</v>
      </c>
      <c r="D1046" t="s">
        <v>2832</v>
      </c>
      <c r="E1046" t="s">
        <v>2899</v>
      </c>
      <c r="F1046" s="117" t="s">
        <v>2899</v>
      </c>
      <c r="G1046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9">
        <v>45782.455694444441</v>
      </c>
      <c r="N1046" s="79">
        <v>45790</v>
      </c>
      <c r="O1046" s="79">
        <v>45790</v>
      </c>
      <c r="P1046" s="80" t="str">
        <f ca="1">IF(Proc[[#This Row],[DaysAgeing]]&gt;5,"yep","on track")</f>
        <v>yep</v>
      </c>
      <c r="Q1046" s="3">
        <f ca="1">IF(Proc[[#This Row],[DateClosed]]="",ABS(NETWORKDAYS(Proc[[#This Row],[DateOpened]],TODAY()))-1,ABS(NETWORKDAYS(Proc[[#This Row],[DateOpened]],Proc[[#This Row],[DateClosed]]))-1)</f>
        <v>6</v>
      </c>
      <c r="R1046" s="80" t="s">
        <v>489</v>
      </c>
      <c r="S1046" s="69"/>
    </row>
    <row r="1047" spans="1:19" hidden="1">
      <c r="A1047" t="s">
        <v>2900</v>
      </c>
      <c r="B1047" s="149" t="str">
        <f>IFERROR(VLOOKUP(Proc[[#This Row],[App]],Table2[],3,0),"open")</f>
        <v>ok</v>
      </c>
      <c r="C1047" s="72" t="s">
        <v>369</v>
      </c>
      <c r="D1047" t="s">
        <v>2901</v>
      </c>
      <c r="E1047" t="s">
        <v>3002</v>
      </c>
      <c r="F1047" s="117" t="s">
        <v>3002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HC</v>
      </c>
      <c r="L1047" s="69" t="s">
        <v>2563</v>
      </c>
      <c r="M1047" s="79">
        <v>45782.702824074076</v>
      </c>
      <c r="N1047" s="79">
        <v>45790</v>
      </c>
      <c r="O1047" s="79">
        <v>45790</v>
      </c>
      <c r="P1047" s="80" t="str">
        <f ca="1">IF(Proc[[#This Row],[DaysAgeing]]&gt;5,"yep","on track")</f>
        <v>yep</v>
      </c>
      <c r="Q1047" s="3">
        <f ca="1">IF(Proc[[#This Row],[DateClosed]]="",ABS(NETWORKDAYS(Proc[[#This Row],[DateOpened]],TODAY()))-1,ABS(NETWORKDAYS(Proc[[#This Row],[DateOpened]],Proc[[#This Row],[DateClosed]]))-1)</f>
        <v>6</v>
      </c>
      <c r="R1047" s="80" t="s">
        <v>410</v>
      </c>
      <c r="S1047" s="69"/>
    </row>
    <row r="1048" spans="1:19" hidden="1">
      <c r="A1048" s="72" t="s">
        <v>2900</v>
      </c>
      <c r="B1048" s="149" t="str">
        <f>IFERROR(VLOOKUP(Proc[[#This Row],[App]],Table2[],3,0),"open")</f>
        <v>ok</v>
      </c>
      <c r="C1048" s="72" t="s">
        <v>369</v>
      </c>
      <c r="D1048" t="s">
        <v>2902</v>
      </c>
      <c r="E1048" t="s">
        <v>3002</v>
      </c>
      <c r="F1048" s="117" t="s">
        <v>3002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HC</v>
      </c>
      <c r="L1048" s="69" t="s">
        <v>2563</v>
      </c>
      <c r="M1048" s="79">
        <v>45782.702824074076</v>
      </c>
      <c r="N1048" s="79">
        <v>45790</v>
      </c>
      <c r="O1048" s="79">
        <v>45790</v>
      </c>
      <c r="P1048" s="80" t="str">
        <f ca="1">IF(Proc[[#This Row],[DaysAgeing]]&gt;5,"yep","on track")</f>
        <v>yep</v>
      </c>
      <c r="Q1048" s="3">
        <f ca="1">IF(Proc[[#This Row],[DateClosed]]="",ABS(NETWORKDAYS(Proc[[#This Row],[DateOpened]],TODAY()))-1,ABS(NETWORKDAYS(Proc[[#This Row],[DateOpened]],Proc[[#This Row],[DateClosed]]))-1)</f>
        <v>6</v>
      </c>
      <c r="R1048" s="80" t="s">
        <v>410</v>
      </c>
      <c r="S1048" s="69"/>
    </row>
    <row r="1049" spans="1:19" hidden="1">
      <c r="A1049" s="72" t="s">
        <v>2900</v>
      </c>
      <c r="B1049" s="149" t="str">
        <f>IFERROR(VLOOKUP(Proc[[#This Row],[App]],Table2[],3,0),"open")</f>
        <v>ok</v>
      </c>
      <c r="C1049" s="72" t="s">
        <v>369</v>
      </c>
      <c r="D1049" t="s">
        <v>2903</v>
      </c>
      <c r="E1049" t="s">
        <v>3002</v>
      </c>
      <c r="F1049" s="117" t="s">
        <v>3002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HC</v>
      </c>
      <c r="L1049" s="69" t="s">
        <v>2563</v>
      </c>
      <c r="M1049" s="79">
        <v>45782.702824074076</v>
      </c>
      <c r="N1049" s="79">
        <v>45790</v>
      </c>
      <c r="O1049" s="79">
        <v>45790</v>
      </c>
      <c r="P1049" s="80" t="str">
        <f ca="1">IF(Proc[[#This Row],[DaysAgeing]]&gt;5,"yep","on track")</f>
        <v>yep</v>
      </c>
      <c r="Q1049" s="3">
        <f ca="1">IF(Proc[[#This Row],[DateClosed]]="",ABS(NETWORKDAYS(Proc[[#This Row],[DateOpened]],TODAY()))-1,ABS(NETWORKDAYS(Proc[[#This Row],[DateOpened]],Proc[[#This Row],[DateClosed]]))-1)</f>
        <v>6</v>
      </c>
      <c r="R1049" s="80" t="s">
        <v>410</v>
      </c>
      <c r="S1049" s="69"/>
    </row>
    <row r="1050" spans="1:19" hidden="1">
      <c r="A1050" s="72" t="s">
        <v>2900</v>
      </c>
      <c r="B1050" s="149" t="str">
        <f>IFERROR(VLOOKUP(Proc[[#This Row],[App]],Table2[],3,0),"open")</f>
        <v>ok</v>
      </c>
      <c r="C1050" s="72" t="s">
        <v>369</v>
      </c>
      <c r="D1050" t="s">
        <v>2904</v>
      </c>
      <c r="E1050" t="s">
        <v>3002</v>
      </c>
      <c r="F1050" s="117" t="s">
        <v>3002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HC</v>
      </c>
      <c r="L1050" s="69" t="s">
        <v>2563</v>
      </c>
      <c r="M1050" s="79">
        <v>45782.702824074076</v>
      </c>
      <c r="N1050" s="79">
        <v>45790</v>
      </c>
      <c r="O1050" s="79">
        <v>45790</v>
      </c>
      <c r="P1050" s="80" t="str">
        <f ca="1">IF(Proc[[#This Row],[DaysAgeing]]&gt;5,"yep","on track")</f>
        <v>yep</v>
      </c>
      <c r="Q1050" s="3">
        <f ca="1">IF(Proc[[#This Row],[DateClosed]]="",ABS(NETWORKDAYS(Proc[[#This Row],[DateOpened]],TODAY()))-1,ABS(NETWORKDAYS(Proc[[#This Row],[DateOpened]],Proc[[#This Row],[DateClosed]]))-1)</f>
        <v>6</v>
      </c>
      <c r="R1050" s="80" t="s">
        <v>410</v>
      </c>
      <c r="S1050" s="69"/>
    </row>
    <row r="1051" spans="1:19" hidden="1">
      <c r="A1051" s="72" t="s">
        <v>2900</v>
      </c>
      <c r="B1051" s="149" t="str">
        <f>IFERROR(VLOOKUP(Proc[[#This Row],[App]],Table2[],3,0),"open")</f>
        <v>ok</v>
      </c>
      <c r="C1051" s="72" t="s">
        <v>369</v>
      </c>
      <c r="D1051" t="s">
        <v>2905</v>
      </c>
      <c r="E1051" t="s">
        <v>3002</v>
      </c>
      <c r="F1051" s="117" t="s">
        <v>3002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HC</v>
      </c>
      <c r="L1051" s="69" t="s">
        <v>2563</v>
      </c>
      <c r="M1051" s="79">
        <v>45782.702824074076</v>
      </c>
      <c r="N1051" s="79">
        <v>45790</v>
      </c>
      <c r="O1051" s="79">
        <v>45790</v>
      </c>
      <c r="P1051" s="80" t="str">
        <f ca="1">IF(Proc[[#This Row],[DaysAgeing]]&gt;5,"yep","on track")</f>
        <v>yep</v>
      </c>
      <c r="Q1051" s="3">
        <f ca="1">IF(Proc[[#This Row],[DateClosed]]="",ABS(NETWORKDAYS(Proc[[#This Row],[DateOpened]],TODAY()))-1,ABS(NETWORKDAYS(Proc[[#This Row],[DateOpened]],Proc[[#This Row],[DateClosed]]))-1)</f>
        <v>6</v>
      </c>
      <c r="R1051" s="80" t="s">
        <v>410</v>
      </c>
      <c r="S1051" s="69"/>
    </row>
    <row r="1052" spans="1:19" hidden="1">
      <c r="A1052" s="72" t="s">
        <v>2900</v>
      </c>
      <c r="B1052" s="149" t="str">
        <f>IFERROR(VLOOKUP(Proc[[#This Row],[App]],Table2[],3,0),"open")</f>
        <v>ok</v>
      </c>
      <c r="C1052" s="72" t="s">
        <v>369</v>
      </c>
      <c r="D1052" t="s">
        <v>2906</v>
      </c>
      <c r="E1052" t="s">
        <v>3002</v>
      </c>
      <c r="F1052" s="117" t="s">
        <v>3002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HC</v>
      </c>
      <c r="L1052" s="69" t="s">
        <v>2563</v>
      </c>
      <c r="M1052" s="79">
        <v>45782.702824074076</v>
      </c>
      <c r="N1052" s="79">
        <v>45790</v>
      </c>
      <c r="O1052" s="79">
        <v>45790</v>
      </c>
      <c r="P1052" s="80" t="str">
        <f ca="1">IF(Proc[[#This Row],[DaysAgeing]]&gt;5,"yep","on track")</f>
        <v>yep</v>
      </c>
      <c r="Q1052" s="3">
        <f ca="1">IF(Proc[[#This Row],[DateClosed]]="",ABS(NETWORKDAYS(Proc[[#This Row],[DateOpened]],TODAY()))-1,ABS(NETWORKDAYS(Proc[[#This Row],[DateOpened]],Proc[[#This Row],[DateClosed]]))-1)</f>
        <v>6</v>
      </c>
      <c r="R1052" s="80" t="s">
        <v>410</v>
      </c>
      <c r="S1052" s="69"/>
    </row>
    <row r="1053" spans="1:19" hidden="1">
      <c r="A1053" s="72" t="s">
        <v>2900</v>
      </c>
      <c r="B1053" s="149" t="str">
        <f>IFERROR(VLOOKUP(Proc[[#This Row],[App]],Table2[],3,0),"open")</f>
        <v>ok</v>
      </c>
      <c r="C1053" s="72" t="s">
        <v>369</v>
      </c>
      <c r="D1053" t="s">
        <v>2907</v>
      </c>
      <c r="E1053" t="s">
        <v>3002</v>
      </c>
      <c r="F1053" s="117" t="s">
        <v>3002</v>
      </c>
      <c r="G1053" s="72" t="s">
        <v>400</v>
      </c>
      <c r="H1053" s="69" t="str">
        <f>IF(Proc[[#This Row],[type]]="LFF (MDG-F)",MID(Proc[[#This Row],[Obj]],13,10),"")</f>
        <v/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HC</v>
      </c>
      <c r="L1053" s="69" t="s">
        <v>2563</v>
      </c>
      <c r="M1053" s="79">
        <v>45782.702824074076</v>
      </c>
      <c r="N1053" s="79">
        <v>45790</v>
      </c>
      <c r="O1053" s="79">
        <v>45790</v>
      </c>
      <c r="P1053" s="80" t="str">
        <f ca="1">IF(Proc[[#This Row],[DaysAgeing]]&gt;5,"yep","on track")</f>
        <v>yep</v>
      </c>
      <c r="Q1053" s="3">
        <f ca="1">IF(Proc[[#This Row],[DateClosed]]="",ABS(NETWORKDAYS(Proc[[#This Row],[DateOpened]],TODAY()))-1,ABS(NETWORKDAYS(Proc[[#This Row],[DateOpened]],Proc[[#This Row],[DateClosed]]))-1)</f>
        <v>6</v>
      </c>
      <c r="R1053" s="80" t="s">
        <v>410</v>
      </c>
      <c r="S1053" s="69"/>
    </row>
    <row r="1054" spans="1:19" hidden="1">
      <c r="A1054" s="72" t="s">
        <v>2900</v>
      </c>
      <c r="B1054" s="149" t="str">
        <f>IFERROR(VLOOKUP(Proc[[#This Row],[App]],Table2[],3,0),"open")</f>
        <v>ok</v>
      </c>
      <c r="C1054" s="72" t="s">
        <v>369</v>
      </c>
      <c r="D1054" t="s">
        <v>2908</v>
      </c>
      <c r="E1054" t="s">
        <v>3002</v>
      </c>
      <c r="F1054" s="117" t="s">
        <v>3002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45782.702824074076</v>
      </c>
      <c r="N1054" s="79">
        <v>45790</v>
      </c>
      <c r="O1054" s="79">
        <v>45790</v>
      </c>
      <c r="P1054" s="80" t="str">
        <f ca="1">IF(Proc[[#This Row],[DaysAgeing]]&gt;5,"yep","on track")</f>
        <v>yep</v>
      </c>
      <c r="Q1054" s="3">
        <f ca="1">IF(Proc[[#This Row],[DateClosed]]="",ABS(NETWORKDAYS(Proc[[#This Row],[DateOpened]],TODAY()))-1,ABS(NETWORKDAYS(Proc[[#This Row],[DateOpened]],Proc[[#This Row],[DateClosed]]))-1)</f>
        <v>6</v>
      </c>
      <c r="R1054" s="80" t="s">
        <v>410</v>
      </c>
      <c r="S1054" s="69"/>
    </row>
    <row r="1055" spans="1:19" hidden="1">
      <c r="A1055" s="72" t="s">
        <v>2900</v>
      </c>
      <c r="B1055" s="149" t="str">
        <f>IFERROR(VLOOKUP(Proc[[#This Row],[App]],Table2[],3,0),"open")</f>
        <v>ok</v>
      </c>
      <c r="C1055" s="72" t="s">
        <v>369</v>
      </c>
      <c r="D1055" t="s">
        <v>2909</v>
      </c>
      <c r="E1055" t="s">
        <v>3002</v>
      </c>
      <c r="F1055" s="117" t="s">
        <v>3002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HC</v>
      </c>
      <c r="L1055" s="69" t="s">
        <v>2563</v>
      </c>
      <c r="M1055" s="79">
        <v>45782.702824074076</v>
      </c>
      <c r="N1055" s="79">
        <v>45790</v>
      </c>
      <c r="O1055" s="79">
        <v>45790</v>
      </c>
      <c r="P1055" s="80" t="str">
        <f ca="1">IF(Proc[[#This Row],[DaysAgeing]]&gt;5,"yep","on track")</f>
        <v>yep</v>
      </c>
      <c r="Q1055" s="3">
        <f ca="1">IF(Proc[[#This Row],[DateClosed]]="",ABS(NETWORKDAYS(Proc[[#This Row],[DateOpened]],TODAY()))-1,ABS(NETWORKDAYS(Proc[[#This Row],[DateOpened]],Proc[[#This Row],[DateClosed]]))-1)</f>
        <v>6</v>
      </c>
      <c r="R1055" s="80" t="s">
        <v>410</v>
      </c>
      <c r="S1055" s="69"/>
    </row>
    <row r="1056" spans="1:19" hidden="1">
      <c r="A1056" s="72" t="s">
        <v>2900</v>
      </c>
      <c r="B1056" s="149" t="str">
        <f>IFERROR(VLOOKUP(Proc[[#This Row],[App]],Table2[],3,0),"open")</f>
        <v>ok</v>
      </c>
      <c r="C1056" s="72" t="s">
        <v>369</v>
      </c>
      <c r="D1056" t="s">
        <v>2910</v>
      </c>
      <c r="E1056" t="s">
        <v>3003</v>
      </c>
      <c r="F1056" s="117" t="s">
        <v>3003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HC</v>
      </c>
      <c r="L1056" s="69" t="s">
        <v>2563</v>
      </c>
      <c r="M1056" s="79">
        <v>45782.702824074076</v>
      </c>
      <c r="N1056" s="79">
        <v>45790</v>
      </c>
      <c r="O1056" s="79">
        <v>45790</v>
      </c>
      <c r="P1056" s="80" t="str">
        <f ca="1">IF(Proc[[#This Row],[DaysAgeing]]&gt;5,"yep","on track")</f>
        <v>yep</v>
      </c>
      <c r="Q1056" s="3">
        <f ca="1">IF(Proc[[#This Row],[DateClosed]]="",ABS(NETWORKDAYS(Proc[[#This Row],[DateOpened]],TODAY()))-1,ABS(NETWORKDAYS(Proc[[#This Row],[DateOpened]],Proc[[#This Row],[DateClosed]]))-1)</f>
        <v>6</v>
      </c>
      <c r="R1056" s="80" t="s">
        <v>410</v>
      </c>
      <c r="S1056" s="69"/>
    </row>
    <row r="1057" spans="1:19" hidden="1">
      <c r="A1057" s="72" t="s">
        <v>2900</v>
      </c>
      <c r="B1057" s="149" t="str">
        <f>IFERROR(VLOOKUP(Proc[[#This Row],[App]],Table2[],3,0),"open")</f>
        <v>ok</v>
      </c>
      <c r="C1057" s="72" t="s">
        <v>369</v>
      </c>
      <c r="D1057" t="s">
        <v>2911</v>
      </c>
      <c r="E1057" t="s">
        <v>3003</v>
      </c>
      <c r="F1057" s="117" t="s">
        <v>3003</v>
      </c>
      <c r="G1057" s="72" t="s">
        <v>400</v>
      </c>
      <c r="H1057" s="69" t="str">
        <f>IF(Proc[[#This Row],[type]]="LFF (MDG-F)",MID(Proc[[#This Row],[Obj]],13,10),"")</f>
        <v/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HC</v>
      </c>
      <c r="L1057" s="69" t="s">
        <v>2563</v>
      </c>
      <c r="M1057" s="79">
        <v>45782.702824074076</v>
      </c>
      <c r="N1057" s="79">
        <v>45790</v>
      </c>
      <c r="O1057" s="79">
        <v>45790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6</v>
      </c>
      <c r="R1057" s="80" t="s">
        <v>410</v>
      </c>
      <c r="S1057" s="69"/>
    </row>
    <row r="1058" spans="1:19" hidden="1">
      <c r="A1058" s="72" t="s">
        <v>2900</v>
      </c>
      <c r="B1058" s="149" t="str">
        <f>IFERROR(VLOOKUP(Proc[[#This Row],[App]],Table2[],3,0),"open")</f>
        <v>ok</v>
      </c>
      <c r="C1058" s="72" t="s">
        <v>369</v>
      </c>
      <c r="D1058" t="s">
        <v>2912</v>
      </c>
      <c r="E1058" t="s">
        <v>3003</v>
      </c>
      <c r="F1058" s="117" t="s">
        <v>3003</v>
      </c>
      <c r="G1058" s="72" t="s">
        <v>400</v>
      </c>
      <c r="H1058" s="69" t="str">
        <f>IF(Proc[[#This Row],[type]]="LFF (MDG-F)",MID(Proc[[#This Row],[Obj]],13,10),"")</f>
        <v/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HC</v>
      </c>
      <c r="L1058" s="69" t="s">
        <v>2563</v>
      </c>
      <c r="M1058" s="79">
        <v>45782.702824074076</v>
      </c>
      <c r="N1058" s="79">
        <v>45790</v>
      </c>
      <c r="O1058" s="79">
        <v>45790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6</v>
      </c>
      <c r="R1058" s="80" t="s">
        <v>410</v>
      </c>
      <c r="S1058" s="69"/>
    </row>
    <row r="1059" spans="1:19" hidden="1">
      <c r="A1059" s="72" t="s">
        <v>2900</v>
      </c>
      <c r="B1059" s="149" t="str">
        <f>IFERROR(VLOOKUP(Proc[[#This Row],[App]],Table2[],3,0),"open")</f>
        <v>ok</v>
      </c>
      <c r="C1059" s="72" t="s">
        <v>369</v>
      </c>
      <c r="D1059" t="s">
        <v>2913</v>
      </c>
      <c r="E1059" t="s">
        <v>3003</v>
      </c>
      <c r="F1059" s="117" t="s">
        <v>3003</v>
      </c>
      <c r="G1059" s="72" t="s">
        <v>400</v>
      </c>
      <c r="H1059" s="69" t="str">
        <f>IF(Proc[[#This Row],[type]]="LFF (MDG-F)",MID(Proc[[#This Row],[Obj]],13,10),"")</f>
        <v/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HC</v>
      </c>
      <c r="L1059" s="69" t="s">
        <v>2563</v>
      </c>
      <c r="M1059" s="79">
        <v>45782.702824074076</v>
      </c>
      <c r="N1059" s="79">
        <v>45790</v>
      </c>
      <c r="O1059" s="79">
        <v>45790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6</v>
      </c>
      <c r="R1059" s="80" t="s">
        <v>410</v>
      </c>
      <c r="S1059" s="69"/>
    </row>
    <row r="1060" spans="1:19" hidden="1">
      <c r="A1060" s="72" t="s">
        <v>2900</v>
      </c>
      <c r="B1060" s="149" t="str">
        <f>IFERROR(VLOOKUP(Proc[[#This Row],[App]],Table2[],3,0),"open")</f>
        <v>ok</v>
      </c>
      <c r="C1060" s="72" t="s">
        <v>369</v>
      </c>
      <c r="D1060" t="s">
        <v>2914</v>
      </c>
      <c r="E1060" t="s">
        <v>3003</v>
      </c>
      <c r="F1060" s="117" t="s">
        <v>3003</v>
      </c>
      <c r="G1060" s="72" t="s">
        <v>400</v>
      </c>
      <c r="H1060" s="69" t="str">
        <f>IF(Proc[[#This Row],[type]]="LFF (MDG-F)",MID(Proc[[#This Row],[Obj]],13,10),"")</f>
        <v/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HC</v>
      </c>
      <c r="L1060" s="69" t="s">
        <v>2563</v>
      </c>
      <c r="M1060" s="79">
        <v>45782.702824074076</v>
      </c>
      <c r="N1060" s="79">
        <v>45790</v>
      </c>
      <c r="O1060" s="79">
        <v>45790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6</v>
      </c>
      <c r="R1060" s="80" t="s">
        <v>410</v>
      </c>
      <c r="S1060" s="69"/>
    </row>
    <row r="1061" spans="1:19" hidden="1">
      <c r="A1061" s="72" t="s">
        <v>2900</v>
      </c>
      <c r="B1061" s="149" t="str">
        <f>IFERROR(VLOOKUP(Proc[[#This Row],[App]],Table2[],3,0),"open")</f>
        <v>ok</v>
      </c>
      <c r="C1061" s="72" t="s">
        <v>369</v>
      </c>
      <c r="D1061" t="s">
        <v>2915</v>
      </c>
      <c r="E1061" t="s">
        <v>3003</v>
      </c>
      <c r="F1061" s="117" t="s">
        <v>3003</v>
      </c>
      <c r="G1061" s="72" t="s">
        <v>400</v>
      </c>
      <c r="H1061" s="69" t="str">
        <f>IF(Proc[[#This Row],[type]]="LFF (MDG-F)",MID(Proc[[#This Row],[Obj]],13,10),"")</f>
        <v/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HC</v>
      </c>
      <c r="L1061" s="69" t="s">
        <v>2563</v>
      </c>
      <c r="M1061" s="79">
        <v>45782.702824074076</v>
      </c>
      <c r="N1061" s="79">
        <v>45790</v>
      </c>
      <c r="O1061" s="79">
        <v>45790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6</v>
      </c>
      <c r="R1061" s="80" t="s">
        <v>410</v>
      </c>
      <c r="S1061" s="69"/>
    </row>
    <row r="1062" spans="1:19" hidden="1">
      <c r="A1062" s="72" t="s">
        <v>2900</v>
      </c>
      <c r="B1062" s="149" t="str">
        <f>IFERROR(VLOOKUP(Proc[[#This Row],[App]],Table2[],3,0),"open")</f>
        <v>ok</v>
      </c>
      <c r="C1062" s="72" t="s">
        <v>369</v>
      </c>
      <c r="D1062" t="s">
        <v>2916</v>
      </c>
      <c r="E1062" t="s">
        <v>3003</v>
      </c>
      <c r="F1062" s="117" t="s">
        <v>3003</v>
      </c>
      <c r="G1062" s="72" t="s">
        <v>400</v>
      </c>
      <c r="H1062" s="69" t="str">
        <f>IF(Proc[[#This Row],[type]]="LFF (MDG-F)",MID(Proc[[#This Row],[Obj]],13,10),"")</f>
        <v/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HC</v>
      </c>
      <c r="L1062" s="69" t="s">
        <v>2563</v>
      </c>
      <c r="M1062" s="79">
        <v>45782.702824074076</v>
      </c>
      <c r="N1062" s="79">
        <v>45790</v>
      </c>
      <c r="O1062" s="79">
        <v>45790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6</v>
      </c>
      <c r="R1062" s="80" t="s">
        <v>410</v>
      </c>
      <c r="S1062" s="69"/>
    </row>
    <row r="1063" spans="1:19" hidden="1">
      <c r="A1063" s="72" t="s">
        <v>2900</v>
      </c>
      <c r="B1063" s="149" t="str">
        <f>IFERROR(VLOOKUP(Proc[[#This Row],[App]],Table2[],3,0),"open")</f>
        <v>ok</v>
      </c>
      <c r="C1063" s="72" t="s">
        <v>369</v>
      </c>
      <c r="D1063" t="s">
        <v>2917</v>
      </c>
      <c r="E1063" t="s">
        <v>3003</v>
      </c>
      <c r="F1063" s="117" t="s">
        <v>3003</v>
      </c>
      <c r="G1063" s="72" t="s">
        <v>400</v>
      </c>
      <c r="H1063" s="69" t="str">
        <f>IF(Proc[[#This Row],[type]]="LFF (MDG-F)",MID(Proc[[#This Row],[Obj]],13,10),"")</f>
        <v/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HC</v>
      </c>
      <c r="L1063" s="69" t="s">
        <v>2563</v>
      </c>
      <c r="M1063" s="79">
        <v>45782.702824074076</v>
      </c>
      <c r="N1063" s="79">
        <v>45790</v>
      </c>
      <c r="O1063" s="79">
        <v>45790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6</v>
      </c>
      <c r="R1063" s="80" t="s">
        <v>410</v>
      </c>
      <c r="S1063" s="69"/>
    </row>
    <row r="1064" spans="1:19" hidden="1">
      <c r="A1064" s="72" t="s">
        <v>2900</v>
      </c>
      <c r="B1064" s="149" t="str">
        <f>IFERROR(VLOOKUP(Proc[[#This Row],[App]],Table2[],3,0),"open")</f>
        <v>ok</v>
      </c>
      <c r="C1064" s="72" t="s">
        <v>369</v>
      </c>
      <c r="D1064" t="s">
        <v>2918</v>
      </c>
      <c r="E1064" t="s">
        <v>3003</v>
      </c>
      <c r="F1064" s="117" t="s">
        <v>3003</v>
      </c>
      <c r="G1064" s="72" t="s">
        <v>400</v>
      </c>
      <c r="H1064" s="69" t="str">
        <f>IF(Proc[[#This Row],[type]]="LFF (MDG-F)",MID(Proc[[#This Row],[Obj]],13,10),"")</f>
        <v/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HC</v>
      </c>
      <c r="L1064" s="69" t="s">
        <v>2563</v>
      </c>
      <c r="M1064" s="79">
        <v>45782.702824074076</v>
      </c>
      <c r="N1064" s="79">
        <v>45790</v>
      </c>
      <c r="O1064" s="79">
        <v>45790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6</v>
      </c>
      <c r="R1064" s="80" t="s">
        <v>410</v>
      </c>
      <c r="S1064" s="69"/>
    </row>
    <row r="1065" spans="1:19" hidden="1">
      <c r="A1065" s="72" t="s">
        <v>2900</v>
      </c>
      <c r="B1065" s="149" t="str">
        <f>IFERROR(VLOOKUP(Proc[[#This Row],[App]],Table2[],3,0),"open")</f>
        <v>ok</v>
      </c>
      <c r="C1065" s="72" t="s">
        <v>369</v>
      </c>
      <c r="D1065" t="s">
        <v>2919</v>
      </c>
      <c r="E1065" t="s">
        <v>3003</v>
      </c>
      <c r="F1065" s="117" t="s">
        <v>3003</v>
      </c>
      <c r="G1065" s="72" t="s">
        <v>400</v>
      </c>
      <c r="H1065" s="69" t="str">
        <f>IF(Proc[[#This Row],[type]]="LFF (MDG-F)",MID(Proc[[#This Row],[Obj]],13,10),"")</f>
        <v/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HC</v>
      </c>
      <c r="L1065" s="69" t="s">
        <v>2563</v>
      </c>
      <c r="M1065" s="79">
        <v>45782.702824074076</v>
      </c>
      <c r="N1065" s="79">
        <v>45790</v>
      </c>
      <c r="O1065" s="79">
        <v>45790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6</v>
      </c>
      <c r="R1065" s="80" t="s">
        <v>410</v>
      </c>
      <c r="S1065" s="69"/>
    </row>
    <row r="1066" spans="1:19" hidden="1">
      <c r="A1066" s="72" t="s">
        <v>2900</v>
      </c>
      <c r="B1066" s="149" t="str">
        <f>IFERROR(VLOOKUP(Proc[[#This Row],[App]],Table2[],3,0),"open")</f>
        <v>ok</v>
      </c>
      <c r="C1066" s="72" t="s">
        <v>369</v>
      </c>
      <c r="D1066" t="s">
        <v>2920</v>
      </c>
      <c r="E1066" t="s">
        <v>3003</v>
      </c>
      <c r="F1066" s="117" t="s">
        <v>3003</v>
      </c>
      <c r="G1066" s="72" t="s">
        <v>400</v>
      </c>
      <c r="H1066" s="69" t="str">
        <f>IF(Proc[[#This Row],[type]]="LFF (MDG-F)",MID(Proc[[#This Row],[Obj]],13,10),"")</f>
        <v/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HC</v>
      </c>
      <c r="L1066" s="69" t="s">
        <v>2563</v>
      </c>
      <c r="M1066" s="79">
        <v>45782.702824074076</v>
      </c>
      <c r="N1066" s="79">
        <v>45790</v>
      </c>
      <c r="O1066" s="79">
        <v>45790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6</v>
      </c>
      <c r="R1066" s="80" t="s">
        <v>410</v>
      </c>
      <c r="S1066" s="69"/>
    </row>
    <row r="1067" spans="1:19" hidden="1">
      <c r="A1067" s="72" t="s">
        <v>2900</v>
      </c>
      <c r="B1067" s="149" t="str">
        <f>IFERROR(VLOOKUP(Proc[[#This Row],[App]],Table2[],3,0),"open")</f>
        <v>ok</v>
      </c>
      <c r="C1067" s="72" t="s">
        <v>369</v>
      </c>
      <c r="D1067" t="s">
        <v>2921</v>
      </c>
      <c r="E1067" t="s">
        <v>3003</v>
      </c>
      <c r="F1067" s="117" t="s">
        <v>3003</v>
      </c>
      <c r="G1067" s="72" t="s">
        <v>400</v>
      </c>
      <c r="H1067" s="69" t="str">
        <f>IF(Proc[[#This Row],[type]]="LFF (MDG-F)",MID(Proc[[#This Row],[Obj]],13,10),"")</f>
        <v/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HC</v>
      </c>
      <c r="L1067" s="69" t="s">
        <v>2563</v>
      </c>
      <c r="M1067" s="79">
        <v>45782.702824074076</v>
      </c>
      <c r="N1067" s="79">
        <v>45790</v>
      </c>
      <c r="O1067" s="79">
        <v>45790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6</v>
      </c>
      <c r="R1067" s="80" t="s">
        <v>410</v>
      </c>
      <c r="S1067" s="69"/>
    </row>
    <row r="1068" spans="1:19" hidden="1">
      <c r="A1068" s="72" t="s">
        <v>2900</v>
      </c>
      <c r="B1068" s="149" t="str">
        <f>IFERROR(VLOOKUP(Proc[[#This Row],[App]],Table2[],3,0),"open")</f>
        <v>ok</v>
      </c>
      <c r="C1068" s="72" t="s">
        <v>369</v>
      </c>
      <c r="D1068" t="s">
        <v>2922</v>
      </c>
      <c r="E1068" t="s">
        <v>3003</v>
      </c>
      <c r="F1068" s="117" t="s">
        <v>3003</v>
      </c>
      <c r="G1068" s="72" t="s">
        <v>400</v>
      </c>
      <c r="H1068" s="69" t="str">
        <f>IF(Proc[[#This Row],[type]]="LFF (MDG-F)",MID(Proc[[#This Row],[Obj]],13,10),"")</f>
        <v/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HC</v>
      </c>
      <c r="L1068" s="69" t="s">
        <v>2563</v>
      </c>
      <c r="M1068" s="79">
        <v>45782.702824074076</v>
      </c>
      <c r="N1068" s="79">
        <v>45790</v>
      </c>
      <c r="O1068" s="79">
        <v>45790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6</v>
      </c>
      <c r="R1068" s="80" t="s">
        <v>410</v>
      </c>
      <c r="S1068" s="69"/>
    </row>
    <row r="1069" spans="1:19" hidden="1">
      <c r="A1069" s="72" t="s">
        <v>2900</v>
      </c>
      <c r="B1069" s="149" t="str">
        <f>IFERROR(VLOOKUP(Proc[[#This Row],[App]],Table2[],3,0),"open")</f>
        <v>ok</v>
      </c>
      <c r="C1069" s="72" t="s">
        <v>369</v>
      </c>
      <c r="D1069" t="s">
        <v>2923</v>
      </c>
      <c r="E1069" t="s">
        <v>3004</v>
      </c>
      <c r="F1069" s="117" t="s">
        <v>3004</v>
      </c>
      <c r="G1069" s="72" t="s">
        <v>400</v>
      </c>
      <c r="H1069" s="69" t="str">
        <f>IF(Proc[[#This Row],[type]]="LFF (MDG-F)",MID(Proc[[#This Row],[Obj]],13,10),"")</f>
        <v/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HC</v>
      </c>
      <c r="L1069" s="69" t="s">
        <v>2563</v>
      </c>
      <c r="M1069" s="79">
        <v>45782.702824074076</v>
      </c>
      <c r="N1069" s="79">
        <v>45790</v>
      </c>
      <c r="O1069" s="79">
        <v>45790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6</v>
      </c>
      <c r="R1069" s="80" t="s">
        <v>410</v>
      </c>
      <c r="S1069" s="69"/>
    </row>
    <row r="1070" spans="1:19" hidden="1">
      <c r="A1070" s="72" t="s">
        <v>2900</v>
      </c>
      <c r="B1070" s="149" t="str">
        <f>IFERROR(VLOOKUP(Proc[[#This Row],[App]],Table2[],3,0),"open")</f>
        <v>ok</v>
      </c>
      <c r="C1070" s="72" t="s">
        <v>369</v>
      </c>
      <c r="D1070" t="s">
        <v>2924</v>
      </c>
      <c r="E1070" t="s">
        <v>3004</v>
      </c>
      <c r="F1070" s="117" t="s">
        <v>3004</v>
      </c>
      <c r="G1070" s="72" t="s">
        <v>400</v>
      </c>
      <c r="H1070" s="69" t="str">
        <f>IF(Proc[[#This Row],[type]]="LFF (MDG-F)",MID(Proc[[#This Row],[Obj]],13,10),"")</f>
        <v/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HC</v>
      </c>
      <c r="L1070" s="69" t="s">
        <v>2563</v>
      </c>
      <c r="M1070" s="79">
        <v>45782.702824074076</v>
      </c>
      <c r="N1070" s="79">
        <v>45790</v>
      </c>
      <c r="O1070" s="79">
        <v>45790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6</v>
      </c>
      <c r="R1070" s="80" t="s">
        <v>410</v>
      </c>
      <c r="S1070" s="69"/>
    </row>
    <row r="1071" spans="1:19" hidden="1">
      <c r="A1071" s="72" t="s">
        <v>2900</v>
      </c>
      <c r="B1071" s="149" t="str">
        <f>IFERROR(VLOOKUP(Proc[[#This Row],[App]],Table2[],3,0),"open")</f>
        <v>ok</v>
      </c>
      <c r="C1071" s="72" t="s">
        <v>369</v>
      </c>
      <c r="D1071" t="s">
        <v>2925</v>
      </c>
      <c r="E1071" t="s">
        <v>3004</v>
      </c>
      <c r="F1071" s="117" t="s">
        <v>3004</v>
      </c>
      <c r="G1071" s="72" t="s">
        <v>400</v>
      </c>
      <c r="H1071" s="69" t="str">
        <f>IF(Proc[[#This Row],[type]]="LFF (MDG-F)",MID(Proc[[#This Row],[Obj]],13,10),"")</f>
        <v/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HC</v>
      </c>
      <c r="L1071" s="69" t="s">
        <v>2563</v>
      </c>
      <c r="M1071" s="79">
        <v>45782.702824074076</v>
      </c>
      <c r="N1071" s="79">
        <v>45790</v>
      </c>
      <c r="O1071" s="79">
        <v>45790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6</v>
      </c>
      <c r="R1071" s="80" t="s">
        <v>410</v>
      </c>
      <c r="S1071" s="69"/>
    </row>
    <row r="1072" spans="1:19" hidden="1">
      <c r="A1072" s="72" t="s">
        <v>2900</v>
      </c>
      <c r="B1072" s="149" t="str">
        <f>IFERROR(VLOOKUP(Proc[[#This Row],[App]],Table2[],3,0),"open")</f>
        <v>ok</v>
      </c>
      <c r="C1072" s="72" t="s">
        <v>369</v>
      </c>
      <c r="D1072" t="s">
        <v>2926</v>
      </c>
      <c r="E1072" t="s">
        <v>3004</v>
      </c>
      <c r="F1072" s="117" t="s">
        <v>3004</v>
      </c>
      <c r="G1072" s="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HC</v>
      </c>
      <c r="L1072" s="69" t="s">
        <v>2563</v>
      </c>
      <c r="M1072" s="79">
        <v>45782.702824074076</v>
      </c>
      <c r="N1072" s="79">
        <v>45790</v>
      </c>
      <c r="O1072" s="79">
        <v>45790</v>
      </c>
      <c r="P1072" s="80" t="str">
        <f ca="1">IF(Proc[[#This Row],[DaysAgeing]]&gt;5,"yep","on track")</f>
        <v>yep</v>
      </c>
      <c r="Q1072" s="3">
        <f ca="1">IF(Proc[[#This Row],[DateClosed]]="",ABS(NETWORKDAYS(Proc[[#This Row],[DateOpened]],TODAY()))-1,ABS(NETWORKDAYS(Proc[[#This Row],[DateOpened]],Proc[[#This Row],[DateClosed]]))-1)</f>
        <v>6</v>
      </c>
      <c r="R1072" s="80" t="s">
        <v>410</v>
      </c>
      <c r="S1072" s="69"/>
    </row>
    <row r="1073" spans="1:19" hidden="1">
      <c r="A1073" s="72" t="s">
        <v>2900</v>
      </c>
      <c r="B1073" s="149" t="str">
        <f>IFERROR(VLOOKUP(Proc[[#This Row],[App]],Table2[],3,0),"open")</f>
        <v>ok</v>
      </c>
      <c r="C1073" s="72" t="s">
        <v>369</v>
      </c>
      <c r="D1073" t="s">
        <v>2927</v>
      </c>
      <c r="E1073" t="s">
        <v>3004</v>
      </c>
      <c r="F1073" s="117" t="s">
        <v>3004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HC</v>
      </c>
      <c r="L1073" s="69" t="s">
        <v>2563</v>
      </c>
      <c r="M1073" s="79">
        <v>45782.702824074076</v>
      </c>
      <c r="N1073" s="79">
        <v>45790</v>
      </c>
      <c r="O1073" s="79">
        <v>45790</v>
      </c>
      <c r="P1073" s="80" t="str">
        <f ca="1">IF(Proc[[#This Row],[DaysAgeing]]&gt;5,"yep","on track")</f>
        <v>yep</v>
      </c>
      <c r="Q1073" s="3">
        <f ca="1">IF(Proc[[#This Row],[DateClosed]]="",ABS(NETWORKDAYS(Proc[[#This Row],[DateOpened]],TODAY()))-1,ABS(NETWORKDAYS(Proc[[#This Row],[DateOpened]],Proc[[#This Row],[DateClosed]]))-1)</f>
        <v>6</v>
      </c>
      <c r="R1073" s="80" t="s">
        <v>410</v>
      </c>
      <c r="S1073" s="69"/>
    </row>
    <row r="1074" spans="1:19" hidden="1">
      <c r="A1074" s="72" t="s">
        <v>2900</v>
      </c>
      <c r="B1074" s="149" t="str">
        <f>IFERROR(VLOOKUP(Proc[[#This Row],[App]],Table2[],3,0),"open")</f>
        <v>ok</v>
      </c>
      <c r="C1074" s="72" t="s">
        <v>369</v>
      </c>
      <c r="D1074" t="s">
        <v>2928</v>
      </c>
      <c r="E1074" t="s">
        <v>3005</v>
      </c>
      <c r="F1074" s="117" t="s">
        <v>3005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HC</v>
      </c>
      <c r="L1074" s="69" t="s">
        <v>2563</v>
      </c>
      <c r="M1074" s="79">
        <v>45782.702824074076</v>
      </c>
      <c r="N1074" s="79">
        <v>45790</v>
      </c>
      <c r="O1074" s="79">
        <v>45790</v>
      </c>
      <c r="P1074" s="80" t="str">
        <f ca="1">IF(Proc[[#This Row],[DaysAgeing]]&gt;5,"yep","on track")</f>
        <v>yep</v>
      </c>
      <c r="Q1074" s="3">
        <f ca="1">IF(Proc[[#This Row],[DateClosed]]="",ABS(NETWORKDAYS(Proc[[#This Row],[DateOpened]],TODAY()))-1,ABS(NETWORKDAYS(Proc[[#This Row],[DateOpened]],Proc[[#This Row],[DateClosed]]))-1)</f>
        <v>6</v>
      </c>
      <c r="R1074" s="80" t="s">
        <v>410</v>
      </c>
      <c r="S1074" s="69"/>
    </row>
    <row r="1075" spans="1:19" hidden="1">
      <c r="A1075" s="72" t="s">
        <v>2900</v>
      </c>
      <c r="B1075" s="149" t="str">
        <f>IFERROR(VLOOKUP(Proc[[#This Row],[App]],Table2[],3,0),"open")</f>
        <v>ok</v>
      </c>
      <c r="C1075" s="72" t="s">
        <v>369</v>
      </c>
      <c r="D1075" t="s">
        <v>2929</v>
      </c>
      <c r="E1075" t="s">
        <v>3005</v>
      </c>
      <c r="F1075" s="117" t="s">
        <v>3005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HC</v>
      </c>
      <c r="L1075" s="69" t="s">
        <v>2563</v>
      </c>
      <c r="M1075" s="79">
        <v>45782.702824074076</v>
      </c>
      <c r="N1075" s="79">
        <v>45790</v>
      </c>
      <c r="O1075" s="79">
        <v>45790</v>
      </c>
      <c r="P1075" s="80" t="str">
        <f ca="1">IF(Proc[[#This Row],[DaysAgeing]]&gt;5,"yep","on track")</f>
        <v>yep</v>
      </c>
      <c r="Q1075" s="3">
        <f ca="1">IF(Proc[[#This Row],[DateClosed]]="",ABS(NETWORKDAYS(Proc[[#This Row],[DateOpened]],TODAY()))-1,ABS(NETWORKDAYS(Proc[[#This Row],[DateOpened]],Proc[[#This Row],[DateClosed]]))-1)</f>
        <v>6</v>
      </c>
      <c r="R1075" s="80" t="s">
        <v>410</v>
      </c>
      <c r="S1075" s="69"/>
    </row>
    <row r="1076" spans="1:19" hidden="1">
      <c r="A1076" s="72" t="s">
        <v>2900</v>
      </c>
      <c r="B1076" s="149" t="str">
        <f>IFERROR(VLOOKUP(Proc[[#This Row],[App]],Table2[],3,0),"open")</f>
        <v>ok</v>
      </c>
      <c r="C1076" s="72" t="s">
        <v>369</v>
      </c>
      <c r="D1076" t="s">
        <v>2930</v>
      </c>
      <c r="E1076" t="s">
        <v>3005</v>
      </c>
      <c r="F1076" s="117" t="s">
        <v>3005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HC</v>
      </c>
      <c r="L1076" s="69" t="s">
        <v>2563</v>
      </c>
      <c r="M1076" s="79">
        <v>45782.702824074076</v>
      </c>
      <c r="N1076" s="79">
        <v>45790</v>
      </c>
      <c r="O1076" s="79">
        <v>45790</v>
      </c>
      <c r="P1076" s="80" t="str">
        <f ca="1">IF(Proc[[#This Row],[DaysAgeing]]&gt;5,"yep","on track")</f>
        <v>yep</v>
      </c>
      <c r="Q1076" s="3">
        <f ca="1">IF(Proc[[#This Row],[DateClosed]]="",ABS(NETWORKDAYS(Proc[[#This Row],[DateOpened]],TODAY()))-1,ABS(NETWORKDAYS(Proc[[#This Row],[DateOpened]],Proc[[#This Row],[DateClosed]]))-1)</f>
        <v>6</v>
      </c>
      <c r="R1076" s="80" t="s">
        <v>410</v>
      </c>
      <c r="S1076" s="69"/>
    </row>
    <row r="1077" spans="1:19" hidden="1">
      <c r="A1077" s="72" t="s">
        <v>2900</v>
      </c>
      <c r="B1077" s="149" t="str">
        <f>IFERROR(VLOOKUP(Proc[[#This Row],[App]],Table2[],3,0),"open")</f>
        <v>ok</v>
      </c>
      <c r="C1077" s="72" t="s">
        <v>369</v>
      </c>
      <c r="D1077" t="s">
        <v>2931</v>
      </c>
      <c r="E1077" t="s">
        <v>3005</v>
      </c>
      <c r="F1077" s="117" t="s">
        <v>3005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HC</v>
      </c>
      <c r="L1077" s="69" t="s">
        <v>2563</v>
      </c>
      <c r="M1077" s="79">
        <v>45782.702824074076</v>
      </c>
      <c r="N1077" s="79">
        <v>45790</v>
      </c>
      <c r="O1077" s="79">
        <v>45790</v>
      </c>
      <c r="P1077" s="80" t="str">
        <f ca="1">IF(Proc[[#This Row],[DaysAgeing]]&gt;5,"yep","on track")</f>
        <v>yep</v>
      </c>
      <c r="Q1077" s="3">
        <f ca="1">IF(Proc[[#This Row],[DateClosed]]="",ABS(NETWORKDAYS(Proc[[#This Row],[DateOpened]],TODAY()))-1,ABS(NETWORKDAYS(Proc[[#This Row],[DateOpened]],Proc[[#This Row],[DateClosed]]))-1)</f>
        <v>6</v>
      </c>
      <c r="R1077" s="80" t="s">
        <v>410</v>
      </c>
      <c r="S1077" s="69"/>
    </row>
    <row r="1078" spans="1:19" hidden="1">
      <c r="A1078" s="72" t="s">
        <v>2900</v>
      </c>
      <c r="B1078" s="149" t="str">
        <f>IFERROR(VLOOKUP(Proc[[#This Row],[App]],Table2[],3,0),"open")</f>
        <v>ok</v>
      </c>
      <c r="C1078" s="72" t="s">
        <v>369</v>
      </c>
      <c r="D1078" t="s">
        <v>2932</v>
      </c>
      <c r="E1078" t="s">
        <v>3005</v>
      </c>
      <c r="F1078" s="117" t="s">
        <v>3005</v>
      </c>
      <c r="G1078" s="72" t="s">
        <v>400</v>
      </c>
      <c r="H1078" s="69" t="str">
        <f>IF(Proc[[#This Row],[type]]="LFF (MDG-F)",MID(Proc[[#This Row],[Obj]],13,10),"")</f>
        <v/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HC</v>
      </c>
      <c r="L1078" s="69" t="s">
        <v>2563</v>
      </c>
      <c r="M1078" s="79">
        <v>45782.702824074076</v>
      </c>
      <c r="N1078" s="79">
        <v>45790</v>
      </c>
      <c r="O1078" s="79">
        <v>45790</v>
      </c>
      <c r="P1078" s="80" t="str">
        <f ca="1">IF(Proc[[#This Row],[DaysAgeing]]&gt;5,"yep","on track")</f>
        <v>yep</v>
      </c>
      <c r="Q1078" s="3">
        <f ca="1">IF(Proc[[#This Row],[DateClosed]]="",ABS(NETWORKDAYS(Proc[[#This Row],[DateOpened]],TODAY()))-1,ABS(NETWORKDAYS(Proc[[#This Row],[DateOpened]],Proc[[#This Row],[DateClosed]]))-1)</f>
        <v>6</v>
      </c>
      <c r="R1078" s="80" t="s">
        <v>410</v>
      </c>
      <c r="S1078" s="69"/>
    </row>
    <row r="1079" spans="1:19" hidden="1">
      <c r="A1079" s="72" t="s">
        <v>2900</v>
      </c>
      <c r="B1079" s="149" t="str">
        <f>IFERROR(VLOOKUP(Proc[[#This Row],[App]],Table2[],3,0),"open")</f>
        <v>ok</v>
      </c>
      <c r="C1079" s="72" t="s">
        <v>369</v>
      </c>
      <c r="D1079" t="s">
        <v>2933</v>
      </c>
      <c r="E1079" t="s">
        <v>3005</v>
      </c>
      <c r="F1079" s="117" t="s">
        <v>3005</v>
      </c>
      <c r="G1079" s="72" t="s">
        <v>400</v>
      </c>
      <c r="H1079" s="69" t="str">
        <f>IF(Proc[[#This Row],[type]]="LFF (MDG-F)",MID(Proc[[#This Row],[Obj]],13,10),"")</f>
        <v/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HC</v>
      </c>
      <c r="L1079" s="69" t="s">
        <v>2563</v>
      </c>
      <c r="M1079" s="79">
        <v>45782.702824074076</v>
      </c>
      <c r="N1079" s="79">
        <v>45790</v>
      </c>
      <c r="O1079" s="79">
        <v>45790</v>
      </c>
      <c r="P1079" s="80" t="str">
        <f ca="1">IF(Proc[[#This Row],[DaysAgeing]]&gt;5,"yep","on track")</f>
        <v>yep</v>
      </c>
      <c r="Q1079" s="3">
        <f ca="1">IF(Proc[[#This Row],[DateClosed]]="",ABS(NETWORKDAYS(Proc[[#This Row],[DateOpened]],TODAY()))-1,ABS(NETWORKDAYS(Proc[[#This Row],[DateOpened]],Proc[[#This Row],[DateClosed]]))-1)</f>
        <v>6</v>
      </c>
      <c r="R1079" s="80" t="s">
        <v>410</v>
      </c>
      <c r="S1079" s="69"/>
    </row>
    <row r="1080" spans="1:19" hidden="1">
      <c r="A1080" s="72" t="s">
        <v>2900</v>
      </c>
      <c r="B1080" s="149" t="str">
        <f>IFERROR(VLOOKUP(Proc[[#This Row],[App]],Table2[],3,0),"open")</f>
        <v>ok</v>
      </c>
      <c r="C1080" s="72" t="s">
        <v>369</v>
      </c>
      <c r="D1080" t="s">
        <v>2934</v>
      </c>
      <c r="E1080" t="s">
        <v>3005</v>
      </c>
      <c r="F1080" s="117" t="s">
        <v>3005</v>
      </c>
      <c r="G1080" s="72" t="s">
        <v>400</v>
      </c>
      <c r="H1080" s="69" t="str">
        <f>IF(Proc[[#This Row],[type]]="LFF (MDG-F)",MID(Proc[[#This Row],[Obj]],13,10),"")</f>
        <v/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HC</v>
      </c>
      <c r="L1080" s="69" t="s">
        <v>2563</v>
      </c>
      <c r="M1080" s="79">
        <v>45782.702824074076</v>
      </c>
      <c r="N1080" s="79">
        <v>45790</v>
      </c>
      <c r="O1080" s="79">
        <v>45790</v>
      </c>
      <c r="P1080" s="80" t="str">
        <f ca="1">IF(Proc[[#This Row],[DaysAgeing]]&gt;5,"yep","on track")</f>
        <v>yep</v>
      </c>
      <c r="Q1080" s="3">
        <f ca="1">IF(Proc[[#This Row],[DateClosed]]="",ABS(NETWORKDAYS(Proc[[#This Row],[DateOpened]],TODAY()))-1,ABS(NETWORKDAYS(Proc[[#This Row],[DateOpened]],Proc[[#This Row],[DateClosed]]))-1)</f>
        <v>6</v>
      </c>
      <c r="R1080" s="80" t="s">
        <v>410</v>
      </c>
      <c r="S1080" s="69"/>
    </row>
    <row r="1081" spans="1:19" hidden="1">
      <c r="A1081" s="72" t="s">
        <v>2900</v>
      </c>
      <c r="B1081" s="149" t="str">
        <f>IFERROR(VLOOKUP(Proc[[#This Row],[App]],Table2[],3,0),"open")</f>
        <v>ok</v>
      </c>
      <c r="C1081" s="72" t="s">
        <v>369</v>
      </c>
      <c r="D1081" t="s">
        <v>2935</v>
      </c>
      <c r="E1081" t="s">
        <v>3005</v>
      </c>
      <c r="F1081" s="117" t="s">
        <v>3005</v>
      </c>
      <c r="G1081" s="72" t="s">
        <v>400</v>
      </c>
      <c r="H1081" s="69" t="str">
        <f>IF(Proc[[#This Row],[type]]="LFF (MDG-F)",MID(Proc[[#This Row],[Obj]],13,10),"")</f>
        <v/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HC</v>
      </c>
      <c r="L1081" s="69" t="s">
        <v>2563</v>
      </c>
      <c r="M1081" s="79">
        <v>45782.702824074076</v>
      </c>
      <c r="N1081" s="79">
        <v>45790</v>
      </c>
      <c r="O1081" s="79">
        <v>45790</v>
      </c>
      <c r="P1081" s="80" t="str">
        <f ca="1">IF(Proc[[#This Row],[DaysAgeing]]&gt;5,"yep","on track")</f>
        <v>yep</v>
      </c>
      <c r="Q1081" s="3">
        <f ca="1">IF(Proc[[#This Row],[DateClosed]]="",ABS(NETWORKDAYS(Proc[[#This Row],[DateOpened]],TODAY()))-1,ABS(NETWORKDAYS(Proc[[#This Row],[DateOpened]],Proc[[#This Row],[DateClosed]]))-1)</f>
        <v>6</v>
      </c>
      <c r="R1081" s="80" t="s">
        <v>410</v>
      </c>
      <c r="S1081" s="69"/>
    </row>
    <row r="1082" spans="1:19" hidden="1">
      <c r="A1082" s="72" t="s">
        <v>2900</v>
      </c>
      <c r="B1082" s="149" t="str">
        <f>IFERROR(VLOOKUP(Proc[[#This Row],[App]],Table2[],3,0),"open")</f>
        <v>ok</v>
      </c>
      <c r="C1082" s="72" t="s">
        <v>369</v>
      </c>
      <c r="D1082" t="s">
        <v>2936</v>
      </c>
      <c r="E1082" t="s">
        <v>3006</v>
      </c>
      <c r="F1082" s="117" t="s">
        <v>3006</v>
      </c>
      <c r="G1082" s="72" t="s">
        <v>400</v>
      </c>
      <c r="H1082" s="69" t="str">
        <f>IF(Proc[[#This Row],[type]]="LFF (MDG-F)",MID(Proc[[#This Row],[Obj]],13,10),"")</f>
        <v/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HC</v>
      </c>
      <c r="L1082" s="69" t="s">
        <v>2563</v>
      </c>
      <c r="M1082" s="79">
        <v>45782.702824074076</v>
      </c>
      <c r="N1082" s="79">
        <v>45790</v>
      </c>
      <c r="O1082" s="79">
        <v>45790</v>
      </c>
      <c r="P1082" s="80" t="str">
        <f ca="1">IF(Proc[[#This Row],[DaysAgeing]]&gt;5,"yep","on track")</f>
        <v>yep</v>
      </c>
      <c r="Q1082" s="3">
        <f ca="1">IF(Proc[[#This Row],[DateClosed]]="",ABS(NETWORKDAYS(Proc[[#This Row],[DateOpened]],TODAY()))-1,ABS(NETWORKDAYS(Proc[[#This Row],[DateOpened]],Proc[[#This Row],[DateClosed]]))-1)</f>
        <v>6</v>
      </c>
      <c r="R1082" s="80" t="s">
        <v>410</v>
      </c>
      <c r="S1082" s="69"/>
    </row>
    <row r="1083" spans="1:19" hidden="1">
      <c r="A1083" s="72" t="s">
        <v>2900</v>
      </c>
      <c r="B1083" s="149" t="str">
        <f>IFERROR(VLOOKUP(Proc[[#This Row],[App]],Table2[],3,0),"open")</f>
        <v>ok</v>
      </c>
      <c r="C1083" s="72" t="s">
        <v>369</v>
      </c>
      <c r="D1083" t="s">
        <v>2937</v>
      </c>
      <c r="E1083" t="s">
        <v>3006</v>
      </c>
      <c r="F1083" s="117" t="s">
        <v>3006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HC</v>
      </c>
      <c r="L1083" s="69" t="s">
        <v>2563</v>
      </c>
      <c r="M1083" s="79">
        <v>45782.702824074076</v>
      </c>
      <c r="N1083" s="79">
        <v>45790</v>
      </c>
      <c r="O1083" s="79">
        <v>45790</v>
      </c>
      <c r="P1083" s="80" t="str">
        <f ca="1">IF(Proc[[#This Row],[DaysAgeing]]&gt;5,"yep","on track")</f>
        <v>yep</v>
      </c>
      <c r="Q1083" s="3">
        <f ca="1">IF(Proc[[#This Row],[DateClosed]]="",ABS(NETWORKDAYS(Proc[[#This Row],[DateOpened]],TODAY()))-1,ABS(NETWORKDAYS(Proc[[#This Row],[DateOpened]],Proc[[#This Row],[DateClosed]]))-1)</f>
        <v>6</v>
      </c>
      <c r="R1083" s="80" t="s">
        <v>410</v>
      </c>
      <c r="S1083" s="69"/>
    </row>
    <row r="1084" spans="1:19" hidden="1">
      <c r="A1084" s="72" t="s">
        <v>2900</v>
      </c>
      <c r="B1084" s="149" t="str">
        <f>IFERROR(VLOOKUP(Proc[[#This Row],[App]],Table2[],3,0),"open")</f>
        <v>ok</v>
      </c>
      <c r="C1084" s="72" t="s">
        <v>369</v>
      </c>
      <c r="D1084" t="s">
        <v>2938</v>
      </c>
      <c r="E1084" t="s">
        <v>3006</v>
      </c>
      <c r="F1084" s="117" t="s">
        <v>3006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HC</v>
      </c>
      <c r="L1084" s="69" t="s">
        <v>2563</v>
      </c>
      <c r="M1084" s="79">
        <v>45782.702824074076</v>
      </c>
      <c r="N1084" s="79">
        <v>45790</v>
      </c>
      <c r="O1084" s="79">
        <v>45790</v>
      </c>
      <c r="P1084" s="80" t="str">
        <f ca="1">IF(Proc[[#This Row],[DaysAgeing]]&gt;5,"yep","on track")</f>
        <v>yep</v>
      </c>
      <c r="Q1084" s="3">
        <f ca="1">IF(Proc[[#This Row],[DateClosed]]="",ABS(NETWORKDAYS(Proc[[#This Row],[DateOpened]],TODAY()))-1,ABS(NETWORKDAYS(Proc[[#This Row],[DateOpened]],Proc[[#This Row],[DateClosed]]))-1)</f>
        <v>6</v>
      </c>
      <c r="R1084" s="80" t="s">
        <v>410</v>
      </c>
      <c r="S1084" s="69"/>
    </row>
    <row r="1085" spans="1:19" hidden="1">
      <c r="A1085" s="72" t="s">
        <v>2900</v>
      </c>
      <c r="B1085" s="149" t="str">
        <f>IFERROR(VLOOKUP(Proc[[#This Row],[App]],Table2[],3,0),"open")</f>
        <v>ok</v>
      </c>
      <c r="C1085" s="72" t="s">
        <v>369</v>
      </c>
      <c r="D1085" t="s">
        <v>2939</v>
      </c>
      <c r="E1085" t="s">
        <v>3006</v>
      </c>
      <c r="F1085" s="117" t="s">
        <v>3006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HC</v>
      </c>
      <c r="L1085" s="69" t="s">
        <v>2563</v>
      </c>
      <c r="M1085" s="79">
        <v>45782.702824074076</v>
      </c>
      <c r="N1085" s="79">
        <v>45790</v>
      </c>
      <c r="O1085" s="79">
        <v>45790</v>
      </c>
      <c r="P1085" s="80" t="str">
        <f ca="1">IF(Proc[[#This Row],[DaysAgeing]]&gt;5,"yep","on track")</f>
        <v>yep</v>
      </c>
      <c r="Q1085" s="3">
        <f ca="1">IF(Proc[[#This Row],[DateClosed]]="",ABS(NETWORKDAYS(Proc[[#This Row],[DateOpened]],TODAY()))-1,ABS(NETWORKDAYS(Proc[[#This Row],[DateOpened]],Proc[[#This Row],[DateClosed]]))-1)</f>
        <v>6</v>
      </c>
      <c r="R1085" s="80" t="s">
        <v>410</v>
      </c>
      <c r="S1085" s="69"/>
    </row>
    <row r="1086" spans="1:19" hidden="1">
      <c r="A1086" s="72" t="s">
        <v>2900</v>
      </c>
      <c r="B1086" s="149" t="str">
        <f>IFERROR(VLOOKUP(Proc[[#This Row],[App]],Table2[],3,0),"open")</f>
        <v>ok</v>
      </c>
      <c r="C1086" s="72" t="s">
        <v>369</v>
      </c>
      <c r="D1086" t="s">
        <v>2940</v>
      </c>
      <c r="E1086" t="s">
        <v>3006</v>
      </c>
      <c r="F1086" s="117" t="s">
        <v>3006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HC</v>
      </c>
      <c r="L1086" s="69" t="s">
        <v>2563</v>
      </c>
      <c r="M1086" s="79">
        <v>45782.702824074076</v>
      </c>
      <c r="N1086" s="79">
        <v>45790</v>
      </c>
      <c r="O1086" s="79">
        <v>45790</v>
      </c>
      <c r="P1086" s="80" t="str">
        <f ca="1">IF(Proc[[#This Row],[DaysAgeing]]&gt;5,"yep","on track")</f>
        <v>yep</v>
      </c>
      <c r="Q1086" s="3">
        <f ca="1">IF(Proc[[#This Row],[DateClosed]]="",ABS(NETWORKDAYS(Proc[[#This Row],[DateOpened]],TODAY()))-1,ABS(NETWORKDAYS(Proc[[#This Row],[DateOpened]],Proc[[#This Row],[DateClosed]]))-1)</f>
        <v>6</v>
      </c>
      <c r="R1086" s="80" t="s">
        <v>410</v>
      </c>
      <c r="S1086" s="69"/>
    </row>
    <row r="1087" spans="1:19" hidden="1">
      <c r="A1087" s="72" t="s">
        <v>2900</v>
      </c>
      <c r="B1087" s="149" t="str">
        <f>IFERROR(VLOOKUP(Proc[[#This Row],[App]],Table2[],3,0),"open")</f>
        <v>ok</v>
      </c>
      <c r="C1087" s="72" t="s">
        <v>369</v>
      </c>
      <c r="D1087" t="s">
        <v>2941</v>
      </c>
      <c r="E1087" t="s">
        <v>3007</v>
      </c>
      <c r="F1087" s="117" t="s">
        <v>3007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HC</v>
      </c>
      <c r="L1087" s="69" t="s">
        <v>2563</v>
      </c>
      <c r="M1087" s="79">
        <v>45782.702824074076</v>
      </c>
      <c r="N1087" s="79">
        <v>45790</v>
      </c>
      <c r="O1087" s="79">
        <v>45790</v>
      </c>
      <c r="P1087" s="80" t="str">
        <f ca="1">IF(Proc[[#This Row],[DaysAgeing]]&gt;5,"yep","on track")</f>
        <v>yep</v>
      </c>
      <c r="Q1087" s="3">
        <f ca="1">IF(Proc[[#This Row],[DateClosed]]="",ABS(NETWORKDAYS(Proc[[#This Row],[DateOpened]],TODAY()))-1,ABS(NETWORKDAYS(Proc[[#This Row],[DateOpened]],Proc[[#This Row],[DateClosed]]))-1)</f>
        <v>6</v>
      </c>
      <c r="R1087" s="80" t="s">
        <v>410</v>
      </c>
      <c r="S1087" s="69"/>
    </row>
    <row r="1088" spans="1:19" hidden="1">
      <c r="A1088" s="72" t="s">
        <v>2900</v>
      </c>
      <c r="B1088" s="149" t="str">
        <f>IFERROR(VLOOKUP(Proc[[#This Row],[App]],Table2[],3,0),"open")</f>
        <v>ok</v>
      </c>
      <c r="C1088" s="72" t="s">
        <v>369</v>
      </c>
      <c r="D1088" t="s">
        <v>2942</v>
      </c>
      <c r="E1088" t="s">
        <v>3007</v>
      </c>
      <c r="F1088" s="117" t="s">
        <v>3007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HC</v>
      </c>
      <c r="L1088" s="69" t="s">
        <v>2563</v>
      </c>
      <c r="M1088" s="79">
        <v>45782.702824074076</v>
      </c>
      <c r="N1088" s="79">
        <v>45790</v>
      </c>
      <c r="O1088" s="79">
        <v>45790</v>
      </c>
      <c r="P1088" s="80" t="str">
        <f ca="1">IF(Proc[[#This Row],[DaysAgeing]]&gt;5,"yep","on track")</f>
        <v>yep</v>
      </c>
      <c r="Q1088" s="3">
        <f ca="1">IF(Proc[[#This Row],[DateClosed]]="",ABS(NETWORKDAYS(Proc[[#This Row],[DateOpened]],TODAY()))-1,ABS(NETWORKDAYS(Proc[[#This Row],[DateOpened]],Proc[[#This Row],[DateClosed]]))-1)</f>
        <v>6</v>
      </c>
      <c r="R1088" s="80" t="s">
        <v>410</v>
      </c>
      <c r="S1088" s="69"/>
    </row>
    <row r="1089" spans="1:19" hidden="1">
      <c r="A1089" s="72" t="s">
        <v>2900</v>
      </c>
      <c r="B1089" s="149" t="str">
        <f>IFERROR(VLOOKUP(Proc[[#This Row],[App]],Table2[],3,0),"open")</f>
        <v>ok</v>
      </c>
      <c r="C1089" s="72" t="s">
        <v>369</v>
      </c>
      <c r="D1089" t="s">
        <v>2943</v>
      </c>
      <c r="E1089" t="s">
        <v>3008</v>
      </c>
      <c r="F1089" s="117" t="s">
        <v>3008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HC</v>
      </c>
      <c r="L1089" s="69" t="s">
        <v>2563</v>
      </c>
      <c r="M1089" s="79">
        <v>45782.702824074076</v>
      </c>
      <c r="N1089" s="79">
        <v>45790</v>
      </c>
      <c r="O1089" s="79">
        <v>45790</v>
      </c>
      <c r="P1089" s="80" t="str">
        <f ca="1">IF(Proc[[#This Row],[DaysAgeing]]&gt;5,"yep","on track")</f>
        <v>yep</v>
      </c>
      <c r="Q1089" s="3">
        <f ca="1">IF(Proc[[#This Row],[DateClosed]]="",ABS(NETWORKDAYS(Proc[[#This Row],[DateOpened]],TODAY()))-1,ABS(NETWORKDAYS(Proc[[#This Row],[DateOpened]],Proc[[#This Row],[DateClosed]]))-1)</f>
        <v>6</v>
      </c>
      <c r="R1089" s="80" t="s">
        <v>410</v>
      </c>
      <c r="S1089" s="69"/>
    </row>
    <row r="1090" spans="1:19" hidden="1">
      <c r="A1090" s="72" t="s">
        <v>2900</v>
      </c>
      <c r="B1090" s="149" t="str">
        <f>IFERROR(VLOOKUP(Proc[[#This Row],[App]],Table2[],3,0),"open")</f>
        <v>ok</v>
      </c>
      <c r="C1090" s="72" t="s">
        <v>369</v>
      </c>
      <c r="D1090" t="s">
        <v>2944</v>
      </c>
      <c r="E1090" t="s">
        <v>3008</v>
      </c>
      <c r="F1090" s="117" t="s">
        <v>3008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HC</v>
      </c>
      <c r="L1090" s="69" t="s">
        <v>2563</v>
      </c>
      <c r="M1090" s="79">
        <v>45782.702824074076</v>
      </c>
      <c r="N1090" s="79">
        <v>45790</v>
      </c>
      <c r="O1090" s="79">
        <v>45790</v>
      </c>
      <c r="P1090" s="80" t="str">
        <f ca="1">IF(Proc[[#This Row],[DaysAgeing]]&gt;5,"yep","on track")</f>
        <v>yep</v>
      </c>
      <c r="Q1090" s="3">
        <f ca="1">IF(Proc[[#This Row],[DateClosed]]="",ABS(NETWORKDAYS(Proc[[#This Row],[DateOpened]],TODAY()))-1,ABS(NETWORKDAYS(Proc[[#This Row],[DateOpened]],Proc[[#This Row],[DateClosed]]))-1)</f>
        <v>6</v>
      </c>
      <c r="R1090" s="80" t="s">
        <v>410</v>
      </c>
      <c r="S1090" s="69"/>
    </row>
    <row r="1091" spans="1:19" hidden="1">
      <c r="A1091" s="72" t="s">
        <v>2900</v>
      </c>
      <c r="B1091" s="149" t="str">
        <f>IFERROR(VLOOKUP(Proc[[#This Row],[App]],Table2[],3,0),"open")</f>
        <v>ok</v>
      </c>
      <c r="C1091" s="72" t="s">
        <v>369</v>
      </c>
      <c r="D1091" t="s">
        <v>2945</v>
      </c>
      <c r="E1091" t="s">
        <v>3008</v>
      </c>
      <c r="F1091" s="117" t="s">
        <v>3008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HC</v>
      </c>
      <c r="L1091" s="69" t="s">
        <v>2563</v>
      </c>
      <c r="M1091" s="79">
        <v>45782.702824074076</v>
      </c>
      <c r="N1091" s="79">
        <v>45790</v>
      </c>
      <c r="O1091" s="79">
        <v>45790</v>
      </c>
      <c r="P1091" s="80" t="str">
        <f ca="1">IF(Proc[[#This Row],[DaysAgeing]]&gt;5,"yep","on track")</f>
        <v>yep</v>
      </c>
      <c r="Q1091" s="3">
        <f ca="1">IF(Proc[[#This Row],[DateClosed]]="",ABS(NETWORKDAYS(Proc[[#This Row],[DateOpened]],TODAY()))-1,ABS(NETWORKDAYS(Proc[[#This Row],[DateOpened]],Proc[[#This Row],[DateClosed]]))-1)</f>
        <v>6</v>
      </c>
      <c r="R1091" s="80" t="s">
        <v>410</v>
      </c>
      <c r="S1091" s="69"/>
    </row>
    <row r="1092" spans="1:19" hidden="1">
      <c r="A1092" s="72" t="s">
        <v>2900</v>
      </c>
      <c r="B1092" s="149" t="str">
        <f>IFERROR(VLOOKUP(Proc[[#This Row],[App]],Table2[],3,0),"open")</f>
        <v>ok</v>
      </c>
      <c r="C1092" s="72" t="s">
        <v>369</v>
      </c>
      <c r="D1092" t="s">
        <v>2946</v>
      </c>
      <c r="E1092" t="s">
        <v>3008</v>
      </c>
      <c r="F1092" s="117" t="s">
        <v>3008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HC</v>
      </c>
      <c r="L1092" s="69" t="s">
        <v>2563</v>
      </c>
      <c r="M1092" s="79">
        <v>45782.702824074076</v>
      </c>
      <c r="N1092" s="79">
        <v>45790</v>
      </c>
      <c r="O1092" s="79">
        <v>45790</v>
      </c>
      <c r="P1092" s="80" t="str">
        <f ca="1">IF(Proc[[#This Row],[DaysAgeing]]&gt;5,"yep","on track")</f>
        <v>yep</v>
      </c>
      <c r="Q1092" s="3">
        <f ca="1">IF(Proc[[#This Row],[DateClosed]]="",ABS(NETWORKDAYS(Proc[[#This Row],[DateOpened]],TODAY()))-1,ABS(NETWORKDAYS(Proc[[#This Row],[DateOpened]],Proc[[#This Row],[DateClosed]]))-1)</f>
        <v>6</v>
      </c>
      <c r="R1092" s="80" t="s">
        <v>410</v>
      </c>
      <c r="S1092" s="69"/>
    </row>
    <row r="1093" spans="1:19" hidden="1">
      <c r="A1093" s="72" t="s">
        <v>2900</v>
      </c>
      <c r="B1093" s="149" t="str">
        <f>IFERROR(VLOOKUP(Proc[[#This Row],[App]],Table2[],3,0),"open")</f>
        <v>ok</v>
      </c>
      <c r="C1093" s="72" t="s">
        <v>369</v>
      </c>
      <c r="D1093" t="s">
        <v>2947</v>
      </c>
      <c r="E1093" t="s">
        <v>3009</v>
      </c>
      <c r="F1093" s="117" t="s">
        <v>3009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HC</v>
      </c>
      <c r="L1093" s="69" t="s">
        <v>2563</v>
      </c>
      <c r="M1093" s="79">
        <v>45782.702824074076</v>
      </c>
      <c r="N1093" s="79">
        <v>45790</v>
      </c>
      <c r="O1093" s="79">
        <v>45790</v>
      </c>
      <c r="P1093" s="80" t="str">
        <f ca="1">IF(Proc[[#This Row],[DaysAgeing]]&gt;5,"yep","on track")</f>
        <v>yep</v>
      </c>
      <c r="Q1093" s="3">
        <f ca="1">IF(Proc[[#This Row],[DateClosed]]="",ABS(NETWORKDAYS(Proc[[#This Row],[DateOpened]],TODAY()))-1,ABS(NETWORKDAYS(Proc[[#This Row],[DateOpened]],Proc[[#This Row],[DateClosed]]))-1)</f>
        <v>6</v>
      </c>
      <c r="R1093" s="80" t="s">
        <v>410</v>
      </c>
      <c r="S1093" s="69"/>
    </row>
    <row r="1094" spans="1:19" hidden="1">
      <c r="A1094" s="72" t="s">
        <v>2900</v>
      </c>
      <c r="B1094" s="149" t="str">
        <f>IFERROR(VLOOKUP(Proc[[#This Row],[App]],Table2[],3,0),"open")</f>
        <v>ok</v>
      </c>
      <c r="C1094" s="72" t="s">
        <v>369</v>
      </c>
      <c r="D1094" t="s">
        <v>2948</v>
      </c>
      <c r="E1094" t="s">
        <v>3009</v>
      </c>
      <c r="F1094" s="117" t="s">
        <v>3009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HC</v>
      </c>
      <c r="L1094" s="69" t="s">
        <v>2563</v>
      </c>
      <c r="M1094" s="79">
        <v>45782.702824074076</v>
      </c>
      <c r="N1094" s="79">
        <v>45790</v>
      </c>
      <c r="O1094" s="79">
        <v>45790</v>
      </c>
      <c r="P1094" s="80" t="str">
        <f ca="1">IF(Proc[[#This Row],[DaysAgeing]]&gt;5,"yep","on track")</f>
        <v>yep</v>
      </c>
      <c r="Q1094" s="3">
        <f ca="1">IF(Proc[[#This Row],[DateClosed]]="",ABS(NETWORKDAYS(Proc[[#This Row],[DateOpened]],TODAY()))-1,ABS(NETWORKDAYS(Proc[[#This Row],[DateOpened]],Proc[[#This Row],[DateClosed]]))-1)</f>
        <v>6</v>
      </c>
      <c r="R1094" s="80" t="s">
        <v>410</v>
      </c>
      <c r="S1094" s="69"/>
    </row>
    <row r="1095" spans="1:19" hidden="1">
      <c r="A1095" s="72" t="s">
        <v>2900</v>
      </c>
      <c r="B1095" s="149" t="str">
        <f>IFERROR(VLOOKUP(Proc[[#This Row],[App]],Table2[],3,0),"open")</f>
        <v>ok</v>
      </c>
      <c r="C1095" s="72" t="s">
        <v>369</v>
      </c>
      <c r="D1095" t="s">
        <v>2949</v>
      </c>
      <c r="E1095" t="s">
        <v>3009</v>
      </c>
      <c r="F1095" s="117" t="s">
        <v>3009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HC</v>
      </c>
      <c r="L1095" s="69" t="s">
        <v>2563</v>
      </c>
      <c r="M1095" s="79">
        <v>45782.702824074076</v>
      </c>
      <c r="N1095" s="79">
        <v>45790</v>
      </c>
      <c r="O1095" s="79">
        <v>45790</v>
      </c>
      <c r="P1095" s="80" t="str">
        <f ca="1">IF(Proc[[#This Row],[DaysAgeing]]&gt;5,"yep","on track")</f>
        <v>yep</v>
      </c>
      <c r="Q1095" s="3">
        <f ca="1">IF(Proc[[#This Row],[DateClosed]]="",ABS(NETWORKDAYS(Proc[[#This Row],[DateOpened]],TODAY()))-1,ABS(NETWORKDAYS(Proc[[#This Row],[DateOpened]],Proc[[#This Row],[DateClosed]]))-1)</f>
        <v>6</v>
      </c>
      <c r="R1095" s="80" t="s">
        <v>410</v>
      </c>
      <c r="S1095" s="69"/>
    </row>
    <row r="1096" spans="1:19" hidden="1">
      <c r="A1096" s="72" t="s">
        <v>2900</v>
      </c>
      <c r="B1096" s="149" t="str">
        <f>IFERROR(VLOOKUP(Proc[[#This Row],[App]],Table2[],3,0),"open")</f>
        <v>ok</v>
      </c>
      <c r="C1096" s="72" t="s">
        <v>369</v>
      </c>
      <c r="D1096" t="s">
        <v>2950</v>
      </c>
      <c r="E1096" t="s">
        <v>3009</v>
      </c>
      <c r="F1096" s="117" t="s">
        <v>3009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HC</v>
      </c>
      <c r="L1096" s="69" t="s">
        <v>2563</v>
      </c>
      <c r="M1096" s="79">
        <v>45782.702824074076</v>
      </c>
      <c r="N1096" s="79">
        <v>45790</v>
      </c>
      <c r="O1096" s="79">
        <v>45790</v>
      </c>
      <c r="P1096" s="80" t="str">
        <f ca="1">IF(Proc[[#This Row],[DaysAgeing]]&gt;5,"yep","on track")</f>
        <v>yep</v>
      </c>
      <c r="Q1096" s="3">
        <f ca="1">IF(Proc[[#This Row],[DateClosed]]="",ABS(NETWORKDAYS(Proc[[#This Row],[DateOpened]],TODAY()))-1,ABS(NETWORKDAYS(Proc[[#This Row],[DateOpened]],Proc[[#This Row],[DateClosed]]))-1)</f>
        <v>6</v>
      </c>
      <c r="R1096" s="80" t="s">
        <v>410</v>
      </c>
      <c r="S1096" s="69"/>
    </row>
    <row r="1097" spans="1:19" hidden="1">
      <c r="A1097" s="72" t="s">
        <v>2900</v>
      </c>
      <c r="B1097" s="149" t="str">
        <f>IFERROR(VLOOKUP(Proc[[#This Row],[App]],Table2[],3,0),"open")</f>
        <v>ok</v>
      </c>
      <c r="C1097" s="72" t="s">
        <v>369</v>
      </c>
      <c r="D1097" t="s">
        <v>2951</v>
      </c>
      <c r="E1097" t="s">
        <v>3009</v>
      </c>
      <c r="F1097" s="117" t="s">
        <v>3009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HC</v>
      </c>
      <c r="L1097" s="69" t="s">
        <v>2563</v>
      </c>
      <c r="M1097" s="79">
        <v>45782.702824074076</v>
      </c>
      <c r="N1097" s="79">
        <v>45790</v>
      </c>
      <c r="O1097" s="79">
        <v>45790</v>
      </c>
      <c r="P1097" s="80" t="str">
        <f ca="1">IF(Proc[[#This Row],[DaysAgeing]]&gt;5,"yep","on track")</f>
        <v>yep</v>
      </c>
      <c r="Q1097" s="3">
        <f ca="1">IF(Proc[[#This Row],[DateClosed]]="",ABS(NETWORKDAYS(Proc[[#This Row],[DateOpened]],TODAY()))-1,ABS(NETWORKDAYS(Proc[[#This Row],[DateOpened]],Proc[[#This Row],[DateClosed]]))-1)</f>
        <v>6</v>
      </c>
      <c r="R1097" s="80" t="s">
        <v>410</v>
      </c>
      <c r="S1097" s="69"/>
    </row>
    <row r="1098" spans="1:19" hidden="1">
      <c r="A1098" s="72" t="s">
        <v>2900</v>
      </c>
      <c r="B1098" s="149" t="str">
        <f>IFERROR(VLOOKUP(Proc[[#This Row],[App]],Table2[],3,0),"open")</f>
        <v>ok</v>
      </c>
      <c r="C1098" s="72" t="s">
        <v>369</v>
      </c>
      <c r="D1098" t="s">
        <v>2952</v>
      </c>
      <c r="E1098" t="s">
        <v>3009</v>
      </c>
      <c r="F1098" s="117" t="s">
        <v>3009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HC</v>
      </c>
      <c r="L1098" s="69" t="s">
        <v>2563</v>
      </c>
      <c r="M1098" s="79">
        <v>45782.702824074076</v>
      </c>
      <c r="N1098" s="79">
        <v>45790</v>
      </c>
      <c r="O1098" s="79">
        <v>45790</v>
      </c>
      <c r="P1098" s="80" t="str">
        <f ca="1">IF(Proc[[#This Row],[DaysAgeing]]&gt;5,"yep","on track")</f>
        <v>yep</v>
      </c>
      <c r="Q1098" s="3">
        <f ca="1">IF(Proc[[#This Row],[DateClosed]]="",ABS(NETWORKDAYS(Proc[[#This Row],[DateOpened]],TODAY()))-1,ABS(NETWORKDAYS(Proc[[#This Row],[DateOpened]],Proc[[#This Row],[DateClosed]]))-1)</f>
        <v>6</v>
      </c>
      <c r="R1098" s="80" t="s">
        <v>410</v>
      </c>
      <c r="S1098" s="69"/>
    </row>
    <row r="1099" spans="1:19" hidden="1">
      <c r="A1099" s="72" t="s">
        <v>2900</v>
      </c>
      <c r="B1099" s="149" t="str">
        <f>IFERROR(VLOOKUP(Proc[[#This Row],[App]],Table2[],3,0),"open")</f>
        <v>ok</v>
      </c>
      <c r="C1099" s="72" t="s">
        <v>369</v>
      </c>
      <c r="D1099" t="s">
        <v>2953</v>
      </c>
      <c r="E1099" t="s">
        <v>3009</v>
      </c>
      <c r="F1099" s="117" t="s">
        <v>3009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HC</v>
      </c>
      <c r="L1099" s="69" t="s">
        <v>2563</v>
      </c>
      <c r="M1099" s="79">
        <v>45782.702824074076</v>
      </c>
      <c r="N1099" s="79">
        <v>45790</v>
      </c>
      <c r="O1099" s="79">
        <v>45790</v>
      </c>
      <c r="P1099" s="80" t="str">
        <f ca="1">IF(Proc[[#This Row],[DaysAgeing]]&gt;5,"yep","on track")</f>
        <v>yep</v>
      </c>
      <c r="Q1099" s="3">
        <f ca="1">IF(Proc[[#This Row],[DateClosed]]="",ABS(NETWORKDAYS(Proc[[#This Row],[DateOpened]],TODAY()))-1,ABS(NETWORKDAYS(Proc[[#This Row],[DateOpened]],Proc[[#This Row],[DateClosed]]))-1)</f>
        <v>6</v>
      </c>
      <c r="R1099" s="80" t="s">
        <v>410</v>
      </c>
      <c r="S1099" s="69"/>
    </row>
    <row r="1100" spans="1:19" hidden="1">
      <c r="A1100" s="72" t="s">
        <v>2900</v>
      </c>
      <c r="B1100" s="149" t="str">
        <f>IFERROR(VLOOKUP(Proc[[#This Row],[App]],Table2[],3,0),"open")</f>
        <v>ok</v>
      </c>
      <c r="C1100" s="72" t="s">
        <v>369</v>
      </c>
      <c r="D1100" t="s">
        <v>2954</v>
      </c>
      <c r="E1100" t="s">
        <v>3009</v>
      </c>
      <c r="F1100" s="117" t="s">
        <v>3009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HC</v>
      </c>
      <c r="L1100" s="69" t="s">
        <v>2563</v>
      </c>
      <c r="M1100" s="79">
        <v>45782.702824074076</v>
      </c>
      <c r="N1100" s="79">
        <v>45790</v>
      </c>
      <c r="O1100" s="79">
        <v>45790</v>
      </c>
      <c r="P1100" s="80" t="str">
        <f ca="1">IF(Proc[[#This Row],[DaysAgeing]]&gt;5,"yep","on track")</f>
        <v>yep</v>
      </c>
      <c r="Q1100" s="3">
        <f ca="1">IF(Proc[[#This Row],[DateClosed]]="",ABS(NETWORKDAYS(Proc[[#This Row],[DateOpened]],TODAY()))-1,ABS(NETWORKDAYS(Proc[[#This Row],[DateOpened]],Proc[[#This Row],[DateClosed]]))-1)</f>
        <v>6</v>
      </c>
      <c r="R1100" s="80" t="s">
        <v>410</v>
      </c>
      <c r="S1100" s="69"/>
    </row>
    <row r="1101" spans="1:19" hidden="1">
      <c r="A1101" s="72" t="s">
        <v>2900</v>
      </c>
      <c r="B1101" s="149" t="str">
        <f>IFERROR(VLOOKUP(Proc[[#This Row],[App]],Table2[],3,0),"open")</f>
        <v>ok</v>
      </c>
      <c r="C1101" s="72" t="s">
        <v>369</v>
      </c>
      <c r="D1101" t="s">
        <v>2955</v>
      </c>
      <c r="E1101" t="s">
        <v>3009</v>
      </c>
      <c r="F1101" s="117" t="s">
        <v>3009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HC</v>
      </c>
      <c r="L1101" s="69" t="s">
        <v>2563</v>
      </c>
      <c r="M1101" s="79">
        <v>45782.702824074076</v>
      </c>
      <c r="N1101" s="79">
        <v>45790</v>
      </c>
      <c r="O1101" s="79">
        <v>45790</v>
      </c>
      <c r="P1101" s="80" t="str">
        <f ca="1">IF(Proc[[#This Row],[DaysAgeing]]&gt;5,"yep","on track")</f>
        <v>yep</v>
      </c>
      <c r="Q1101" s="3">
        <f ca="1">IF(Proc[[#This Row],[DateClosed]]="",ABS(NETWORKDAYS(Proc[[#This Row],[DateOpened]],TODAY()))-1,ABS(NETWORKDAYS(Proc[[#This Row],[DateOpened]],Proc[[#This Row],[DateClosed]]))-1)</f>
        <v>6</v>
      </c>
      <c r="R1101" s="80" t="s">
        <v>410</v>
      </c>
      <c r="S1101" s="69"/>
    </row>
    <row r="1102" spans="1:19" hidden="1">
      <c r="A1102" s="72" t="s">
        <v>2900</v>
      </c>
      <c r="B1102" s="149" t="str">
        <f>IFERROR(VLOOKUP(Proc[[#This Row],[App]],Table2[],3,0),"open")</f>
        <v>ok</v>
      </c>
      <c r="C1102" s="72" t="s">
        <v>369</v>
      </c>
      <c r="D1102" t="s">
        <v>2956</v>
      </c>
      <c r="E1102" t="s">
        <v>3009</v>
      </c>
      <c r="F1102" s="117" t="s">
        <v>3009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HC</v>
      </c>
      <c r="L1102" s="69" t="s">
        <v>2563</v>
      </c>
      <c r="M1102" s="79">
        <v>45782.702824074076</v>
      </c>
      <c r="N1102" s="79">
        <v>45790</v>
      </c>
      <c r="O1102" s="79">
        <v>45790</v>
      </c>
      <c r="P1102" s="80" t="str">
        <f ca="1">IF(Proc[[#This Row],[DaysAgeing]]&gt;5,"yep","on track")</f>
        <v>yep</v>
      </c>
      <c r="Q1102" s="3">
        <f ca="1">IF(Proc[[#This Row],[DateClosed]]="",ABS(NETWORKDAYS(Proc[[#This Row],[DateOpened]],TODAY()))-1,ABS(NETWORKDAYS(Proc[[#This Row],[DateOpened]],Proc[[#This Row],[DateClosed]]))-1)</f>
        <v>6</v>
      </c>
      <c r="R1102" s="80" t="s">
        <v>410</v>
      </c>
      <c r="S1102" s="69"/>
    </row>
    <row r="1103" spans="1:19" hidden="1">
      <c r="A1103" s="72" t="s">
        <v>2900</v>
      </c>
      <c r="B1103" s="149" t="str">
        <f>IFERROR(VLOOKUP(Proc[[#This Row],[App]],Table2[],3,0),"open")</f>
        <v>ok</v>
      </c>
      <c r="C1103" s="72" t="s">
        <v>369</v>
      </c>
      <c r="D1103" t="s">
        <v>2957</v>
      </c>
      <c r="E1103" t="s">
        <v>3009</v>
      </c>
      <c r="F1103" s="117" t="s">
        <v>3009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HC</v>
      </c>
      <c r="L1103" s="69" t="s">
        <v>2563</v>
      </c>
      <c r="M1103" s="79">
        <v>45782.702824074076</v>
      </c>
      <c r="N1103" s="79">
        <v>45790</v>
      </c>
      <c r="O1103" s="79">
        <v>45790</v>
      </c>
      <c r="P1103" s="80" t="str">
        <f ca="1">IF(Proc[[#This Row],[DaysAgeing]]&gt;5,"yep","on track")</f>
        <v>yep</v>
      </c>
      <c r="Q1103" s="3">
        <f ca="1">IF(Proc[[#This Row],[DateClosed]]="",ABS(NETWORKDAYS(Proc[[#This Row],[DateOpened]],TODAY()))-1,ABS(NETWORKDAYS(Proc[[#This Row],[DateOpened]],Proc[[#This Row],[DateClosed]]))-1)</f>
        <v>6</v>
      </c>
      <c r="R1103" s="80" t="s">
        <v>410</v>
      </c>
      <c r="S1103" s="69"/>
    </row>
    <row r="1104" spans="1:19" hidden="1">
      <c r="A1104" s="72" t="s">
        <v>2900</v>
      </c>
      <c r="B1104" s="149" t="str">
        <f>IFERROR(VLOOKUP(Proc[[#This Row],[App]],Table2[],3,0),"open")</f>
        <v>ok</v>
      </c>
      <c r="C1104" s="72" t="s">
        <v>369</v>
      </c>
      <c r="D1104" t="s">
        <v>2958</v>
      </c>
      <c r="E1104" t="s">
        <v>3009</v>
      </c>
      <c r="F1104" s="117" t="s">
        <v>3009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HC</v>
      </c>
      <c r="L1104" s="69" t="s">
        <v>2563</v>
      </c>
      <c r="M1104" s="79">
        <v>45782.702824074076</v>
      </c>
      <c r="N1104" s="79">
        <v>45790</v>
      </c>
      <c r="O1104" s="79">
        <v>45790</v>
      </c>
      <c r="P1104" s="80" t="str">
        <f ca="1">IF(Proc[[#This Row],[DaysAgeing]]&gt;5,"yep","on track")</f>
        <v>yep</v>
      </c>
      <c r="Q1104" s="3">
        <f ca="1">IF(Proc[[#This Row],[DateClosed]]="",ABS(NETWORKDAYS(Proc[[#This Row],[DateOpened]],TODAY()))-1,ABS(NETWORKDAYS(Proc[[#This Row],[DateOpened]],Proc[[#This Row],[DateClosed]]))-1)</f>
        <v>6</v>
      </c>
      <c r="R1104" s="80" t="s">
        <v>410</v>
      </c>
      <c r="S1104" s="69"/>
    </row>
    <row r="1105" spans="1:19" hidden="1">
      <c r="A1105" s="72" t="s">
        <v>2900</v>
      </c>
      <c r="B1105" s="149" t="str">
        <f>IFERROR(VLOOKUP(Proc[[#This Row],[App]],Table2[],3,0),"open")</f>
        <v>ok</v>
      </c>
      <c r="C1105" s="72" t="s">
        <v>369</v>
      </c>
      <c r="D1105" t="s">
        <v>2959</v>
      </c>
      <c r="E1105" t="s">
        <v>3009</v>
      </c>
      <c r="F1105" s="117" t="s">
        <v>3009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HC</v>
      </c>
      <c r="L1105" s="69" t="s">
        <v>2563</v>
      </c>
      <c r="M1105" s="79">
        <v>45782.702824074076</v>
      </c>
      <c r="N1105" s="79">
        <v>45790</v>
      </c>
      <c r="O1105" s="79">
        <v>45790</v>
      </c>
      <c r="P1105" s="80" t="str">
        <f ca="1">IF(Proc[[#This Row],[DaysAgeing]]&gt;5,"yep","on track")</f>
        <v>yep</v>
      </c>
      <c r="Q1105" s="3">
        <f ca="1">IF(Proc[[#This Row],[DateClosed]]="",ABS(NETWORKDAYS(Proc[[#This Row],[DateOpened]],TODAY()))-1,ABS(NETWORKDAYS(Proc[[#This Row],[DateOpened]],Proc[[#This Row],[DateClosed]]))-1)</f>
        <v>6</v>
      </c>
      <c r="R1105" s="80" t="s">
        <v>410</v>
      </c>
      <c r="S1105" s="69"/>
    </row>
    <row r="1106" spans="1:19" hidden="1">
      <c r="A1106" s="72" t="s">
        <v>2900</v>
      </c>
      <c r="B1106" s="149" t="str">
        <f>IFERROR(VLOOKUP(Proc[[#This Row],[App]],Table2[],3,0),"open")</f>
        <v>ok</v>
      </c>
      <c r="C1106" s="72" t="s">
        <v>369</v>
      </c>
      <c r="D1106" t="s">
        <v>2960</v>
      </c>
      <c r="E1106" t="s">
        <v>3009</v>
      </c>
      <c r="F1106" s="117" t="s">
        <v>3009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HC</v>
      </c>
      <c r="L1106" s="69" t="s">
        <v>2563</v>
      </c>
      <c r="M1106" s="79">
        <v>45782.702824074076</v>
      </c>
      <c r="N1106" s="79">
        <v>45790</v>
      </c>
      <c r="O1106" s="79">
        <v>45790</v>
      </c>
      <c r="P1106" s="80" t="str">
        <f ca="1">IF(Proc[[#This Row],[DaysAgeing]]&gt;5,"yep","on track")</f>
        <v>yep</v>
      </c>
      <c r="Q1106" s="3">
        <f ca="1">IF(Proc[[#This Row],[DateClosed]]="",ABS(NETWORKDAYS(Proc[[#This Row],[DateOpened]],TODAY()))-1,ABS(NETWORKDAYS(Proc[[#This Row],[DateOpened]],Proc[[#This Row],[DateClosed]]))-1)</f>
        <v>6</v>
      </c>
      <c r="R1106" s="80" t="s">
        <v>410</v>
      </c>
      <c r="S1106" s="69"/>
    </row>
    <row r="1107" spans="1:19" hidden="1">
      <c r="A1107" s="72" t="s">
        <v>2900</v>
      </c>
      <c r="B1107" s="149" t="str">
        <f>IFERROR(VLOOKUP(Proc[[#This Row],[App]],Table2[],3,0),"open")</f>
        <v>ok</v>
      </c>
      <c r="C1107" s="72" t="s">
        <v>369</v>
      </c>
      <c r="D1107" t="s">
        <v>2961</v>
      </c>
      <c r="E1107" t="s">
        <v>3009</v>
      </c>
      <c r="F1107" s="117" t="s">
        <v>3009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HC</v>
      </c>
      <c r="L1107" s="69" t="s">
        <v>2563</v>
      </c>
      <c r="M1107" s="79">
        <v>45782.702824074076</v>
      </c>
      <c r="N1107" s="79">
        <v>45790</v>
      </c>
      <c r="O1107" s="79">
        <v>45790</v>
      </c>
      <c r="P1107" s="80" t="str">
        <f ca="1">IF(Proc[[#This Row],[DaysAgeing]]&gt;5,"yep","on track")</f>
        <v>yep</v>
      </c>
      <c r="Q1107" s="3">
        <f ca="1">IF(Proc[[#This Row],[DateClosed]]="",ABS(NETWORKDAYS(Proc[[#This Row],[DateOpened]],TODAY()))-1,ABS(NETWORKDAYS(Proc[[#This Row],[DateOpened]],Proc[[#This Row],[DateClosed]]))-1)</f>
        <v>6</v>
      </c>
      <c r="R1107" s="80" t="s">
        <v>410</v>
      </c>
      <c r="S1107" s="69"/>
    </row>
    <row r="1108" spans="1:19" hidden="1">
      <c r="A1108" s="72" t="s">
        <v>2900</v>
      </c>
      <c r="B1108" s="149" t="str">
        <f>IFERROR(VLOOKUP(Proc[[#This Row],[App]],Table2[],3,0),"open")</f>
        <v>ok</v>
      </c>
      <c r="C1108" s="72" t="s">
        <v>369</v>
      </c>
      <c r="D1108" t="s">
        <v>2962</v>
      </c>
      <c r="E1108" t="s">
        <v>3009</v>
      </c>
      <c r="F1108" s="117" t="s">
        <v>3009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HC</v>
      </c>
      <c r="L1108" s="69" t="s">
        <v>2563</v>
      </c>
      <c r="M1108" s="79">
        <v>45782.702824074076</v>
      </c>
      <c r="N1108" s="79">
        <v>45790</v>
      </c>
      <c r="O1108" s="79">
        <v>45790</v>
      </c>
      <c r="P1108" s="80" t="str">
        <f ca="1">IF(Proc[[#This Row],[DaysAgeing]]&gt;5,"yep","on track")</f>
        <v>yep</v>
      </c>
      <c r="Q1108" s="3">
        <f ca="1">IF(Proc[[#This Row],[DateClosed]]="",ABS(NETWORKDAYS(Proc[[#This Row],[DateOpened]],TODAY()))-1,ABS(NETWORKDAYS(Proc[[#This Row],[DateOpened]],Proc[[#This Row],[DateClosed]]))-1)</f>
        <v>6</v>
      </c>
      <c r="R1108" s="80" t="s">
        <v>410</v>
      </c>
      <c r="S1108" s="69"/>
    </row>
    <row r="1109" spans="1:19" hidden="1">
      <c r="A1109" s="72" t="s">
        <v>2900</v>
      </c>
      <c r="B1109" s="149" t="str">
        <f>IFERROR(VLOOKUP(Proc[[#This Row],[App]],Table2[],3,0),"open")</f>
        <v>ok</v>
      </c>
      <c r="C1109" s="72" t="s">
        <v>369</v>
      </c>
      <c r="D1109" t="s">
        <v>2963</v>
      </c>
      <c r="E1109" t="s">
        <v>3009</v>
      </c>
      <c r="F1109" s="117" t="s">
        <v>3009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HC</v>
      </c>
      <c r="L1109" s="69" t="s">
        <v>2563</v>
      </c>
      <c r="M1109" s="79">
        <v>45782.702824074076</v>
      </c>
      <c r="N1109" s="79">
        <v>45790</v>
      </c>
      <c r="O1109" s="79">
        <v>45790</v>
      </c>
      <c r="P1109" s="80" t="str">
        <f ca="1">IF(Proc[[#This Row],[DaysAgeing]]&gt;5,"yep","on track")</f>
        <v>yep</v>
      </c>
      <c r="Q1109" s="3">
        <f ca="1">IF(Proc[[#This Row],[DateClosed]]="",ABS(NETWORKDAYS(Proc[[#This Row],[DateOpened]],TODAY()))-1,ABS(NETWORKDAYS(Proc[[#This Row],[DateOpened]],Proc[[#This Row],[DateClosed]]))-1)</f>
        <v>6</v>
      </c>
      <c r="R1109" s="80" t="s">
        <v>410</v>
      </c>
      <c r="S1109" s="69"/>
    </row>
    <row r="1110" spans="1:19" hidden="1">
      <c r="A1110" s="72" t="s">
        <v>2900</v>
      </c>
      <c r="B1110" s="149" t="str">
        <f>IFERROR(VLOOKUP(Proc[[#This Row],[App]],Table2[],3,0),"open")</f>
        <v>ok</v>
      </c>
      <c r="C1110" s="72" t="s">
        <v>369</v>
      </c>
      <c r="D1110" t="s">
        <v>2964</v>
      </c>
      <c r="E1110" t="s">
        <v>3009</v>
      </c>
      <c r="F1110" s="117" t="s">
        <v>3009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HC</v>
      </c>
      <c r="L1110" s="69" t="s">
        <v>2563</v>
      </c>
      <c r="M1110" s="79">
        <v>45782.702824074076</v>
      </c>
      <c r="N1110" s="79">
        <v>45790</v>
      </c>
      <c r="O1110" s="79">
        <v>45790</v>
      </c>
      <c r="P1110" s="80" t="str">
        <f ca="1">IF(Proc[[#This Row],[DaysAgeing]]&gt;5,"yep","on track")</f>
        <v>yep</v>
      </c>
      <c r="Q1110" s="3">
        <f ca="1">IF(Proc[[#This Row],[DateClosed]]="",ABS(NETWORKDAYS(Proc[[#This Row],[DateOpened]],TODAY()))-1,ABS(NETWORKDAYS(Proc[[#This Row],[DateOpened]],Proc[[#This Row],[DateClosed]]))-1)</f>
        <v>6</v>
      </c>
      <c r="R1110" s="80" t="s">
        <v>410</v>
      </c>
      <c r="S1110" s="69"/>
    </row>
    <row r="1111" spans="1:19" hidden="1">
      <c r="A1111" s="72" t="s">
        <v>2900</v>
      </c>
      <c r="B1111" s="149" t="str">
        <f>IFERROR(VLOOKUP(Proc[[#This Row],[App]],Table2[],3,0),"open")</f>
        <v>ok</v>
      </c>
      <c r="C1111" s="72" t="s">
        <v>369</v>
      </c>
      <c r="D1111" t="s">
        <v>2965</v>
      </c>
      <c r="E1111" t="s">
        <v>3009</v>
      </c>
      <c r="F1111" s="117" t="s">
        <v>3009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HC</v>
      </c>
      <c r="L1111" s="69" t="s">
        <v>2563</v>
      </c>
      <c r="M1111" s="79">
        <v>45782.702824074076</v>
      </c>
      <c r="N1111" s="79">
        <v>45790</v>
      </c>
      <c r="O1111" s="79">
        <v>45790</v>
      </c>
      <c r="P1111" s="80" t="str">
        <f ca="1">IF(Proc[[#This Row],[DaysAgeing]]&gt;5,"yep","on track")</f>
        <v>yep</v>
      </c>
      <c r="Q1111" s="3">
        <f ca="1">IF(Proc[[#This Row],[DateClosed]]="",ABS(NETWORKDAYS(Proc[[#This Row],[DateOpened]],TODAY()))-1,ABS(NETWORKDAYS(Proc[[#This Row],[DateOpened]],Proc[[#This Row],[DateClosed]]))-1)</f>
        <v>6</v>
      </c>
      <c r="R1111" s="80" t="s">
        <v>410</v>
      </c>
      <c r="S1111" s="69"/>
    </row>
    <row r="1112" spans="1:19" hidden="1">
      <c r="A1112" s="72" t="s">
        <v>2900</v>
      </c>
      <c r="B1112" s="149" t="str">
        <f>IFERROR(VLOOKUP(Proc[[#This Row],[App]],Table2[],3,0),"open")</f>
        <v>ok</v>
      </c>
      <c r="C1112" s="72" t="s">
        <v>369</v>
      </c>
      <c r="D1112" t="s">
        <v>2966</v>
      </c>
      <c r="E1112" t="s">
        <v>3010</v>
      </c>
      <c r="F1112" s="117" t="s">
        <v>3010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HC</v>
      </c>
      <c r="L1112" s="69" t="s">
        <v>2563</v>
      </c>
      <c r="M1112" s="79">
        <v>45782.702824074076</v>
      </c>
      <c r="N1112" s="79">
        <v>45790</v>
      </c>
      <c r="O1112" s="79">
        <v>45790</v>
      </c>
      <c r="P1112" s="80" t="str">
        <f ca="1">IF(Proc[[#This Row],[DaysAgeing]]&gt;5,"yep","on track")</f>
        <v>yep</v>
      </c>
      <c r="Q1112" s="3">
        <f ca="1">IF(Proc[[#This Row],[DateClosed]]="",ABS(NETWORKDAYS(Proc[[#This Row],[DateOpened]],TODAY()))-1,ABS(NETWORKDAYS(Proc[[#This Row],[DateOpened]],Proc[[#This Row],[DateClosed]]))-1)</f>
        <v>6</v>
      </c>
      <c r="R1112" s="80" t="s">
        <v>410</v>
      </c>
      <c r="S1112" s="69"/>
    </row>
    <row r="1113" spans="1:19" hidden="1">
      <c r="A1113" s="72" t="s">
        <v>2900</v>
      </c>
      <c r="B1113" s="149" t="str">
        <f>IFERROR(VLOOKUP(Proc[[#This Row],[App]],Table2[],3,0),"open")</f>
        <v>ok</v>
      </c>
      <c r="C1113" s="72" t="s">
        <v>369</v>
      </c>
      <c r="D1113" t="s">
        <v>2967</v>
      </c>
      <c r="E1113" t="s">
        <v>3010</v>
      </c>
      <c r="F1113" s="117" t="s">
        <v>3010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HC</v>
      </c>
      <c r="L1113" s="69" t="s">
        <v>2563</v>
      </c>
      <c r="M1113" s="79">
        <v>45782.702824074076</v>
      </c>
      <c r="N1113" s="79">
        <v>45790</v>
      </c>
      <c r="O1113" s="79">
        <v>45790</v>
      </c>
      <c r="P1113" s="80" t="str">
        <f ca="1">IF(Proc[[#This Row],[DaysAgeing]]&gt;5,"yep","on track")</f>
        <v>yep</v>
      </c>
      <c r="Q1113" s="3">
        <f ca="1">IF(Proc[[#This Row],[DateClosed]]="",ABS(NETWORKDAYS(Proc[[#This Row],[DateOpened]],TODAY()))-1,ABS(NETWORKDAYS(Proc[[#This Row],[DateOpened]],Proc[[#This Row],[DateClosed]]))-1)</f>
        <v>6</v>
      </c>
      <c r="R1113" s="80" t="s">
        <v>410</v>
      </c>
      <c r="S1113" s="69"/>
    </row>
    <row r="1114" spans="1:19" hidden="1">
      <c r="A1114" s="72" t="s">
        <v>2900</v>
      </c>
      <c r="B1114" s="149" t="str">
        <f>IFERROR(VLOOKUP(Proc[[#This Row],[App]],Table2[],3,0),"open")</f>
        <v>ok</v>
      </c>
      <c r="C1114" s="72" t="s">
        <v>369</v>
      </c>
      <c r="D1114" t="s">
        <v>2968</v>
      </c>
      <c r="E1114" t="s">
        <v>3010</v>
      </c>
      <c r="F1114" s="117" t="s">
        <v>3010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HC</v>
      </c>
      <c r="L1114" s="69" t="s">
        <v>2563</v>
      </c>
      <c r="M1114" s="79">
        <v>45782.702824074076</v>
      </c>
      <c r="N1114" s="79">
        <v>45790</v>
      </c>
      <c r="O1114" s="79">
        <v>45790</v>
      </c>
      <c r="P1114" s="80" t="str">
        <f ca="1">IF(Proc[[#This Row],[DaysAgeing]]&gt;5,"yep","on track")</f>
        <v>yep</v>
      </c>
      <c r="Q1114" s="3">
        <f ca="1">IF(Proc[[#This Row],[DateClosed]]="",ABS(NETWORKDAYS(Proc[[#This Row],[DateOpened]],TODAY()))-1,ABS(NETWORKDAYS(Proc[[#This Row],[DateOpened]],Proc[[#This Row],[DateClosed]]))-1)</f>
        <v>6</v>
      </c>
      <c r="R1114" s="80" t="s">
        <v>410</v>
      </c>
      <c r="S1114" s="69"/>
    </row>
    <row r="1115" spans="1:19" hidden="1">
      <c r="A1115" s="72" t="s">
        <v>2900</v>
      </c>
      <c r="B1115" s="149" t="str">
        <f>IFERROR(VLOOKUP(Proc[[#This Row],[App]],Table2[],3,0),"open")</f>
        <v>ok</v>
      </c>
      <c r="C1115" s="72" t="s">
        <v>369</v>
      </c>
      <c r="D1115" t="s">
        <v>2969</v>
      </c>
      <c r="E1115" t="s">
        <v>3010</v>
      </c>
      <c r="F1115" s="117" t="s">
        <v>3010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HC</v>
      </c>
      <c r="L1115" s="69" t="s">
        <v>2563</v>
      </c>
      <c r="M1115" s="79">
        <v>45782.702824074076</v>
      </c>
      <c r="N1115" s="79">
        <v>45790</v>
      </c>
      <c r="O1115" s="79">
        <v>45790</v>
      </c>
      <c r="P1115" s="80" t="str">
        <f ca="1">IF(Proc[[#This Row],[DaysAgeing]]&gt;5,"yep","on track")</f>
        <v>yep</v>
      </c>
      <c r="Q1115" s="3">
        <f ca="1">IF(Proc[[#This Row],[DateClosed]]="",ABS(NETWORKDAYS(Proc[[#This Row],[DateOpened]],TODAY()))-1,ABS(NETWORKDAYS(Proc[[#This Row],[DateOpened]],Proc[[#This Row],[DateClosed]]))-1)</f>
        <v>6</v>
      </c>
      <c r="R1115" s="80" t="s">
        <v>410</v>
      </c>
      <c r="S1115" s="69"/>
    </row>
    <row r="1116" spans="1:19" hidden="1">
      <c r="A1116" s="72" t="s">
        <v>2900</v>
      </c>
      <c r="B1116" s="149" t="str">
        <f>IFERROR(VLOOKUP(Proc[[#This Row],[App]],Table2[],3,0),"open")</f>
        <v>ok</v>
      </c>
      <c r="C1116" s="72" t="s">
        <v>369</v>
      </c>
      <c r="D1116" t="s">
        <v>2970</v>
      </c>
      <c r="E1116" t="s">
        <v>3010</v>
      </c>
      <c r="F1116" s="117" t="s">
        <v>3010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HC</v>
      </c>
      <c r="L1116" s="69" t="s">
        <v>2563</v>
      </c>
      <c r="M1116" s="79">
        <v>45782.702824074076</v>
      </c>
      <c r="N1116" s="79">
        <v>45790</v>
      </c>
      <c r="O1116" s="79">
        <v>45790</v>
      </c>
      <c r="P1116" s="80" t="str">
        <f ca="1">IF(Proc[[#This Row],[DaysAgeing]]&gt;5,"yep","on track")</f>
        <v>yep</v>
      </c>
      <c r="Q1116" s="3">
        <f ca="1">IF(Proc[[#This Row],[DateClosed]]="",ABS(NETWORKDAYS(Proc[[#This Row],[DateOpened]],TODAY()))-1,ABS(NETWORKDAYS(Proc[[#This Row],[DateOpened]],Proc[[#This Row],[DateClosed]]))-1)</f>
        <v>6</v>
      </c>
      <c r="R1116" s="80" t="s">
        <v>410</v>
      </c>
      <c r="S1116" s="69"/>
    </row>
    <row r="1117" spans="1:19" hidden="1">
      <c r="A1117" s="72" t="s">
        <v>2900</v>
      </c>
      <c r="B1117" s="149" t="str">
        <f>IFERROR(VLOOKUP(Proc[[#This Row],[App]],Table2[],3,0),"open")</f>
        <v>ok</v>
      </c>
      <c r="C1117" s="72" t="s">
        <v>369</v>
      </c>
      <c r="D1117" t="s">
        <v>2971</v>
      </c>
      <c r="E1117" t="s">
        <v>3010</v>
      </c>
      <c r="F1117" s="117" t="s">
        <v>3010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HC</v>
      </c>
      <c r="L1117" s="69" t="s">
        <v>2563</v>
      </c>
      <c r="M1117" s="79">
        <v>45782.702824074076</v>
      </c>
      <c r="N1117" s="79">
        <v>45790</v>
      </c>
      <c r="O1117" s="79">
        <v>45790</v>
      </c>
      <c r="P1117" s="80" t="str">
        <f ca="1">IF(Proc[[#This Row],[DaysAgeing]]&gt;5,"yep","on track")</f>
        <v>yep</v>
      </c>
      <c r="Q1117" s="3">
        <f ca="1">IF(Proc[[#This Row],[DateClosed]]="",ABS(NETWORKDAYS(Proc[[#This Row],[DateOpened]],TODAY()))-1,ABS(NETWORKDAYS(Proc[[#This Row],[DateOpened]],Proc[[#This Row],[DateClosed]]))-1)</f>
        <v>6</v>
      </c>
      <c r="R1117" s="80" t="s">
        <v>410</v>
      </c>
      <c r="S1117" s="69"/>
    </row>
    <row r="1118" spans="1:19" hidden="1">
      <c r="A1118" s="72" t="s">
        <v>2900</v>
      </c>
      <c r="B1118" s="149" t="str">
        <f>IFERROR(VLOOKUP(Proc[[#This Row],[App]],Table2[],3,0),"open")</f>
        <v>ok</v>
      </c>
      <c r="C1118" s="72" t="s">
        <v>369</v>
      </c>
      <c r="D1118" t="s">
        <v>2972</v>
      </c>
      <c r="E1118" t="s">
        <v>3010</v>
      </c>
      <c r="F1118" s="117" t="s">
        <v>3010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HC</v>
      </c>
      <c r="L1118" s="69" t="s">
        <v>2563</v>
      </c>
      <c r="M1118" s="79">
        <v>45782.702824074076</v>
      </c>
      <c r="N1118" s="79">
        <v>45790</v>
      </c>
      <c r="O1118" s="79">
        <v>45790</v>
      </c>
      <c r="P1118" s="80" t="str">
        <f ca="1">IF(Proc[[#This Row],[DaysAgeing]]&gt;5,"yep","on track")</f>
        <v>yep</v>
      </c>
      <c r="Q1118" s="3">
        <f ca="1">IF(Proc[[#This Row],[DateClosed]]="",ABS(NETWORKDAYS(Proc[[#This Row],[DateOpened]],TODAY()))-1,ABS(NETWORKDAYS(Proc[[#This Row],[DateOpened]],Proc[[#This Row],[DateClosed]]))-1)</f>
        <v>6</v>
      </c>
      <c r="R1118" s="80" t="s">
        <v>410</v>
      </c>
      <c r="S1118" s="69"/>
    </row>
    <row r="1119" spans="1:19" hidden="1">
      <c r="A1119" s="72" t="s">
        <v>2900</v>
      </c>
      <c r="B1119" s="149" t="str">
        <f>IFERROR(VLOOKUP(Proc[[#This Row],[App]],Table2[],3,0),"open")</f>
        <v>ok</v>
      </c>
      <c r="C1119" s="72" t="s">
        <v>369</v>
      </c>
      <c r="D1119" t="s">
        <v>2973</v>
      </c>
      <c r="E1119" t="s">
        <v>3010</v>
      </c>
      <c r="F1119" s="117" t="s">
        <v>3010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HC</v>
      </c>
      <c r="L1119" s="69" t="s">
        <v>2563</v>
      </c>
      <c r="M1119" s="79">
        <v>45782.702824074076</v>
      </c>
      <c r="N1119" s="79">
        <v>45790</v>
      </c>
      <c r="O1119" s="79">
        <v>45790</v>
      </c>
      <c r="P1119" s="80" t="str">
        <f ca="1">IF(Proc[[#This Row],[DaysAgeing]]&gt;5,"yep","on track")</f>
        <v>yep</v>
      </c>
      <c r="Q1119" s="3">
        <f ca="1">IF(Proc[[#This Row],[DateClosed]]="",ABS(NETWORKDAYS(Proc[[#This Row],[DateOpened]],TODAY()))-1,ABS(NETWORKDAYS(Proc[[#This Row],[DateOpened]],Proc[[#This Row],[DateClosed]]))-1)</f>
        <v>6</v>
      </c>
      <c r="R1119" s="80" t="s">
        <v>410</v>
      </c>
      <c r="S1119" s="69"/>
    </row>
    <row r="1120" spans="1:19" hidden="1">
      <c r="A1120" s="72" t="s">
        <v>2900</v>
      </c>
      <c r="B1120" s="149" t="str">
        <f>IFERROR(VLOOKUP(Proc[[#This Row],[App]],Table2[],3,0),"open")</f>
        <v>ok</v>
      </c>
      <c r="C1120" s="72" t="s">
        <v>369</v>
      </c>
      <c r="D1120" t="s">
        <v>2974</v>
      </c>
      <c r="E1120" t="s">
        <v>3010</v>
      </c>
      <c r="F1120" s="117" t="s">
        <v>3010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HC</v>
      </c>
      <c r="L1120" s="69" t="s">
        <v>2563</v>
      </c>
      <c r="M1120" s="79">
        <v>45782.702824074076</v>
      </c>
      <c r="N1120" s="79">
        <v>45790</v>
      </c>
      <c r="O1120" s="79">
        <v>45790</v>
      </c>
      <c r="P1120" s="80" t="str">
        <f ca="1">IF(Proc[[#This Row],[DaysAgeing]]&gt;5,"yep","on track")</f>
        <v>yep</v>
      </c>
      <c r="Q1120" s="3">
        <f ca="1">IF(Proc[[#This Row],[DateClosed]]="",ABS(NETWORKDAYS(Proc[[#This Row],[DateOpened]],TODAY()))-1,ABS(NETWORKDAYS(Proc[[#This Row],[DateOpened]],Proc[[#This Row],[DateClosed]]))-1)</f>
        <v>6</v>
      </c>
      <c r="R1120" s="80" t="s">
        <v>410</v>
      </c>
      <c r="S1120" s="69"/>
    </row>
    <row r="1121" spans="1:19" hidden="1">
      <c r="A1121" s="72" t="s">
        <v>2900</v>
      </c>
      <c r="B1121" s="149" t="str">
        <f>IFERROR(VLOOKUP(Proc[[#This Row],[App]],Table2[],3,0),"open")</f>
        <v>ok</v>
      </c>
      <c r="C1121" s="72" t="s">
        <v>369</v>
      </c>
      <c r="D1121" t="s">
        <v>2975</v>
      </c>
      <c r="E1121" t="s">
        <v>3010</v>
      </c>
      <c r="F1121" s="117" t="s">
        <v>3010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HC</v>
      </c>
      <c r="L1121" s="69" t="s">
        <v>2563</v>
      </c>
      <c r="M1121" s="79">
        <v>45782.702824074076</v>
      </c>
      <c r="N1121" s="79">
        <v>45790</v>
      </c>
      <c r="O1121" s="79">
        <v>45790</v>
      </c>
      <c r="P1121" s="80" t="str">
        <f ca="1">IF(Proc[[#This Row],[DaysAgeing]]&gt;5,"yep","on track")</f>
        <v>yep</v>
      </c>
      <c r="Q1121" s="3">
        <f ca="1">IF(Proc[[#This Row],[DateClosed]]="",ABS(NETWORKDAYS(Proc[[#This Row],[DateOpened]],TODAY()))-1,ABS(NETWORKDAYS(Proc[[#This Row],[DateOpened]],Proc[[#This Row],[DateClosed]]))-1)</f>
        <v>6</v>
      </c>
      <c r="R1121" s="80" t="s">
        <v>410</v>
      </c>
      <c r="S1121" s="69"/>
    </row>
    <row r="1122" spans="1:19" hidden="1">
      <c r="A1122" s="72" t="s">
        <v>2900</v>
      </c>
      <c r="B1122" s="149" t="str">
        <f>IFERROR(VLOOKUP(Proc[[#This Row],[App]],Table2[],3,0),"open")</f>
        <v>ok</v>
      </c>
      <c r="C1122" s="72" t="s">
        <v>369</v>
      </c>
      <c r="D1122" t="s">
        <v>2976</v>
      </c>
      <c r="E1122" t="s">
        <v>3010</v>
      </c>
      <c r="F1122" s="117" t="s">
        <v>3010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HC</v>
      </c>
      <c r="L1122" s="69" t="s">
        <v>2563</v>
      </c>
      <c r="M1122" s="79">
        <v>45782.702824074076</v>
      </c>
      <c r="N1122" s="79">
        <v>45790</v>
      </c>
      <c r="O1122" s="79">
        <v>45790</v>
      </c>
      <c r="P1122" s="80" t="str">
        <f ca="1">IF(Proc[[#This Row],[DaysAgeing]]&gt;5,"yep","on track")</f>
        <v>yep</v>
      </c>
      <c r="Q1122" s="3">
        <f ca="1">IF(Proc[[#This Row],[DateClosed]]="",ABS(NETWORKDAYS(Proc[[#This Row],[DateOpened]],TODAY()))-1,ABS(NETWORKDAYS(Proc[[#This Row],[DateOpened]],Proc[[#This Row],[DateClosed]]))-1)</f>
        <v>6</v>
      </c>
      <c r="R1122" s="80" t="s">
        <v>410</v>
      </c>
      <c r="S1122" s="69"/>
    </row>
    <row r="1123" spans="1:19" hidden="1">
      <c r="A1123" s="72" t="s">
        <v>2900</v>
      </c>
      <c r="B1123" s="149" t="str">
        <f>IFERROR(VLOOKUP(Proc[[#This Row],[App]],Table2[],3,0),"open")</f>
        <v>ok</v>
      </c>
      <c r="C1123" s="72" t="s">
        <v>369</v>
      </c>
      <c r="D1123" t="s">
        <v>2977</v>
      </c>
      <c r="E1123" t="s">
        <v>3010</v>
      </c>
      <c r="F1123" s="117" t="s">
        <v>3010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HC</v>
      </c>
      <c r="L1123" s="69" t="s">
        <v>2563</v>
      </c>
      <c r="M1123" s="79">
        <v>45782.702824074076</v>
      </c>
      <c r="N1123" s="79">
        <v>45790</v>
      </c>
      <c r="O1123" s="79">
        <v>45790</v>
      </c>
      <c r="P1123" s="80" t="str">
        <f ca="1">IF(Proc[[#This Row],[DaysAgeing]]&gt;5,"yep","on track")</f>
        <v>yep</v>
      </c>
      <c r="Q1123" s="3">
        <f ca="1">IF(Proc[[#This Row],[DateClosed]]="",ABS(NETWORKDAYS(Proc[[#This Row],[DateOpened]],TODAY()))-1,ABS(NETWORKDAYS(Proc[[#This Row],[DateOpened]],Proc[[#This Row],[DateClosed]]))-1)</f>
        <v>6</v>
      </c>
      <c r="R1123" s="80" t="s">
        <v>410</v>
      </c>
      <c r="S1123" s="69"/>
    </row>
    <row r="1124" spans="1:19" hidden="1">
      <c r="A1124" s="72" t="s">
        <v>2900</v>
      </c>
      <c r="B1124" s="149" t="str">
        <f>IFERROR(VLOOKUP(Proc[[#This Row],[App]],Table2[],3,0),"open")</f>
        <v>ok</v>
      </c>
      <c r="C1124" s="72" t="s">
        <v>369</v>
      </c>
      <c r="D1124" t="s">
        <v>2978</v>
      </c>
      <c r="E1124" t="s">
        <v>3010</v>
      </c>
      <c r="F1124" s="117" t="s">
        <v>3010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HC</v>
      </c>
      <c r="L1124" s="69" t="s">
        <v>2563</v>
      </c>
      <c r="M1124" s="79">
        <v>45782.702824074076</v>
      </c>
      <c r="N1124" s="79">
        <v>45790</v>
      </c>
      <c r="O1124" s="79">
        <v>45790</v>
      </c>
      <c r="P1124" s="80" t="str">
        <f ca="1">IF(Proc[[#This Row],[DaysAgeing]]&gt;5,"yep","on track")</f>
        <v>yep</v>
      </c>
      <c r="Q1124" s="3">
        <f ca="1">IF(Proc[[#This Row],[DateClosed]]="",ABS(NETWORKDAYS(Proc[[#This Row],[DateOpened]],TODAY()))-1,ABS(NETWORKDAYS(Proc[[#This Row],[DateOpened]],Proc[[#This Row],[DateClosed]]))-1)</f>
        <v>6</v>
      </c>
      <c r="R1124" s="80" t="s">
        <v>410</v>
      </c>
      <c r="S1124" s="69"/>
    </row>
    <row r="1125" spans="1:19" hidden="1">
      <c r="A1125" s="72" t="s">
        <v>2900</v>
      </c>
      <c r="B1125" s="149" t="str">
        <f>IFERROR(VLOOKUP(Proc[[#This Row],[App]],Table2[],3,0),"open")</f>
        <v>ok</v>
      </c>
      <c r="C1125" s="72" t="s">
        <v>369</v>
      </c>
      <c r="D1125" t="s">
        <v>2979</v>
      </c>
      <c r="E1125" t="s">
        <v>3010</v>
      </c>
      <c r="F1125" s="117" t="s">
        <v>3010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HC</v>
      </c>
      <c r="L1125" s="69" t="s">
        <v>2563</v>
      </c>
      <c r="M1125" s="79">
        <v>45782.702824074076</v>
      </c>
      <c r="N1125" s="79">
        <v>45790</v>
      </c>
      <c r="O1125" s="79">
        <v>45790</v>
      </c>
      <c r="P1125" s="80" t="str">
        <f ca="1">IF(Proc[[#This Row],[DaysAgeing]]&gt;5,"yep","on track")</f>
        <v>yep</v>
      </c>
      <c r="Q1125" s="3">
        <f ca="1">IF(Proc[[#This Row],[DateClosed]]="",ABS(NETWORKDAYS(Proc[[#This Row],[DateOpened]],TODAY()))-1,ABS(NETWORKDAYS(Proc[[#This Row],[DateOpened]],Proc[[#This Row],[DateClosed]]))-1)</f>
        <v>6</v>
      </c>
      <c r="R1125" s="80" t="s">
        <v>410</v>
      </c>
      <c r="S1125" s="69"/>
    </row>
    <row r="1126" spans="1:19" hidden="1">
      <c r="A1126" s="72" t="s">
        <v>2900</v>
      </c>
      <c r="B1126" s="149" t="str">
        <f>IFERROR(VLOOKUP(Proc[[#This Row],[App]],Table2[],3,0),"open")</f>
        <v>ok</v>
      </c>
      <c r="C1126" s="72" t="s">
        <v>369</v>
      </c>
      <c r="D1126" t="s">
        <v>2980</v>
      </c>
      <c r="E1126" t="s">
        <v>3010</v>
      </c>
      <c r="F1126" s="117" t="s">
        <v>3010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HC</v>
      </c>
      <c r="L1126" s="69" t="s">
        <v>2563</v>
      </c>
      <c r="M1126" s="79">
        <v>45782.702824074076</v>
      </c>
      <c r="N1126" s="79">
        <v>45790</v>
      </c>
      <c r="O1126" s="79">
        <v>45790</v>
      </c>
      <c r="P1126" s="80" t="str">
        <f ca="1">IF(Proc[[#This Row],[DaysAgeing]]&gt;5,"yep","on track")</f>
        <v>yep</v>
      </c>
      <c r="Q1126" s="3">
        <f ca="1">IF(Proc[[#This Row],[DateClosed]]="",ABS(NETWORKDAYS(Proc[[#This Row],[DateOpened]],TODAY()))-1,ABS(NETWORKDAYS(Proc[[#This Row],[DateOpened]],Proc[[#This Row],[DateClosed]]))-1)</f>
        <v>6</v>
      </c>
      <c r="R1126" s="80" t="s">
        <v>410</v>
      </c>
      <c r="S1126" s="69"/>
    </row>
    <row r="1127" spans="1:19" hidden="1">
      <c r="A1127" s="72" t="s">
        <v>2900</v>
      </c>
      <c r="B1127" s="149" t="str">
        <f>IFERROR(VLOOKUP(Proc[[#This Row],[App]],Table2[],3,0),"open")</f>
        <v>ok</v>
      </c>
      <c r="C1127" s="72" t="s">
        <v>369</v>
      </c>
      <c r="D1127" t="s">
        <v>2981</v>
      </c>
      <c r="E1127" t="s">
        <v>3010</v>
      </c>
      <c r="F1127" s="117" t="s">
        <v>3010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HC</v>
      </c>
      <c r="L1127" s="69" t="s">
        <v>2563</v>
      </c>
      <c r="M1127" s="79">
        <v>45782.702824074076</v>
      </c>
      <c r="N1127" s="79">
        <v>45790</v>
      </c>
      <c r="O1127" s="79">
        <v>45790</v>
      </c>
      <c r="P1127" s="80" t="str">
        <f ca="1">IF(Proc[[#This Row],[DaysAgeing]]&gt;5,"yep","on track")</f>
        <v>yep</v>
      </c>
      <c r="Q1127" s="3">
        <f ca="1">IF(Proc[[#This Row],[DateClosed]]="",ABS(NETWORKDAYS(Proc[[#This Row],[DateOpened]],TODAY()))-1,ABS(NETWORKDAYS(Proc[[#This Row],[DateOpened]],Proc[[#This Row],[DateClosed]]))-1)</f>
        <v>6</v>
      </c>
      <c r="R1127" s="80" t="s">
        <v>410</v>
      </c>
      <c r="S1127" s="69"/>
    </row>
    <row r="1128" spans="1:19" hidden="1">
      <c r="A1128" s="72" t="s">
        <v>2900</v>
      </c>
      <c r="B1128" s="149" t="str">
        <f>IFERROR(VLOOKUP(Proc[[#This Row],[App]],Table2[],3,0),"open")</f>
        <v>ok</v>
      </c>
      <c r="C1128" s="72" t="s">
        <v>369</v>
      </c>
      <c r="D1128" t="s">
        <v>2982</v>
      </c>
      <c r="E1128" t="s">
        <v>3010</v>
      </c>
      <c r="F1128" s="117" t="s">
        <v>3010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HC</v>
      </c>
      <c r="L1128" s="69" t="s">
        <v>2563</v>
      </c>
      <c r="M1128" s="79">
        <v>45782.702824074076</v>
      </c>
      <c r="N1128" s="79">
        <v>45790</v>
      </c>
      <c r="O1128" s="79">
        <v>45790</v>
      </c>
      <c r="P1128" s="80" t="str">
        <f ca="1">IF(Proc[[#This Row],[DaysAgeing]]&gt;5,"yep","on track")</f>
        <v>yep</v>
      </c>
      <c r="Q1128" s="3">
        <f ca="1">IF(Proc[[#This Row],[DateClosed]]="",ABS(NETWORKDAYS(Proc[[#This Row],[DateOpened]],TODAY()))-1,ABS(NETWORKDAYS(Proc[[#This Row],[DateOpened]],Proc[[#This Row],[DateClosed]]))-1)</f>
        <v>6</v>
      </c>
      <c r="R1128" s="80" t="s">
        <v>410</v>
      </c>
      <c r="S1128" s="69"/>
    </row>
    <row r="1129" spans="1:19" hidden="1">
      <c r="A1129" s="72" t="s">
        <v>2900</v>
      </c>
      <c r="B1129" s="149" t="str">
        <f>IFERROR(VLOOKUP(Proc[[#This Row],[App]],Table2[],3,0),"open")</f>
        <v>ok</v>
      </c>
      <c r="C1129" s="72" t="s">
        <v>369</v>
      </c>
      <c r="D1129" t="s">
        <v>2983</v>
      </c>
      <c r="E1129" t="s">
        <v>3010</v>
      </c>
      <c r="F1129" s="117" t="s">
        <v>3010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HC</v>
      </c>
      <c r="L1129" s="69" t="s">
        <v>2563</v>
      </c>
      <c r="M1129" s="79">
        <v>45782.702824074076</v>
      </c>
      <c r="N1129" s="79">
        <v>45790</v>
      </c>
      <c r="O1129" s="79">
        <v>45790</v>
      </c>
      <c r="P1129" s="80" t="str">
        <f ca="1">IF(Proc[[#This Row],[DaysAgeing]]&gt;5,"yep","on track")</f>
        <v>yep</v>
      </c>
      <c r="Q1129" s="3">
        <f ca="1">IF(Proc[[#This Row],[DateClosed]]="",ABS(NETWORKDAYS(Proc[[#This Row],[DateOpened]],TODAY()))-1,ABS(NETWORKDAYS(Proc[[#This Row],[DateOpened]],Proc[[#This Row],[DateClosed]]))-1)</f>
        <v>6</v>
      </c>
      <c r="R1129" s="80" t="s">
        <v>410</v>
      </c>
      <c r="S1129" s="69"/>
    </row>
    <row r="1130" spans="1:19" hidden="1">
      <c r="A1130" s="72" t="s">
        <v>2900</v>
      </c>
      <c r="B1130" s="149" t="str">
        <f>IFERROR(VLOOKUP(Proc[[#This Row],[App]],Table2[],3,0),"open")</f>
        <v>ok</v>
      </c>
      <c r="C1130" s="72" t="s">
        <v>369</v>
      </c>
      <c r="D1130" t="s">
        <v>2984</v>
      </c>
      <c r="E1130" t="s">
        <v>3010</v>
      </c>
      <c r="F1130" s="117" t="s">
        <v>3010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HC</v>
      </c>
      <c r="L1130" s="69" t="s">
        <v>2563</v>
      </c>
      <c r="M1130" s="79">
        <v>45782.702824074076</v>
      </c>
      <c r="N1130" s="79">
        <v>45790</v>
      </c>
      <c r="O1130" s="79">
        <v>45790</v>
      </c>
      <c r="P1130" s="80" t="str">
        <f ca="1">IF(Proc[[#This Row],[DaysAgeing]]&gt;5,"yep","on track")</f>
        <v>yep</v>
      </c>
      <c r="Q1130" s="3">
        <f ca="1">IF(Proc[[#This Row],[DateClosed]]="",ABS(NETWORKDAYS(Proc[[#This Row],[DateOpened]],TODAY()))-1,ABS(NETWORKDAYS(Proc[[#This Row],[DateOpened]],Proc[[#This Row],[DateClosed]]))-1)</f>
        <v>6</v>
      </c>
      <c r="R1130" s="80" t="s">
        <v>410</v>
      </c>
      <c r="S1130" s="69"/>
    </row>
    <row r="1131" spans="1:19" hidden="1">
      <c r="A1131" s="72" t="s">
        <v>2900</v>
      </c>
      <c r="B1131" s="149" t="str">
        <f>IFERROR(VLOOKUP(Proc[[#This Row],[App]],Table2[],3,0),"open")</f>
        <v>ok</v>
      </c>
      <c r="C1131" s="72" t="s">
        <v>369</v>
      </c>
      <c r="D1131" t="s">
        <v>2985</v>
      </c>
      <c r="E1131" t="s">
        <v>3010</v>
      </c>
      <c r="F1131" s="117" t="s">
        <v>3010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HC</v>
      </c>
      <c r="L1131" s="69" t="s">
        <v>2563</v>
      </c>
      <c r="M1131" s="79">
        <v>45782.702824074076</v>
      </c>
      <c r="N1131" s="79">
        <v>45790</v>
      </c>
      <c r="O1131" s="79">
        <v>45790</v>
      </c>
      <c r="P1131" s="80" t="str">
        <f ca="1">IF(Proc[[#This Row],[DaysAgeing]]&gt;5,"yep","on track")</f>
        <v>yep</v>
      </c>
      <c r="Q1131" s="3">
        <f ca="1">IF(Proc[[#This Row],[DateClosed]]="",ABS(NETWORKDAYS(Proc[[#This Row],[DateOpened]],TODAY()))-1,ABS(NETWORKDAYS(Proc[[#This Row],[DateOpened]],Proc[[#This Row],[DateClosed]]))-1)</f>
        <v>6</v>
      </c>
      <c r="R1131" s="80" t="s">
        <v>410</v>
      </c>
      <c r="S1131" s="69"/>
    </row>
    <row r="1132" spans="1:19" hidden="1">
      <c r="A1132" s="72" t="s">
        <v>2900</v>
      </c>
      <c r="B1132" s="149" t="str">
        <f>IFERROR(VLOOKUP(Proc[[#This Row],[App]],Table2[],3,0),"open")</f>
        <v>ok</v>
      </c>
      <c r="C1132" s="72" t="s">
        <v>369</v>
      </c>
      <c r="D1132" t="s">
        <v>2986</v>
      </c>
      <c r="E1132" t="s">
        <v>3010</v>
      </c>
      <c r="F1132" s="117" t="s">
        <v>3010</v>
      </c>
      <c r="G1132" s="72" t="s">
        <v>400</v>
      </c>
      <c r="H1132" s="69" t="str">
        <f>IF(Proc[[#This Row],[type]]="LFF (MDG-F)",MID(Proc[[#This Row],[Obj]],13,10),"")</f>
        <v/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HC</v>
      </c>
      <c r="L1132" s="69" t="s">
        <v>2563</v>
      </c>
      <c r="M1132" s="79">
        <v>45782.702824074076</v>
      </c>
      <c r="N1132" s="79">
        <v>45790</v>
      </c>
      <c r="O1132" s="79">
        <v>45790</v>
      </c>
      <c r="P1132" s="80" t="str">
        <f ca="1">IF(Proc[[#This Row],[DaysAgeing]]&gt;5,"yep","on track")</f>
        <v>yep</v>
      </c>
      <c r="Q1132" s="3">
        <f ca="1">IF(Proc[[#This Row],[DateClosed]]="",ABS(NETWORKDAYS(Proc[[#This Row],[DateOpened]],TODAY()))-1,ABS(NETWORKDAYS(Proc[[#This Row],[DateOpened]],Proc[[#This Row],[DateClosed]]))-1)</f>
        <v>6</v>
      </c>
      <c r="R1132" s="80" t="s">
        <v>410</v>
      </c>
      <c r="S1132" s="69"/>
    </row>
    <row r="1133" spans="1:19" hidden="1">
      <c r="A1133" s="72" t="s">
        <v>2900</v>
      </c>
      <c r="B1133" s="149" t="str">
        <f>IFERROR(VLOOKUP(Proc[[#This Row],[App]],Table2[],3,0),"open")</f>
        <v>ok</v>
      </c>
      <c r="C1133" s="72" t="s">
        <v>369</v>
      </c>
      <c r="D1133" t="s">
        <v>2987</v>
      </c>
      <c r="E1133" t="s">
        <v>3010</v>
      </c>
      <c r="F1133" s="117" t="s">
        <v>3010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HC</v>
      </c>
      <c r="L1133" s="69" t="s">
        <v>2563</v>
      </c>
      <c r="M1133" s="79">
        <v>45782.702824074076</v>
      </c>
      <c r="N1133" s="79">
        <v>45790</v>
      </c>
      <c r="O1133" s="79">
        <v>45790</v>
      </c>
      <c r="P1133" s="80" t="str">
        <f ca="1">IF(Proc[[#This Row],[DaysAgeing]]&gt;5,"yep","on track")</f>
        <v>yep</v>
      </c>
      <c r="Q1133" s="3">
        <f ca="1">IF(Proc[[#This Row],[DateClosed]]="",ABS(NETWORKDAYS(Proc[[#This Row],[DateOpened]],TODAY()))-1,ABS(NETWORKDAYS(Proc[[#This Row],[DateOpened]],Proc[[#This Row],[DateClosed]]))-1)</f>
        <v>6</v>
      </c>
      <c r="R1133" s="80" t="s">
        <v>410</v>
      </c>
      <c r="S1133" s="69"/>
    </row>
    <row r="1134" spans="1:19" hidden="1">
      <c r="A1134" s="72" t="s">
        <v>2900</v>
      </c>
      <c r="B1134" s="149" t="str">
        <f>IFERROR(VLOOKUP(Proc[[#This Row],[App]],Table2[],3,0),"open")</f>
        <v>ok</v>
      </c>
      <c r="C1134" s="72" t="s">
        <v>369</v>
      </c>
      <c r="D1134" t="s">
        <v>2988</v>
      </c>
      <c r="E1134" t="s">
        <v>3010</v>
      </c>
      <c r="F1134" s="117" t="s">
        <v>3010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HC</v>
      </c>
      <c r="L1134" s="69" t="s">
        <v>2563</v>
      </c>
      <c r="M1134" s="79">
        <v>45782.702824074076</v>
      </c>
      <c r="N1134" s="79">
        <v>45790</v>
      </c>
      <c r="O1134" s="79">
        <v>45790</v>
      </c>
      <c r="P1134" s="80" t="str">
        <f ca="1">IF(Proc[[#This Row],[DaysAgeing]]&gt;5,"yep","on track")</f>
        <v>yep</v>
      </c>
      <c r="Q1134" s="3">
        <f ca="1">IF(Proc[[#This Row],[DateClosed]]="",ABS(NETWORKDAYS(Proc[[#This Row],[DateOpened]],TODAY()))-1,ABS(NETWORKDAYS(Proc[[#This Row],[DateOpened]],Proc[[#This Row],[DateClosed]]))-1)</f>
        <v>6</v>
      </c>
      <c r="R1134" s="80" t="s">
        <v>410</v>
      </c>
      <c r="S1134" s="69"/>
    </row>
    <row r="1135" spans="1:19" hidden="1">
      <c r="A1135" s="72" t="s">
        <v>2900</v>
      </c>
      <c r="B1135" s="149" t="str">
        <f>IFERROR(VLOOKUP(Proc[[#This Row],[App]],Table2[],3,0),"open")</f>
        <v>ok</v>
      </c>
      <c r="C1135" s="72" t="s">
        <v>369</v>
      </c>
      <c r="D1135" t="s">
        <v>2989</v>
      </c>
      <c r="E1135" t="s">
        <v>3010</v>
      </c>
      <c r="F1135" s="117" t="s">
        <v>3010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HC</v>
      </c>
      <c r="L1135" s="69" t="s">
        <v>2563</v>
      </c>
      <c r="M1135" s="79">
        <v>45782.702824074076</v>
      </c>
      <c r="N1135" s="79">
        <v>45790</v>
      </c>
      <c r="O1135" s="79">
        <v>45790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410</v>
      </c>
      <c r="S1135" s="69"/>
    </row>
    <row r="1136" spans="1:19" hidden="1">
      <c r="A1136" s="72" t="s">
        <v>2900</v>
      </c>
      <c r="B1136" s="149" t="str">
        <f>IFERROR(VLOOKUP(Proc[[#This Row],[App]],Table2[],3,0),"open")</f>
        <v>ok</v>
      </c>
      <c r="C1136" s="72" t="s">
        <v>369</v>
      </c>
      <c r="D1136" t="s">
        <v>2990</v>
      </c>
      <c r="E1136" t="s">
        <v>3010</v>
      </c>
      <c r="F1136" s="117" t="s">
        <v>3010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HC</v>
      </c>
      <c r="L1136" s="69" t="s">
        <v>2563</v>
      </c>
      <c r="M1136" s="79">
        <v>45782.702824074076</v>
      </c>
      <c r="N1136" s="79">
        <v>45790</v>
      </c>
      <c r="O1136" s="79">
        <v>45790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410</v>
      </c>
      <c r="S1136" s="69"/>
    </row>
    <row r="1137" spans="1:19" hidden="1">
      <c r="A1137" s="72" t="s">
        <v>2900</v>
      </c>
      <c r="B1137" s="149" t="str">
        <f>IFERROR(VLOOKUP(Proc[[#This Row],[App]],Table2[],3,0),"open")</f>
        <v>ok</v>
      </c>
      <c r="C1137" s="72" t="s">
        <v>369</v>
      </c>
      <c r="D1137" t="s">
        <v>2991</v>
      </c>
      <c r="E1137" t="s">
        <v>3010</v>
      </c>
      <c r="F1137" s="117" t="s">
        <v>3010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HC</v>
      </c>
      <c r="L1137" s="69" t="s">
        <v>2563</v>
      </c>
      <c r="M1137" s="79">
        <v>45782.702824074076</v>
      </c>
      <c r="N1137" s="79">
        <v>45790</v>
      </c>
      <c r="O1137" s="79">
        <v>45790</v>
      </c>
      <c r="P1137" s="80" t="str">
        <f ca="1">IF(Proc[[#This Row],[DaysAgeing]]&gt;5,"yep","on track")</f>
        <v>yep</v>
      </c>
      <c r="Q1137" s="3">
        <f ca="1">IF(Proc[[#This Row],[DateClosed]]="",ABS(NETWORKDAYS(Proc[[#This Row],[DateOpened]],TODAY()))-1,ABS(NETWORKDAYS(Proc[[#This Row],[DateOpened]],Proc[[#This Row],[DateClosed]]))-1)</f>
        <v>6</v>
      </c>
      <c r="R1137" s="80" t="s">
        <v>410</v>
      </c>
      <c r="S1137" s="69"/>
    </row>
    <row r="1138" spans="1:19" hidden="1">
      <c r="A1138" s="72" t="s">
        <v>2900</v>
      </c>
      <c r="B1138" s="149" t="str">
        <f>IFERROR(VLOOKUP(Proc[[#This Row],[App]],Table2[],3,0),"open")</f>
        <v>ok</v>
      </c>
      <c r="C1138" s="72" t="s">
        <v>369</v>
      </c>
      <c r="D1138" t="s">
        <v>2992</v>
      </c>
      <c r="E1138" t="s">
        <v>3010</v>
      </c>
      <c r="F1138" s="117" t="s">
        <v>3010</v>
      </c>
      <c r="G1138" s="72" t="s">
        <v>400</v>
      </c>
      <c r="H1138" s="69" t="str">
        <f>IF(Proc[[#This Row],[type]]="LFF (MDG-F)",MID(Proc[[#This Row],[Obj]],13,10),"")</f>
        <v/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HC</v>
      </c>
      <c r="L1138" s="69" t="s">
        <v>2563</v>
      </c>
      <c r="M1138" s="79">
        <v>45782.702824074076</v>
      </c>
      <c r="N1138" s="79">
        <v>45790</v>
      </c>
      <c r="O1138" s="79">
        <v>45790</v>
      </c>
      <c r="P1138" s="80" t="str">
        <f ca="1">IF(Proc[[#This Row],[DaysAgeing]]&gt;5,"yep","on track")</f>
        <v>yep</v>
      </c>
      <c r="Q1138" s="3">
        <f ca="1">IF(Proc[[#This Row],[DateClosed]]="",ABS(NETWORKDAYS(Proc[[#This Row],[DateOpened]],TODAY()))-1,ABS(NETWORKDAYS(Proc[[#This Row],[DateOpened]],Proc[[#This Row],[DateClosed]]))-1)</f>
        <v>6</v>
      </c>
      <c r="R1138" s="80" t="s">
        <v>410</v>
      </c>
      <c r="S1138" s="69"/>
    </row>
    <row r="1139" spans="1:19" hidden="1">
      <c r="A1139" s="72" t="s">
        <v>2900</v>
      </c>
      <c r="B1139" s="149" t="str">
        <f>IFERROR(VLOOKUP(Proc[[#This Row],[App]],Table2[],3,0),"open")</f>
        <v>ok</v>
      </c>
      <c r="C1139" s="72" t="s">
        <v>369</v>
      </c>
      <c r="D1139" t="s">
        <v>2993</v>
      </c>
      <c r="E1139" t="s">
        <v>3010</v>
      </c>
      <c r="F1139" s="117" t="s">
        <v>3010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HC</v>
      </c>
      <c r="L1139" s="69" t="s">
        <v>2563</v>
      </c>
      <c r="M1139" s="79">
        <v>45782.702824074076</v>
      </c>
      <c r="N1139" s="79">
        <v>45790</v>
      </c>
      <c r="O1139" s="79">
        <v>45790</v>
      </c>
      <c r="P1139" s="80" t="str">
        <f ca="1">IF(Proc[[#This Row],[DaysAgeing]]&gt;5,"yep","on track")</f>
        <v>yep</v>
      </c>
      <c r="Q1139" s="3">
        <f ca="1">IF(Proc[[#This Row],[DateClosed]]="",ABS(NETWORKDAYS(Proc[[#This Row],[DateOpened]],TODAY()))-1,ABS(NETWORKDAYS(Proc[[#This Row],[DateOpened]],Proc[[#This Row],[DateClosed]]))-1)</f>
        <v>6</v>
      </c>
      <c r="R1139" s="80" t="s">
        <v>410</v>
      </c>
      <c r="S1139" s="69"/>
    </row>
    <row r="1140" spans="1:19" hidden="1">
      <c r="A1140" s="72" t="s">
        <v>2900</v>
      </c>
      <c r="B1140" s="149" t="str">
        <f>IFERROR(VLOOKUP(Proc[[#This Row],[App]],Table2[],3,0),"open")</f>
        <v>ok</v>
      </c>
      <c r="C1140" s="72" t="s">
        <v>369</v>
      </c>
      <c r="D1140" t="s">
        <v>2994</v>
      </c>
      <c r="E1140" t="s">
        <v>3010</v>
      </c>
      <c r="F1140" s="117" t="s">
        <v>3010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HC</v>
      </c>
      <c r="L1140" s="69" t="s">
        <v>2563</v>
      </c>
      <c r="M1140" s="79">
        <v>45782.702824074076</v>
      </c>
      <c r="N1140" s="79">
        <v>45790</v>
      </c>
      <c r="O1140" s="79">
        <v>45790</v>
      </c>
      <c r="P1140" s="80" t="str">
        <f ca="1">IF(Proc[[#This Row],[DaysAgeing]]&gt;5,"yep","on track")</f>
        <v>yep</v>
      </c>
      <c r="Q1140" s="3">
        <f ca="1">IF(Proc[[#This Row],[DateClosed]]="",ABS(NETWORKDAYS(Proc[[#This Row],[DateOpened]],TODAY()))-1,ABS(NETWORKDAYS(Proc[[#This Row],[DateOpened]],Proc[[#This Row],[DateClosed]]))-1)</f>
        <v>6</v>
      </c>
      <c r="R1140" s="80" t="s">
        <v>410</v>
      </c>
      <c r="S1140" s="69"/>
    </row>
    <row r="1141" spans="1:19" hidden="1">
      <c r="A1141" s="72" t="s">
        <v>2900</v>
      </c>
      <c r="B1141" s="149" t="str">
        <f>IFERROR(VLOOKUP(Proc[[#This Row],[App]],Table2[],3,0),"open")</f>
        <v>ok</v>
      </c>
      <c r="C1141" s="72" t="s">
        <v>369</v>
      </c>
      <c r="D1141" t="s">
        <v>2995</v>
      </c>
      <c r="E1141" t="s">
        <v>3010</v>
      </c>
      <c r="F1141" s="117" t="s">
        <v>3010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HC</v>
      </c>
      <c r="L1141" s="69" t="s">
        <v>2563</v>
      </c>
      <c r="M1141" s="79">
        <v>45782.702824074076</v>
      </c>
      <c r="N1141" s="79">
        <v>45790</v>
      </c>
      <c r="O1141" s="79">
        <v>45790</v>
      </c>
      <c r="P1141" s="80" t="str">
        <f ca="1">IF(Proc[[#This Row],[DaysAgeing]]&gt;5,"yep","on track")</f>
        <v>yep</v>
      </c>
      <c r="Q1141" s="3">
        <f ca="1">IF(Proc[[#This Row],[DateClosed]]="",ABS(NETWORKDAYS(Proc[[#This Row],[DateOpened]],TODAY()))-1,ABS(NETWORKDAYS(Proc[[#This Row],[DateOpened]],Proc[[#This Row],[DateClosed]]))-1)</f>
        <v>6</v>
      </c>
      <c r="R1141" s="80" t="s">
        <v>410</v>
      </c>
      <c r="S1141" s="69"/>
    </row>
    <row r="1142" spans="1:19" hidden="1">
      <c r="A1142" s="72" t="s">
        <v>2900</v>
      </c>
      <c r="B1142" s="149" t="str">
        <f>IFERROR(VLOOKUP(Proc[[#This Row],[App]],Table2[],3,0),"open")</f>
        <v>ok</v>
      </c>
      <c r="C1142" s="72" t="s">
        <v>369</v>
      </c>
      <c r="D1142" t="s">
        <v>2996</v>
      </c>
      <c r="E1142" t="s">
        <v>3010</v>
      </c>
      <c r="F1142" s="117" t="s">
        <v>3010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HC</v>
      </c>
      <c r="L1142" s="69" t="s">
        <v>2563</v>
      </c>
      <c r="M1142" s="79">
        <v>45782.702824074076</v>
      </c>
      <c r="N1142" s="79">
        <v>45790</v>
      </c>
      <c r="O1142" s="79">
        <v>45790</v>
      </c>
      <c r="P1142" s="80" t="str">
        <f ca="1">IF(Proc[[#This Row],[DaysAgeing]]&gt;5,"yep","on track")</f>
        <v>yep</v>
      </c>
      <c r="Q1142" s="3">
        <f ca="1">IF(Proc[[#This Row],[DateClosed]]="",ABS(NETWORKDAYS(Proc[[#This Row],[DateOpened]],TODAY()))-1,ABS(NETWORKDAYS(Proc[[#This Row],[DateOpened]],Proc[[#This Row],[DateClosed]]))-1)</f>
        <v>6</v>
      </c>
      <c r="R1142" s="80" t="s">
        <v>410</v>
      </c>
      <c r="S1142" s="69"/>
    </row>
    <row r="1143" spans="1:19" hidden="1">
      <c r="A1143" s="72" t="s">
        <v>2900</v>
      </c>
      <c r="B1143" s="149" t="str">
        <f>IFERROR(VLOOKUP(Proc[[#This Row],[App]],Table2[],3,0),"open")</f>
        <v>ok</v>
      </c>
      <c r="C1143" s="72" t="s">
        <v>369</v>
      </c>
      <c r="D1143" t="s">
        <v>2997</v>
      </c>
      <c r="E1143" t="s">
        <v>3010</v>
      </c>
      <c r="F1143" s="117" t="s">
        <v>3010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HC</v>
      </c>
      <c r="L1143" s="69" t="s">
        <v>2563</v>
      </c>
      <c r="M1143" s="79">
        <v>45782.702824074076</v>
      </c>
      <c r="N1143" s="79">
        <v>45790</v>
      </c>
      <c r="O1143" s="79">
        <v>45790</v>
      </c>
      <c r="P1143" s="80" t="str">
        <f ca="1">IF(Proc[[#This Row],[DaysAgeing]]&gt;5,"yep","on track")</f>
        <v>yep</v>
      </c>
      <c r="Q1143" s="3">
        <f ca="1">IF(Proc[[#This Row],[DateClosed]]="",ABS(NETWORKDAYS(Proc[[#This Row],[DateOpened]],TODAY()))-1,ABS(NETWORKDAYS(Proc[[#This Row],[DateOpened]],Proc[[#This Row],[DateClosed]]))-1)</f>
        <v>6</v>
      </c>
      <c r="R1143" s="80" t="s">
        <v>410</v>
      </c>
      <c r="S1143" s="69"/>
    </row>
    <row r="1144" spans="1:19" hidden="1">
      <c r="A1144" s="72" t="s">
        <v>2900</v>
      </c>
      <c r="B1144" s="149" t="str">
        <f>IFERROR(VLOOKUP(Proc[[#This Row],[App]],Table2[],3,0),"open")</f>
        <v>ok</v>
      </c>
      <c r="C1144" s="72" t="s">
        <v>369</v>
      </c>
      <c r="D1144" t="s">
        <v>2998</v>
      </c>
      <c r="E1144" t="s">
        <v>3010</v>
      </c>
      <c r="F1144" s="117" t="s">
        <v>3010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HC</v>
      </c>
      <c r="L1144" s="69" t="s">
        <v>2563</v>
      </c>
      <c r="M1144" s="79">
        <v>45782.702824074076</v>
      </c>
      <c r="N1144" s="79">
        <v>45790</v>
      </c>
      <c r="O1144" s="79">
        <v>45790</v>
      </c>
      <c r="P1144" s="80" t="str">
        <f ca="1">IF(Proc[[#This Row],[DaysAgeing]]&gt;5,"yep","on track")</f>
        <v>yep</v>
      </c>
      <c r="Q1144" s="3">
        <f ca="1">IF(Proc[[#This Row],[DateClosed]]="",ABS(NETWORKDAYS(Proc[[#This Row],[DateOpened]],TODAY()))-1,ABS(NETWORKDAYS(Proc[[#This Row],[DateOpened]],Proc[[#This Row],[DateClosed]]))-1)</f>
        <v>6</v>
      </c>
      <c r="R1144" s="80" t="s">
        <v>410</v>
      </c>
      <c r="S1144" s="69"/>
    </row>
    <row r="1145" spans="1:19" hidden="1">
      <c r="A1145" s="72" t="s">
        <v>2900</v>
      </c>
      <c r="B1145" s="149" t="str">
        <f>IFERROR(VLOOKUP(Proc[[#This Row],[App]],Table2[],3,0),"open")</f>
        <v>ok</v>
      </c>
      <c r="C1145" s="72" t="s">
        <v>369</v>
      </c>
      <c r="D1145" t="s">
        <v>2999</v>
      </c>
      <c r="E1145" t="s">
        <v>3010</v>
      </c>
      <c r="F1145" s="117" t="s">
        <v>3010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HC</v>
      </c>
      <c r="L1145" s="69" t="s">
        <v>2563</v>
      </c>
      <c r="M1145" s="79">
        <v>45782.702824074076</v>
      </c>
      <c r="N1145" s="79">
        <v>45790</v>
      </c>
      <c r="O1145" s="79">
        <v>45790</v>
      </c>
      <c r="P1145" s="80" t="str">
        <f ca="1">IF(Proc[[#This Row],[DaysAgeing]]&gt;5,"yep","on track")</f>
        <v>yep</v>
      </c>
      <c r="Q1145" s="3">
        <f ca="1">IF(Proc[[#This Row],[DateClosed]]="",ABS(NETWORKDAYS(Proc[[#This Row],[DateOpened]],TODAY()))-1,ABS(NETWORKDAYS(Proc[[#This Row],[DateOpened]],Proc[[#This Row],[DateClosed]]))-1)</f>
        <v>6</v>
      </c>
      <c r="R1145" s="80" t="s">
        <v>410</v>
      </c>
      <c r="S1145" s="69"/>
    </row>
    <row r="1146" spans="1:19" hidden="1">
      <c r="A1146" s="72" t="s">
        <v>2900</v>
      </c>
      <c r="B1146" s="149" t="str">
        <f>IFERROR(VLOOKUP(Proc[[#This Row],[App]],Table2[],3,0),"open")</f>
        <v>ok</v>
      </c>
      <c r="C1146" s="72" t="s">
        <v>369</v>
      </c>
      <c r="D1146" t="s">
        <v>3000</v>
      </c>
      <c r="E1146" t="s">
        <v>3010</v>
      </c>
      <c r="F1146" s="117" t="s">
        <v>3010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HC</v>
      </c>
      <c r="L1146" s="69" t="s">
        <v>2563</v>
      </c>
      <c r="M1146" s="79">
        <v>45782.702824074076</v>
      </c>
      <c r="N1146" s="79">
        <v>45790</v>
      </c>
      <c r="O1146" s="79">
        <v>45790</v>
      </c>
      <c r="P1146" s="80" t="str">
        <f ca="1">IF(Proc[[#This Row],[DaysAgeing]]&gt;5,"yep","on track")</f>
        <v>yep</v>
      </c>
      <c r="Q1146" s="3">
        <f ca="1">IF(Proc[[#This Row],[DateClosed]]="",ABS(NETWORKDAYS(Proc[[#This Row],[DateOpened]],TODAY()))-1,ABS(NETWORKDAYS(Proc[[#This Row],[DateOpened]],Proc[[#This Row],[DateClosed]]))-1)</f>
        <v>6</v>
      </c>
      <c r="R1146" s="80" t="s">
        <v>410</v>
      </c>
      <c r="S1146" s="69"/>
    </row>
    <row r="1147" spans="1:19" hidden="1">
      <c r="A1147" s="72" t="s">
        <v>2900</v>
      </c>
      <c r="B1147" s="149" t="str">
        <f>IFERROR(VLOOKUP(Proc[[#This Row],[App]],Table2[],3,0),"open")</f>
        <v>ok</v>
      </c>
      <c r="C1147" s="72" t="s">
        <v>369</v>
      </c>
      <c r="D1147" t="s">
        <v>3001</v>
      </c>
      <c r="E1147" t="s">
        <v>3010</v>
      </c>
      <c r="F1147" s="117" t="s">
        <v>3010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45782.702824074076</v>
      </c>
      <c r="N1147" s="79">
        <v>45790</v>
      </c>
      <c r="O1147" s="79">
        <v>45790</v>
      </c>
      <c r="P1147" s="80" t="str">
        <f ca="1">IF(Proc[[#This Row],[DaysAgeing]]&gt;5,"yep","on track")</f>
        <v>yep</v>
      </c>
      <c r="Q1147" s="3">
        <f ca="1">IF(Proc[[#This Row],[DateClosed]]="",ABS(NETWORKDAYS(Proc[[#This Row],[DateOpened]],TODAY()))-1,ABS(NETWORKDAYS(Proc[[#This Row],[DateOpened]],Proc[[#This Row],[DateClosed]]))-1)</f>
        <v>6</v>
      </c>
      <c r="R1147" s="80" t="s">
        <v>410</v>
      </c>
      <c r="S1147" s="69"/>
    </row>
    <row r="1148" spans="1:19" hidden="1">
      <c r="A1148" t="s">
        <v>3013</v>
      </c>
      <c r="B1148" s="149" t="str">
        <f>IFERROR(VLOOKUP(Proc[[#This Row],[App]],Table2[],3,0),"open")</f>
        <v>ok</v>
      </c>
      <c r="C1148" s="72" t="s">
        <v>369</v>
      </c>
      <c r="D1148" t="s">
        <v>3011</v>
      </c>
      <c r="E1148" t="s">
        <v>3012</v>
      </c>
      <c r="F1148" s="117" t="s">
        <v>3012</v>
      </c>
      <c r="G1148" s="72" t="s">
        <v>400</v>
      </c>
      <c r="H1148" s="69" t="str">
        <f>IF(Proc[[#This Row],[type]]="LFF (MDG-F)",MID(Proc[[#This Row],[Obj]],13,10),"")</f>
        <v/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MGF</v>
      </c>
      <c r="L1148" s="69" t="s">
        <v>2563</v>
      </c>
      <c r="M1148" s="79">
        <v>45783.524351851855</v>
      </c>
      <c r="N1148" s="79">
        <v>45790</v>
      </c>
      <c r="O1148" s="79">
        <v>45790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5</v>
      </c>
      <c r="R1148" s="80" t="s">
        <v>515</v>
      </c>
      <c r="S1148" s="69"/>
    </row>
    <row r="1149" spans="1:19" hidden="1">
      <c r="A1149" t="s">
        <v>3015</v>
      </c>
      <c r="B1149" s="149" t="str">
        <f>IFERROR(VLOOKUP(Proc[[#This Row],[App]],Table2[],3,0),"open")</f>
        <v>ok</v>
      </c>
      <c r="C1149" t="s">
        <v>369</v>
      </c>
      <c r="D1149" t="s">
        <v>3016</v>
      </c>
      <c r="E1149" t="s">
        <v>3017</v>
      </c>
      <c r="F1149" s="117" t="s">
        <v>3017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MGF</v>
      </c>
      <c r="L1149" s="69" t="s">
        <v>2563</v>
      </c>
      <c r="M1149" s="79">
        <v>45785.703668981485</v>
      </c>
      <c r="N1149" s="79">
        <v>45790</v>
      </c>
      <c r="O1149" s="79">
        <v>45790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3</v>
      </c>
      <c r="R1149" s="80" t="s">
        <v>1076</v>
      </c>
      <c r="S1149" s="69"/>
    </row>
    <row r="1150" spans="1:19" hidden="1">
      <c r="A1150" s="72" t="s">
        <v>3015</v>
      </c>
      <c r="B1150" s="149" t="str">
        <f>IFERROR(VLOOKUP(Proc[[#This Row],[App]],Table2[],3,0),"open")</f>
        <v>ok</v>
      </c>
      <c r="C1150" s="72" t="s">
        <v>377</v>
      </c>
      <c r="D1150" t="s">
        <v>1987</v>
      </c>
      <c r="E1150" t="s">
        <v>735</v>
      </c>
      <c r="F1150" s="103" t="s">
        <v>735</v>
      </c>
      <c r="G1150" t="s">
        <v>406</v>
      </c>
      <c r="H1150" s="69" t="str">
        <f>IF(Proc[[#This Row],[type]]="LFF (MDG-F)",MID(Proc[[#This Row],[Obj]],13,10),"")</f>
        <v>US20Z01000</v>
      </c>
      <c r="I1150" t="s">
        <v>822</v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MGF</v>
      </c>
      <c r="L1150" s="69" t="s">
        <v>2563</v>
      </c>
      <c r="M1150" s="79">
        <v>45785.703668981485</v>
      </c>
      <c r="N1150" s="79"/>
      <c r="O1150" s="79">
        <v>45790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3</v>
      </c>
      <c r="R1150" s="80" t="s">
        <v>1076</v>
      </c>
      <c r="S1150" s="94" t="e">
        <f>VLOOKUP(Proc[[#This Row],[Obj]],#REF!,2,0)</f>
        <v>#REF!</v>
      </c>
    </row>
    <row r="1151" spans="1:19" hidden="1">
      <c r="A1151" t="s">
        <v>3018</v>
      </c>
      <c r="B1151" s="149" t="str">
        <f>IFERROR(VLOOKUP(Proc[[#This Row],[App]],Table2[],3,0),"open")</f>
        <v>ok</v>
      </c>
      <c r="C1151" s="72" t="s">
        <v>369</v>
      </c>
      <c r="D1151" t="s">
        <v>3019</v>
      </c>
      <c r="E1151" t="s">
        <v>3020</v>
      </c>
      <c r="F1151" s="117" t="s">
        <v>3020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MGF</v>
      </c>
      <c r="L1151" s="69" t="s">
        <v>2563</v>
      </c>
      <c r="M1151" s="79">
        <v>45785.653692129628</v>
      </c>
      <c r="N1151" s="79">
        <v>45790</v>
      </c>
      <c r="O1151" s="79">
        <v>45790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3</v>
      </c>
      <c r="R1151" s="80" t="s">
        <v>1459</v>
      </c>
      <c r="S1151" s="69"/>
    </row>
    <row r="1152" spans="1:19" hidden="1">
      <c r="A1152" t="s">
        <v>3021</v>
      </c>
      <c r="B1152" s="149" t="str">
        <f>IFERROR(VLOOKUP(Proc[[#This Row],[App]],Table2[],3,0),"open")</f>
        <v>ok</v>
      </c>
      <c r="C1152" s="72" t="s">
        <v>369</v>
      </c>
      <c r="D1152" t="s">
        <v>3022</v>
      </c>
      <c r="E1152" t="s">
        <v>3023</v>
      </c>
      <c r="F1152" s="117" t="s">
        <v>3023</v>
      </c>
      <c r="G1152" s="72" t="s">
        <v>400</v>
      </c>
      <c r="H1152" s="69" t="str">
        <f>IF(Proc[[#This Row],[type]]="LFF (MDG-F)",MID(Proc[[#This Row],[Obj]],13,10),"")</f>
        <v/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45785.598506944443</v>
      </c>
      <c r="N1152" s="79">
        <v>45790</v>
      </c>
      <c r="O1152" s="79">
        <v>45790</v>
      </c>
      <c r="P1152" s="80" t="str">
        <f ca="1">IF(Proc[[#This Row],[DaysAgeing]]&gt;5,"yep","on track")</f>
        <v>on track</v>
      </c>
      <c r="Q1152" s="3">
        <f ca="1">IF(Proc[[#This Row],[DateClosed]]="",ABS(NETWORKDAYS(Proc[[#This Row],[DateOpened]],TODAY()))-1,ABS(NETWORKDAYS(Proc[[#This Row],[DateOpened]],Proc[[#This Row],[DateClosed]]))-1)</f>
        <v>3</v>
      </c>
      <c r="R1152" s="80" t="s">
        <v>515</v>
      </c>
      <c r="S1152" s="69"/>
    </row>
    <row r="1153" spans="1:19" hidden="1">
      <c r="A1153" t="s">
        <v>3065</v>
      </c>
      <c r="B1153" s="149" t="str">
        <f>IFERROR(VLOOKUP(Proc[[#This Row],[App]],Table2[],3,0),"open")</f>
        <v>ok</v>
      </c>
      <c r="C1153" t="s">
        <v>369</v>
      </c>
      <c r="D1153" t="s">
        <v>3024</v>
      </c>
      <c r="E1153" t="s">
        <v>3025</v>
      </c>
      <c r="F1153" s="117" t="s">
        <v>3025</v>
      </c>
      <c r="G1153" s="72" t="s">
        <v>400</v>
      </c>
      <c r="H1153" s="69" t="str">
        <f>IF(Proc[[#This Row],[type]]="LFF (MDG-F)",MID(Proc[[#This Row],[Obj]],13,10),"")</f>
        <v/>
      </c>
      <c r="I1153" t="s">
        <v>3061</v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LS</v>
      </c>
      <c r="L1153" s="69" t="s">
        <v>2563</v>
      </c>
      <c r="M1153" s="79">
        <v>45789.517060185186</v>
      </c>
      <c r="N1153" s="83">
        <v>45791</v>
      </c>
      <c r="O1153" s="83">
        <v>45791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2</v>
      </c>
      <c r="R1153" s="80" t="s">
        <v>489</v>
      </c>
      <c r="S1153" s="69"/>
    </row>
    <row r="1154" spans="1:19" hidden="1">
      <c r="A1154" s="72" t="s">
        <v>3065</v>
      </c>
      <c r="B1154" s="149" t="str">
        <f>IFERROR(VLOOKUP(Proc[[#This Row],[App]],Table2[],3,0),"open")</f>
        <v>ok</v>
      </c>
      <c r="C1154" s="72" t="s">
        <v>369</v>
      </c>
      <c r="D1154" t="s">
        <v>3026</v>
      </c>
      <c r="E1154" t="s">
        <v>3025</v>
      </c>
      <c r="F1154" s="117" t="s">
        <v>3025</v>
      </c>
      <c r="G1154" s="72" t="s">
        <v>400</v>
      </c>
      <c r="H1154" s="69" t="str">
        <f>IF(Proc[[#This Row],[type]]="LFF (MDG-F)",MID(Proc[[#This Row],[Obj]],13,10),"")</f>
        <v/>
      </c>
      <c r="I1154" t="s">
        <v>3061</v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LS</v>
      </c>
      <c r="L1154" s="69" t="s">
        <v>2563</v>
      </c>
      <c r="M1154" s="79">
        <v>45789.517060185186</v>
      </c>
      <c r="N1154" s="83">
        <v>45791</v>
      </c>
      <c r="O1154" s="83">
        <v>45791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2</v>
      </c>
      <c r="R1154" s="80" t="s">
        <v>489</v>
      </c>
      <c r="S1154" s="69"/>
    </row>
    <row r="1155" spans="1:19" hidden="1">
      <c r="A1155" s="72" t="s">
        <v>3065</v>
      </c>
      <c r="B1155" s="149" t="str">
        <f>IFERROR(VLOOKUP(Proc[[#This Row],[App]],Table2[],3,0),"open")</f>
        <v>ok</v>
      </c>
      <c r="C1155" s="72" t="s">
        <v>369</v>
      </c>
      <c r="D1155" t="s">
        <v>3027</v>
      </c>
      <c r="E1155" t="s">
        <v>3025</v>
      </c>
      <c r="F1155" s="117" t="s">
        <v>3025</v>
      </c>
      <c r="G1155" s="72" t="s">
        <v>400</v>
      </c>
      <c r="H1155" s="69" t="str">
        <f>IF(Proc[[#This Row],[type]]="LFF (MDG-F)",MID(Proc[[#This Row],[Obj]],13,10),"")</f>
        <v/>
      </c>
      <c r="I1155" t="s">
        <v>3061</v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45789.517060185186</v>
      </c>
      <c r="N1155" s="83">
        <v>45791</v>
      </c>
      <c r="O1155" s="83">
        <v>45791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2</v>
      </c>
      <c r="R1155" s="80" t="s">
        <v>489</v>
      </c>
      <c r="S1155" s="69"/>
    </row>
    <row r="1156" spans="1:19" hidden="1">
      <c r="A1156" s="72" t="s">
        <v>3065</v>
      </c>
      <c r="B1156" s="149" t="str">
        <f>IFERROR(VLOOKUP(Proc[[#This Row],[App]],Table2[],3,0),"open")</f>
        <v>ok</v>
      </c>
      <c r="C1156" s="72" t="s">
        <v>369</v>
      </c>
      <c r="D1156" t="s">
        <v>3028</v>
      </c>
      <c r="E1156" t="s">
        <v>3025</v>
      </c>
      <c r="F1156" s="117" t="s">
        <v>3025</v>
      </c>
      <c r="G1156" s="72" t="s">
        <v>400</v>
      </c>
      <c r="H1156" s="69" t="str">
        <f>IF(Proc[[#This Row],[type]]="LFF (MDG-F)",MID(Proc[[#This Row],[Obj]],13,10),"")</f>
        <v/>
      </c>
      <c r="I1156" t="s">
        <v>3061</v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45789.517060185186</v>
      </c>
      <c r="N1156" s="83">
        <v>45791</v>
      </c>
      <c r="O1156" s="83">
        <v>45791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2</v>
      </c>
      <c r="R1156" s="80" t="s">
        <v>489</v>
      </c>
      <c r="S1156" s="69"/>
    </row>
    <row r="1157" spans="1:19" hidden="1">
      <c r="A1157" s="72" t="s">
        <v>3065</v>
      </c>
      <c r="B1157" s="149" t="str">
        <f>IFERROR(VLOOKUP(Proc[[#This Row],[App]],Table2[],3,0),"open")</f>
        <v>ok</v>
      </c>
      <c r="C1157" s="72" t="s">
        <v>369</v>
      </c>
      <c r="D1157" t="s">
        <v>3029</v>
      </c>
      <c r="E1157" t="s">
        <v>3025</v>
      </c>
      <c r="F1157" s="117" t="s">
        <v>3025</v>
      </c>
      <c r="G1157" s="72" t="s">
        <v>400</v>
      </c>
      <c r="H1157" s="69" t="str">
        <f>IF(Proc[[#This Row],[type]]="LFF (MDG-F)",MID(Proc[[#This Row],[Obj]],13,10),"")</f>
        <v/>
      </c>
      <c r="I1157" t="s">
        <v>3062</v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45789.517060185186</v>
      </c>
      <c r="N1157" s="83">
        <v>45791</v>
      </c>
      <c r="O1157" s="83">
        <v>45791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2</v>
      </c>
      <c r="R1157" s="80" t="s">
        <v>489</v>
      </c>
      <c r="S1157" s="69"/>
    </row>
    <row r="1158" spans="1:19" hidden="1">
      <c r="A1158" s="72" t="s">
        <v>3065</v>
      </c>
      <c r="B1158" s="149" t="str">
        <f>IFERROR(VLOOKUP(Proc[[#This Row],[App]],Table2[],3,0),"open")</f>
        <v>ok</v>
      </c>
      <c r="C1158" s="72" t="s">
        <v>369</v>
      </c>
      <c r="D1158" t="s">
        <v>3030</v>
      </c>
      <c r="E1158" t="s">
        <v>3025</v>
      </c>
      <c r="F1158" s="117" t="s">
        <v>3025</v>
      </c>
      <c r="G1158" s="72" t="s">
        <v>400</v>
      </c>
      <c r="H1158" s="69" t="str">
        <f>IF(Proc[[#This Row],[type]]="LFF (MDG-F)",MID(Proc[[#This Row],[Obj]],13,10),"")</f>
        <v/>
      </c>
      <c r="I1158" t="s">
        <v>3062</v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45789.517060185186</v>
      </c>
      <c r="N1158" s="83">
        <v>45791</v>
      </c>
      <c r="O1158" s="83">
        <v>45791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2</v>
      </c>
      <c r="R1158" s="80" t="s">
        <v>489</v>
      </c>
      <c r="S1158" s="69"/>
    </row>
    <row r="1159" spans="1:19" hidden="1">
      <c r="A1159" s="72" t="s">
        <v>3065</v>
      </c>
      <c r="B1159" s="149" t="str">
        <f>IFERROR(VLOOKUP(Proc[[#This Row],[App]],Table2[],3,0),"open")</f>
        <v>ok</v>
      </c>
      <c r="C1159" s="72" t="s">
        <v>369</v>
      </c>
      <c r="D1159" t="s">
        <v>3031</v>
      </c>
      <c r="E1159" t="s">
        <v>3025</v>
      </c>
      <c r="F1159" s="117" t="s">
        <v>3025</v>
      </c>
      <c r="G1159" s="72" t="s">
        <v>400</v>
      </c>
      <c r="H1159" s="69" t="str">
        <f>IF(Proc[[#This Row],[type]]="LFF (MDG-F)",MID(Proc[[#This Row],[Obj]],13,10),"")</f>
        <v/>
      </c>
      <c r="I1159" t="s">
        <v>3062</v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45789.517060185186</v>
      </c>
      <c r="N1159" s="83">
        <v>45791</v>
      </c>
      <c r="O1159" s="83">
        <v>45791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2</v>
      </c>
      <c r="R1159" s="80" t="s">
        <v>489</v>
      </c>
      <c r="S1159" s="69"/>
    </row>
    <row r="1160" spans="1:19" hidden="1">
      <c r="A1160" s="72" t="s">
        <v>3065</v>
      </c>
      <c r="B1160" s="149" t="str">
        <f>IFERROR(VLOOKUP(Proc[[#This Row],[App]],Table2[],3,0),"open")</f>
        <v>ok</v>
      </c>
      <c r="C1160" s="72" t="s">
        <v>369</v>
      </c>
      <c r="D1160" t="s">
        <v>3032</v>
      </c>
      <c r="E1160" t="s">
        <v>3025</v>
      </c>
      <c r="F1160" s="117" t="s">
        <v>3025</v>
      </c>
      <c r="G1160" s="72" t="s">
        <v>400</v>
      </c>
      <c r="H1160" s="69" t="str">
        <f>IF(Proc[[#This Row],[type]]="LFF (MDG-F)",MID(Proc[[#This Row],[Obj]],13,10),"")</f>
        <v/>
      </c>
      <c r="I1160" t="s">
        <v>3062</v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45789.517060185186</v>
      </c>
      <c r="N1160" s="83">
        <v>45791</v>
      </c>
      <c r="O1160" s="83">
        <v>45791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2</v>
      </c>
      <c r="R1160" s="80" t="s">
        <v>489</v>
      </c>
      <c r="S1160" s="69"/>
    </row>
    <row r="1161" spans="1:19" hidden="1">
      <c r="A1161" s="72" t="s">
        <v>3065</v>
      </c>
      <c r="B1161" s="149" t="str">
        <f>IFERROR(VLOOKUP(Proc[[#This Row],[App]],Table2[],3,0),"open")</f>
        <v>ok</v>
      </c>
      <c r="C1161" s="72" t="s">
        <v>369</v>
      </c>
      <c r="D1161" t="s">
        <v>3033</v>
      </c>
      <c r="E1161" t="s">
        <v>3025</v>
      </c>
      <c r="F1161" s="117" t="s">
        <v>3025</v>
      </c>
      <c r="G1161" s="72" t="s">
        <v>400</v>
      </c>
      <c r="H1161" s="69" t="str">
        <f>IF(Proc[[#This Row],[type]]="LFF (MDG-F)",MID(Proc[[#This Row],[Obj]],13,10),"")</f>
        <v/>
      </c>
      <c r="I1161" t="s">
        <v>3062</v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45789.517060185186</v>
      </c>
      <c r="N1161" s="83">
        <v>45791</v>
      </c>
      <c r="O1161" s="83">
        <v>45791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2</v>
      </c>
      <c r="R1161" s="80" t="s">
        <v>489</v>
      </c>
      <c r="S1161" s="69"/>
    </row>
    <row r="1162" spans="1:19" hidden="1">
      <c r="A1162" s="72" t="s">
        <v>3065</v>
      </c>
      <c r="B1162" s="149" t="str">
        <f>IFERROR(VLOOKUP(Proc[[#This Row],[App]],Table2[],3,0),"open")</f>
        <v>ok</v>
      </c>
      <c r="C1162" s="72" t="s">
        <v>369</v>
      </c>
      <c r="D1162" t="s">
        <v>3034</v>
      </c>
      <c r="E1162" t="s">
        <v>3025</v>
      </c>
      <c r="F1162" s="117" t="s">
        <v>3025</v>
      </c>
      <c r="G1162" s="72" t="s">
        <v>400</v>
      </c>
      <c r="H1162" s="69" t="str">
        <f>IF(Proc[[#This Row],[type]]="LFF (MDG-F)",MID(Proc[[#This Row],[Obj]],13,10),"")</f>
        <v/>
      </c>
      <c r="I1162" t="s">
        <v>3062</v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LS</v>
      </c>
      <c r="L1162" s="69" t="s">
        <v>2563</v>
      </c>
      <c r="M1162" s="79">
        <v>45789.517060185186</v>
      </c>
      <c r="N1162" s="83">
        <v>45791</v>
      </c>
      <c r="O1162" s="83">
        <v>45791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489</v>
      </c>
      <c r="S1162" s="69"/>
    </row>
    <row r="1163" spans="1:19" hidden="1">
      <c r="A1163" s="72" t="s">
        <v>3065</v>
      </c>
      <c r="B1163" s="149" t="str">
        <f>IFERROR(VLOOKUP(Proc[[#This Row],[App]],Table2[],3,0),"open")</f>
        <v>ok</v>
      </c>
      <c r="C1163" s="72" t="s">
        <v>369</v>
      </c>
      <c r="D1163" t="s">
        <v>3035</v>
      </c>
      <c r="E1163" t="s">
        <v>3025</v>
      </c>
      <c r="F1163" s="117" t="s">
        <v>3025</v>
      </c>
      <c r="G1163" s="72" t="s">
        <v>400</v>
      </c>
      <c r="H1163" s="69" t="str">
        <f>IF(Proc[[#This Row],[type]]="LFF (MDG-F)",MID(Proc[[#This Row],[Obj]],13,10),"")</f>
        <v/>
      </c>
      <c r="I1163" t="s">
        <v>3062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LS</v>
      </c>
      <c r="L1163" s="69" t="s">
        <v>2563</v>
      </c>
      <c r="M1163" s="79">
        <v>45789.517060185186</v>
      </c>
      <c r="N1163" s="83">
        <v>45791</v>
      </c>
      <c r="O1163" s="83">
        <v>45791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2</v>
      </c>
      <c r="R1163" s="80" t="s">
        <v>489</v>
      </c>
      <c r="S1163" s="69"/>
    </row>
    <row r="1164" spans="1:19" hidden="1">
      <c r="A1164" s="72" t="s">
        <v>3065</v>
      </c>
      <c r="B1164" s="149" t="str">
        <f>IFERROR(VLOOKUP(Proc[[#This Row],[App]],Table2[],3,0),"open")</f>
        <v>ok</v>
      </c>
      <c r="C1164" s="72" t="s">
        <v>369</v>
      </c>
      <c r="D1164" t="s">
        <v>3036</v>
      </c>
      <c r="E1164" t="s">
        <v>3025</v>
      </c>
      <c r="F1164" s="117" t="s">
        <v>3025</v>
      </c>
      <c r="G1164" s="72" t="s">
        <v>400</v>
      </c>
      <c r="H1164" s="69" t="str">
        <f>IF(Proc[[#This Row],[type]]="LFF (MDG-F)",MID(Proc[[#This Row],[Obj]],13,10),"")</f>
        <v/>
      </c>
      <c r="I1164" t="s">
        <v>3062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LS</v>
      </c>
      <c r="L1164" s="69" t="s">
        <v>2563</v>
      </c>
      <c r="M1164" s="79">
        <v>45789.517060185186</v>
      </c>
      <c r="N1164" s="83">
        <v>45791</v>
      </c>
      <c r="O1164" s="83">
        <v>45791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2</v>
      </c>
      <c r="R1164" s="80" t="s">
        <v>489</v>
      </c>
      <c r="S1164" s="69"/>
    </row>
    <row r="1165" spans="1:19" hidden="1">
      <c r="A1165" s="72" t="s">
        <v>3065</v>
      </c>
      <c r="B1165" s="149" t="str">
        <f>IFERROR(VLOOKUP(Proc[[#This Row],[App]],Table2[],3,0),"open")</f>
        <v>ok</v>
      </c>
      <c r="C1165" s="72" t="s">
        <v>369</v>
      </c>
      <c r="D1165" t="s">
        <v>3037</v>
      </c>
      <c r="E1165" t="s">
        <v>3025</v>
      </c>
      <c r="F1165" s="117" t="s">
        <v>3025</v>
      </c>
      <c r="G1165" s="72" t="s">
        <v>400</v>
      </c>
      <c r="H1165" s="69" t="str">
        <f>IF(Proc[[#This Row],[type]]="LFF (MDG-F)",MID(Proc[[#This Row],[Obj]],13,10),"")</f>
        <v/>
      </c>
      <c r="I1165" t="s">
        <v>3062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LS</v>
      </c>
      <c r="L1165" s="69" t="s">
        <v>2563</v>
      </c>
      <c r="M1165" s="79">
        <v>45789.517060185186</v>
      </c>
      <c r="N1165" s="83">
        <v>45791</v>
      </c>
      <c r="O1165" s="83">
        <v>45791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2</v>
      </c>
      <c r="R1165" s="80" t="s">
        <v>489</v>
      </c>
      <c r="S1165" s="69"/>
    </row>
    <row r="1166" spans="1:19" hidden="1">
      <c r="A1166" s="72" t="s">
        <v>3065</v>
      </c>
      <c r="B1166" s="149" t="str">
        <f>IFERROR(VLOOKUP(Proc[[#This Row],[App]],Table2[],3,0),"open")</f>
        <v>ok</v>
      </c>
      <c r="C1166" s="72" t="s">
        <v>369</v>
      </c>
      <c r="D1166" t="s">
        <v>3038</v>
      </c>
      <c r="E1166" t="s">
        <v>3025</v>
      </c>
      <c r="F1166" s="117" t="s">
        <v>3025</v>
      </c>
      <c r="G1166" s="72" t="s">
        <v>400</v>
      </c>
      <c r="H1166" s="69" t="str">
        <f>IF(Proc[[#This Row],[type]]="LFF (MDG-F)",MID(Proc[[#This Row],[Obj]],13,10),"")</f>
        <v/>
      </c>
      <c r="I1166" t="s">
        <v>3062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LS</v>
      </c>
      <c r="L1166" s="69" t="s">
        <v>2563</v>
      </c>
      <c r="M1166" s="79">
        <v>45789.517060185186</v>
      </c>
      <c r="N1166" s="83">
        <v>45791</v>
      </c>
      <c r="O1166" s="83">
        <v>45791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2</v>
      </c>
      <c r="R1166" s="80" t="s">
        <v>489</v>
      </c>
      <c r="S1166" s="69"/>
    </row>
    <row r="1167" spans="1:19" hidden="1">
      <c r="A1167" s="72" t="s">
        <v>3065</v>
      </c>
      <c r="B1167" s="149" t="str">
        <f>IFERROR(VLOOKUP(Proc[[#This Row],[App]],Table2[],3,0),"open")</f>
        <v>ok</v>
      </c>
      <c r="C1167" s="72" t="s">
        <v>369</v>
      </c>
      <c r="D1167" t="s">
        <v>3039</v>
      </c>
      <c r="E1167" t="s">
        <v>3025</v>
      </c>
      <c r="F1167" s="117" t="s">
        <v>3025</v>
      </c>
      <c r="G1167" s="72" t="s">
        <v>400</v>
      </c>
      <c r="H1167" s="69" t="str">
        <f>IF(Proc[[#This Row],[type]]="LFF (MDG-F)",MID(Proc[[#This Row],[Obj]],13,10),"")</f>
        <v/>
      </c>
      <c r="I1167" t="s">
        <v>3062</v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LS</v>
      </c>
      <c r="L1167" s="69" t="s">
        <v>2563</v>
      </c>
      <c r="M1167" s="79">
        <v>45789.517060185186</v>
      </c>
      <c r="N1167" s="83">
        <v>45791</v>
      </c>
      <c r="O1167" s="83">
        <v>45791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2</v>
      </c>
      <c r="R1167" s="80" t="s">
        <v>489</v>
      </c>
      <c r="S1167" s="69"/>
    </row>
    <row r="1168" spans="1:19" hidden="1">
      <c r="A1168" s="72" t="s">
        <v>3065</v>
      </c>
      <c r="B1168" s="149" t="str">
        <f>IFERROR(VLOOKUP(Proc[[#This Row],[App]],Table2[],3,0),"open")</f>
        <v>ok</v>
      </c>
      <c r="C1168" s="72" t="s">
        <v>369</v>
      </c>
      <c r="D1168" t="s">
        <v>3040</v>
      </c>
      <c r="E1168" t="s">
        <v>3025</v>
      </c>
      <c r="F1168" s="117" t="s">
        <v>3025</v>
      </c>
      <c r="G1168" s="72" t="s">
        <v>400</v>
      </c>
      <c r="H1168" s="69" t="str">
        <f>IF(Proc[[#This Row],[type]]="LFF (MDG-F)",MID(Proc[[#This Row],[Obj]],13,10),"")</f>
        <v/>
      </c>
      <c r="I1168" t="s">
        <v>3062</v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45789.517060185186</v>
      </c>
      <c r="N1168" s="83">
        <v>45791</v>
      </c>
      <c r="O1168" s="83">
        <v>45791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s="72" t="s">
        <v>3065</v>
      </c>
      <c r="B1169" s="149" t="str">
        <f>IFERROR(VLOOKUP(Proc[[#This Row],[App]],Table2[],3,0),"open")</f>
        <v>ok</v>
      </c>
      <c r="C1169" s="72" t="s">
        <v>369</v>
      </c>
      <c r="D1169" t="s">
        <v>3041</v>
      </c>
      <c r="E1169" t="s">
        <v>3025</v>
      </c>
      <c r="F1169" s="117" t="s">
        <v>3025</v>
      </c>
      <c r="G1169" s="72" t="s">
        <v>400</v>
      </c>
      <c r="H1169" s="69" t="str">
        <f>IF(Proc[[#This Row],[type]]="LFF (MDG-F)",MID(Proc[[#This Row],[Obj]],13,10),"")</f>
        <v/>
      </c>
      <c r="I1169" t="s">
        <v>3063</v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45789.517060185186</v>
      </c>
      <c r="N1169" s="83">
        <v>45791</v>
      </c>
      <c r="O1169" s="83">
        <v>45791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2</v>
      </c>
      <c r="R1169" s="80" t="s">
        <v>489</v>
      </c>
      <c r="S1169" s="69"/>
    </row>
    <row r="1170" spans="1:19" hidden="1">
      <c r="A1170" s="72" t="s">
        <v>3065</v>
      </c>
      <c r="B1170" s="149" t="str">
        <f>IFERROR(VLOOKUP(Proc[[#This Row],[App]],Table2[],3,0),"open")</f>
        <v>ok</v>
      </c>
      <c r="C1170" s="72" t="s">
        <v>369</v>
      </c>
      <c r="D1170" t="s">
        <v>3042</v>
      </c>
      <c r="E1170" t="s">
        <v>3025</v>
      </c>
      <c r="F1170" s="117" t="s">
        <v>3025</v>
      </c>
      <c r="G1170" s="72" t="s">
        <v>400</v>
      </c>
      <c r="H1170" s="69" t="str">
        <f>IF(Proc[[#This Row],[type]]="LFF (MDG-F)",MID(Proc[[#This Row],[Obj]],13,10),"")</f>
        <v/>
      </c>
      <c r="I1170" t="s">
        <v>3063</v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45789.517060185186</v>
      </c>
      <c r="N1170" s="83">
        <v>45791</v>
      </c>
      <c r="O1170" s="83">
        <v>45791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2</v>
      </c>
      <c r="R1170" s="80" t="s">
        <v>489</v>
      </c>
      <c r="S1170" s="69"/>
    </row>
    <row r="1171" spans="1:19" hidden="1">
      <c r="A1171" s="72" t="s">
        <v>3065</v>
      </c>
      <c r="B1171" s="149" t="str">
        <f>IFERROR(VLOOKUP(Proc[[#This Row],[App]],Table2[],3,0),"open")</f>
        <v>ok</v>
      </c>
      <c r="C1171" s="72" t="s">
        <v>369</v>
      </c>
      <c r="D1171" t="s">
        <v>3043</v>
      </c>
      <c r="E1171" t="s">
        <v>3025</v>
      </c>
      <c r="F1171" s="117" t="s">
        <v>3025</v>
      </c>
      <c r="G1171" s="72" t="s">
        <v>400</v>
      </c>
      <c r="H1171" s="69" t="str">
        <f>IF(Proc[[#This Row],[type]]="LFF (MDG-F)",MID(Proc[[#This Row],[Obj]],13,10),"")</f>
        <v/>
      </c>
      <c r="I1171" t="s">
        <v>3063</v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45789.517060185186</v>
      </c>
      <c r="N1171" s="83">
        <v>45791</v>
      </c>
      <c r="O1171" s="83">
        <v>45791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2</v>
      </c>
      <c r="R1171" s="80" t="s">
        <v>489</v>
      </c>
      <c r="S1171" s="69"/>
    </row>
    <row r="1172" spans="1:19" hidden="1">
      <c r="A1172" s="72" t="s">
        <v>3065</v>
      </c>
      <c r="B1172" s="149" t="str">
        <f>IFERROR(VLOOKUP(Proc[[#This Row],[App]],Table2[],3,0),"open")</f>
        <v>ok</v>
      </c>
      <c r="C1172" s="72" t="s">
        <v>369</v>
      </c>
      <c r="D1172" t="s">
        <v>3044</v>
      </c>
      <c r="E1172" t="s">
        <v>3025</v>
      </c>
      <c r="F1172" s="117" t="s">
        <v>3025</v>
      </c>
      <c r="G1172" s="72" t="s">
        <v>400</v>
      </c>
      <c r="H1172" s="69" t="str">
        <f>IF(Proc[[#This Row],[type]]="LFF (MDG-F)",MID(Proc[[#This Row],[Obj]],13,10),"")</f>
        <v/>
      </c>
      <c r="I1172" t="s">
        <v>3063</v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45789.517060185186</v>
      </c>
      <c r="N1172" s="83">
        <v>45791</v>
      </c>
      <c r="O1172" s="83">
        <v>45791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2</v>
      </c>
      <c r="R1172" s="80" t="s">
        <v>489</v>
      </c>
      <c r="S1172" s="69"/>
    </row>
    <row r="1173" spans="1:19" hidden="1">
      <c r="A1173" s="72" t="s">
        <v>3065</v>
      </c>
      <c r="B1173" s="149" t="str">
        <f>IFERROR(VLOOKUP(Proc[[#This Row],[App]],Table2[],3,0),"open")</f>
        <v>ok</v>
      </c>
      <c r="C1173" s="72" t="s">
        <v>369</v>
      </c>
      <c r="D1173" t="s">
        <v>3045</v>
      </c>
      <c r="E1173" t="s">
        <v>3025</v>
      </c>
      <c r="F1173" s="117" t="s">
        <v>3025</v>
      </c>
      <c r="G1173" s="72" t="s">
        <v>400</v>
      </c>
      <c r="H1173" s="69" t="str">
        <f>IF(Proc[[#This Row],[type]]="LFF (MDG-F)",MID(Proc[[#This Row],[Obj]],13,10),"")</f>
        <v/>
      </c>
      <c r="I1173" t="s">
        <v>3063</v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45789.517060185186</v>
      </c>
      <c r="N1173" s="83">
        <v>45791</v>
      </c>
      <c r="O1173" s="83">
        <v>45791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2</v>
      </c>
      <c r="R1173" s="80" t="s">
        <v>489</v>
      </c>
      <c r="S1173" s="69"/>
    </row>
    <row r="1174" spans="1:19" hidden="1">
      <c r="A1174" s="72" t="s">
        <v>3065</v>
      </c>
      <c r="B1174" s="149" t="str">
        <f>IFERROR(VLOOKUP(Proc[[#This Row],[App]],Table2[],3,0),"open")</f>
        <v>ok</v>
      </c>
      <c r="C1174" s="72" t="s">
        <v>369</v>
      </c>
      <c r="D1174" t="s">
        <v>3046</v>
      </c>
      <c r="E1174" t="s">
        <v>3025</v>
      </c>
      <c r="F1174" s="117" t="s">
        <v>3025</v>
      </c>
      <c r="G1174" s="72" t="s">
        <v>400</v>
      </c>
      <c r="H1174" s="69" t="str">
        <f>IF(Proc[[#This Row],[type]]="LFF (MDG-F)",MID(Proc[[#This Row],[Obj]],13,10),"")</f>
        <v/>
      </c>
      <c r="I1174" t="s">
        <v>3063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LS</v>
      </c>
      <c r="L1174" s="69" t="s">
        <v>2563</v>
      </c>
      <c r="M1174" s="79">
        <v>45789.517060185186</v>
      </c>
      <c r="N1174" s="83">
        <v>45791</v>
      </c>
      <c r="O1174" s="83">
        <v>45791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2</v>
      </c>
      <c r="R1174" s="80" t="s">
        <v>489</v>
      </c>
      <c r="S1174" s="69"/>
    </row>
    <row r="1175" spans="1:19" hidden="1">
      <c r="A1175" s="72" t="s">
        <v>3065</v>
      </c>
      <c r="B1175" s="149" t="str">
        <f>IFERROR(VLOOKUP(Proc[[#This Row],[App]],Table2[],3,0),"open")</f>
        <v>ok</v>
      </c>
      <c r="C1175" s="72" t="s">
        <v>369</v>
      </c>
      <c r="D1175" t="s">
        <v>3047</v>
      </c>
      <c r="E1175" t="s">
        <v>3025</v>
      </c>
      <c r="F1175" s="117" t="s">
        <v>3025</v>
      </c>
      <c r="G1175" s="72" t="s">
        <v>400</v>
      </c>
      <c r="H1175" s="69" t="str">
        <f>IF(Proc[[#This Row],[type]]="LFF (MDG-F)",MID(Proc[[#This Row],[Obj]],13,10),"")</f>
        <v/>
      </c>
      <c r="I1175" t="s">
        <v>3063</v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LS</v>
      </c>
      <c r="L1175" s="69" t="s">
        <v>2563</v>
      </c>
      <c r="M1175" s="79">
        <v>45789.517060185186</v>
      </c>
      <c r="N1175" s="83">
        <v>45791</v>
      </c>
      <c r="O1175" s="83">
        <v>45791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489</v>
      </c>
      <c r="S1175" s="69"/>
    </row>
    <row r="1176" spans="1:19" hidden="1">
      <c r="A1176" s="72" t="s">
        <v>3065</v>
      </c>
      <c r="B1176" s="149" t="str">
        <f>IFERROR(VLOOKUP(Proc[[#This Row],[App]],Table2[],3,0),"open")</f>
        <v>ok</v>
      </c>
      <c r="C1176" s="72" t="s">
        <v>369</v>
      </c>
      <c r="D1176" t="s">
        <v>3048</v>
      </c>
      <c r="E1176" t="s">
        <v>3025</v>
      </c>
      <c r="F1176" s="117" t="s">
        <v>3025</v>
      </c>
      <c r="G1176" s="72" t="s">
        <v>400</v>
      </c>
      <c r="H1176" s="69" t="str">
        <f>IF(Proc[[#This Row],[type]]="LFF (MDG-F)",MID(Proc[[#This Row],[Obj]],13,10),"")</f>
        <v/>
      </c>
      <c r="I1176" t="s">
        <v>3063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LS</v>
      </c>
      <c r="L1176" s="69" t="s">
        <v>2563</v>
      </c>
      <c r="M1176" s="79">
        <v>45789.517060185186</v>
      </c>
      <c r="N1176" s="83">
        <v>45791</v>
      </c>
      <c r="O1176" s="83">
        <v>45791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2</v>
      </c>
      <c r="R1176" s="80" t="s">
        <v>489</v>
      </c>
      <c r="S1176" s="69"/>
    </row>
    <row r="1177" spans="1:19" hidden="1">
      <c r="A1177" s="72" t="s">
        <v>3065</v>
      </c>
      <c r="B1177" s="149" t="str">
        <f>IFERROR(VLOOKUP(Proc[[#This Row],[App]],Table2[],3,0),"open")</f>
        <v>ok</v>
      </c>
      <c r="C1177" s="72" t="s">
        <v>369</v>
      </c>
      <c r="D1177" t="s">
        <v>3049</v>
      </c>
      <c r="E1177" t="s">
        <v>3025</v>
      </c>
      <c r="F1177" s="117" t="s">
        <v>3025</v>
      </c>
      <c r="G1177" s="72" t="s">
        <v>400</v>
      </c>
      <c r="H1177" s="69" t="str">
        <f>IF(Proc[[#This Row],[type]]="LFF (MDG-F)",MID(Proc[[#This Row],[Obj]],13,10),"")</f>
        <v/>
      </c>
      <c r="I1177" t="s">
        <v>3063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LS</v>
      </c>
      <c r="L1177" s="69" t="s">
        <v>2563</v>
      </c>
      <c r="M1177" s="79">
        <v>45789.517060185186</v>
      </c>
      <c r="N1177" s="83">
        <v>45791</v>
      </c>
      <c r="O1177" s="83">
        <v>45791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2</v>
      </c>
      <c r="R1177" s="80" t="s">
        <v>489</v>
      </c>
      <c r="S1177" s="69"/>
    </row>
    <row r="1178" spans="1:19" hidden="1">
      <c r="A1178" s="72" t="s">
        <v>3065</v>
      </c>
      <c r="B1178" s="149" t="str">
        <f>IFERROR(VLOOKUP(Proc[[#This Row],[App]],Table2[],3,0),"open")</f>
        <v>ok</v>
      </c>
      <c r="C1178" s="72" t="s">
        <v>369</v>
      </c>
      <c r="D1178" t="s">
        <v>3050</v>
      </c>
      <c r="E1178" t="s">
        <v>3025</v>
      </c>
      <c r="F1178" s="117" t="s">
        <v>3025</v>
      </c>
      <c r="G1178" s="72" t="s">
        <v>400</v>
      </c>
      <c r="H1178" s="69" t="str">
        <f>IF(Proc[[#This Row],[type]]="LFF (MDG-F)",MID(Proc[[#This Row],[Obj]],13,10),"")</f>
        <v/>
      </c>
      <c r="I1178" t="s">
        <v>3063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LS</v>
      </c>
      <c r="L1178" s="69" t="s">
        <v>2563</v>
      </c>
      <c r="M1178" s="79">
        <v>45789.517060185186</v>
      </c>
      <c r="N1178" s="83">
        <v>45791</v>
      </c>
      <c r="O1178" s="83">
        <v>45791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2</v>
      </c>
      <c r="R1178" s="80" t="s">
        <v>489</v>
      </c>
      <c r="S1178" s="69"/>
    </row>
    <row r="1179" spans="1:19" hidden="1">
      <c r="A1179" s="72" t="s">
        <v>3065</v>
      </c>
      <c r="B1179" s="149" t="str">
        <f>IFERROR(VLOOKUP(Proc[[#This Row],[App]],Table2[],3,0),"open")</f>
        <v>ok</v>
      </c>
      <c r="C1179" s="72" t="s">
        <v>369</v>
      </c>
      <c r="D1179" t="s">
        <v>3051</v>
      </c>
      <c r="E1179" t="s">
        <v>3025</v>
      </c>
      <c r="F1179" s="117" t="s">
        <v>3025</v>
      </c>
      <c r="G1179" s="72" t="s">
        <v>400</v>
      </c>
      <c r="H1179" s="69" t="str">
        <f>IF(Proc[[#This Row],[type]]="LFF (MDG-F)",MID(Proc[[#This Row],[Obj]],13,10),"")</f>
        <v/>
      </c>
      <c r="I1179" t="s">
        <v>3063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LS</v>
      </c>
      <c r="L1179" s="69" t="s">
        <v>2563</v>
      </c>
      <c r="M1179" s="79">
        <v>45789.517060185186</v>
      </c>
      <c r="N1179" s="83">
        <v>45791</v>
      </c>
      <c r="O1179" s="83">
        <v>45791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2</v>
      </c>
      <c r="R1179" s="80" t="s">
        <v>489</v>
      </c>
      <c r="S1179" s="69"/>
    </row>
    <row r="1180" spans="1:19" hidden="1">
      <c r="A1180" s="72" t="s">
        <v>3065</v>
      </c>
      <c r="B1180" s="149" t="str">
        <f>IFERROR(VLOOKUP(Proc[[#This Row],[App]],Table2[],3,0),"open")</f>
        <v>ok</v>
      </c>
      <c r="C1180" s="72" t="s">
        <v>369</v>
      </c>
      <c r="D1180" t="s">
        <v>3052</v>
      </c>
      <c r="E1180" t="s">
        <v>3025</v>
      </c>
      <c r="F1180" s="117" t="s">
        <v>3025</v>
      </c>
      <c r="G1180" s="72" t="s">
        <v>400</v>
      </c>
      <c r="H1180" s="69" t="str">
        <f>IF(Proc[[#This Row],[type]]="LFF (MDG-F)",MID(Proc[[#This Row],[Obj]],13,10),"")</f>
        <v/>
      </c>
      <c r="I1180" t="s">
        <v>3064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LS</v>
      </c>
      <c r="L1180" s="69" t="s">
        <v>2563</v>
      </c>
      <c r="M1180" s="79">
        <v>45789.517060185186</v>
      </c>
      <c r="N1180" s="83">
        <v>45791</v>
      </c>
      <c r="O1180" s="83">
        <v>45791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2</v>
      </c>
      <c r="R1180" s="80" t="s">
        <v>489</v>
      </c>
      <c r="S1180" s="69"/>
    </row>
    <row r="1181" spans="1:19" hidden="1">
      <c r="A1181" s="72" t="s">
        <v>3065</v>
      </c>
      <c r="B1181" s="149" t="str">
        <f>IFERROR(VLOOKUP(Proc[[#This Row],[App]],Table2[],3,0),"open")</f>
        <v>ok</v>
      </c>
      <c r="C1181" s="72" t="s">
        <v>369</v>
      </c>
      <c r="D1181" t="s">
        <v>3053</v>
      </c>
      <c r="E1181" t="s">
        <v>3025</v>
      </c>
      <c r="F1181" s="117" t="s">
        <v>3025</v>
      </c>
      <c r="G1181" s="72" t="s">
        <v>400</v>
      </c>
      <c r="H1181" s="69" t="str">
        <f>IF(Proc[[#This Row],[type]]="LFF (MDG-F)",MID(Proc[[#This Row],[Obj]],13,10),"")</f>
        <v/>
      </c>
      <c r="I1181" t="s">
        <v>3064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LS</v>
      </c>
      <c r="L1181" s="69" t="s">
        <v>2563</v>
      </c>
      <c r="M1181" s="79">
        <v>45789.517060185186</v>
      </c>
      <c r="N1181" s="83">
        <v>45791</v>
      </c>
      <c r="O1181" s="83">
        <v>45791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2</v>
      </c>
      <c r="R1181" s="80" t="s">
        <v>489</v>
      </c>
      <c r="S1181" s="69"/>
    </row>
    <row r="1182" spans="1:19" hidden="1">
      <c r="A1182" s="72" t="s">
        <v>3065</v>
      </c>
      <c r="B1182" s="149" t="str">
        <f>IFERROR(VLOOKUP(Proc[[#This Row],[App]],Table2[],3,0),"open")</f>
        <v>ok</v>
      </c>
      <c r="C1182" s="72" t="s">
        <v>369</v>
      </c>
      <c r="D1182" t="s">
        <v>3054</v>
      </c>
      <c r="E1182" t="s">
        <v>3025</v>
      </c>
      <c r="F1182" s="117" t="s">
        <v>3025</v>
      </c>
      <c r="G1182" s="72" t="s">
        <v>400</v>
      </c>
      <c r="H1182" s="69" t="str">
        <f>IF(Proc[[#This Row],[type]]="LFF (MDG-F)",MID(Proc[[#This Row],[Obj]],13,10),"")</f>
        <v/>
      </c>
      <c r="I1182" t="s">
        <v>3064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LS</v>
      </c>
      <c r="L1182" s="69" t="s">
        <v>2563</v>
      </c>
      <c r="M1182" s="79">
        <v>45789.517060185186</v>
      </c>
      <c r="N1182" s="83">
        <v>45791</v>
      </c>
      <c r="O1182" s="83">
        <v>45791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2</v>
      </c>
      <c r="R1182" s="80" t="s">
        <v>489</v>
      </c>
      <c r="S1182" s="69"/>
    </row>
    <row r="1183" spans="1:19" hidden="1">
      <c r="A1183" s="72" t="s">
        <v>3065</v>
      </c>
      <c r="B1183" s="149" t="str">
        <f>IFERROR(VLOOKUP(Proc[[#This Row],[App]],Table2[],3,0),"open")</f>
        <v>ok</v>
      </c>
      <c r="C1183" s="72" t="s">
        <v>369</v>
      </c>
      <c r="D1183" t="s">
        <v>3055</v>
      </c>
      <c r="E1183" t="s">
        <v>3025</v>
      </c>
      <c r="F1183" s="117" t="s">
        <v>3025</v>
      </c>
      <c r="G1183" s="72" t="s">
        <v>400</v>
      </c>
      <c r="H1183" s="69" t="str">
        <f>IF(Proc[[#This Row],[type]]="LFF (MDG-F)",MID(Proc[[#This Row],[Obj]],13,10),"")</f>
        <v/>
      </c>
      <c r="I1183" t="s">
        <v>3064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LS</v>
      </c>
      <c r="L1183" s="69" t="s">
        <v>2563</v>
      </c>
      <c r="M1183" s="79">
        <v>45789.517060185186</v>
      </c>
      <c r="N1183" s="83">
        <v>45791</v>
      </c>
      <c r="O1183" s="83">
        <v>45791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2</v>
      </c>
      <c r="R1183" s="80" t="s">
        <v>489</v>
      </c>
      <c r="S1183" s="69"/>
    </row>
    <row r="1184" spans="1:19" hidden="1">
      <c r="A1184" s="72" t="s">
        <v>3065</v>
      </c>
      <c r="B1184" s="149" t="str">
        <f>IFERROR(VLOOKUP(Proc[[#This Row],[App]],Table2[],3,0),"open")</f>
        <v>ok</v>
      </c>
      <c r="C1184" s="72" t="s">
        <v>369</v>
      </c>
      <c r="D1184" t="s">
        <v>3056</v>
      </c>
      <c r="E1184" t="s">
        <v>3025</v>
      </c>
      <c r="F1184" s="117" t="s">
        <v>3025</v>
      </c>
      <c r="G1184" s="72" t="s">
        <v>400</v>
      </c>
      <c r="H1184" s="69" t="str">
        <f>IF(Proc[[#This Row],[type]]="LFF (MDG-F)",MID(Proc[[#This Row],[Obj]],13,10),"")</f>
        <v/>
      </c>
      <c r="I1184" t="s">
        <v>3064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LS</v>
      </c>
      <c r="L1184" s="69" t="s">
        <v>2563</v>
      </c>
      <c r="M1184" s="79">
        <v>45789.517060185186</v>
      </c>
      <c r="N1184" s="83">
        <v>45791</v>
      </c>
      <c r="O1184" s="83">
        <v>45791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2</v>
      </c>
      <c r="R1184" s="80" t="s">
        <v>489</v>
      </c>
      <c r="S1184" s="69"/>
    </row>
    <row r="1185" spans="1:19" hidden="1">
      <c r="A1185" s="72" t="s">
        <v>3065</v>
      </c>
      <c r="B1185" s="149" t="str">
        <f>IFERROR(VLOOKUP(Proc[[#This Row],[App]],Table2[],3,0),"open")</f>
        <v>ok</v>
      </c>
      <c r="C1185" s="72" t="s">
        <v>369</v>
      </c>
      <c r="D1185" t="s">
        <v>3057</v>
      </c>
      <c r="E1185" t="s">
        <v>3025</v>
      </c>
      <c r="F1185" s="117" t="s">
        <v>3025</v>
      </c>
      <c r="G1185" s="72" t="s">
        <v>400</v>
      </c>
      <c r="H1185" s="69" t="str">
        <f>IF(Proc[[#This Row],[type]]="LFF (MDG-F)",MID(Proc[[#This Row],[Obj]],13,10),"")</f>
        <v/>
      </c>
      <c r="I1185" t="s">
        <v>3064</v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45789.517060185186</v>
      </c>
      <c r="N1185" s="83">
        <v>45791</v>
      </c>
      <c r="O1185" s="83">
        <v>45791</v>
      </c>
      <c r="P1185" s="80" t="str">
        <f ca="1">IF(Proc[[#This Row],[DaysAgeing]]&gt;5,"yep","on track")</f>
        <v>on track</v>
      </c>
      <c r="Q1185" s="3">
        <f ca="1">IF(Proc[[#This Row],[DateClosed]]="",ABS(NETWORKDAYS(Proc[[#This Row],[DateOpened]],TODAY()))-1,ABS(NETWORKDAYS(Proc[[#This Row],[DateOpened]],Proc[[#This Row],[DateClosed]]))-1)</f>
        <v>2</v>
      </c>
      <c r="R1185" s="80" t="s">
        <v>489</v>
      </c>
      <c r="S1185" s="69"/>
    </row>
    <row r="1186" spans="1:19" hidden="1">
      <c r="A1186" s="72" t="s">
        <v>3065</v>
      </c>
      <c r="B1186" s="149" t="str">
        <f>IFERROR(VLOOKUP(Proc[[#This Row],[App]],Table2[],3,0),"open")</f>
        <v>ok</v>
      </c>
      <c r="C1186" s="72" t="s">
        <v>369</v>
      </c>
      <c r="D1186" t="s">
        <v>3058</v>
      </c>
      <c r="E1186" t="s">
        <v>3025</v>
      </c>
      <c r="F1186" s="117" t="s">
        <v>3025</v>
      </c>
      <c r="G1186" s="72" t="s">
        <v>400</v>
      </c>
      <c r="H1186" s="69" t="str">
        <f>IF(Proc[[#This Row],[type]]="LFF (MDG-F)",MID(Proc[[#This Row],[Obj]],13,10),"")</f>
        <v/>
      </c>
      <c r="I1186" t="s">
        <v>3064</v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LS</v>
      </c>
      <c r="L1186" s="69" t="s">
        <v>2563</v>
      </c>
      <c r="M1186" s="79">
        <v>45789.517060185186</v>
      </c>
      <c r="N1186" s="83">
        <v>45791</v>
      </c>
      <c r="O1186" s="83">
        <v>45791</v>
      </c>
      <c r="P1186" s="80" t="str">
        <f ca="1">IF(Proc[[#This Row],[DaysAgeing]]&gt;5,"yep","on track")</f>
        <v>on track</v>
      </c>
      <c r="Q1186" s="3">
        <f ca="1">IF(Proc[[#This Row],[DateClosed]]="",ABS(NETWORKDAYS(Proc[[#This Row],[DateOpened]],TODAY()))-1,ABS(NETWORKDAYS(Proc[[#This Row],[DateOpened]],Proc[[#This Row],[DateClosed]]))-1)</f>
        <v>2</v>
      </c>
      <c r="R1186" s="80" t="s">
        <v>489</v>
      </c>
      <c r="S1186" s="69"/>
    </row>
    <row r="1187" spans="1:19" hidden="1">
      <c r="A1187" s="72" t="s">
        <v>3065</v>
      </c>
      <c r="B1187" s="149" t="str">
        <f>IFERROR(VLOOKUP(Proc[[#This Row],[App]],Table2[],3,0),"open")</f>
        <v>ok</v>
      </c>
      <c r="C1187" s="72" t="s">
        <v>369</v>
      </c>
      <c r="D1187" t="s">
        <v>3059</v>
      </c>
      <c r="E1187" t="s">
        <v>3025</v>
      </c>
      <c r="F1187" s="117" t="s">
        <v>3025</v>
      </c>
      <c r="G1187" s="72" t="s">
        <v>400</v>
      </c>
      <c r="H1187" s="69" t="str">
        <f>IF(Proc[[#This Row],[type]]="LFF (MDG-F)",MID(Proc[[#This Row],[Obj]],13,10),"")</f>
        <v/>
      </c>
      <c r="I1187" t="s">
        <v>3064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LS</v>
      </c>
      <c r="L1187" s="69" t="s">
        <v>2563</v>
      </c>
      <c r="M1187" s="79">
        <v>45789.517060185186</v>
      </c>
      <c r="N1187" s="83">
        <v>45791</v>
      </c>
      <c r="O1187" s="83">
        <v>45791</v>
      </c>
      <c r="P1187" s="80" t="str">
        <f ca="1">IF(Proc[[#This Row],[DaysAgeing]]&gt;5,"yep","on track")</f>
        <v>on track</v>
      </c>
      <c r="Q1187" s="3">
        <f ca="1">IF(Proc[[#This Row],[DateClosed]]="",ABS(NETWORKDAYS(Proc[[#This Row],[DateOpened]],TODAY()))-1,ABS(NETWORKDAYS(Proc[[#This Row],[DateOpened]],Proc[[#This Row],[DateClosed]]))-1)</f>
        <v>2</v>
      </c>
      <c r="R1187" s="80" t="s">
        <v>489</v>
      </c>
      <c r="S1187" s="69"/>
    </row>
    <row r="1188" spans="1:19" hidden="1">
      <c r="A1188" s="72" t="s">
        <v>3065</v>
      </c>
      <c r="B1188" s="149" t="str">
        <f>IFERROR(VLOOKUP(Proc[[#This Row],[App]],Table2[],3,0),"open")</f>
        <v>ok</v>
      </c>
      <c r="C1188" s="72" t="s">
        <v>369</v>
      </c>
      <c r="D1188" t="s">
        <v>3060</v>
      </c>
      <c r="E1188" t="s">
        <v>3025</v>
      </c>
      <c r="F1188" s="117" t="s">
        <v>3025</v>
      </c>
      <c r="G1188" s="72" t="s">
        <v>400</v>
      </c>
      <c r="H1188" s="69" t="str">
        <f>IF(Proc[[#This Row],[type]]="LFF (MDG-F)",MID(Proc[[#This Row],[Obj]],13,10),"")</f>
        <v/>
      </c>
      <c r="I1188" t="s">
        <v>3064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LS</v>
      </c>
      <c r="L1188" s="69" t="s">
        <v>2563</v>
      </c>
      <c r="M1188" s="79">
        <v>45789.517060185186</v>
      </c>
      <c r="N1188" s="83">
        <v>45791</v>
      </c>
      <c r="O1188" s="83">
        <v>45791</v>
      </c>
      <c r="P1188" s="80" t="str">
        <f ca="1">IF(Proc[[#This Row],[DaysAgeing]]&gt;5,"yep","on track")</f>
        <v>on track</v>
      </c>
      <c r="Q1188" s="3">
        <f ca="1">IF(Proc[[#This Row],[DateClosed]]="",ABS(NETWORKDAYS(Proc[[#This Row],[DateOpened]],TODAY()))-1,ABS(NETWORKDAYS(Proc[[#This Row],[DateOpened]],Proc[[#This Row],[DateClosed]]))-1)</f>
        <v>2</v>
      </c>
      <c r="R1188" s="80" t="s">
        <v>489</v>
      </c>
      <c r="S1188" s="69"/>
    </row>
    <row r="1189" spans="1:19" hidden="1">
      <c r="A1189" t="s">
        <v>3083</v>
      </c>
      <c r="B1189" s="149" t="str">
        <f>IFERROR(VLOOKUP(Proc[[#This Row],[App]],Table2[],3,0),"open")</f>
        <v>ok</v>
      </c>
      <c r="C1189" s="72" t="s">
        <v>369</v>
      </c>
      <c r="D1189" t="s">
        <v>3066</v>
      </c>
      <c r="E1189" t="s">
        <v>2592</v>
      </c>
      <c r="F1189" s="117" t="s">
        <v>2592</v>
      </c>
      <c r="G1189" s="72" t="s">
        <v>400</v>
      </c>
      <c r="H1189" s="69" t="str">
        <f>IF(Proc[[#This Row],[type]]="LFF (MDG-F)",MID(Proc[[#This Row],[Obj]],13,10),"")</f>
        <v/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LS</v>
      </c>
      <c r="L1189" s="69" t="s">
        <v>2563</v>
      </c>
      <c r="M1189" s="79">
        <v>45789.484120370369</v>
      </c>
      <c r="N1189" s="79">
        <v>45790</v>
      </c>
      <c r="O1189" s="79">
        <v>45790</v>
      </c>
      <c r="P1189" s="80" t="str">
        <f ca="1">IF(Proc[[#This Row],[DaysAgeing]]&gt;5,"yep","on track")</f>
        <v>on track</v>
      </c>
      <c r="Q1189" s="3">
        <f ca="1">IF(Proc[[#This Row],[DateClosed]]="",ABS(NETWORKDAYS(Proc[[#This Row],[DateOpened]],TODAY()))-1,ABS(NETWORKDAYS(Proc[[#This Row],[DateOpened]],Proc[[#This Row],[DateClosed]]))-1)</f>
        <v>1</v>
      </c>
      <c r="R1189" s="80" t="s">
        <v>489</v>
      </c>
      <c r="S1189" s="69"/>
    </row>
    <row r="1190" spans="1:19" hidden="1">
      <c r="A1190" s="72" t="s">
        <v>3083</v>
      </c>
      <c r="B1190" s="149" t="str">
        <f>IFERROR(VLOOKUP(Proc[[#This Row],[App]],Table2[],3,0),"open")</f>
        <v>ok</v>
      </c>
      <c r="C1190" s="72" t="s">
        <v>369</v>
      </c>
      <c r="D1190" t="s">
        <v>3067</v>
      </c>
      <c r="E1190" t="s">
        <v>2592</v>
      </c>
      <c r="F1190" s="117" t="s">
        <v>2592</v>
      </c>
      <c r="G1190" s="72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45789.484120370369</v>
      </c>
      <c r="N1190" s="79">
        <v>45790</v>
      </c>
      <c r="O1190" s="79">
        <v>45790</v>
      </c>
      <c r="P1190" s="80" t="str">
        <f ca="1">IF(Proc[[#This Row],[DaysAgeing]]&gt;5,"yep","on track")</f>
        <v>on track</v>
      </c>
      <c r="Q1190" s="3">
        <f ca="1">IF(Proc[[#This Row],[DateClosed]]="",ABS(NETWORKDAYS(Proc[[#This Row],[DateOpened]],TODAY()))-1,ABS(NETWORKDAYS(Proc[[#This Row],[DateOpened]],Proc[[#This Row],[DateClosed]]))-1)</f>
        <v>1</v>
      </c>
      <c r="R1190" s="80" t="s">
        <v>489</v>
      </c>
      <c r="S1190" s="69"/>
    </row>
    <row r="1191" spans="1:19" hidden="1">
      <c r="A1191" s="72" t="s">
        <v>3083</v>
      </c>
      <c r="B1191" s="149" t="str">
        <f>IFERROR(VLOOKUP(Proc[[#This Row],[App]],Table2[],3,0),"open")</f>
        <v>ok</v>
      </c>
      <c r="C1191" s="72" t="s">
        <v>369</v>
      </c>
      <c r="D1191" t="s">
        <v>3068</v>
      </c>
      <c r="E1191" t="s">
        <v>2592</v>
      </c>
      <c r="F1191" s="117" t="s">
        <v>2592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45789.484120370369</v>
      </c>
      <c r="N1191" s="79">
        <v>45790</v>
      </c>
      <c r="O1191" s="79">
        <v>45790</v>
      </c>
      <c r="P1191" s="80" t="str">
        <f ca="1">IF(Proc[[#This Row],[DaysAgeing]]&gt;5,"yep","on track")</f>
        <v>on track</v>
      </c>
      <c r="Q1191" s="3">
        <f ca="1">IF(Proc[[#This Row],[DateClosed]]="",ABS(NETWORKDAYS(Proc[[#This Row],[DateOpened]],TODAY()))-1,ABS(NETWORKDAYS(Proc[[#This Row],[DateOpened]],Proc[[#This Row],[DateClosed]]))-1)</f>
        <v>1</v>
      </c>
      <c r="R1191" s="80" t="s">
        <v>489</v>
      </c>
      <c r="S1191" s="69"/>
    </row>
    <row r="1192" spans="1:19" hidden="1">
      <c r="A1192" s="72" t="s">
        <v>3083</v>
      </c>
      <c r="B1192" s="149" t="str">
        <f>IFERROR(VLOOKUP(Proc[[#This Row],[App]],Table2[],3,0),"open")</f>
        <v>ok</v>
      </c>
      <c r="C1192" s="72" t="s">
        <v>369</v>
      </c>
      <c r="D1192" t="s">
        <v>3069</v>
      </c>
      <c r="E1192" t="s">
        <v>417</v>
      </c>
      <c r="F1192" s="117" t="s">
        <v>417</v>
      </c>
      <c r="G1192" s="7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45789.484120370369</v>
      </c>
      <c r="N1192" s="79">
        <v>45790</v>
      </c>
      <c r="O1192" s="79">
        <v>45790</v>
      </c>
      <c r="P1192" s="80" t="str">
        <f ca="1">IF(Proc[[#This Row],[DaysAgeing]]&gt;5,"yep","on track")</f>
        <v>on track</v>
      </c>
      <c r="Q1192" s="3">
        <f ca="1">IF(Proc[[#This Row],[DateClosed]]="",ABS(NETWORKDAYS(Proc[[#This Row],[DateOpened]],TODAY()))-1,ABS(NETWORKDAYS(Proc[[#This Row],[DateOpened]],Proc[[#This Row],[DateClosed]]))-1)</f>
        <v>1</v>
      </c>
      <c r="R1192" s="80" t="s">
        <v>489</v>
      </c>
      <c r="S1192" s="69"/>
    </row>
    <row r="1193" spans="1:19" hidden="1">
      <c r="A1193" s="72" t="s">
        <v>3083</v>
      </c>
      <c r="B1193" s="149" t="str">
        <f>IFERROR(VLOOKUP(Proc[[#This Row],[App]],Table2[],3,0),"open")</f>
        <v>ok</v>
      </c>
      <c r="C1193" s="72" t="s">
        <v>369</v>
      </c>
      <c r="D1193" t="s">
        <v>3070</v>
      </c>
      <c r="E1193" t="s">
        <v>417</v>
      </c>
      <c r="F1193" s="117" t="s">
        <v>417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LS</v>
      </c>
      <c r="L1193" s="69" t="s">
        <v>2563</v>
      </c>
      <c r="M1193" s="79">
        <v>45789.484120370369</v>
      </c>
      <c r="N1193" s="79">
        <v>45790</v>
      </c>
      <c r="O1193" s="79">
        <v>45790</v>
      </c>
      <c r="P1193" s="80" t="str">
        <f ca="1">IF(Proc[[#This Row],[DaysAgeing]]&gt;5,"yep","on track")</f>
        <v>on track</v>
      </c>
      <c r="Q1193" s="3">
        <f ca="1">IF(Proc[[#This Row],[DateClosed]]="",ABS(NETWORKDAYS(Proc[[#This Row],[DateOpened]],TODAY()))-1,ABS(NETWORKDAYS(Proc[[#This Row],[DateOpened]],Proc[[#This Row],[DateClosed]]))-1)</f>
        <v>1</v>
      </c>
      <c r="R1193" s="80" t="s">
        <v>489</v>
      </c>
      <c r="S1193" s="69"/>
    </row>
    <row r="1194" spans="1:19" hidden="1">
      <c r="A1194" s="72" t="s">
        <v>3083</v>
      </c>
      <c r="B1194" s="149" t="str">
        <f>IFERROR(VLOOKUP(Proc[[#This Row],[App]],Table2[],3,0),"open")</f>
        <v>ok</v>
      </c>
      <c r="C1194" s="72" t="s">
        <v>369</v>
      </c>
      <c r="D1194" t="s">
        <v>3071</v>
      </c>
      <c r="E1194" t="s">
        <v>417</v>
      </c>
      <c r="F1194" s="117" t="s">
        <v>417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LS</v>
      </c>
      <c r="L1194" s="69" t="s">
        <v>2563</v>
      </c>
      <c r="M1194" s="79">
        <v>45789.484120370369</v>
      </c>
      <c r="N1194" s="79">
        <v>45790</v>
      </c>
      <c r="O1194" s="79">
        <v>45790</v>
      </c>
      <c r="P1194" s="80" t="str">
        <f ca="1">IF(Proc[[#This Row],[DaysAgeing]]&gt;5,"yep","on track")</f>
        <v>on track</v>
      </c>
      <c r="Q1194" s="3">
        <f ca="1">IF(Proc[[#This Row],[DateClosed]]="",ABS(NETWORKDAYS(Proc[[#This Row],[DateOpened]],TODAY()))-1,ABS(NETWORKDAYS(Proc[[#This Row],[DateOpened]],Proc[[#This Row],[DateClosed]]))-1)</f>
        <v>1</v>
      </c>
      <c r="R1194" s="80" t="s">
        <v>489</v>
      </c>
      <c r="S1194" s="69"/>
    </row>
    <row r="1195" spans="1:19" hidden="1">
      <c r="A1195" s="72" t="s">
        <v>3083</v>
      </c>
      <c r="B1195" s="149" t="str">
        <f>IFERROR(VLOOKUP(Proc[[#This Row],[App]],Table2[],3,0),"open")</f>
        <v>ok</v>
      </c>
      <c r="C1195" s="72" t="s">
        <v>369</v>
      </c>
      <c r="D1195" t="s">
        <v>3072</v>
      </c>
      <c r="E1195" t="s">
        <v>417</v>
      </c>
      <c r="F1195" s="117" t="s">
        <v>417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LS</v>
      </c>
      <c r="L1195" s="69" t="s">
        <v>2563</v>
      </c>
      <c r="M1195" s="79">
        <v>45789.484120370369</v>
      </c>
      <c r="N1195" s="79">
        <v>45790</v>
      </c>
      <c r="O1195" s="79">
        <v>45790</v>
      </c>
      <c r="P1195" s="80" t="str">
        <f ca="1">IF(Proc[[#This Row],[DaysAgeing]]&gt;5,"yep","on track")</f>
        <v>on track</v>
      </c>
      <c r="Q1195" s="3">
        <f ca="1">IF(Proc[[#This Row],[DateClosed]]="",ABS(NETWORKDAYS(Proc[[#This Row],[DateOpened]],TODAY()))-1,ABS(NETWORKDAYS(Proc[[#This Row],[DateOpened]],Proc[[#This Row],[DateClosed]]))-1)</f>
        <v>1</v>
      </c>
      <c r="R1195" s="80" t="s">
        <v>489</v>
      </c>
      <c r="S1195" s="69"/>
    </row>
    <row r="1196" spans="1:19" hidden="1">
      <c r="A1196" s="72" t="s">
        <v>3083</v>
      </c>
      <c r="B1196" s="149" t="str">
        <f>IFERROR(VLOOKUP(Proc[[#This Row],[App]],Table2[],3,0),"open")</f>
        <v>ok</v>
      </c>
      <c r="C1196" s="72" t="s">
        <v>369</v>
      </c>
      <c r="D1196" t="s">
        <v>3073</v>
      </c>
      <c r="E1196" t="s">
        <v>417</v>
      </c>
      <c r="F1196" s="117" t="s">
        <v>417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LS</v>
      </c>
      <c r="L1196" s="69" t="s">
        <v>2563</v>
      </c>
      <c r="M1196" s="79">
        <v>45789.484120370369</v>
      </c>
      <c r="N1196" s="79">
        <v>45790</v>
      </c>
      <c r="O1196" s="79">
        <v>45790</v>
      </c>
      <c r="P1196" s="80" t="str">
        <f ca="1">IF(Proc[[#This Row],[DaysAgeing]]&gt;5,"yep","on track")</f>
        <v>on track</v>
      </c>
      <c r="Q1196" s="3">
        <f ca="1">IF(Proc[[#This Row],[DateClosed]]="",ABS(NETWORKDAYS(Proc[[#This Row],[DateOpened]],TODAY()))-1,ABS(NETWORKDAYS(Proc[[#This Row],[DateOpened]],Proc[[#This Row],[DateClosed]]))-1)</f>
        <v>1</v>
      </c>
      <c r="R1196" s="80" t="s">
        <v>489</v>
      </c>
      <c r="S1196" s="69"/>
    </row>
    <row r="1197" spans="1:19" hidden="1">
      <c r="A1197" s="72" t="s">
        <v>3083</v>
      </c>
      <c r="B1197" s="149" t="str">
        <f>IFERROR(VLOOKUP(Proc[[#This Row],[App]],Table2[],3,0),"open")</f>
        <v>ok</v>
      </c>
      <c r="C1197" s="72" t="s">
        <v>369</v>
      </c>
      <c r="D1197" t="s">
        <v>3074</v>
      </c>
      <c r="E1197" t="s">
        <v>417</v>
      </c>
      <c r="F1197" s="117" t="s">
        <v>417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LS</v>
      </c>
      <c r="L1197" s="69" t="s">
        <v>2563</v>
      </c>
      <c r="M1197" s="79">
        <v>45789.484120370369</v>
      </c>
      <c r="N1197" s="79">
        <v>45790</v>
      </c>
      <c r="O1197" s="79">
        <v>45790</v>
      </c>
      <c r="P1197" s="80" t="str">
        <f ca="1">IF(Proc[[#This Row],[DaysAgeing]]&gt;5,"yep","on track")</f>
        <v>on track</v>
      </c>
      <c r="Q1197" s="3">
        <f ca="1">IF(Proc[[#This Row],[DateClosed]]="",ABS(NETWORKDAYS(Proc[[#This Row],[DateOpened]],TODAY()))-1,ABS(NETWORKDAYS(Proc[[#This Row],[DateOpened]],Proc[[#This Row],[DateClosed]]))-1)</f>
        <v>1</v>
      </c>
      <c r="R1197" s="80" t="s">
        <v>489</v>
      </c>
      <c r="S1197" s="69"/>
    </row>
    <row r="1198" spans="1:19" hidden="1">
      <c r="A1198" s="72" t="s">
        <v>3083</v>
      </c>
      <c r="B1198" s="149" t="str">
        <f>IFERROR(VLOOKUP(Proc[[#This Row],[App]],Table2[],3,0),"open")</f>
        <v>ok</v>
      </c>
      <c r="C1198" s="72" t="s">
        <v>369</v>
      </c>
      <c r="D1198" t="s">
        <v>3075</v>
      </c>
      <c r="E1198" t="s">
        <v>417</v>
      </c>
      <c r="F1198" s="117" t="s">
        <v>417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LS</v>
      </c>
      <c r="L1198" s="69" t="s">
        <v>2563</v>
      </c>
      <c r="M1198" s="79">
        <v>45789.484120370369</v>
      </c>
      <c r="N1198" s="79">
        <v>45790</v>
      </c>
      <c r="O1198" s="79">
        <v>45790</v>
      </c>
      <c r="P1198" s="80" t="str">
        <f ca="1">IF(Proc[[#This Row],[DaysAgeing]]&gt;5,"yep","on track")</f>
        <v>on track</v>
      </c>
      <c r="Q1198" s="3">
        <f ca="1">IF(Proc[[#This Row],[DateClosed]]="",ABS(NETWORKDAYS(Proc[[#This Row],[DateOpened]],TODAY()))-1,ABS(NETWORKDAYS(Proc[[#This Row],[DateOpened]],Proc[[#This Row],[DateClosed]]))-1)</f>
        <v>1</v>
      </c>
      <c r="R1198" s="80" t="s">
        <v>489</v>
      </c>
      <c r="S1198" s="69"/>
    </row>
    <row r="1199" spans="1:19" hidden="1">
      <c r="A1199" s="72" t="s">
        <v>3083</v>
      </c>
      <c r="B1199" s="149" t="str">
        <f>IFERROR(VLOOKUP(Proc[[#This Row],[App]],Table2[],3,0),"open")</f>
        <v>ok</v>
      </c>
      <c r="C1199" s="72" t="s">
        <v>369</v>
      </c>
      <c r="D1199" t="s">
        <v>3076</v>
      </c>
      <c r="E1199" t="s">
        <v>417</v>
      </c>
      <c r="F1199" s="117" t="s">
        <v>417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LS</v>
      </c>
      <c r="L1199" s="69" t="s">
        <v>2563</v>
      </c>
      <c r="M1199" s="79">
        <v>45789.484120370369</v>
      </c>
      <c r="N1199" s="79">
        <v>45790</v>
      </c>
      <c r="O1199" s="79">
        <v>45790</v>
      </c>
      <c r="P1199" s="80" t="str">
        <f ca="1">IF(Proc[[#This Row],[DaysAgeing]]&gt;5,"yep","on track")</f>
        <v>on track</v>
      </c>
      <c r="Q1199" s="3">
        <f ca="1">IF(Proc[[#This Row],[DateClosed]]="",ABS(NETWORKDAYS(Proc[[#This Row],[DateOpened]],TODAY()))-1,ABS(NETWORKDAYS(Proc[[#This Row],[DateOpened]],Proc[[#This Row],[DateClosed]]))-1)</f>
        <v>1</v>
      </c>
      <c r="R1199" s="80" t="s">
        <v>489</v>
      </c>
      <c r="S1199" s="69"/>
    </row>
    <row r="1200" spans="1:19" hidden="1">
      <c r="A1200" s="72" t="s">
        <v>3083</v>
      </c>
      <c r="B1200" s="149" t="str">
        <f>IFERROR(VLOOKUP(Proc[[#This Row],[App]],Table2[],3,0),"open")</f>
        <v>ok</v>
      </c>
      <c r="C1200" s="72" t="s">
        <v>369</v>
      </c>
      <c r="D1200" t="s">
        <v>3077</v>
      </c>
      <c r="E1200" t="s">
        <v>417</v>
      </c>
      <c r="F1200" s="117" t="s">
        <v>417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LS</v>
      </c>
      <c r="L1200" s="69" t="s">
        <v>2563</v>
      </c>
      <c r="M1200" s="79">
        <v>45789.484120370369</v>
      </c>
      <c r="N1200" s="79">
        <v>45790</v>
      </c>
      <c r="O1200" s="79">
        <v>45790</v>
      </c>
      <c r="P1200" s="80" t="str">
        <f ca="1">IF(Proc[[#This Row],[DaysAgeing]]&gt;5,"yep","on track")</f>
        <v>on track</v>
      </c>
      <c r="Q1200" s="3">
        <f ca="1">IF(Proc[[#This Row],[DateClosed]]="",ABS(NETWORKDAYS(Proc[[#This Row],[DateOpened]],TODAY()))-1,ABS(NETWORKDAYS(Proc[[#This Row],[DateOpened]],Proc[[#This Row],[DateClosed]]))-1)</f>
        <v>1</v>
      </c>
      <c r="R1200" s="80" t="s">
        <v>489</v>
      </c>
      <c r="S1200" s="69"/>
    </row>
    <row r="1201" spans="1:19" hidden="1">
      <c r="A1201" s="72" t="s">
        <v>3083</v>
      </c>
      <c r="B1201" s="149" t="str">
        <f>IFERROR(VLOOKUP(Proc[[#This Row],[App]],Table2[],3,0),"open")</f>
        <v>ok</v>
      </c>
      <c r="C1201" s="72" t="s">
        <v>369</v>
      </c>
      <c r="D1201" t="s">
        <v>3078</v>
      </c>
      <c r="E1201" t="s">
        <v>417</v>
      </c>
      <c r="F1201" s="117" t="s">
        <v>417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LS</v>
      </c>
      <c r="L1201" s="69" t="s">
        <v>2563</v>
      </c>
      <c r="M1201" s="79">
        <v>45789.484120370369</v>
      </c>
      <c r="N1201" s="79">
        <v>45790</v>
      </c>
      <c r="O1201" s="79">
        <v>45790</v>
      </c>
      <c r="P1201" s="80" t="str">
        <f ca="1">IF(Proc[[#This Row],[DaysAgeing]]&gt;5,"yep","on track")</f>
        <v>on track</v>
      </c>
      <c r="Q1201" s="3">
        <f ca="1">IF(Proc[[#This Row],[DateClosed]]="",ABS(NETWORKDAYS(Proc[[#This Row],[DateOpened]],TODAY()))-1,ABS(NETWORKDAYS(Proc[[#This Row],[DateOpened]],Proc[[#This Row],[DateClosed]]))-1)</f>
        <v>1</v>
      </c>
      <c r="R1201" s="80" t="s">
        <v>489</v>
      </c>
      <c r="S1201" s="69"/>
    </row>
    <row r="1202" spans="1:19" hidden="1">
      <c r="A1202" s="72" t="s">
        <v>3083</v>
      </c>
      <c r="B1202" s="149" t="str">
        <f>IFERROR(VLOOKUP(Proc[[#This Row],[App]],Table2[],3,0),"open")</f>
        <v>ok</v>
      </c>
      <c r="C1202" s="72" t="s">
        <v>369</v>
      </c>
      <c r="D1202" t="s">
        <v>3079</v>
      </c>
      <c r="E1202" t="s">
        <v>417</v>
      </c>
      <c r="F1202" s="117" t="s">
        <v>417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LS</v>
      </c>
      <c r="L1202" s="69" t="s">
        <v>2563</v>
      </c>
      <c r="M1202" s="79">
        <v>45789.484120370369</v>
      </c>
      <c r="N1202" s="79">
        <v>45790</v>
      </c>
      <c r="O1202" s="79">
        <v>45790</v>
      </c>
      <c r="P1202" s="80" t="str">
        <f ca="1">IF(Proc[[#This Row],[DaysAgeing]]&gt;5,"yep","on track")</f>
        <v>on track</v>
      </c>
      <c r="Q1202" s="3">
        <f ca="1">IF(Proc[[#This Row],[DateClosed]]="",ABS(NETWORKDAYS(Proc[[#This Row],[DateOpened]],TODAY()))-1,ABS(NETWORKDAYS(Proc[[#This Row],[DateOpened]],Proc[[#This Row],[DateClosed]]))-1)</f>
        <v>1</v>
      </c>
      <c r="R1202" s="80" t="s">
        <v>489</v>
      </c>
      <c r="S1202" s="69"/>
    </row>
    <row r="1203" spans="1:19" hidden="1">
      <c r="A1203" s="72" t="s">
        <v>3083</v>
      </c>
      <c r="B1203" s="149" t="str">
        <f>IFERROR(VLOOKUP(Proc[[#This Row],[App]],Table2[],3,0),"open")</f>
        <v>ok</v>
      </c>
      <c r="C1203" s="72" t="s">
        <v>369</v>
      </c>
      <c r="D1203" t="s">
        <v>3080</v>
      </c>
      <c r="E1203" t="s">
        <v>417</v>
      </c>
      <c r="F1203" s="117" t="s">
        <v>417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LS</v>
      </c>
      <c r="L1203" s="69" t="s">
        <v>2563</v>
      </c>
      <c r="M1203" s="79">
        <v>45789.484120370369</v>
      </c>
      <c r="N1203" s="79">
        <v>45790</v>
      </c>
      <c r="O1203" s="79">
        <v>45790</v>
      </c>
      <c r="P1203" s="80" t="str">
        <f ca="1">IF(Proc[[#This Row],[DaysAgeing]]&gt;5,"yep","on track")</f>
        <v>on track</v>
      </c>
      <c r="Q1203" s="3">
        <f ca="1">IF(Proc[[#This Row],[DateClosed]]="",ABS(NETWORKDAYS(Proc[[#This Row],[DateOpened]],TODAY()))-1,ABS(NETWORKDAYS(Proc[[#This Row],[DateOpened]],Proc[[#This Row],[DateClosed]]))-1)</f>
        <v>1</v>
      </c>
      <c r="R1203" s="80" t="s">
        <v>489</v>
      </c>
      <c r="S1203" s="69"/>
    </row>
    <row r="1204" spans="1:19" hidden="1">
      <c r="A1204" s="72" t="s">
        <v>3083</v>
      </c>
      <c r="B1204" s="149" t="str">
        <f>IFERROR(VLOOKUP(Proc[[#This Row],[App]],Table2[],3,0),"open")</f>
        <v>ok</v>
      </c>
      <c r="C1204" s="72" t="s">
        <v>369</v>
      </c>
      <c r="D1204" t="s">
        <v>3081</v>
      </c>
      <c r="E1204" t="s">
        <v>417</v>
      </c>
      <c r="F1204" s="117" t="s">
        <v>417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LS</v>
      </c>
      <c r="L1204" s="69" t="s">
        <v>2563</v>
      </c>
      <c r="M1204" s="79">
        <v>45789.484120370369</v>
      </c>
      <c r="N1204" s="79">
        <v>45790</v>
      </c>
      <c r="O1204" s="79">
        <v>45790</v>
      </c>
      <c r="P1204" s="80" t="str">
        <f ca="1">IF(Proc[[#This Row],[DaysAgeing]]&gt;5,"yep","on track")</f>
        <v>on track</v>
      </c>
      <c r="Q1204" s="3">
        <f ca="1">IF(Proc[[#This Row],[DateClosed]]="",ABS(NETWORKDAYS(Proc[[#This Row],[DateOpened]],TODAY()))-1,ABS(NETWORKDAYS(Proc[[#This Row],[DateOpened]],Proc[[#This Row],[DateClosed]]))-1)</f>
        <v>1</v>
      </c>
      <c r="R1204" s="80" t="s">
        <v>489</v>
      </c>
      <c r="S1204" s="69"/>
    </row>
    <row r="1205" spans="1:19" hidden="1">
      <c r="A1205" s="72" t="s">
        <v>3083</v>
      </c>
      <c r="B1205" s="149" t="str">
        <f>IFERROR(VLOOKUP(Proc[[#This Row],[App]],Table2[],3,0),"open")</f>
        <v>ok</v>
      </c>
      <c r="C1205" s="72" t="s">
        <v>369</v>
      </c>
      <c r="D1205" t="s">
        <v>3082</v>
      </c>
      <c r="E1205" t="s">
        <v>417</v>
      </c>
      <c r="F1205" s="117" t="s">
        <v>417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LS</v>
      </c>
      <c r="L1205" s="69" t="s">
        <v>2563</v>
      </c>
      <c r="M1205" s="79">
        <v>45789.484120370369</v>
      </c>
      <c r="N1205" s="79">
        <v>45790</v>
      </c>
      <c r="O1205" s="79">
        <v>45790</v>
      </c>
      <c r="P1205" s="80" t="str">
        <f ca="1">IF(Proc[[#This Row],[DaysAgeing]]&gt;5,"yep","on track")</f>
        <v>on track</v>
      </c>
      <c r="Q1205" s="3">
        <f ca="1">IF(Proc[[#This Row],[DateClosed]]="",ABS(NETWORKDAYS(Proc[[#This Row],[DateOpened]],TODAY()))-1,ABS(NETWORKDAYS(Proc[[#This Row],[DateOpened]],Proc[[#This Row],[DateClosed]]))-1)</f>
        <v>1</v>
      </c>
      <c r="R1205" s="80" t="s">
        <v>489</v>
      </c>
      <c r="S1205" s="69"/>
    </row>
    <row r="1206" spans="1:19" hidden="1">
      <c r="A1206" t="s">
        <v>3084</v>
      </c>
      <c r="B1206" s="149" t="str">
        <f>IFERROR(VLOOKUP(Proc[[#This Row],[App]],Table2[],3,0),"open")</f>
        <v>ok</v>
      </c>
      <c r="C1206" s="72" t="s">
        <v>369</v>
      </c>
      <c r="D1206" t="s">
        <v>2888</v>
      </c>
      <c r="E1206" t="s">
        <v>2889</v>
      </c>
      <c r="F1206" s="117" t="s">
        <v>2889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LS</v>
      </c>
      <c r="L1206" s="69" t="s">
        <v>2563</v>
      </c>
      <c r="M1206" s="79">
        <v>45790.126087962963</v>
      </c>
      <c r="N1206" s="79">
        <v>45790</v>
      </c>
      <c r="O1206" s="79">
        <v>45790</v>
      </c>
      <c r="P1206" s="80" t="str">
        <f ca="1">IF(Proc[[#This Row],[DaysAgeing]]&gt;5,"yep","on track")</f>
        <v>on track</v>
      </c>
      <c r="Q1206" s="3">
        <f ca="1">IF(Proc[[#This Row],[DateClosed]]="",ABS(NETWORKDAYS(Proc[[#This Row],[DateOpened]],TODAY()))-1,ABS(NETWORKDAYS(Proc[[#This Row],[DateOpened]],Proc[[#This Row],[DateClosed]]))-1)</f>
        <v>0</v>
      </c>
      <c r="R1206" s="80" t="s">
        <v>489</v>
      </c>
      <c r="S1206" s="69"/>
    </row>
    <row r="1207" spans="1:19" hidden="1">
      <c r="A1207" t="s">
        <v>3085</v>
      </c>
      <c r="B1207" s="149" t="str">
        <f>IFERROR(VLOOKUP(Proc[[#This Row],[App]],Table2[],3,0),"open")</f>
        <v>ok</v>
      </c>
      <c r="C1207" s="72" t="s">
        <v>369</v>
      </c>
      <c r="D1207" t="s">
        <v>3086</v>
      </c>
      <c r="E1207" t="s">
        <v>3164</v>
      </c>
      <c r="F1207" s="117" t="s">
        <v>3164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LS</v>
      </c>
      <c r="L1207" s="69" t="s">
        <v>2563</v>
      </c>
      <c r="M1207" s="79">
        <v>45790.144409722219</v>
      </c>
      <c r="N1207" s="83">
        <v>45791</v>
      </c>
      <c r="O1207" s="83">
        <v>45791</v>
      </c>
      <c r="P1207" s="80" t="str">
        <f ca="1">IF(Proc[[#This Row],[DaysAgeing]]&gt;5,"yep","on track")</f>
        <v>on track</v>
      </c>
      <c r="Q1207" s="3">
        <f ca="1">IF(Proc[[#This Row],[DateClosed]]="",ABS(NETWORKDAYS(Proc[[#This Row],[DateOpened]],TODAY()))-1,ABS(NETWORKDAYS(Proc[[#This Row],[DateOpened]],Proc[[#This Row],[DateClosed]]))-1)</f>
        <v>1</v>
      </c>
      <c r="R1207" s="80" t="s">
        <v>489</v>
      </c>
      <c r="S1207" s="69"/>
    </row>
    <row r="1208" spans="1:19" hidden="1">
      <c r="A1208" s="72" t="s">
        <v>3085</v>
      </c>
      <c r="B1208" s="149" t="str">
        <f>IFERROR(VLOOKUP(Proc[[#This Row],[App]],Table2[],3,0),"open")</f>
        <v>ok</v>
      </c>
      <c r="C1208" s="72" t="s">
        <v>369</v>
      </c>
      <c r="D1208" t="s">
        <v>3087</v>
      </c>
      <c r="E1208" t="s">
        <v>3165</v>
      </c>
      <c r="F1208" s="117" t="s">
        <v>3165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LS</v>
      </c>
      <c r="L1208" s="69" t="s">
        <v>2563</v>
      </c>
      <c r="M1208" s="79">
        <v>45790.144409722219</v>
      </c>
      <c r="N1208" s="83">
        <v>45791</v>
      </c>
      <c r="O1208" s="83">
        <v>45791</v>
      </c>
      <c r="P1208" s="80" t="str">
        <f ca="1">IF(Proc[[#This Row],[DaysAgeing]]&gt;5,"yep","on track")</f>
        <v>on track</v>
      </c>
      <c r="Q1208" s="3">
        <f ca="1">IF(Proc[[#This Row],[DateClosed]]="",ABS(NETWORKDAYS(Proc[[#This Row],[DateOpened]],TODAY()))-1,ABS(NETWORKDAYS(Proc[[#This Row],[DateOpened]],Proc[[#This Row],[DateClosed]]))-1)</f>
        <v>1</v>
      </c>
      <c r="R1208" s="80" t="s">
        <v>489</v>
      </c>
      <c r="S1208" s="69"/>
    </row>
    <row r="1209" spans="1:19" hidden="1">
      <c r="A1209" s="72" t="s">
        <v>3085</v>
      </c>
      <c r="B1209" s="149" t="str">
        <f>IFERROR(VLOOKUP(Proc[[#This Row],[App]],Table2[],3,0),"open")</f>
        <v>ok</v>
      </c>
      <c r="C1209" s="72" t="s">
        <v>369</v>
      </c>
      <c r="D1209" t="s">
        <v>3088</v>
      </c>
      <c r="E1209" t="s">
        <v>3166</v>
      </c>
      <c r="F1209" s="117" t="s">
        <v>3166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LS</v>
      </c>
      <c r="L1209" s="69" t="s">
        <v>2563</v>
      </c>
      <c r="M1209" s="79">
        <v>45790.144409722219</v>
      </c>
      <c r="N1209" s="83">
        <v>45791</v>
      </c>
      <c r="O1209" s="83">
        <v>45791</v>
      </c>
      <c r="P1209" s="80" t="str">
        <f ca="1">IF(Proc[[#This Row],[DaysAgeing]]&gt;5,"yep","on track")</f>
        <v>on track</v>
      </c>
      <c r="Q1209" s="3">
        <f ca="1">IF(Proc[[#This Row],[DateClosed]]="",ABS(NETWORKDAYS(Proc[[#This Row],[DateOpened]],TODAY()))-1,ABS(NETWORKDAYS(Proc[[#This Row],[DateOpened]],Proc[[#This Row],[DateClosed]]))-1)</f>
        <v>1</v>
      </c>
      <c r="R1209" s="80" t="s">
        <v>489</v>
      </c>
      <c r="S1209" s="69"/>
    </row>
    <row r="1210" spans="1:19" hidden="1">
      <c r="A1210" s="72" t="s">
        <v>3085</v>
      </c>
      <c r="B1210" s="149" t="str">
        <f>IFERROR(VLOOKUP(Proc[[#This Row],[App]],Table2[],3,0),"open")</f>
        <v>ok</v>
      </c>
      <c r="C1210" s="72" t="s">
        <v>369</v>
      </c>
      <c r="D1210" t="s">
        <v>3089</v>
      </c>
      <c r="E1210" t="s">
        <v>3167</v>
      </c>
      <c r="F1210" s="117" t="s">
        <v>3167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LS</v>
      </c>
      <c r="L1210" s="69" t="s">
        <v>2563</v>
      </c>
      <c r="M1210" s="79">
        <v>45790.144409722219</v>
      </c>
      <c r="N1210" s="83">
        <v>45791</v>
      </c>
      <c r="O1210" s="83">
        <v>45791</v>
      </c>
      <c r="P1210" s="80" t="str">
        <f ca="1">IF(Proc[[#This Row],[DaysAgeing]]&gt;5,"yep","on track")</f>
        <v>on track</v>
      </c>
      <c r="Q1210" s="3">
        <f ca="1">IF(Proc[[#This Row],[DateClosed]]="",ABS(NETWORKDAYS(Proc[[#This Row],[DateOpened]],TODAY()))-1,ABS(NETWORKDAYS(Proc[[#This Row],[DateOpened]],Proc[[#This Row],[DateClosed]]))-1)</f>
        <v>1</v>
      </c>
      <c r="R1210" s="80" t="s">
        <v>489</v>
      </c>
      <c r="S1210" s="69"/>
    </row>
    <row r="1211" spans="1:19" hidden="1">
      <c r="A1211" s="72" t="s">
        <v>3085</v>
      </c>
      <c r="B1211" s="149" t="str">
        <f>IFERROR(VLOOKUP(Proc[[#This Row],[App]],Table2[],3,0),"open")</f>
        <v>ok</v>
      </c>
      <c r="C1211" s="72" t="s">
        <v>369</v>
      </c>
      <c r="D1211" t="s">
        <v>3090</v>
      </c>
      <c r="E1211" t="s">
        <v>2411</v>
      </c>
      <c r="F1211" s="117" t="s">
        <v>2411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LS</v>
      </c>
      <c r="L1211" s="69" t="s">
        <v>2563</v>
      </c>
      <c r="M1211" s="79">
        <v>45790.144409722219</v>
      </c>
      <c r="N1211" s="83">
        <v>45791</v>
      </c>
      <c r="O1211" s="83">
        <v>45791</v>
      </c>
      <c r="P1211" s="80" t="str">
        <f ca="1">IF(Proc[[#This Row],[DaysAgeing]]&gt;5,"yep","on track")</f>
        <v>on track</v>
      </c>
      <c r="Q1211" s="3">
        <f ca="1">IF(Proc[[#This Row],[DateClosed]]="",ABS(NETWORKDAYS(Proc[[#This Row],[DateOpened]],TODAY()))-1,ABS(NETWORKDAYS(Proc[[#This Row],[DateOpened]],Proc[[#This Row],[DateClosed]]))-1)</f>
        <v>1</v>
      </c>
      <c r="R1211" s="80" t="s">
        <v>489</v>
      </c>
      <c r="S1211" s="69"/>
    </row>
    <row r="1212" spans="1:19" hidden="1">
      <c r="A1212" s="72" t="s">
        <v>3085</v>
      </c>
      <c r="B1212" s="149" t="str">
        <f>IFERROR(VLOOKUP(Proc[[#This Row],[App]],Table2[],3,0),"open")</f>
        <v>ok</v>
      </c>
      <c r="C1212" s="72" t="s">
        <v>369</v>
      </c>
      <c r="D1212" t="s">
        <v>3091</v>
      </c>
      <c r="E1212" t="s">
        <v>3168</v>
      </c>
      <c r="F1212" s="117" t="s">
        <v>3168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LS</v>
      </c>
      <c r="L1212" s="69" t="s">
        <v>2563</v>
      </c>
      <c r="M1212" s="79">
        <v>45790.144409722219</v>
      </c>
      <c r="N1212" s="83">
        <v>45791</v>
      </c>
      <c r="O1212" s="83">
        <v>45791</v>
      </c>
      <c r="P1212" s="80" t="str">
        <f ca="1">IF(Proc[[#This Row],[DaysAgeing]]&gt;5,"yep","on track")</f>
        <v>on track</v>
      </c>
      <c r="Q1212" s="3">
        <f ca="1">IF(Proc[[#This Row],[DateClosed]]="",ABS(NETWORKDAYS(Proc[[#This Row],[DateOpened]],TODAY()))-1,ABS(NETWORKDAYS(Proc[[#This Row],[DateOpened]],Proc[[#This Row],[DateClosed]]))-1)</f>
        <v>1</v>
      </c>
      <c r="R1212" s="80" t="s">
        <v>489</v>
      </c>
      <c r="S1212" s="69"/>
    </row>
    <row r="1213" spans="1:19" hidden="1">
      <c r="A1213" s="72" t="s">
        <v>3085</v>
      </c>
      <c r="B1213" s="149" t="str">
        <f>IFERROR(VLOOKUP(Proc[[#This Row],[App]],Table2[],3,0),"open")</f>
        <v>ok</v>
      </c>
      <c r="C1213" s="72" t="s">
        <v>369</v>
      </c>
      <c r="D1213" t="s">
        <v>3092</v>
      </c>
      <c r="E1213" t="s">
        <v>3164</v>
      </c>
      <c r="F1213" s="117" t="s">
        <v>3164</v>
      </c>
      <c r="G1213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LS</v>
      </c>
      <c r="L1213" s="69" t="s">
        <v>2563</v>
      </c>
      <c r="M1213" s="79">
        <v>45790.144409722219</v>
      </c>
      <c r="N1213" s="83">
        <v>45791</v>
      </c>
      <c r="O1213" s="83">
        <v>45791</v>
      </c>
      <c r="P1213" s="80" t="str">
        <f ca="1">IF(Proc[[#This Row],[DaysAgeing]]&gt;5,"yep","on track")</f>
        <v>on track</v>
      </c>
      <c r="Q1213" s="3">
        <f ca="1">IF(Proc[[#This Row],[DateClosed]]="",ABS(NETWORKDAYS(Proc[[#This Row],[DateOpened]],TODAY()))-1,ABS(NETWORKDAYS(Proc[[#This Row],[DateOpened]],Proc[[#This Row],[DateClosed]]))-1)</f>
        <v>1</v>
      </c>
      <c r="R1213" s="80" t="s">
        <v>489</v>
      </c>
      <c r="S1213" s="69"/>
    </row>
    <row r="1214" spans="1:19" hidden="1">
      <c r="A1214" s="72" t="s">
        <v>3085</v>
      </c>
      <c r="B1214" s="149" t="str">
        <f>IFERROR(VLOOKUP(Proc[[#This Row],[App]],Table2[],3,0),"open")</f>
        <v>ok</v>
      </c>
      <c r="C1214" s="72" t="s">
        <v>369</v>
      </c>
      <c r="D1214" t="s">
        <v>3093</v>
      </c>
      <c r="E1214" t="s">
        <v>3169</v>
      </c>
      <c r="F1214" s="117" t="s">
        <v>3169</v>
      </c>
      <c r="G1214" t="s">
        <v>406</v>
      </c>
      <c r="H1214" s="69" t="str">
        <f>IF(Proc[[#This Row],[type]]="LFF (MDG-F)",MID(Proc[[#This Row],[Obj]],13,10),"")</f>
        <v>DE10OF0003</v>
      </c>
      <c r="I1214" t="s">
        <v>3181</v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LS</v>
      </c>
      <c r="L1214" s="69" t="s">
        <v>2563</v>
      </c>
      <c r="M1214" s="79">
        <v>45790.144409722219</v>
      </c>
      <c r="N1214" s="83">
        <v>45791</v>
      </c>
      <c r="O1214" s="83">
        <v>45791</v>
      </c>
      <c r="P1214" s="80" t="str">
        <f ca="1">IF(Proc[[#This Row],[DaysAgeing]]&gt;5,"yep","on track")</f>
        <v>on track</v>
      </c>
      <c r="Q1214" s="3">
        <f ca="1">IF(Proc[[#This Row],[DateClosed]]="",ABS(NETWORKDAYS(Proc[[#This Row],[DateOpened]],TODAY()))-1,ABS(NETWORKDAYS(Proc[[#This Row],[DateOpened]],Proc[[#This Row],[DateClosed]]))-1)</f>
        <v>1</v>
      </c>
      <c r="R1214" s="80" t="s">
        <v>489</v>
      </c>
      <c r="S1214" s="69"/>
    </row>
    <row r="1215" spans="1:19" hidden="1">
      <c r="A1215" s="72" t="s">
        <v>3085</v>
      </c>
      <c r="B1215" s="149" t="str">
        <f>IFERROR(VLOOKUP(Proc[[#This Row],[App]],Table2[],3,0),"open")</f>
        <v>ok</v>
      </c>
      <c r="C1215" s="72" t="s">
        <v>369</v>
      </c>
      <c r="D1215" t="s">
        <v>3094</v>
      </c>
      <c r="E1215" t="s">
        <v>3168</v>
      </c>
      <c r="F1215" s="117" t="s">
        <v>3168</v>
      </c>
      <c r="G1215" s="72" t="s">
        <v>406</v>
      </c>
      <c r="H1215" s="69" t="str">
        <f>IF(Proc[[#This Row],[type]]="LFF (MDG-F)",MID(Proc[[#This Row],[Obj]],13,10),"")</f>
        <v>1756OF0001</v>
      </c>
      <c r="I1215" t="s">
        <v>3181</v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LS</v>
      </c>
      <c r="L1215" s="69" t="s">
        <v>2563</v>
      </c>
      <c r="M1215" s="79">
        <v>45790.144409722219</v>
      </c>
      <c r="N1215" s="83">
        <v>45791</v>
      </c>
      <c r="O1215" s="83">
        <v>45791</v>
      </c>
      <c r="P1215" s="80" t="str">
        <f ca="1">IF(Proc[[#This Row],[DaysAgeing]]&gt;5,"yep","on track")</f>
        <v>on track</v>
      </c>
      <c r="Q1215" s="3">
        <f ca="1">IF(Proc[[#This Row],[DateClosed]]="",ABS(NETWORKDAYS(Proc[[#This Row],[DateOpened]],TODAY()))-1,ABS(NETWORKDAYS(Proc[[#This Row],[DateOpened]],Proc[[#This Row],[DateClosed]]))-1)</f>
        <v>1</v>
      </c>
      <c r="R1215" s="80" t="s">
        <v>489</v>
      </c>
      <c r="S1215" s="69"/>
    </row>
    <row r="1216" spans="1:19" hidden="1">
      <c r="A1216" s="72" t="s">
        <v>3085</v>
      </c>
      <c r="B1216" s="149" t="str">
        <f>IFERROR(VLOOKUP(Proc[[#This Row],[App]],Table2[],3,0),"open")</f>
        <v>ok</v>
      </c>
      <c r="C1216" s="72" t="s">
        <v>369</v>
      </c>
      <c r="D1216" t="s">
        <v>3095</v>
      </c>
      <c r="E1216" t="s">
        <v>3164</v>
      </c>
      <c r="F1216" s="117" t="s">
        <v>3164</v>
      </c>
      <c r="G1216" s="72" t="s">
        <v>406</v>
      </c>
      <c r="H1216" s="69" t="str">
        <f>IF(Proc[[#This Row],[type]]="LFF (MDG-F)",MID(Proc[[#This Row],[Obj]],13,10),"")</f>
        <v>1756OF0006</v>
      </c>
      <c r="I1216" t="s">
        <v>3181</v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LS</v>
      </c>
      <c r="L1216" s="69" t="s">
        <v>2563</v>
      </c>
      <c r="M1216" s="79">
        <v>45790.144409722219</v>
      </c>
      <c r="N1216" s="83">
        <v>45791</v>
      </c>
      <c r="O1216" s="83">
        <v>45791</v>
      </c>
      <c r="P1216" s="80" t="str">
        <f ca="1">IF(Proc[[#This Row],[DaysAgeing]]&gt;5,"yep","on track")</f>
        <v>on track</v>
      </c>
      <c r="Q1216" s="3">
        <f ca="1">IF(Proc[[#This Row],[DateClosed]]="",ABS(NETWORKDAYS(Proc[[#This Row],[DateOpened]],TODAY()))-1,ABS(NETWORKDAYS(Proc[[#This Row],[DateOpened]],Proc[[#This Row],[DateClosed]]))-1)</f>
        <v>1</v>
      </c>
      <c r="R1216" s="80" t="s">
        <v>489</v>
      </c>
      <c r="S1216" s="69"/>
    </row>
    <row r="1217" spans="1:19" hidden="1">
      <c r="A1217" s="72" t="s">
        <v>3085</v>
      </c>
      <c r="B1217" s="149" t="str">
        <f>IFERROR(VLOOKUP(Proc[[#This Row],[App]],Table2[],3,0),"open")</f>
        <v>ok</v>
      </c>
      <c r="C1217" s="72" t="s">
        <v>369</v>
      </c>
      <c r="D1217" t="s">
        <v>3096</v>
      </c>
      <c r="E1217" t="s">
        <v>3170</v>
      </c>
      <c r="F1217" s="117" t="s">
        <v>3170</v>
      </c>
      <c r="G1217" s="72" t="s">
        <v>406</v>
      </c>
      <c r="H1217" s="69" t="str">
        <f>IF(Proc[[#This Row],[type]]="LFF (MDG-F)",MID(Proc[[#This Row],[Obj]],13,10),"")</f>
        <v>1756OF7061</v>
      </c>
      <c r="I1217" t="s">
        <v>3181</v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LS</v>
      </c>
      <c r="L1217" s="69" t="s">
        <v>2563</v>
      </c>
      <c r="M1217" s="79">
        <v>45790.144409722219</v>
      </c>
      <c r="N1217" s="83">
        <v>45791</v>
      </c>
      <c r="O1217" s="83">
        <v>45791</v>
      </c>
      <c r="P1217" s="80" t="str">
        <f ca="1">IF(Proc[[#This Row],[DaysAgeing]]&gt;5,"yep","on track")</f>
        <v>on track</v>
      </c>
      <c r="Q1217" s="3">
        <f ca="1">IF(Proc[[#This Row],[DateClosed]]="",ABS(NETWORKDAYS(Proc[[#This Row],[DateOpened]],TODAY()))-1,ABS(NETWORKDAYS(Proc[[#This Row],[DateOpened]],Proc[[#This Row],[DateClosed]]))-1)</f>
        <v>1</v>
      </c>
      <c r="R1217" s="80" t="s">
        <v>489</v>
      </c>
      <c r="S1217" s="69"/>
    </row>
    <row r="1218" spans="1:19" hidden="1">
      <c r="A1218" s="72" t="s">
        <v>3085</v>
      </c>
      <c r="B1218" s="149" t="str">
        <f>IFERROR(VLOOKUP(Proc[[#This Row],[App]],Table2[],3,0),"open")</f>
        <v>ok</v>
      </c>
      <c r="C1218" s="72" t="s">
        <v>369</v>
      </c>
      <c r="D1218" t="s">
        <v>3097</v>
      </c>
      <c r="E1218" t="s">
        <v>3167</v>
      </c>
      <c r="F1218" s="117" t="s">
        <v>3167</v>
      </c>
      <c r="G1218" s="72" t="s">
        <v>406</v>
      </c>
      <c r="H1218" s="69" t="str">
        <f>IF(Proc[[#This Row],[type]]="LFF (MDG-F)",MID(Proc[[#This Row],[Obj]],13,10),"")</f>
        <v>1756OF7094</v>
      </c>
      <c r="I1218" t="s">
        <v>3181</v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LS</v>
      </c>
      <c r="L1218" s="69" t="s">
        <v>2563</v>
      </c>
      <c r="M1218" s="79">
        <v>45790.144409722219</v>
      </c>
      <c r="N1218" s="83">
        <v>45791</v>
      </c>
      <c r="O1218" s="83">
        <v>45791</v>
      </c>
      <c r="P1218" s="80" t="str">
        <f ca="1">IF(Proc[[#This Row],[DaysAgeing]]&gt;5,"yep","on track")</f>
        <v>on track</v>
      </c>
      <c r="Q1218" s="3">
        <f ca="1">IF(Proc[[#This Row],[DateClosed]]="",ABS(NETWORKDAYS(Proc[[#This Row],[DateOpened]],TODAY()))-1,ABS(NETWORKDAYS(Proc[[#This Row],[DateOpened]],Proc[[#This Row],[DateClosed]]))-1)</f>
        <v>1</v>
      </c>
      <c r="R1218" s="80" t="s">
        <v>489</v>
      </c>
      <c r="S1218" s="69"/>
    </row>
    <row r="1219" spans="1:19" hidden="1">
      <c r="A1219" s="72" t="s">
        <v>3085</v>
      </c>
      <c r="B1219" s="149" t="str">
        <f>IFERROR(VLOOKUP(Proc[[#This Row],[App]],Table2[],3,0),"open")</f>
        <v>ok</v>
      </c>
      <c r="C1219" s="72" t="s">
        <v>369</v>
      </c>
      <c r="D1219" t="s">
        <v>3098</v>
      </c>
      <c r="E1219" t="s">
        <v>3171</v>
      </c>
      <c r="F1219" s="117" t="s">
        <v>3171</v>
      </c>
      <c r="G1219" s="72" t="s">
        <v>406</v>
      </c>
      <c r="H1219" s="69" t="str">
        <f>IF(Proc[[#This Row],[type]]="LFF (MDG-F)",MID(Proc[[#This Row],[Obj]],13,10),"")</f>
        <v>2148OF0261</v>
      </c>
      <c r="I1219" t="s">
        <v>3181</v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LS</v>
      </c>
      <c r="L1219" s="69" t="s">
        <v>2563</v>
      </c>
      <c r="M1219" s="79">
        <v>45790.144409722219</v>
      </c>
      <c r="N1219" s="83">
        <v>45791</v>
      </c>
      <c r="O1219" s="83">
        <v>45791</v>
      </c>
      <c r="P1219" s="80" t="str">
        <f ca="1">IF(Proc[[#This Row],[DaysAgeing]]&gt;5,"yep","on track")</f>
        <v>on track</v>
      </c>
      <c r="Q1219" s="3">
        <f ca="1">IF(Proc[[#This Row],[DateClosed]]="",ABS(NETWORKDAYS(Proc[[#This Row],[DateOpened]],TODAY()))-1,ABS(NETWORKDAYS(Proc[[#This Row],[DateOpened]],Proc[[#This Row],[DateClosed]]))-1)</f>
        <v>1</v>
      </c>
      <c r="R1219" s="80" t="s">
        <v>489</v>
      </c>
      <c r="S1219" s="69"/>
    </row>
    <row r="1220" spans="1:19" hidden="1">
      <c r="A1220" s="72" t="s">
        <v>3085</v>
      </c>
      <c r="B1220" s="149" t="str">
        <f>IFERROR(VLOOKUP(Proc[[#This Row],[App]],Table2[],3,0),"open")</f>
        <v>ok</v>
      </c>
      <c r="C1220" s="72" t="s">
        <v>369</v>
      </c>
      <c r="D1220" t="s">
        <v>3099</v>
      </c>
      <c r="E1220" t="s">
        <v>3167</v>
      </c>
      <c r="F1220" s="117" t="s">
        <v>3167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LS</v>
      </c>
      <c r="L1220" s="69" t="s">
        <v>2563</v>
      </c>
      <c r="M1220" s="79">
        <v>45790.144409722219</v>
      </c>
      <c r="N1220" s="83">
        <v>45791</v>
      </c>
      <c r="O1220" s="83">
        <v>45791</v>
      </c>
      <c r="P1220" s="80" t="str">
        <f ca="1">IF(Proc[[#This Row],[DaysAgeing]]&gt;5,"yep","on track")</f>
        <v>on track</v>
      </c>
      <c r="Q1220" s="3">
        <f ca="1">IF(Proc[[#This Row],[DateClosed]]="",ABS(NETWORKDAYS(Proc[[#This Row],[DateOpened]],TODAY()))-1,ABS(NETWORKDAYS(Proc[[#This Row],[DateOpened]],Proc[[#This Row],[DateClosed]]))-1)</f>
        <v>1</v>
      </c>
      <c r="R1220" s="80" t="s">
        <v>489</v>
      </c>
      <c r="S1220" s="69"/>
    </row>
    <row r="1221" spans="1:19" hidden="1">
      <c r="A1221" s="72" t="s">
        <v>3085</v>
      </c>
      <c r="B1221" s="149" t="str">
        <f>IFERROR(VLOOKUP(Proc[[#This Row],[App]],Table2[],3,0),"open")</f>
        <v>ok</v>
      </c>
      <c r="C1221" s="72" t="s">
        <v>369</v>
      </c>
      <c r="D1221" t="s">
        <v>3100</v>
      </c>
      <c r="E1221" t="s">
        <v>3167</v>
      </c>
      <c r="F1221" s="117" t="s">
        <v>3167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LS</v>
      </c>
      <c r="L1221" s="69" t="s">
        <v>2563</v>
      </c>
      <c r="M1221" s="79">
        <v>45790.144409722219</v>
      </c>
      <c r="N1221" s="83">
        <v>45791</v>
      </c>
      <c r="O1221" s="83">
        <v>45791</v>
      </c>
      <c r="P1221" s="80" t="str">
        <f ca="1">IF(Proc[[#This Row],[DaysAgeing]]&gt;5,"yep","on track")</f>
        <v>on track</v>
      </c>
      <c r="Q1221" s="3">
        <f ca="1">IF(Proc[[#This Row],[DateClosed]]="",ABS(NETWORKDAYS(Proc[[#This Row],[DateOpened]],TODAY()))-1,ABS(NETWORKDAYS(Proc[[#This Row],[DateOpened]],Proc[[#This Row],[DateClosed]]))-1)</f>
        <v>1</v>
      </c>
      <c r="R1221" s="80" t="s">
        <v>489</v>
      </c>
      <c r="S1221" s="69"/>
    </row>
    <row r="1222" spans="1:19" hidden="1">
      <c r="A1222" s="72" t="s">
        <v>3085</v>
      </c>
      <c r="B1222" s="149" t="str">
        <f>IFERROR(VLOOKUP(Proc[[#This Row],[App]],Table2[],3,0),"open")</f>
        <v>ok</v>
      </c>
      <c r="C1222" s="72" t="s">
        <v>369</v>
      </c>
      <c r="D1222" t="s">
        <v>3101</v>
      </c>
      <c r="E1222" t="s">
        <v>3165</v>
      </c>
      <c r="F1222" s="117" t="s">
        <v>3165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LS</v>
      </c>
      <c r="L1222" s="69" t="s">
        <v>2563</v>
      </c>
      <c r="M1222" s="79">
        <v>45790.144409722219</v>
      </c>
      <c r="N1222" s="83">
        <v>45791</v>
      </c>
      <c r="O1222" s="83">
        <v>45791</v>
      </c>
      <c r="P1222" s="80" t="str">
        <f ca="1">IF(Proc[[#This Row],[DaysAgeing]]&gt;5,"yep","on track")</f>
        <v>on track</v>
      </c>
      <c r="Q1222" s="3">
        <f ca="1">IF(Proc[[#This Row],[DateClosed]]="",ABS(NETWORKDAYS(Proc[[#This Row],[DateOpened]],TODAY()))-1,ABS(NETWORKDAYS(Proc[[#This Row],[DateOpened]],Proc[[#This Row],[DateClosed]]))-1)</f>
        <v>1</v>
      </c>
      <c r="R1222" s="80" t="s">
        <v>489</v>
      </c>
      <c r="S1222" s="69"/>
    </row>
    <row r="1223" spans="1:19" hidden="1">
      <c r="A1223" s="72" t="s">
        <v>3085</v>
      </c>
      <c r="B1223" s="149" t="str">
        <f>IFERROR(VLOOKUP(Proc[[#This Row],[App]],Table2[],3,0),"open")</f>
        <v>ok</v>
      </c>
      <c r="C1223" s="72" t="s">
        <v>369</v>
      </c>
      <c r="D1223" t="s">
        <v>3102</v>
      </c>
      <c r="E1223" t="s">
        <v>3164</v>
      </c>
      <c r="F1223" s="117" t="s">
        <v>3164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LS</v>
      </c>
      <c r="L1223" s="69" t="s">
        <v>2563</v>
      </c>
      <c r="M1223" s="79">
        <v>45790.144409722219</v>
      </c>
      <c r="N1223" s="83">
        <v>45791</v>
      </c>
      <c r="O1223" s="83">
        <v>45791</v>
      </c>
      <c r="P1223" s="80" t="str">
        <f ca="1">IF(Proc[[#This Row],[DaysAgeing]]&gt;5,"yep","on track")</f>
        <v>on track</v>
      </c>
      <c r="Q1223" s="3">
        <f ca="1">IF(Proc[[#This Row],[DateClosed]]="",ABS(NETWORKDAYS(Proc[[#This Row],[DateOpened]],TODAY()))-1,ABS(NETWORKDAYS(Proc[[#This Row],[DateOpened]],Proc[[#This Row],[DateClosed]]))-1)</f>
        <v>1</v>
      </c>
      <c r="R1223" s="80" t="s">
        <v>489</v>
      </c>
      <c r="S1223" s="69"/>
    </row>
    <row r="1224" spans="1:19" hidden="1">
      <c r="A1224" s="72" t="s">
        <v>3085</v>
      </c>
      <c r="B1224" s="149" t="str">
        <f>IFERROR(VLOOKUP(Proc[[#This Row],[App]],Table2[],3,0),"open")</f>
        <v>ok</v>
      </c>
      <c r="C1224" s="72" t="s">
        <v>369</v>
      </c>
      <c r="D1224" t="s">
        <v>3103</v>
      </c>
      <c r="E1224" t="s">
        <v>3170</v>
      </c>
      <c r="F1224" s="117" t="s">
        <v>3170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LS</v>
      </c>
      <c r="L1224" s="69" t="s">
        <v>2563</v>
      </c>
      <c r="M1224" s="79">
        <v>45790.144409722219</v>
      </c>
      <c r="N1224" s="83">
        <v>45791</v>
      </c>
      <c r="O1224" s="83">
        <v>45791</v>
      </c>
      <c r="P1224" s="80" t="str">
        <f ca="1">IF(Proc[[#This Row],[DaysAgeing]]&gt;5,"yep","on track")</f>
        <v>on track</v>
      </c>
      <c r="Q1224" s="3">
        <f ca="1">IF(Proc[[#This Row],[DateClosed]]="",ABS(NETWORKDAYS(Proc[[#This Row],[DateOpened]],TODAY()))-1,ABS(NETWORKDAYS(Proc[[#This Row],[DateOpened]],Proc[[#This Row],[DateClosed]]))-1)</f>
        <v>1</v>
      </c>
      <c r="R1224" s="80" t="s">
        <v>489</v>
      </c>
      <c r="S1224" s="69"/>
    </row>
    <row r="1225" spans="1:19" hidden="1">
      <c r="A1225" s="72" t="s">
        <v>3085</v>
      </c>
      <c r="B1225" s="149" t="str">
        <f>IFERROR(VLOOKUP(Proc[[#This Row],[App]],Table2[],3,0),"open")</f>
        <v>ok</v>
      </c>
      <c r="C1225" s="72" t="s">
        <v>369</v>
      </c>
      <c r="D1225" t="s">
        <v>3104</v>
      </c>
      <c r="E1225" t="s">
        <v>3168</v>
      </c>
      <c r="F1225" s="117" t="s">
        <v>3168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LS</v>
      </c>
      <c r="L1225" s="69" t="s">
        <v>2563</v>
      </c>
      <c r="M1225" s="79">
        <v>45790.144409722219</v>
      </c>
      <c r="N1225" s="83">
        <v>45791</v>
      </c>
      <c r="O1225" s="83">
        <v>45791</v>
      </c>
      <c r="P1225" s="80" t="str">
        <f ca="1">IF(Proc[[#This Row],[DaysAgeing]]&gt;5,"yep","on track")</f>
        <v>on track</v>
      </c>
      <c r="Q1225" s="3">
        <f ca="1">IF(Proc[[#This Row],[DateClosed]]="",ABS(NETWORKDAYS(Proc[[#This Row],[DateOpened]],TODAY()))-1,ABS(NETWORKDAYS(Proc[[#This Row],[DateOpened]],Proc[[#This Row],[DateClosed]]))-1)</f>
        <v>1</v>
      </c>
      <c r="R1225" s="80" t="s">
        <v>489</v>
      </c>
      <c r="S1225" s="69"/>
    </row>
    <row r="1226" spans="1:19" hidden="1">
      <c r="A1226" s="72" t="s">
        <v>3085</v>
      </c>
      <c r="B1226" s="149" t="str">
        <f>IFERROR(VLOOKUP(Proc[[#This Row],[App]],Table2[],3,0),"open")</f>
        <v>ok</v>
      </c>
      <c r="C1226" s="72" t="s">
        <v>369</v>
      </c>
      <c r="D1226" t="s">
        <v>3105</v>
      </c>
      <c r="E1226" t="s">
        <v>3168</v>
      </c>
      <c r="F1226" s="117" t="s">
        <v>3168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LS</v>
      </c>
      <c r="L1226" s="69" t="s">
        <v>2563</v>
      </c>
      <c r="M1226" s="79">
        <v>45790.144409722219</v>
      </c>
      <c r="N1226" s="83">
        <v>45791</v>
      </c>
      <c r="O1226" s="83">
        <v>45791</v>
      </c>
      <c r="P1226" s="80" t="str">
        <f ca="1">IF(Proc[[#This Row],[DaysAgeing]]&gt;5,"yep","on track")</f>
        <v>on track</v>
      </c>
      <c r="Q1226" s="3">
        <f ca="1">IF(Proc[[#This Row],[DateClosed]]="",ABS(NETWORKDAYS(Proc[[#This Row],[DateOpened]],TODAY()))-1,ABS(NETWORKDAYS(Proc[[#This Row],[DateOpened]],Proc[[#This Row],[DateClosed]]))-1)</f>
        <v>1</v>
      </c>
      <c r="R1226" s="80" t="s">
        <v>489</v>
      </c>
      <c r="S1226" s="69"/>
    </row>
    <row r="1227" spans="1:19" hidden="1">
      <c r="A1227" s="72" t="s">
        <v>3085</v>
      </c>
      <c r="B1227" s="149" t="str">
        <f>IFERROR(VLOOKUP(Proc[[#This Row],[App]],Table2[],3,0),"open")</f>
        <v>ok</v>
      </c>
      <c r="C1227" s="72" t="s">
        <v>369</v>
      </c>
      <c r="D1227" t="s">
        <v>3106</v>
      </c>
      <c r="E1227" t="s">
        <v>3169</v>
      </c>
      <c r="F1227" s="117" t="s">
        <v>3169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LS</v>
      </c>
      <c r="L1227" s="69" t="s">
        <v>2563</v>
      </c>
      <c r="M1227" s="79">
        <v>45790.144409722219</v>
      </c>
      <c r="N1227" s="83">
        <v>45791</v>
      </c>
      <c r="O1227" s="83">
        <v>45791</v>
      </c>
      <c r="P1227" s="80" t="str">
        <f ca="1">IF(Proc[[#This Row],[DaysAgeing]]&gt;5,"yep","on track")</f>
        <v>on track</v>
      </c>
      <c r="Q1227" s="3">
        <f ca="1">IF(Proc[[#This Row],[DateClosed]]="",ABS(NETWORKDAYS(Proc[[#This Row],[DateOpened]],TODAY()))-1,ABS(NETWORKDAYS(Proc[[#This Row],[DateOpened]],Proc[[#This Row],[DateClosed]]))-1)</f>
        <v>1</v>
      </c>
      <c r="R1227" s="80" t="s">
        <v>489</v>
      </c>
      <c r="S1227" s="69"/>
    </row>
    <row r="1228" spans="1:19" hidden="1">
      <c r="A1228" s="72" t="s">
        <v>3085</v>
      </c>
      <c r="B1228" s="149" t="str">
        <f>IFERROR(VLOOKUP(Proc[[#This Row],[App]],Table2[],3,0),"open")</f>
        <v>ok</v>
      </c>
      <c r="C1228" s="72" t="s">
        <v>369</v>
      </c>
      <c r="D1228" t="s">
        <v>3107</v>
      </c>
      <c r="E1228" t="s">
        <v>3171</v>
      </c>
      <c r="F1228" s="117" t="s">
        <v>3171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LS</v>
      </c>
      <c r="L1228" s="69" t="s">
        <v>2563</v>
      </c>
      <c r="M1228" s="79">
        <v>45790.144409722219</v>
      </c>
      <c r="N1228" s="83">
        <v>45791</v>
      </c>
      <c r="O1228" s="83">
        <v>45791</v>
      </c>
      <c r="P1228" s="80" t="str">
        <f ca="1">IF(Proc[[#This Row],[DaysAgeing]]&gt;5,"yep","on track")</f>
        <v>on track</v>
      </c>
      <c r="Q1228" s="3">
        <f ca="1">IF(Proc[[#This Row],[DateClosed]]="",ABS(NETWORKDAYS(Proc[[#This Row],[DateOpened]],TODAY()))-1,ABS(NETWORKDAYS(Proc[[#This Row],[DateOpened]],Proc[[#This Row],[DateClosed]]))-1)</f>
        <v>1</v>
      </c>
      <c r="R1228" s="80" t="s">
        <v>489</v>
      </c>
      <c r="S1228" s="69"/>
    </row>
    <row r="1229" spans="1:19" hidden="1">
      <c r="A1229" s="72" t="s">
        <v>3085</v>
      </c>
      <c r="B1229" s="149" t="str">
        <f>IFERROR(VLOOKUP(Proc[[#This Row],[App]],Table2[],3,0),"open")</f>
        <v>ok</v>
      </c>
      <c r="C1229" s="72" t="s">
        <v>369</v>
      </c>
      <c r="D1229" t="s">
        <v>3108</v>
      </c>
      <c r="E1229" t="s">
        <v>3169</v>
      </c>
      <c r="F1229" s="117" t="s">
        <v>3169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LS</v>
      </c>
      <c r="L1229" s="69" t="s">
        <v>2563</v>
      </c>
      <c r="M1229" s="79">
        <v>45790.144409722219</v>
      </c>
      <c r="N1229" s="83">
        <v>45791</v>
      </c>
      <c r="O1229" s="83">
        <v>45791</v>
      </c>
      <c r="P1229" s="80" t="str">
        <f ca="1">IF(Proc[[#This Row],[DaysAgeing]]&gt;5,"yep","on track")</f>
        <v>on track</v>
      </c>
      <c r="Q1229" s="3">
        <f ca="1">IF(Proc[[#This Row],[DateClosed]]="",ABS(NETWORKDAYS(Proc[[#This Row],[DateOpened]],TODAY()))-1,ABS(NETWORKDAYS(Proc[[#This Row],[DateOpened]],Proc[[#This Row],[DateClosed]]))-1)</f>
        <v>1</v>
      </c>
      <c r="R1229" s="80" t="s">
        <v>489</v>
      </c>
      <c r="S1229" s="69"/>
    </row>
    <row r="1230" spans="1:19" hidden="1">
      <c r="A1230" s="72" t="s">
        <v>3085</v>
      </c>
      <c r="B1230" s="149" t="str">
        <f>IFERROR(VLOOKUP(Proc[[#This Row],[App]],Table2[],3,0),"open")</f>
        <v>ok</v>
      </c>
      <c r="C1230" s="72" t="s">
        <v>369</v>
      </c>
      <c r="D1230" t="s">
        <v>3109</v>
      </c>
      <c r="E1230" t="s">
        <v>3171</v>
      </c>
      <c r="F1230" s="117" t="s">
        <v>3171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LS</v>
      </c>
      <c r="L1230" s="69" t="s">
        <v>2563</v>
      </c>
      <c r="M1230" s="79">
        <v>45790.144409722219</v>
      </c>
      <c r="N1230" s="83">
        <v>45791</v>
      </c>
      <c r="O1230" s="83">
        <v>45791</v>
      </c>
      <c r="P1230" s="80" t="str">
        <f ca="1">IF(Proc[[#This Row],[DaysAgeing]]&gt;5,"yep","on track")</f>
        <v>on track</v>
      </c>
      <c r="Q1230" s="3">
        <f ca="1">IF(Proc[[#This Row],[DateClosed]]="",ABS(NETWORKDAYS(Proc[[#This Row],[DateOpened]],TODAY()))-1,ABS(NETWORKDAYS(Proc[[#This Row],[DateOpened]],Proc[[#This Row],[DateClosed]]))-1)</f>
        <v>1</v>
      </c>
      <c r="R1230" s="80" t="s">
        <v>489</v>
      </c>
      <c r="S1230" s="69"/>
    </row>
    <row r="1231" spans="1:19" hidden="1">
      <c r="A1231" s="72" t="s">
        <v>3085</v>
      </c>
      <c r="B1231" s="149" t="str">
        <f>IFERROR(VLOOKUP(Proc[[#This Row],[App]],Table2[],3,0),"open")</f>
        <v>ok</v>
      </c>
      <c r="C1231" s="72" t="s">
        <v>369</v>
      </c>
      <c r="D1231" t="s">
        <v>3110</v>
      </c>
      <c r="E1231" t="s">
        <v>3172</v>
      </c>
      <c r="F1231" s="117" t="s">
        <v>3172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LS</v>
      </c>
      <c r="L1231" s="69" t="s">
        <v>2563</v>
      </c>
      <c r="M1231" s="79">
        <v>45790.144409722219</v>
      </c>
      <c r="N1231" s="83">
        <v>45791</v>
      </c>
      <c r="O1231" s="83">
        <v>45791</v>
      </c>
      <c r="P1231" s="80" t="str">
        <f ca="1">IF(Proc[[#This Row],[DaysAgeing]]&gt;5,"yep","on track")</f>
        <v>on track</v>
      </c>
      <c r="Q1231" s="3">
        <f ca="1">IF(Proc[[#This Row],[DateClosed]]="",ABS(NETWORKDAYS(Proc[[#This Row],[DateOpened]],TODAY()))-1,ABS(NETWORKDAYS(Proc[[#This Row],[DateOpened]],Proc[[#This Row],[DateClosed]]))-1)</f>
        <v>1</v>
      </c>
      <c r="R1231" s="80" t="s">
        <v>489</v>
      </c>
      <c r="S1231" s="69"/>
    </row>
    <row r="1232" spans="1:19" hidden="1">
      <c r="A1232" s="72" t="s">
        <v>3085</v>
      </c>
      <c r="B1232" s="149" t="str">
        <f>IFERROR(VLOOKUP(Proc[[#This Row],[App]],Table2[],3,0),"open")</f>
        <v>ok</v>
      </c>
      <c r="C1232" s="72" t="s">
        <v>369</v>
      </c>
      <c r="D1232" t="s">
        <v>3111</v>
      </c>
      <c r="E1232" t="s">
        <v>3173</v>
      </c>
      <c r="F1232" s="117" t="s">
        <v>3173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LS</v>
      </c>
      <c r="L1232" s="69" t="s">
        <v>2563</v>
      </c>
      <c r="M1232" s="79">
        <v>45790.144409722219</v>
      </c>
      <c r="N1232" s="83">
        <v>45791</v>
      </c>
      <c r="O1232" s="83">
        <v>45791</v>
      </c>
      <c r="P1232" s="80" t="str">
        <f ca="1">IF(Proc[[#This Row],[DaysAgeing]]&gt;5,"yep","on track")</f>
        <v>on track</v>
      </c>
      <c r="Q1232" s="3">
        <f ca="1">IF(Proc[[#This Row],[DateClosed]]="",ABS(NETWORKDAYS(Proc[[#This Row],[DateOpened]],TODAY()))-1,ABS(NETWORKDAYS(Proc[[#This Row],[DateOpened]],Proc[[#This Row],[DateClosed]]))-1)</f>
        <v>1</v>
      </c>
      <c r="R1232" s="80" t="s">
        <v>489</v>
      </c>
      <c r="S1232" s="69"/>
    </row>
    <row r="1233" spans="1:19" hidden="1">
      <c r="A1233" s="72" t="s">
        <v>3085</v>
      </c>
      <c r="B1233" s="149" t="str">
        <f>IFERROR(VLOOKUP(Proc[[#This Row],[App]],Table2[],3,0),"open")</f>
        <v>ok</v>
      </c>
      <c r="C1233" s="72" t="s">
        <v>369</v>
      </c>
      <c r="D1233" t="s">
        <v>3112</v>
      </c>
      <c r="E1233" t="s">
        <v>3165</v>
      </c>
      <c r="F1233" s="117" t="s">
        <v>3165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LS</v>
      </c>
      <c r="L1233" s="69" t="s">
        <v>2563</v>
      </c>
      <c r="M1233" s="79">
        <v>45790.144409722219</v>
      </c>
      <c r="N1233" s="83">
        <v>45791</v>
      </c>
      <c r="O1233" s="83">
        <v>45791</v>
      </c>
      <c r="P1233" s="80" t="str">
        <f ca="1">IF(Proc[[#This Row],[DaysAgeing]]&gt;5,"yep","on track")</f>
        <v>on track</v>
      </c>
      <c r="Q1233" s="3">
        <f ca="1">IF(Proc[[#This Row],[DateClosed]]="",ABS(NETWORKDAYS(Proc[[#This Row],[DateOpened]],TODAY()))-1,ABS(NETWORKDAYS(Proc[[#This Row],[DateOpened]],Proc[[#This Row],[DateClosed]]))-1)</f>
        <v>1</v>
      </c>
      <c r="R1233" s="80" t="s">
        <v>489</v>
      </c>
      <c r="S1233" s="69"/>
    </row>
    <row r="1234" spans="1:19" hidden="1">
      <c r="A1234" s="72" t="s">
        <v>3085</v>
      </c>
      <c r="B1234" s="149" t="str">
        <f>IFERROR(VLOOKUP(Proc[[#This Row],[App]],Table2[],3,0),"open")</f>
        <v>ok</v>
      </c>
      <c r="C1234" s="72" t="s">
        <v>369</v>
      </c>
      <c r="D1234" t="s">
        <v>3113</v>
      </c>
      <c r="E1234" t="s">
        <v>3169</v>
      </c>
      <c r="F1234" s="117" t="s">
        <v>3169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LS</v>
      </c>
      <c r="L1234" s="69" t="s">
        <v>2563</v>
      </c>
      <c r="M1234" s="79">
        <v>45790.144409722219</v>
      </c>
      <c r="N1234" s="83">
        <v>45791</v>
      </c>
      <c r="O1234" s="83">
        <v>45791</v>
      </c>
      <c r="P1234" s="80" t="str">
        <f ca="1">IF(Proc[[#This Row],[DaysAgeing]]&gt;5,"yep","on track")</f>
        <v>on track</v>
      </c>
      <c r="Q1234" s="3">
        <f ca="1">IF(Proc[[#This Row],[DateClosed]]="",ABS(NETWORKDAYS(Proc[[#This Row],[DateOpened]],TODAY()))-1,ABS(NETWORKDAYS(Proc[[#This Row],[DateOpened]],Proc[[#This Row],[DateClosed]]))-1)</f>
        <v>1</v>
      </c>
      <c r="R1234" s="80" t="s">
        <v>489</v>
      </c>
      <c r="S1234" s="69"/>
    </row>
    <row r="1235" spans="1:19" hidden="1">
      <c r="A1235" s="72" t="s">
        <v>3085</v>
      </c>
      <c r="B1235" s="149" t="str">
        <f>IFERROR(VLOOKUP(Proc[[#This Row],[App]],Table2[],3,0),"open")</f>
        <v>ok</v>
      </c>
      <c r="C1235" s="72" t="s">
        <v>369</v>
      </c>
      <c r="D1235" t="s">
        <v>3114</v>
      </c>
      <c r="E1235" t="s">
        <v>3167</v>
      </c>
      <c r="F1235" s="117" t="s">
        <v>3167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LS</v>
      </c>
      <c r="L1235" s="69" t="s">
        <v>2563</v>
      </c>
      <c r="M1235" s="79">
        <v>45790.144409722219</v>
      </c>
      <c r="N1235" s="83">
        <v>45791</v>
      </c>
      <c r="O1235" s="83">
        <v>45791</v>
      </c>
      <c r="P1235" s="80" t="str">
        <f ca="1">IF(Proc[[#This Row],[DaysAgeing]]&gt;5,"yep","on track")</f>
        <v>on track</v>
      </c>
      <c r="Q1235" s="3">
        <f ca="1">IF(Proc[[#This Row],[DateClosed]]="",ABS(NETWORKDAYS(Proc[[#This Row],[DateOpened]],TODAY()))-1,ABS(NETWORKDAYS(Proc[[#This Row],[DateOpened]],Proc[[#This Row],[DateClosed]]))-1)</f>
        <v>1</v>
      </c>
      <c r="R1235" s="80" t="s">
        <v>489</v>
      </c>
      <c r="S1235" s="69"/>
    </row>
    <row r="1236" spans="1:19" hidden="1">
      <c r="A1236" s="72" t="s">
        <v>3085</v>
      </c>
      <c r="B1236" s="149" t="str">
        <f>IFERROR(VLOOKUP(Proc[[#This Row],[App]],Table2[],3,0),"open")</f>
        <v>ok</v>
      </c>
      <c r="C1236" s="72" t="s">
        <v>369</v>
      </c>
      <c r="D1236" t="s">
        <v>3115</v>
      </c>
      <c r="E1236" t="s">
        <v>3167</v>
      </c>
      <c r="F1236" s="117" t="s">
        <v>3167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LS</v>
      </c>
      <c r="L1236" s="69" t="s">
        <v>2563</v>
      </c>
      <c r="M1236" s="79">
        <v>45790.144409722219</v>
      </c>
      <c r="N1236" s="83">
        <v>45791</v>
      </c>
      <c r="O1236" s="83">
        <v>45791</v>
      </c>
      <c r="P1236" s="80" t="str">
        <f ca="1">IF(Proc[[#This Row],[DaysAgeing]]&gt;5,"yep","on track")</f>
        <v>on track</v>
      </c>
      <c r="Q1236" s="3">
        <f ca="1">IF(Proc[[#This Row],[DateClosed]]="",ABS(NETWORKDAYS(Proc[[#This Row],[DateOpened]],TODAY()))-1,ABS(NETWORKDAYS(Proc[[#This Row],[DateOpened]],Proc[[#This Row],[DateClosed]]))-1)</f>
        <v>1</v>
      </c>
      <c r="R1236" s="80" t="s">
        <v>489</v>
      </c>
      <c r="S1236" s="69"/>
    </row>
    <row r="1237" spans="1:19" hidden="1">
      <c r="A1237" s="72" t="s">
        <v>3085</v>
      </c>
      <c r="B1237" s="149" t="str">
        <f>IFERROR(VLOOKUP(Proc[[#This Row],[App]],Table2[],3,0),"open")</f>
        <v>ok</v>
      </c>
      <c r="C1237" s="72" t="s">
        <v>369</v>
      </c>
      <c r="D1237" t="s">
        <v>3116</v>
      </c>
      <c r="E1237" t="s">
        <v>3170</v>
      </c>
      <c r="F1237" s="117" t="s">
        <v>3170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LS</v>
      </c>
      <c r="L1237" s="69" t="s">
        <v>2563</v>
      </c>
      <c r="M1237" s="79">
        <v>45790.144409722219</v>
      </c>
      <c r="N1237" s="83">
        <v>45791</v>
      </c>
      <c r="O1237" s="83">
        <v>45791</v>
      </c>
      <c r="P1237" s="80" t="str">
        <f ca="1">IF(Proc[[#This Row],[DaysAgeing]]&gt;5,"yep","on track")</f>
        <v>on track</v>
      </c>
      <c r="Q1237" s="3">
        <f ca="1">IF(Proc[[#This Row],[DateClosed]]="",ABS(NETWORKDAYS(Proc[[#This Row],[DateOpened]],TODAY()))-1,ABS(NETWORKDAYS(Proc[[#This Row],[DateOpened]],Proc[[#This Row],[DateClosed]]))-1)</f>
        <v>1</v>
      </c>
      <c r="R1237" s="80" t="s">
        <v>489</v>
      </c>
      <c r="S1237" s="69"/>
    </row>
    <row r="1238" spans="1:19" hidden="1">
      <c r="A1238" s="72" t="s">
        <v>3085</v>
      </c>
      <c r="B1238" s="149" t="str">
        <f>IFERROR(VLOOKUP(Proc[[#This Row],[App]],Table2[],3,0),"open")</f>
        <v>ok</v>
      </c>
      <c r="C1238" s="72" t="s">
        <v>369</v>
      </c>
      <c r="D1238" t="s">
        <v>3117</v>
      </c>
      <c r="E1238" t="s">
        <v>3166</v>
      </c>
      <c r="F1238" s="117" t="s">
        <v>3166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LS</v>
      </c>
      <c r="L1238" s="69" t="s">
        <v>2563</v>
      </c>
      <c r="M1238" s="79">
        <v>45790.144409722219</v>
      </c>
      <c r="N1238" s="83">
        <v>45791</v>
      </c>
      <c r="O1238" s="83">
        <v>45791</v>
      </c>
      <c r="P1238" s="80" t="str">
        <f ca="1">IF(Proc[[#This Row],[DaysAgeing]]&gt;5,"yep","on track")</f>
        <v>on track</v>
      </c>
      <c r="Q1238" s="3">
        <f ca="1">IF(Proc[[#This Row],[DateClosed]]="",ABS(NETWORKDAYS(Proc[[#This Row],[DateOpened]],TODAY()))-1,ABS(NETWORKDAYS(Proc[[#This Row],[DateOpened]],Proc[[#This Row],[DateClosed]]))-1)</f>
        <v>1</v>
      </c>
      <c r="R1238" s="80" t="s">
        <v>489</v>
      </c>
      <c r="S1238" s="69"/>
    </row>
    <row r="1239" spans="1:19" hidden="1">
      <c r="A1239" s="72" t="s">
        <v>3085</v>
      </c>
      <c r="B1239" s="149" t="str">
        <f>IFERROR(VLOOKUP(Proc[[#This Row],[App]],Table2[],3,0),"open")</f>
        <v>ok</v>
      </c>
      <c r="C1239" s="72" t="s">
        <v>369</v>
      </c>
      <c r="D1239" t="s">
        <v>3118</v>
      </c>
      <c r="E1239" t="s">
        <v>3173</v>
      </c>
      <c r="F1239" s="117" t="s">
        <v>3173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LS</v>
      </c>
      <c r="L1239" s="69" t="s">
        <v>2563</v>
      </c>
      <c r="M1239" s="79">
        <v>45790.144409722219</v>
      </c>
      <c r="N1239" s="83">
        <v>45791</v>
      </c>
      <c r="O1239" s="83">
        <v>45791</v>
      </c>
      <c r="P1239" s="80" t="str">
        <f ca="1">IF(Proc[[#This Row],[DaysAgeing]]&gt;5,"yep","on track")</f>
        <v>on track</v>
      </c>
      <c r="Q1239" s="3">
        <f ca="1">IF(Proc[[#This Row],[DateClosed]]="",ABS(NETWORKDAYS(Proc[[#This Row],[DateOpened]],TODAY()))-1,ABS(NETWORKDAYS(Proc[[#This Row],[DateOpened]],Proc[[#This Row],[DateClosed]]))-1)</f>
        <v>1</v>
      </c>
      <c r="R1239" s="80" t="s">
        <v>489</v>
      </c>
      <c r="S1239" s="69"/>
    </row>
    <row r="1240" spans="1:19" hidden="1">
      <c r="A1240" s="72" t="s">
        <v>3085</v>
      </c>
      <c r="B1240" s="149" t="str">
        <f>IFERROR(VLOOKUP(Proc[[#This Row],[App]],Table2[],3,0),"open")</f>
        <v>ok</v>
      </c>
      <c r="C1240" s="72" t="s">
        <v>369</v>
      </c>
      <c r="D1240" t="s">
        <v>3119</v>
      </c>
      <c r="E1240" t="s">
        <v>3167</v>
      </c>
      <c r="F1240" s="117" t="s">
        <v>3167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LS</v>
      </c>
      <c r="L1240" s="69" t="s">
        <v>2563</v>
      </c>
      <c r="M1240" s="79">
        <v>45790.144409722219</v>
      </c>
      <c r="N1240" s="83">
        <v>45791</v>
      </c>
      <c r="O1240" s="83">
        <v>45791</v>
      </c>
      <c r="P1240" s="80" t="str">
        <f ca="1">IF(Proc[[#This Row],[DaysAgeing]]&gt;5,"yep","on track")</f>
        <v>on track</v>
      </c>
      <c r="Q1240" s="3">
        <f ca="1">IF(Proc[[#This Row],[DateClosed]]="",ABS(NETWORKDAYS(Proc[[#This Row],[DateOpened]],TODAY()))-1,ABS(NETWORKDAYS(Proc[[#This Row],[DateOpened]],Proc[[#This Row],[DateClosed]]))-1)</f>
        <v>1</v>
      </c>
      <c r="R1240" s="80" t="s">
        <v>489</v>
      </c>
      <c r="S1240" s="69"/>
    </row>
    <row r="1241" spans="1:19" hidden="1">
      <c r="A1241" s="72" t="s">
        <v>3085</v>
      </c>
      <c r="B1241" s="149" t="str">
        <f>IFERROR(VLOOKUP(Proc[[#This Row],[App]],Table2[],3,0),"open")</f>
        <v>ok</v>
      </c>
      <c r="C1241" s="72" t="s">
        <v>369</v>
      </c>
      <c r="D1241" t="s">
        <v>3120</v>
      </c>
      <c r="E1241" t="s">
        <v>3167</v>
      </c>
      <c r="F1241" s="117" t="s">
        <v>3167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LS</v>
      </c>
      <c r="L1241" s="69" t="s">
        <v>2563</v>
      </c>
      <c r="M1241" s="79">
        <v>45790.144409722219</v>
      </c>
      <c r="N1241" s="83">
        <v>45791</v>
      </c>
      <c r="O1241" s="83">
        <v>45791</v>
      </c>
      <c r="P1241" s="80" t="str">
        <f ca="1">IF(Proc[[#This Row],[DaysAgeing]]&gt;5,"yep","on track")</f>
        <v>on track</v>
      </c>
      <c r="Q1241" s="3">
        <f ca="1">IF(Proc[[#This Row],[DateClosed]]="",ABS(NETWORKDAYS(Proc[[#This Row],[DateOpened]],TODAY()))-1,ABS(NETWORKDAYS(Proc[[#This Row],[DateOpened]],Proc[[#This Row],[DateClosed]]))-1)</f>
        <v>1</v>
      </c>
      <c r="R1241" s="80" t="s">
        <v>489</v>
      </c>
      <c r="S1241" s="69"/>
    </row>
    <row r="1242" spans="1:19" hidden="1">
      <c r="A1242" s="72" t="s">
        <v>3085</v>
      </c>
      <c r="B1242" s="149" t="str">
        <f>IFERROR(VLOOKUP(Proc[[#This Row],[App]],Table2[],3,0),"open")</f>
        <v>ok</v>
      </c>
      <c r="C1242" s="72" t="s">
        <v>369</v>
      </c>
      <c r="D1242" t="s">
        <v>3121</v>
      </c>
      <c r="E1242" t="s">
        <v>3170</v>
      </c>
      <c r="F1242" s="117" t="s">
        <v>3170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LS</v>
      </c>
      <c r="L1242" s="69" t="s">
        <v>2563</v>
      </c>
      <c r="M1242" s="79">
        <v>45790.144409722219</v>
      </c>
      <c r="N1242" s="83">
        <v>45791</v>
      </c>
      <c r="O1242" s="83">
        <v>45791</v>
      </c>
      <c r="P1242" s="80" t="str">
        <f ca="1">IF(Proc[[#This Row],[DaysAgeing]]&gt;5,"yep","on track")</f>
        <v>on track</v>
      </c>
      <c r="Q1242" s="3">
        <f ca="1">IF(Proc[[#This Row],[DateClosed]]="",ABS(NETWORKDAYS(Proc[[#This Row],[DateOpened]],TODAY()))-1,ABS(NETWORKDAYS(Proc[[#This Row],[DateOpened]],Proc[[#This Row],[DateClosed]]))-1)</f>
        <v>1</v>
      </c>
      <c r="R1242" s="80" t="s">
        <v>489</v>
      </c>
      <c r="S1242" s="69"/>
    </row>
    <row r="1243" spans="1:19" hidden="1">
      <c r="A1243" s="72" t="s">
        <v>3085</v>
      </c>
      <c r="B1243" s="149" t="str">
        <f>IFERROR(VLOOKUP(Proc[[#This Row],[App]],Table2[],3,0),"open")</f>
        <v>ok</v>
      </c>
      <c r="C1243" s="72" t="s">
        <v>369</v>
      </c>
      <c r="D1243" t="s">
        <v>3122</v>
      </c>
      <c r="E1243" t="s">
        <v>3164</v>
      </c>
      <c r="F1243" s="117" t="s">
        <v>3164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LS</v>
      </c>
      <c r="L1243" s="69" t="s">
        <v>2563</v>
      </c>
      <c r="M1243" s="79">
        <v>45790.144409722219</v>
      </c>
      <c r="N1243" s="83">
        <v>45791</v>
      </c>
      <c r="O1243" s="83">
        <v>45791</v>
      </c>
      <c r="P1243" s="80" t="str">
        <f ca="1">IF(Proc[[#This Row],[DaysAgeing]]&gt;5,"yep","on track")</f>
        <v>on track</v>
      </c>
      <c r="Q1243" s="3">
        <f ca="1">IF(Proc[[#This Row],[DateClosed]]="",ABS(NETWORKDAYS(Proc[[#This Row],[DateOpened]],TODAY()))-1,ABS(NETWORKDAYS(Proc[[#This Row],[DateOpened]],Proc[[#This Row],[DateClosed]]))-1)</f>
        <v>1</v>
      </c>
      <c r="R1243" s="80" t="s">
        <v>489</v>
      </c>
      <c r="S1243" s="69"/>
    </row>
    <row r="1244" spans="1:19" hidden="1">
      <c r="A1244" s="72" t="s">
        <v>3085</v>
      </c>
      <c r="B1244" s="149" t="str">
        <f>IFERROR(VLOOKUP(Proc[[#This Row],[App]],Table2[],3,0),"open")</f>
        <v>ok</v>
      </c>
      <c r="C1244" s="72" t="s">
        <v>369</v>
      </c>
      <c r="D1244" t="s">
        <v>3123</v>
      </c>
      <c r="E1244" t="s">
        <v>3171</v>
      </c>
      <c r="F1244" s="117" t="s">
        <v>3171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LS</v>
      </c>
      <c r="L1244" s="69" t="s">
        <v>2563</v>
      </c>
      <c r="M1244" s="79">
        <v>45790.144409722219</v>
      </c>
      <c r="N1244" s="83">
        <v>45791</v>
      </c>
      <c r="O1244" s="83">
        <v>45791</v>
      </c>
      <c r="P1244" s="80" t="str">
        <f ca="1">IF(Proc[[#This Row],[DaysAgeing]]&gt;5,"yep","on track")</f>
        <v>on track</v>
      </c>
      <c r="Q1244" s="3">
        <f ca="1">IF(Proc[[#This Row],[DateClosed]]="",ABS(NETWORKDAYS(Proc[[#This Row],[DateOpened]],TODAY()))-1,ABS(NETWORKDAYS(Proc[[#This Row],[DateOpened]],Proc[[#This Row],[DateClosed]]))-1)</f>
        <v>1</v>
      </c>
      <c r="R1244" s="80" t="s">
        <v>489</v>
      </c>
      <c r="S1244" s="69"/>
    </row>
    <row r="1245" spans="1:19" hidden="1">
      <c r="A1245" s="72" t="s">
        <v>3085</v>
      </c>
      <c r="B1245" s="149" t="str">
        <f>IFERROR(VLOOKUP(Proc[[#This Row],[App]],Table2[],3,0),"open")</f>
        <v>ok</v>
      </c>
      <c r="C1245" s="72" t="s">
        <v>369</v>
      </c>
      <c r="D1245" t="s">
        <v>3124</v>
      </c>
      <c r="E1245" t="s">
        <v>3173</v>
      </c>
      <c r="F1245" s="117" t="s">
        <v>3173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LS</v>
      </c>
      <c r="L1245" s="69" t="s">
        <v>2563</v>
      </c>
      <c r="M1245" s="79">
        <v>45790.144409722219</v>
      </c>
      <c r="N1245" s="83">
        <v>45791</v>
      </c>
      <c r="O1245" s="83">
        <v>45791</v>
      </c>
      <c r="P1245" s="80" t="str">
        <f ca="1">IF(Proc[[#This Row],[DaysAgeing]]&gt;5,"yep","on track")</f>
        <v>on track</v>
      </c>
      <c r="Q1245" s="3">
        <f ca="1">IF(Proc[[#This Row],[DateClosed]]="",ABS(NETWORKDAYS(Proc[[#This Row],[DateOpened]],TODAY()))-1,ABS(NETWORKDAYS(Proc[[#This Row],[DateOpened]],Proc[[#This Row],[DateClosed]]))-1)</f>
        <v>1</v>
      </c>
      <c r="R1245" s="80" t="s">
        <v>489</v>
      </c>
      <c r="S1245" s="69"/>
    </row>
    <row r="1246" spans="1:19" hidden="1">
      <c r="A1246" s="72" t="s">
        <v>3085</v>
      </c>
      <c r="B1246" s="149" t="str">
        <f>IFERROR(VLOOKUP(Proc[[#This Row],[App]],Table2[],3,0),"open")</f>
        <v>ok</v>
      </c>
      <c r="C1246" s="72" t="s">
        <v>369</v>
      </c>
      <c r="D1246" t="s">
        <v>3125</v>
      </c>
      <c r="E1246" t="s">
        <v>3174</v>
      </c>
      <c r="F1246" s="117" t="s">
        <v>3174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LS</v>
      </c>
      <c r="L1246" s="69" t="s">
        <v>2563</v>
      </c>
      <c r="M1246" s="79">
        <v>45790.144409722219</v>
      </c>
      <c r="N1246" s="83">
        <v>45791</v>
      </c>
      <c r="O1246" s="83">
        <v>45791</v>
      </c>
      <c r="P1246" s="80" t="str">
        <f ca="1">IF(Proc[[#This Row],[DaysAgeing]]&gt;5,"yep","on track")</f>
        <v>on track</v>
      </c>
      <c r="Q1246" s="3">
        <f ca="1">IF(Proc[[#This Row],[DateClosed]]="",ABS(NETWORKDAYS(Proc[[#This Row],[DateOpened]],TODAY()))-1,ABS(NETWORKDAYS(Proc[[#This Row],[DateOpened]],Proc[[#This Row],[DateClosed]]))-1)</f>
        <v>1</v>
      </c>
      <c r="R1246" s="80" t="s">
        <v>489</v>
      </c>
      <c r="S1246" s="69"/>
    </row>
    <row r="1247" spans="1:19" hidden="1">
      <c r="A1247" s="72" t="s">
        <v>3085</v>
      </c>
      <c r="B1247" s="149" t="str">
        <f>IFERROR(VLOOKUP(Proc[[#This Row],[App]],Table2[],3,0),"open")</f>
        <v>ok</v>
      </c>
      <c r="C1247" s="72" t="s">
        <v>369</v>
      </c>
      <c r="D1247" t="s">
        <v>3126</v>
      </c>
      <c r="E1247" t="s">
        <v>3167</v>
      </c>
      <c r="F1247" s="117" t="s">
        <v>3167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LS</v>
      </c>
      <c r="L1247" s="69" t="s">
        <v>2563</v>
      </c>
      <c r="M1247" s="79">
        <v>45790.144409722219</v>
      </c>
      <c r="N1247" s="83">
        <v>45791</v>
      </c>
      <c r="O1247" s="83">
        <v>45791</v>
      </c>
      <c r="P1247" s="80" t="str">
        <f ca="1">IF(Proc[[#This Row],[DaysAgeing]]&gt;5,"yep","on track")</f>
        <v>on track</v>
      </c>
      <c r="Q1247" s="3">
        <f ca="1">IF(Proc[[#This Row],[DateClosed]]="",ABS(NETWORKDAYS(Proc[[#This Row],[DateOpened]],TODAY()))-1,ABS(NETWORKDAYS(Proc[[#This Row],[DateOpened]],Proc[[#This Row],[DateClosed]]))-1)</f>
        <v>1</v>
      </c>
      <c r="R1247" s="80" t="s">
        <v>489</v>
      </c>
      <c r="S1247" s="69"/>
    </row>
    <row r="1248" spans="1:19" hidden="1">
      <c r="A1248" s="72" t="s">
        <v>3085</v>
      </c>
      <c r="B1248" s="149" t="str">
        <f>IFERROR(VLOOKUP(Proc[[#This Row],[App]],Table2[],3,0),"open")</f>
        <v>ok</v>
      </c>
      <c r="C1248" s="72" t="s">
        <v>369</v>
      </c>
      <c r="D1248" t="s">
        <v>3127</v>
      </c>
      <c r="E1248" t="s">
        <v>3171</v>
      </c>
      <c r="F1248" s="117" t="s">
        <v>3171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LS</v>
      </c>
      <c r="L1248" s="69" t="s">
        <v>2563</v>
      </c>
      <c r="M1248" s="79">
        <v>45790.144409722219</v>
      </c>
      <c r="N1248" s="83">
        <v>45791</v>
      </c>
      <c r="O1248" s="83">
        <v>45791</v>
      </c>
      <c r="P1248" s="80" t="str">
        <f ca="1">IF(Proc[[#This Row],[DaysAgeing]]&gt;5,"yep","on track")</f>
        <v>on track</v>
      </c>
      <c r="Q1248" s="3">
        <f ca="1">IF(Proc[[#This Row],[DateClosed]]="",ABS(NETWORKDAYS(Proc[[#This Row],[DateOpened]],TODAY()))-1,ABS(NETWORKDAYS(Proc[[#This Row],[DateOpened]],Proc[[#This Row],[DateClosed]]))-1)</f>
        <v>1</v>
      </c>
      <c r="R1248" s="80" t="s">
        <v>489</v>
      </c>
      <c r="S1248" s="69"/>
    </row>
    <row r="1249" spans="1:19" hidden="1">
      <c r="A1249" s="72" t="s">
        <v>3085</v>
      </c>
      <c r="B1249" s="149" t="str">
        <f>IFERROR(VLOOKUP(Proc[[#This Row],[App]],Table2[],3,0),"open")</f>
        <v>ok</v>
      </c>
      <c r="C1249" s="72" t="s">
        <v>369</v>
      </c>
      <c r="D1249" t="s">
        <v>3128</v>
      </c>
      <c r="E1249" t="s">
        <v>3166</v>
      </c>
      <c r="F1249" s="117" t="s">
        <v>3166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LS</v>
      </c>
      <c r="L1249" s="69" t="s">
        <v>2563</v>
      </c>
      <c r="M1249" s="79">
        <v>45790.144409722219</v>
      </c>
      <c r="N1249" s="83">
        <v>45791</v>
      </c>
      <c r="O1249" s="83">
        <v>45791</v>
      </c>
      <c r="P1249" s="80" t="str">
        <f ca="1">IF(Proc[[#This Row],[DaysAgeing]]&gt;5,"yep","on track")</f>
        <v>on track</v>
      </c>
      <c r="Q1249" s="3">
        <f ca="1">IF(Proc[[#This Row],[DateClosed]]="",ABS(NETWORKDAYS(Proc[[#This Row],[DateOpened]],TODAY()))-1,ABS(NETWORKDAYS(Proc[[#This Row],[DateOpened]],Proc[[#This Row],[DateClosed]]))-1)</f>
        <v>1</v>
      </c>
      <c r="R1249" s="80" t="s">
        <v>489</v>
      </c>
      <c r="S1249" s="69"/>
    </row>
    <row r="1250" spans="1:19" hidden="1">
      <c r="A1250" s="72" t="s">
        <v>3085</v>
      </c>
      <c r="B1250" s="149" t="str">
        <f>IFERROR(VLOOKUP(Proc[[#This Row],[App]],Table2[],3,0),"open")</f>
        <v>ok</v>
      </c>
      <c r="C1250" s="72" t="s">
        <v>369</v>
      </c>
      <c r="D1250" t="s">
        <v>3129</v>
      </c>
      <c r="E1250" t="s">
        <v>3175</v>
      </c>
      <c r="F1250" s="117" t="s">
        <v>3175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LS</v>
      </c>
      <c r="L1250" s="69" t="s">
        <v>2563</v>
      </c>
      <c r="M1250" s="79">
        <v>45790.144409722219</v>
      </c>
      <c r="N1250" s="83">
        <v>45791</v>
      </c>
      <c r="O1250" s="83">
        <v>45791</v>
      </c>
      <c r="P1250" s="80" t="str">
        <f ca="1">IF(Proc[[#This Row],[DaysAgeing]]&gt;5,"yep","on track")</f>
        <v>on track</v>
      </c>
      <c r="Q1250" s="3">
        <f ca="1">IF(Proc[[#This Row],[DateClosed]]="",ABS(NETWORKDAYS(Proc[[#This Row],[DateOpened]],TODAY()))-1,ABS(NETWORKDAYS(Proc[[#This Row],[DateOpened]],Proc[[#This Row],[DateClosed]]))-1)</f>
        <v>1</v>
      </c>
      <c r="R1250" s="80" t="s">
        <v>489</v>
      </c>
      <c r="S1250" s="69"/>
    </row>
    <row r="1251" spans="1:19" hidden="1">
      <c r="A1251" s="72" t="s">
        <v>3085</v>
      </c>
      <c r="B1251" s="149" t="str">
        <f>IFERROR(VLOOKUP(Proc[[#This Row],[App]],Table2[],3,0),"open")</f>
        <v>ok</v>
      </c>
      <c r="C1251" s="72" t="s">
        <v>369</v>
      </c>
      <c r="D1251" t="s">
        <v>3130</v>
      </c>
      <c r="E1251" t="s">
        <v>3167</v>
      </c>
      <c r="F1251" s="117" t="s">
        <v>3167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LS</v>
      </c>
      <c r="L1251" s="69" t="s">
        <v>2563</v>
      </c>
      <c r="M1251" s="79">
        <v>45790.144409722219</v>
      </c>
      <c r="N1251" s="83">
        <v>45791</v>
      </c>
      <c r="O1251" s="83">
        <v>45791</v>
      </c>
      <c r="P1251" s="80" t="str">
        <f ca="1">IF(Proc[[#This Row],[DaysAgeing]]&gt;5,"yep","on track")</f>
        <v>on track</v>
      </c>
      <c r="Q1251" s="3">
        <f ca="1">IF(Proc[[#This Row],[DateClosed]]="",ABS(NETWORKDAYS(Proc[[#This Row],[DateOpened]],TODAY()))-1,ABS(NETWORKDAYS(Proc[[#This Row],[DateOpened]],Proc[[#This Row],[DateClosed]]))-1)</f>
        <v>1</v>
      </c>
      <c r="R1251" s="80" t="s">
        <v>489</v>
      </c>
      <c r="S1251" s="69"/>
    </row>
    <row r="1252" spans="1:19" hidden="1">
      <c r="A1252" s="72" t="s">
        <v>3085</v>
      </c>
      <c r="B1252" s="149" t="str">
        <f>IFERROR(VLOOKUP(Proc[[#This Row],[App]],Table2[],3,0),"open")</f>
        <v>ok</v>
      </c>
      <c r="C1252" s="72" t="s">
        <v>369</v>
      </c>
      <c r="D1252" t="s">
        <v>3131</v>
      </c>
      <c r="E1252" t="s">
        <v>3165</v>
      </c>
      <c r="F1252" s="117" t="s">
        <v>3165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LS</v>
      </c>
      <c r="L1252" s="69" t="s">
        <v>2563</v>
      </c>
      <c r="M1252" s="79">
        <v>45790.144409722219</v>
      </c>
      <c r="N1252" s="83">
        <v>45791</v>
      </c>
      <c r="O1252" s="83">
        <v>45791</v>
      </c>
      <c r="P1252" s="80" t="str">
        <f ca="1">IF(Proc[[#This Row],[DaysAgeing]]&gt;5,"yep","on track")</f>
        <v>on track</v>
      </c>
      <c r="Q1252" s="3">
        <f ca="1">IF(Proc[[#This Row],[DateClosed]]="",ABS(NETWORKDAYS(Proc[[#This Row],[DateOpened]],TODAY()))-1,ABS(NETWORKDAYS(Proc[[#This Row],[DateOpened]],Proc[[#This Row],[DateClosed]]))-1)</f>
        <v>1</v>
      </c>
      <c r="R1252" s="80" t="s">
        <v>489</v>
      </c>
      <c r="S1252" s="69"/>
    </row>
    <row r="1253" spans="1:19" hidden="1">
      <c r="A1253" s="72" t="s">
        <v>3085</v>
      </c>
      <c r="B1253" s="149" t="str">
        <f>IFERROR(VLOOKUP(Proc[[#This Row],[App]],Table2[],3,0),"open")</f>
        <v>ok</v>
      </c>
      <c r="C1253" s="72" t="s">
        <v>369</v>
      </c>
      <c r="D1253" t="s">
        <v>3132</v>
      </c>
      <c r="E1253" t="s">
        <v>3176</v>
      </c>
      <c r="F1253" s="117" t="s">
        <v>3176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LS</v>
      </c>
      <c r="L1253" s="69" t="s">
        <v>2563</v>
      </c>
      <c r="M1253" s="79">
        <v>45790.144409722219</v>
      </c>
      <c r="N1253" s="83">
        <v>45791</v>
      </c>
      <c r="O1253" s="83">
        <v>45791</v>
      </c>
      <c r="P1253" s="80" t="str">
        <f ca="1">IF(Proc[[#This Row],[DaysAgeing]]&gt;5,"yep","on track")</f>
        <v>on track</v>
      </c>
      <c r="Q1253" s="3">
        <f ca="1">IF(Proc[[#This Row],[DateClosed]]="",ABS(NETWORKDAYS(Proc[[#This Row],[DateOpened]],TODAY()))-1,ABS(NETWORKDAYS(Proc[[#This Row],[DateOpened]],Proc[[#This Row],[DateClosed]]))-1)</f>
        <v>1</v>
      </c>
      <c r="R1253" s="80" t="s">
        <v>489</v>
      </c>
      <c r="S1253" s="69"/>
    </row>
    <row r="1254" spans="1:19" hidden="1">
      <c r="A1254" s="72" t="s">
        <v>3085</v>
      </c>
      <c r="B1254" s="149" t="str">
        <f>IFERROR(VLOOKUP(Proc[[#This Row],[App]],Table2[],3,0),"open")</f>
        <v>ok</v>
      </c>
      <c r="C1254" s="72" t="s">
        <v>369</v>
      </c>
      <c r="D1254" t="s">
        <v>3133</v>
      </c>
      <c r="E1254" t="s">
        <v>3170</v>
      </c>
      <c r="F1254" s="117" t="s">
        <v>3170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LS</v>
      </c>
      <c r="L1254" s="69" t="s">
        <v>2563</v>
      </c>
      <c r="M1254" s="79">
        <v>45790.144409722219</v>
      </c>
      <c r="N1254" s="83">
        <v>45791</v>
      </c>
      <c r="O1254" s="83">
        <v>45791</v>
      </c>
      <c r="P1254" s="80" t="str">
        <f ca="1">IF(Proc[[#This Row],[DaysAgeing]]&gt;5,"yep","on track")</f>
        <v>on track</v>
      </c>
      <c r="Q1254" s="3">
        <f ca="1">IF(Proc[[#This Row],[DateClosed]]="",ABS(NETWORKDAYS(Proc[[#This Row],[DateOpened]],TODAY()))-1,ABS(NETWORKDAYS(Proc[[#This Row],[DateOpened]],Proc[[#This Row],[DateClosed]]))-1)</f>
        <v>1</v>
      </c>
      <c r="R1254" s="80" t="s">
        <v>489</v>
      </c>
      <c r="S1254" s="69"/>
    </row>
    <row r="1255" spans="1:19" hidden="1">
      <c r="A1255" s="72" t="s">
        <v>3085</v>
      </c>
      <c r="B1255" s="149" t="str">
        <f>IFERROR(VLOOKUP(Proc[[#This Row],[App]],Table2[],3,0),"open")</f>
        <v>ok</v>
      </c>
      <c r="C1255" s="72" t="s">
        <v>369</v>
      </c>
      <c r="D1255" t="s">
        <v>3134</v>
      </c>
      <c r="E1255" t="s">
        <v>3176</v>
      </c>
      <c r="F1255" s="117" t="s">
        <v>3176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LS</v>
      </c>
      <c r="L1255" s="69" t="s">
        <v>2563</v>
      </c>
      <c r="M1255" s="79">
        <v>45790.144409722219</v>
      </c>
      <c r="N1255" s="83">
        <v>45791</v>
      </c>
      <c r="O1255" s="83">
        <v>45791</v>
      </c>
      <c r="P1255" s="80" t="str">
        <f ca="1">IF(Proc[[#This Row],[DaysAgeing]]&gt;5,"yep","on track")</f>
        <v>on track</v>
      </c>
      <c r="Q1255" s="3">
        <f ca="1">IF(Proc[[#This Row],[DateClosed]]="",ABS(NETWORKDAYS(Proc[[#This Row],[DateOpened]],TODAY()))-1,ABS(NETWORKDAYS(Proc[[#This Row],[DateOpened]],Proc[[#This Row],[DateClosed]]))-1)</f>
        <v>1</v>
      </c>
      <c r="R1255" s="80" t="s">
        <v>489</v>
      </c>
      <c r="S1255" s="69"/>
    </row>
    <row r="1256" spans="1:19" hidden="1">
      <c r="A1256" s="72" t="s">
        <v>3085</v>
      </c>
      <c r="B1256" s="149" t="str">
        <f>IFERROR(VLOOKUP(Proc[[#This Row],[App]],Table2[],3,0),"open")</f>
        <v>ok</v>
      </c>
      <c r="C1256" s="72" t="s">
        <v>369</v>
      </c>
      <c r="D1256" t="s">
        <v>3135</v>
      </c>
      <c r="E1256" t="s">
        <v>3169</v>
      </c>
      <c r="F1256" s="117" t="s">
        <v>3169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LS</v>
      </c>
      <c r="L1256" s="69" t="s">
        <v>2563</v>
      </c>
      <c r="M1256" s="79">
        <v>45790.144409722219</v>
      </c>
      <c r="N1256" s="83">
        <v>45791</v>
      </c>
      <c r="O1256" s="83">
        <v>45791</v>
      </c>
      <c r="P1256" s="80" t="str">
        <f ca="1">IF(Proc[[#This Row],[DaysAgeing]]&gt;5,"yep","on track")</f>
        <v>on track</v>
      </c>
      <c r="Q1256" s="3">
        <f ca="1">IF(Proc[[#This Row],[DateClosed]]="",ABS(NETWORKDAYS(Proc[[#This Row],[DateOpened]],TODAY()))-1,ABS(NETWORKDAYS(Proc[[#This Row],[DateOpened]],Proc[[#This Row],[DateClosed]]))-1)</f>
        <v>1</v>
      </c>
      <c r="R1256" s="80" t="s">
        <v>489</v>
      </c>
      <c r="S1256" s="69"/>
    </row>
    <row r="1257" spans="1:19" hidden="1">
      <c r="A1257" s="72" t="s">
        <v>3085</v>
      </c>
      <c r="B1257" s="149" t="str">
        <f>IFERROR(VLOOKUP(Proc[[#This Row],[App]],Table2[],3,0),"open")</f>
        <v>ok</v>
      </c>
      <c r="C1257" s="72" t="s">
        <v>369</v>
      </c>
      <c r="D1257" t="s">
        <v>3136</v>
      </c>
      <c r="E1257" t="s">
        <v>3170</v>
      </c>
      <c r="F1257" s="117" t="s">
        <v>3170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LS</v>
      </c>
      <c r="L1257" s="69" t="s">
        <v>2563</v>
      </c>
      <c r="M1257" s="79">
        <v>45790.144409722219</v>
      </c>
      <c r="N1257" s="83">
        <v>45791</v>
      </c>
      <c r="O1257" s="83">
        <v>45791</v>
      </c>
      <c r="P1257" s="80" t="str">
        <f ca="1">IF(Proc[[#This Row],[DaysAgeing]]&gt;5,"yep","on track")</f>
        <v>on track</v>
      </c>
      <c r="Q1257" s="3">
        <f ca="1">IF(Proc[[#This Row],[DateClosed]]="",ABS(NETWORKDAYS(Proc[[#This Row],[DateOpened]],TODAY()))-1,ABS(NETWORKDAYS(Proc[[#This Row],[DateOpened]],Proc[[#This Row],[DateClosed]]))-1)</f>
        <v>1</v>
      </c>
      <c r="R1257" s="80" t="s">
        <v>489</v>
      </c>
      <c r="S1257" s="69"/>
    </row>
    <row r="1258" spans="1:19" hidden="1">
      <c r="A1258" s="72" t="s">
        <v>3085</v>
      </c>
      <c r="B1258" s="149" t="str">
        <f>IFERROR(VLOOKUP(Proc[[#This Row],[App]],Table2[],3,0),"open")</f>
        <v>ok</v>
      </c>
      <c r="C1258" s="72" t="s">
        <v>369</v>
      </c>
      <c r="D1258" t="s">
        <v>3137</v>
      </c>
      <c r="E1258" t="s">
        <v>3169</v>
      </c>
      <c r="F1258" s="117" t="s">
        <v>3169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LS</v>
      </c>
      <c r="L1258" s="69" t="s">
        <v>2563</v>
      </c>
      <c r="M1258" s="79">
        <v>45790.144409722219</v>
      </c>
      <c r="N1258" s="83">
        <v>45791</v>
      </c>
      <c r="O1258" s="83">
        <v>45791</v>
      </c>
      <c r="P1258" s="80" t="str">
        <f ca="1">IF(Proc[[#This Row],[DaysAgeing]]&gt;5,"yep","on track")</f>
        <v>on track</v>
      </c>
      <c r="Q1258" s="3">
        <f ca="1">IF(Proc[[#This Row],[DateClosed]]="",ABS(NETWORKDAYS(Proc[[#This Row],[DateOpened]],TODAY()))-1,ABS(NETWORKDAYS(Proc[[#This Row],[DateOpened]],Proc[[#This Row],[DateClosed]]))-1)</f>
        <v>1</v>
      </c>
      <c r="R1258" s="80" t="s">
        <v>489</v>
      </c>
      <c r="S1258" s="69"/>
    </row>
    <row r="1259" spans="1:19" hidden="1">
      <c r="A1259" s="72" t="s">
        <v>3085</v>
      </c>
      <c r="B1259" s="149" t="str">
        <f>IFERROR(VLOOKUP(Proc[[#This Row],[App]],Table2[],3,0),"open")</f>
        <v>ok</v>
      </c>
      <c r="C1259" s="72" t="s">
        <v>369</v>
      </c>
      <c r="D1259" t="s">
        <v>3138</v>
      </c>
      <c r="E1259" t="s">
        <v>3166</v>
      </c>
      <c r="F1259" s="117" t="s">
        <v>3166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LS</v>
      </c>
      <c r="L1259" s="69" t="s">
        <v>2563</v>
      </c>
      <c r="M1259" s="79">
        <v>45790.144409722219</v>
      </c>
      <c r="N1259" s="83">
        <v>45791</v>
      </c>
      <c r="O1259" s="83">
        <v>45791</v>
      </c>
      <c r="P1259" s="80" t="str">
        <f ca="1">IF(Proc[[#This Row],[DaysAgeing]]&gt;5,"yep","on track")</f>
        <v>on track</v>
      </c>
      <c r="Q1259" s="3">
        <f ca="1">IF(Proc[[#This Row],[DateClosed]]="",ABS(NETWORKDAYS(Proc[[#This Row],[DateOpened]],TODAY()))-1,ABS(NETWORKDAYS(Proc[[#This Row],[DateOpened]],Proc[[#This Row],[DateClosed]]))-1)</f>
        <v>1</v>
      </c>
      <c r="R1259" s="80" t="s">
        <v>489</v>
      </c>
      <c r="S1259" s="69"/>
    </row>
    <row r="1260" spans="1:19" hidden="1">
      <c r="A1260" s="72" t="s">
        <v>3085</v>
      </c>
      <c r="B1260" s="149" t="str">
        <f>IFERROR(VLOOKUP(Proc[[#This Row],[App]],Table2[],3,0),"open")</f>
        <v>ok</v>
      </c>
      <c r="C1260" s="72" t="s">
        <v>369</v>
      </c>
      <c r="D1260" t="s">
        <v>3139</v>
      </c>
      <c r="E1260" t="s">
        <v>3164</v>
      </c>
      <c r="F1260" s="117" t="s">
        <v>3164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LS</v>
      </c>
      <c r="L1260" s="69" t="s">
        <v>2563</v>
      </c>
      <c r="M1260" s="79">
        <v>45790.144409722219</v>
      </c>
      <c r="N1260" s="83">
        <v>45791</v>
      </c>
      <c r="O1260" s="83">
        <v>45791</v>
      </c>
      <c r="P1260" s="80" t="str">
        <f ca="1">IF(Proc[[#This Row],[DaysAgeing]]&gt;5,"yep","on track")</f>
        <v>on track</v>
      </c>
      <c r="Q1260" s="3">
        <f ca="1">IF(Proc[[#This Row],[DateClosed]]="",ABS(NETWORKDAYS(Proc[[#This Row],[DateOpened]],TODAY()))-1,ABS(NETWORKDAYS(Proc[[#This Row],[DateOpened]],Proc[[#This Row],[DateClosed]]))-1)</f>
        <v>1</v>
      </c>
      <c r="R1260" s="80" t="s">
        <v>489</v>
      </c>
      <c r="S1260" s="69"/>
    </row>
    <row r="1261" spans="1:19" hidden="1">
      <c r="A1261" s="72" t="s">
        <v>3085</v>
      </c>
      <c r="B1261" s="149" t="str">
        <f>IFERROR(VLOOKUP(Proc[[#This Row],[App]],Table2[],3,0),"open")</f>
        <v>ok</v>
      </c>
      <c r="C1261" s="72" t="s">
        <v>369</v>
      </c>
      <c r="D1261" t="s">
        <v>3140</v>
      </c>
      <c r="E1261" t="s">
        <v>3177</v>
      </c>
      <c r="F1261" s="117" t="s">
        <v>3177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LS</v>
      </c>
      <c r="L1261" s="69" t="s">
        <v>2563</v>
      </c>
      <c r="M1261" s="79">
        <v>45790.144409722219</v>
      </c>
      <c r="N1261" s="83">
        <v>45791</v>
      </c>
      <c r="O1261" s="83">
        <v>45791</v>
      </c>
      <c r="P1261" s="80" t="str">
        <f ca="1">IF(Proc[[#This Row],[DaysAgeing]]&gt;5,"yep","on track")</f>
        <v>on track</v>
      </c>
      <c r="Q1261" s="3">
        <f ca="1">IF(Proc[[#This Row],[DateClosed]]="",ABS(NETWORKDAYS(Proc[[#This Row],[DateOpened]],TODAY()))-1,ABS(NETWORKDAYS(Proc[[#This Row],[DateOpened]],Proc[[#This Row],[DateClosed]]))-1)</f>
        <v>1</v>
      </c>
      <c r="R1261" s="80" t="s">
        <v>489</v>
      </c>
      <c r="S1261" s="69"/>
    </row>
    <row r="1262" spans="1:19" hidden="1">
      <c r="A1262" s="72" t="s">
        <v>3085</v>
      </c>
      <c r="B1262" s="149" t="str">
        <f>IFERROR(VLOOKUP(Proc[[#This Row],[App]],Table2[],3,0),"open")</f>
        <v>ok</v>
      </c>
      <c r="C1262" s="72" t="s">
        <v>369</v>
      </c>
      <c r="D1262" t="s">
        <v>3141</v>
      </c>
      <c r="E1262" t="s">
        <v>3171</v>
      </c>
      <c r="F1262" s="117" t="s">
        <v>3171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LS</v>
      </c>
      <c r="L1262" s="69" t="s">
        <v>2563</v>
      </c>
      <c r="M1262" s="79">
        <v>45790.144409722219</v>
      </c>
      <c r="N1262" s="83">
        <v>45791</v>
      </c>
      <c r="O1262" s="83">
        <v>45791</v>
      </c>
      <c r="P1262" s="80" t="str">
        <f ca="1">IF(Proc[[#This Row],[DaysAgeing]]&gt;5,"yep","on track")</f>
        <v>on track</v>
      </c>
      <c r="Q1262" s="3">
        <f ca="1">IF(Proc[[#This Row],[DateClosed]]="",ABS(NETWORKDAYS(Proc[[#This Row],[DateOpened]],TODAY()))-1,ABS(NETWORKDAYS(Proc[[#This Row],[DateOpened]],Proc[[#This Row],[DateClosed]]))-1)</f>
        <v>1</v>
      </c>
      <c r="R1262" s="80" t="s">
        <v>489</v>
      </c>
      <c r="S1262" s="69"/>
    </row>
    <row r="1263" spans="1:19" hidden="1">
      <c r="A1263" s="72" t="s">
        <v>3085</v>
      </c>
      <c r="B1263" s="149" t="str">
        <f>IFERROR(VLOOKUP(Proc[[#This Row],[App]],Table2[],3,0),"open")</f>
        <v>ok</v>
      </c>
      <c r="C1263" s="72" t="s">
        <v>369</v>
      </c>
      <c r="D1263" t="s">
        <v>3142</v>
      </c>
      <c r="E1263" t="s">
        <v>3178</v>
      </c>
      <c r="F1263" s="117" t="s">
        <v>3178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LS</v>
      </c>
      <c r="L1263" s="69" t="s">
        <v>2563</v>
      </c>
      <c r="M1263" s="79">
        <v>45790.144409722219</v>
      </c>
      <c r="N1263" s="83">
        <v>45791</v>
      </c>
      <c r="O1263" s="83">
        <v>45791</v>
      </c>
      <c r="P1263" s="80" t="str">
        <f ca="1">IF(Proc[[#This Row],[DaysAgeing]]&gt;5,"yep","on track")</f>
        <v>on track</v>
      </c>
      <c r="Q1263" s="3">
        <f ca="1">IF(Proc[[#This Row],[DateClosed]]="",ABS(NETWORKDAYS(Proc[[#This Row],[DateOpened]],TODAY()))-1,ABS(NETWORKDAYS(Proc[[#This Row],[DateOpened]],Proc[[#This Row],[DateClosed]]))-1)</f>
        <v>1</v>
      </c>
      <c r="R1263" s="80" t="s">
        <v>489</v>
      </c>
      <c r="S1263" s="69"/>
    </row>
    <row r="1264" spans="1:19" hidden="1">
      <c r="A1264" s="72" t="s">
        <v>3085</v>
      </c>
      <c r="B1264" s="149" t="str">
        <f>IFERROR(VLOOKUP(Proc[[#This Row],[App]],Table2[],3,0),"open")</f>
        <v>ok</v>
      </c>
      <c r="C1264" s="72" t="s">
        <v>369</v>
      </c>
      <c r="D1264" t="s">
        <v>3143</v>
      </c>
      <c r="E1264" t="s">
        <v>3179</v>
      </c>
      <c r="F1264" s="117" t="s">
        <v>3179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LS</v>
      </c>
      <c r="L1264" s="69" t="s">
        <v>2563</v>
      </c>
      <c r="M1264" s="79">
        <v>45790.144409722219</v>
      </c>
      <c r="N1264" s="83">
        <v>45791</v>
      </c>
      <c r="O1264" s="83">
        <v>45791</v>
      </c>
      <c r="P1264" s="80" t="str">
        <f ca="1">IF(Proc[[#This Row],[DaysAgeing]]&gt;5,"yep","on track")</f>
        <v>on track</v>
      </c>
      <c r="Q1264" s="3">
        <f ca="1">IF(Proc[[#This Row],[DateClosed]]="",ABS(NETWORKDAYS(Proc[[#This Row],[DateOpened]],TODAY()))-1,ABS(NETWORKDAYS(Proc[[#This Row],[DateOpened]],Proc[[#This Row],[DateClosed]]))-1)</f>
        <v>1</v>
      </c>
      <c r="R1264" s="80" t="s">
        <v>489</v>
      </c>
      <c r="S1264" s="69"/>
    </row>
    <row r="1265" spans="1:19" hidden="1">
      <c r="A1265" s="72" t="s">
        <v>3085</v>
      </c>
      <c r="B1265" s="149" t="str">
        <f>IFERROR(VLOOKUP(Proc[[#This Row],[App]],Table2[],3,0),"open")</f>
        <v>ok</v>
      </c>
      <c r="C1265" s="72" t="s">
        <v>369</v>
      </c>
      <c r="D1265" t="s">
        <v>3144</v>
      </c>
      <c r="E1265" t="s">
        <v>3177</v>
      </c>
      <c r="F1265" s="117" t="s">
        <v>3177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LS</v>
      </c>
      <c r="L1265" s="69" t="s">
        <v>2563</v>
      </c>
      <c r="M1265" s="79">
        <v>45790.144409722219</v>
      </c>
      <c r="N1265" s="83">
        <v>45791</v>
      </c>
      <c r="O1265" s="83">
        <v>45791</v>
      </c>
      <c r="P1265" s="80" t="str">
        <f ca="1">IF(Proc[[#This Row],[DaysAgeing]]&gt;5,"yep","on track")</f>
        <v>on track</v>
      </c>
      <c r="Q1265" s="3">
        <f ca="1">IF(Proc[[#This Row],[DateClosed]]="",ABS(NETWORKDAYS(Proc[[#This Row],[DateOpened]],TODAY()))-1,ABS(NETWORKDAYS(Proc[[#This Row],[DateOpened]],Proc[[#This Row],[DateClosed]]))-1)</f>
        <v>1</v>
      </c>
      <c r="R1265" s="80" t="s">
        <v>489</v>
      </c>
      <c r="S1265" s="69"/>
    </row>
    <row r="1266" spans="1:19" hidden="1">
      <c r="A1266" s="72" t="s">
        <v>3085</v>
      </c>
      <c r="B1266" s="149" t="str">
        <f>IFERROR(VLOOKUP(Proc[[#This Row],[App]],Table2[],3,0),"open")</f>
        <v>ok</v>
      </c>
      <c r="C1266" s="72" t="s">
        <v>369</v>
      </c>
      <c r="D1266" t="s">
        <v>3145</v>
      </c>
      <c r="E1266" t="s">
        <v>3171</v>
      </c>
      <c r="F1266" s="117" t="s">
        <v>3171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LS</v>
      </c>
      <c r="L1266" s="69" t="s">
        <v>2563</v>
      </c>
      <c r="M1266" s="79">
        <v>45790.144409722219</v>
      </c>
      <c r="N1266" s="83">
        <v>45791</v>
      </c>
      <c r="O1266" s="83">
        <v>45791</v>
      </c>
      <c r="P1266" s="80" t="str">
        <f ca="1">IF(Proc[[#This Row],[DaysAgeing]]&gt;5,"yep","on track")</f>
        <v>on track</v>
      </c>
      <c r="Q1266" s="3">
        <f ca="1">IF(Proc[[#This Row],[DateClosed]]="",ABS(NETWORKDAYS(Proc[[#This Row],[DateOpened]],TODAY()))-1,ABS(NETWORKDAYS(Proc[[#This Row],[DateOpened]],Proc[[#This Row],[DateClosed]]))-1)</f>
        <v>1</v>
      </c>
      <c r="R1266" s="80" t="s">
        <v>489</v>
      </c>
      <c r="S1266" s="69"/>
    </row>
    <row r="1267" spans="1:19" hidden="1">
      <c r="A1267" s="72" t="s">
        <v>3085</v>
      </c>
      <c r="B1267" s="149" t="str">
        <f>IFERROR(VLOOKUP(Proc[[#This Row],[App]],Table2[],3,0),"open")</f>
        <v>ok</v>
      </c>
      <c r="C1267" s="72" t="s">
        <v>369</v>
      </c>
      <c r="D1267" t="s">
        <v>3146</v>
      </c>
      <c r="E1267" t="s">
        <v>3180</v>
      </c>
      <c r="F1267" s="117" t="s">
        <v>3180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LS</v>
      </c>
      <c r="L1267" s="69" t="s">
        <v>2563</v>
      </c>
      <c r="M1267" s="79">
        <v>45790.144409722219</v>
      </c>
      <c r="N1267" s="83">
        <v>45791</v>
      </c>
      <c r="O1267" s="83">
        <v>45791</v>
      </c>
      <c r="P1267" s="80" t="str">
        <f ca="1">IF(Proc[[#This Row],[DaysAgeing]]&gt;5,"yep","on track")</f>
        <v>on track</v>
      </c>
      <c r="Q1267" s="3">
        <f ca="1">IF(Proc[[#This Row],[DateClosed]]="",ABS(NETWORKDAYS(Proc[[#This Row],[DateOpened]],TODAY()))-1,ABS(NETWORKDAYS(Proc[[#This Row],[DateOpened]],Proc[[#This Row],[DateClosed]]))-1)</f>
        <v>1</v>
      </c>
      <c r="R1267" s="80" t="s">
        <v>489</v>
      </c>
      <c r="S1267" s="69"/>
    </row>
    <row r="1268" spans="1:19" hidden="1">
      <c r="A1268" s="72" t="s">
        <v>3085</v>
      </c>
      <c r="B1268" s="149" t="str">
        <f>IFERROR(VLOOKUP(Proc[[#This Row],[App]],Table2[],3,0),"open")</f>
        <v>ok</v>
      </c>
      <c r="C1268" s="72" t="s">
        <v>369</v>
      </c>
      <c r="D1268" t="s">
        <v>3147</v>
      </c>
      <c r="E1268" t="s">
        <v>3169</v>
      </c>
      <c r="F1268" s="117" t="s">
        <v>3169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LS</v>
      </c>
      <c r="L1268" s="69" t="s">
        <v>2563</v>
      </c>
      <c r="M1268" s="79">
        <v>45790.144409722219</v>
      </c>
      <c r="N1268" s="83">
        <v>45791</v>
      </c>
      <c r="O1268" s="83">
        <v>45791</v>
      </c>
      <c r="P1268" s="80" t="str">
        <f ca="1">IF(Proc[[#This Row],[DaysAgeing]]&gt;5,"yep","on track")</f>
        <v>on track</v>
      </c>
      <c r="Q1268" s="3">
        <f ca="1">IF(Proc[[#This Row],[DateClosed]]="",ABS(NETWORKDAYS(Proc[[#This Row],[DateOpened]],TODAY()))-1,ABS(NETWORKDAYS(Proc[[#This Row],[DateOpened]],Proc[[#This Row],[DateClosed]]))-1)</f>
        <v>1</v>
      </c>
      <c r="R1268" s="80" t="s">
        <v>489</v>
      </c>
      <c r="S1268" s="69"/>
    </row>
    <row r="1269" spans="1:19" hidden="1">
      <c r="A1269" s="72" t="s">
        <v>3085</v>
      </c>
      <c r="B1269" s="149" t="str">
        <f>IFERROR(VLOOKUP(Proc[[#This Row],[App]],Table2[],3,0),"open")</f>
        <v>ok</v>
      </c>
      <c r="C1269" s="72" t="s">
        <v>369</v>
      </c>
      <c r="D1269" t="s">
        <v>3148</v>
      </c>
      <c r="E1269" t="s">
        <v>3169</v>
      </c>
      <c r="F1269" s="117" t="s">
        <v>3169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LS</v>
      </c>
      <c r="L1269" s="69" t="s">
        <v>2563</v>
      </c>
      <c r="M1269" s="79">
        <v>45790.144409722219</v>
      </c>
      <c r="N1269" s="83">
        <v>45791</v>
      </c>
      <c r="O1269" s="83">
        <v>45791</v>
      </c>
      <c r="P1269" s="80" t="str">
        <f ca="1">IF(Proc[[#This Row],[DaysAgeing]]&gt;5,"yep","on track")</f>
        <v>on track</v>
      </c>
      <c r="Q1269" s="3">
        <f ca="1">IF(Proc[[#This Row],[DateClosed]]="",ABS(NETWORKDAYS(Proc[[#This Row],[DateOpened]],TODAY()))-1,ABS(NETWORKDAYS(Proc[[#This Row],[DateOpened]],Proc[[#This Row],[DateClosed]]))-1)</f>
        <v>1</v>
      </c>
      <c r="R1269" s="80" t="s">
        <v>489</v>
      </c>
      <c r="S1269" s="69"/>
    </row>
    <row r="1270" spans="1:19" hidden="1">
      <c r="A1270" s="72" t="s">
        <v>3085</v>
      </c>
      <c r="B1270" s="149" t="str">
        <f>IFERROR(VLOOKUP(Proc[[#This Row],[App]],Table2[],3,0),"open")</f>
        <v>ok</v>
      </c>
      <c r="C1270" s="72" t="s">
        <v>369</v>
      </c>
      <c r="D1270" t="s">
        <v>3149</v>
      </c>
      <c r="E1270" t="s">
        <v>3165</v>
      </c>
      <c r="F1270" s="117" t="s">
        <v>3165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LS</v>
      </c>
      <c r="L1270" s="69" t="s">
        <v>2563</v>
      </c>
      <c r="M1270" s="79">
        <v>45790.144409722219</v>
      </c>
      <c r="N1270" s="83">
        <v>45791</v>
      </c>
      <c r="O1270" s="83">
        <v>45791</v>
      </c>
      <c r="P1270" s="80" t="str">
        <f ca="1">IF(Proc[[#This Row],[DaysAgeing]]&gt;5,"yep","on track")</f>
        <v>on track</v>
      </c>
      <c r="Q1270" s="3">
        <f ca="1">IF(Proc[[#This Row],[DateClosed]]="",ABS(NETWORKDAYS(Proc[[#This Row],[DateOpened]],TODAY()))-1,ABS(NETWORKDAYS(Proc[[#This Row],[DateOpened]],Proc[[#This Row],[DateClosed]]))-1)</f>
        <v>1</v>
      </c>
      <c r="R1270" s="80" t="s">
        <v>489</v>
      </c>
      <c r="S1270" s="69"/>
    </row>
    <row r="1271" spans="1:19" hidden="1">
      <c r="A1271" s="72" t="s">
        <v>3085</v>
      </c>
      <c r="B1271" s="149" t="str">
        <f>IFERROR(VLOOKUP(Proc[[#This Row],[App]],Table2[],3,0),"open")</f>
        <v>ok</v>
      </c>
      <c r="C1271" s="72" t="s">
        <v>369</v>
      </c>
      <c r="D1271" t="s">
        <v>3150</v>
      </c>
      <c r="E1271" t="s">
        <v>3174</v>
      </c>
      <c r="F1271" s="117" t="s">
        <v>3174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LS</v>
      </c>
      <c r="L1271" s="69" t="s">
        <v>2563</v>
      </c>
      <c r="M1271" s="79">
        <v>45790.144409722219</v>
      </c>
      <c r="N1271" s="83">
        <v>45791</v>
      </c>
      <c r="O1271" s="83">
        <v>45791</v>
      </c>
      <c r="P1271" s="80" t="str">
        <f ca="1">IF(Proc[[#This Row],[DaysAgeing]]&gt;5,"yep","on track")</f>
        <v>on track</v>
      </c>
      <c r="Q1271" s="3">
        <f ca="1">IF(Proc[[#This Row],[DateClosed]]="",ABS(NETWORKDAYS(Proc[[#This Row],[DateOpened]],TODAY()))-1,ABS(NETWORKDAYS(Proc[[#This Row],[DateOpened]],Proc[[#This Row],[DateClosed]]))-1)</f>
        <v>1</v>
      </c>
      <c r="R1271" s="80" t="s">
        <v>489</v>
      </c>
      <c r="S1271" s="69"/>
    </row>
    <row r="1272" spans="1:19" hidden="1">
      <c r="A1272" s="72" t="s">
        <v>3085</v>
      </c>
      <c r="B1272" s="149" t="str">
        <f>IFERROR(VLOOKUP(Proc[[#This Row],[App]],Table2[],3,0),"open")</f>
        <v>ok</v>
      </c>
      <c r="C1272" s="72" t="s">
        <v>369</v>
      </c>
      <c r="D1272" t="s">
        <v>3151</v>
      </c>
      <c r="E1272" t="s">
        <v>3180</v>
      </c>
      <c r="F1272" s="117" t="s">
        <v>3180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LS</v>
      </c>
      <c r="L1272" s="69" t="s">
        <v>2563</v>
      </c>
      <c r="M1272" s="79">
        <v>45790.144409722219</v>
      </c>
      <c r="N1272" s="83">
        <v>45791</v>
      </c>
      <c r="O1272" s="83">
        <v>45791</v>
      </c>
      <c r="P1272" s="80" t="str">
        <f ca="1">IF(Proc[[#This Row],[DaysAgeing]]&gt;5,"yep","on track")</f>
        <v>on track</v>
      </c>
      <c r="Q1272" s="3">
        <f ca="1">IF(Proc[[#This Row],[DateClosed]]="",ABS(NETWORKDAYS(Proc[[#This Row],[DateOpened]],TODAY()))-1,ABS(NETWORKDAYS(Proc[[#This Row],[DateOpened]],Proc[[#This Row],[DateClosed]]))-1)</f>
        <v>1</v>
      </c>
      <c r="R1272" s="80" t="s">
        <v>489</v>
      </c>
      <c r="S1272" s="69"/>
    </row>
    <row r="1273" spans="1:19" hidden="1">
      <c r="A1273" s="72" t="s">
        <v>3085</v>
      </c>
      <c r="B1273" s="149" t="str">
        <f>IFERROR(VLOOKUP(Proc[[#This Row],[App]],Table2[],3,0),"open")</f>
        <v>ok</v>
      </c>
      <c r="C1273" s="72" t="s">
        <v>369</v>
      </c>
      <c r="D1273" t="s">
        <v>3152</v>
      </c>
      <c r="E1273" t="s">
        <v>3164</v>
      </c>
      <c r="F1273" s="117" t="s">
        <v>3164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LS</v>
      </c>
      <c r="L1273" s="69" t="s">
        <v>2563</v>
      </c>
      <c r="M1273" s="79">
        <v>45790.144409722219</v>
      </c>
      <c r="N1273" s="83">
        <v>45791</v>
      </c>
      <c r="O1273" s="83">
        <v>45791</v>
      </c>
      <c r="P1273" s="80" t="str">
        <f ca="1">IF(Proc[[#This Row],[DaysAgeing]]&gt;5,"yep","on track")</f>
        <v>on track</v>
      </c>
      <c r="Q1273" s="3">
        <f ca="1">IF(Proc[[#This Row],[DateClosed]]="",ABS(NETWORKDAYS(Proc[[#This Row],[DateOpened]],TODAY()))-1,ABS(NETWORKDAYS(Proc[[#This Row],[DateOpened]],Proc[[#This Row],[DateClosed]]))-1)</f>
        <v>1</v>
      </c>
      <c r="R1273" s="80" t="s">
        <v>489</v>
      </c>
      <c r="S1273" s="69"/>
    </row>
    <row r="1274" spans="1:19" hidden="1">
      <c r="A1274" s="72" t="s">
        <v>3085</v>
      </c>
      <c r="B1274" s="149" t="str">
        <f>IFERROR(VLOOKUP(Proc[[#This Row],[App]],Table2[],3,0),"open")</f>
        <v>ok</v>
      </c>
      <c r="C1274" s="72" t="s">
        <v>369</v>
      </c>
      <c r="D1274" t="s">
        <v>3153</v>
      </c>
      <c r="E1274" t="s">
        <v>3166</v>
      </c>
      <c r="F1274" s="117" t="s">
        <v>3166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LS</v>
      </c>
      <c r="L1274" s="69" t="s">
        <v>2563</v>
      </c>
      <c r="M1274" s="79">
        <v>45790.144409722219</v>
      </c>
      <c r="N1274" s="83">
        <v>45791</v>
      </c>
      <c r="O1274" s="83">
        <v>45791</v>
      </c>
      <c r="P1274" s="80" t="str">
        <f ca="1">IF(Proc[[#This Row],[DaysAgeing]]&gt;5,"yep","on track")</f>
        <v>on track</v>
      </c>
      <c r="Q1274" s="3">
        <f ca="1">IF(Proc[[#This Row],[DateClosed]]="",ABS(NETWORKDAYS(Proc[[#This Row],[DateOpened]],TODAY()))-1,ABS(NETWORKDAYS(Proc[[#This Row],[DateOpened]],Proc[[#This Row],[DateClosed]]))-1)</f>
        <v>1</v>
      </c>
      <c r="R1274" s="80" t="s">
        <v>489</v>
      </c>
      <c r="S1274" s="69"/>
    </row>
    <row r="1275" spans="1:19" hidden="1">
      <c r="A1275" s="72" t="s">
        <v>3085</v>
      </c>
      <c r="B1275" s="149" t="str">
        <f>IFERROR(VLOOKUP(Proc[[#This Row],[App]],Table2[],3,0),"open")</f>
        <v>ok</v>
      </c>
      <c r="C1275" s="72" t="s">
        <v>369</v>
      </c>
      <c r="D1275" t="s">
        <v>3154</v>
      </c>
      <c r="E1275" t="s">
        <v>3167</v>
      </c>
      <c r="F1275" s="117" t="s">
        <v>3167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LS</v>
      </c>
      <c r="L1275" s="69" t="s">
        <v>2563</v>
      </c>
      <c r="M1275" s="79">
        <v>45790.144409722219</v>
      </c>
      <c r="N1275" s="83">
        <v>45791</v>
      </c>
      <c r="O1275" s="83">
        <v>45791</v>
      </c>
      <c r="P1275" s="80" t="str">
        <f ca="1">IF(Proc[[#This Row],[DaysAgeing]]&gt;5,"yep","on track")</f>
        <v>on track</v>
      </c>
      <c r="Q1275" s="3">
        <f ca="1">IF(Proc[[#This Row],[DateClosed]]="",ABS(NETWORKDAYS(Proc[[#This Row],[DateOpened]],TODAY()))-1,ABS(NETWORKDAYS(Proc[[#This Row],[DateOpened]],Proc[[#This Row],[DateClosed]]))-1)</f>
        <v>1</v>
      </c>
      <c r="R1275" s="80" t="s">
        <v>489</v>
      </c>
      <c r="S1275" s="69"/>
    </row>
    <row r="1276" spans="1:19" hidden="1">
      <c r="A1276" s="72" t="s">
        <v>3085</v>
      </c>
      <c r="B1276" s="149" t="str">
        <f>IFERROR(VLOOKUP(Proc[[#This Row],[App]],Table2[],3,0),"open")</f>
        <v>ok</v>
      </c>
      <c r="C1276" s="72" t="s">
        <v>369</v>
      </c>
      <c r="D1276" t="s">
        <v>3155</v>
      </c>
      <c r="E1276" t="s">
        <v>3171</v>
      </c>
      <c r="F1276" s="117" t="s">
        <v>3171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LS</v>
      </c>
      <c r="L1276" s="69" t="s">
        <v>2563</v>
      </c>
      <c r="M1276" s="79">
        <v>45790.144409722219</v>
      </c>
      <c r="N1276" s="83">
        <v>45791</v>
      </c>
      <c r="O1276" s="83">
        <v>45791</v>
      </c>
      <c r="P1276" s="80" t="str">
        <f ca="1">IF(Proc[[#This Row],[DaysAgeing]]&gt;5,"yep","on track")</f>
        <v>on track</v>
      </c>
      <c r="Q1276" s="3">
        <f ca="1">IF(Proc[[#This Row],[DateClosed]]="",ABS(NETWORKDAYS(Proc[[#This Row],[DateOpened]],TODAY()))-1,ABS(NETWORKDAYS(Proc[[#This Row],[DateOpened]],Proc[[#This Row],[DateClosed]]))-1)</f>
        <v>1</v>
      </c>
      <c r="R1276" s="80" t="s">
        <v>489</v>
      </c>
      <c r="S1276" s="69"/>
    </row>
    <row r="1277" spans="1:19" hidden="1">
      <c r="A1277" s="72" t="s">
        <v>3085</v>
      </c>
      <c r="B1277" s="149" t="str">
        <f>IFERROR(VLOOKUP(Proc[[#This Row],[App]],Table2[],3,0),"open")</f>
        <v>ok</v>
      </c>
      <c r="C1277" s="72" t="s">
        <v>369</v>
      </c>
      <c r="D1277" t="s">
        <v>3156</v>
      </c>
      <c r="E1277" t="s">
        <v>3167</v>
      </c>
      <c r="F1277" s="117" t="s">
        <v>3167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LS</v>
      </c>
      <c r="L1277" s="69" t="s">
        <v>2563</v>
      </c>
      <c r="M1277" s="79">
        <v>45790.144409722219</v>
      </c>
      <c r="N1277" s="83">
        <v>45791</v>
      </c>
      <c r="O1277" s="83">
        <v>45791</v>
      </c>
      <c r="P1277" s="80" t="str">
        <f ca="1">IF(Proc[[#This Row],[DaysAgeing]]&gt;5,"yep","on track")</f>
        <v>on track</v>
      </c>
      <c r="Q1277" s="3">
        <f ca="1">IF(Proc[[#This Row],[DateClosed]]="",ABS(NETWORKDAYS(Proc[[#This Row],[DateOpened]],TODAY()))-1,ABS(NETWORKDAYS(Proc[[#This Row],[DateOpened]],Proc[[#This Row],[DateClosed]]))-1)</f>
        <v>1</v>
      </c>
      <c r="R1277" s="80" t="s">
        <v>489</v>
      </c>
      <c r="S1277" s="69"/>
    </row>
    <row r="1278" spans="1:19" hidden="1">
      <c r="A1278" s="72" t="s">
        <v>3085</v>
      </c>
      <c r="B1278" s="149" t="str">
        <f>IFERROR(VLOOKUP(Proc[[#This Row],[App]],Table2[],3,0),"open")</f>
        <v>ok</v>
      </c>
      <c r="C1278" s="72" t="s">
        <v>369</v>
      </c>
      <c r="D1278" t="s">
        <v>3157</v>
      </c>
      <c r="E1278" t="s">
        <v>3171</v>
      </c>
      <c r="F1278" s="117" t="s">
        <v>3171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LS</v>
      </c>
      <c r="L1278" s="69" t="s">
        <v>2563</v>
      </c>
      <c r="M1278" s="79">
        <v>45790.144409722219</v>
      </c>
      <c r="N1278" s="83">
        <v>45791</v>
      </c>
      <c r="O1278" s="83">
        <v>45791</v>
      </c>
      <c r="P1278" s="80" t="str">
        <f ca="1">IF(Proc[[#This Row],[DaysAgeing]]&gt;5,"yep","on track")</f>
        <v>on track</v>
      </c>
      <c r="Q1278" s="3">
        <f ca="1">IF(Proc[[#This Row],[DateClosed]]="",ABS(NETWORKDAYS(Proc[[#This Row],[DateOpened]],TODAY()))-1,ABS(NETWORKDAYS(Proc[[#This Row],[DateOpened]],Proc[[#This Row],[DateClosed]]))-1)</f>
        <v>1</v>
      </c>
      <c r="R1278" s="80" t="s">
        <v>489</v>
      </c>
      <c r="S1278" s="69"/>
    </row>
    <row r="1279" spans="1:19" hidden="1">
      <c r="A1279" s="72" t="s">
        <v>3085</v>
      </c>
      <c r="B1279" s="149" t="str">
        <f>IFERROR(VLOOKUP(Proc[[#This Row],[App]],Table2[],3,0),"open")</f>
        <v>ok</v>
      </c>
      <c r="C1279" s="72" t="s">
        <v>369</v>
      </c>
      <c r="D1279" t="s">
        <v>3158</v>
      </c>
      <c r="E1279" t="s">
        <v>3170</v>
      </c>
      <c r="F1279" s="117" t="s">
        <v>3170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LS</v>
      </c>
      <c r="L1279" s="69" t="s">
        <v>2563</v>
      </c>
      <c r="M1279" s="79">
        <v>45790.144409722219</v>
      </c>
      <c r="N1279" s="83">
        <v>45791</v>
      </c>
      <c r="O1279" s="83">
        <v>45791</v>
      </c>
      <c r="P1279" s="80" t="str">
        <f ca="1">IF(Proc[[#This Row],[DaysAgeing]]&gt;5,"yep","on track")</f>
        <v>on track</v>
      </c>
      <c r="Q1279" s="3">
        <f ca="1">IF(Proc[[#This Row],[DateClosed]]="",ABS(NETWORKDAYS(Proc[[#This Row],[DateOpened]],TODAY()))-1,ABS(NETWORKDAYS(Proc[[#This Row],[DateOpened]],Proc[[#This Row],[DateClosed]]))-1)</f>
        <v>1</v>
      </c>
      <c r="R1279" s="80" t="s">
        <v>489</v>
      </c>
      <c r="S1279" s="69"/>
    </row>
    <row r="1280" spans="1:19" hidden="1">
      <c r="A1280" s="72" t="s">
        <v>3085</v>
      </c>
      <c r="B1280" s="149" t="str">
        <f>IFERROR(VLOOKUP(Proc[[#This Row],[App]],Table2[],3,0),"open")</f>
        <v>ok</v>
      </c>
      <c r="C1280" s="72" t="s">
        <v>369</v>
      </c>
      <c r="D1280" t="s">
        <v>3159</v>
      </c>
      <c r="E1280" t="s">
        <v>3175</v>
      </c>
      <c r="F1280" s="117" t="s">
        <v>3175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LS</v>
      </c>
      <c r="L1280" s="69" t="s">
        <v>2563</v>
      </c>
      <c r="M1280" s="79">
        <v>45790.144409722219</v>
      </c>
      <c r="N1280" s="83">
        <v>45791</v>
      </c>
      <c r="O1280" s="83">
        <v>45791</v>
      </c>
      <c r="P1280" s="80" t="str">
        <f ca="1">IF(Proc[[#This Row],[DaysAgeing]]&gt;5,"yep","on track")</f>
        <v>on track</v>
      </c>
      <c r="Q1280" s="3">
        <f ca="1">IF(Proc[[#This Row],[DateClosed]]="",ABS(NETWORKDAYS(Proc[[#This Row],[DateOpened]],TODAY()))-1,ABS(NETWORKDAYS(Proc[[#This Row],[DateOpened]],Proc[[#This Row],[DateClosed]]))-1)</f>
        <v>1</v>
      </c>
      <c r="R1280" s="80" t="s">
        <v>489</v>
      </c>
      <c r="S1280" s="69"/>
    </row>
    <row r="1281" spans="1:19" hidden="1">
      <c r="A1281" s="72" t="s">
        <v>3085</v>
      </c>
      <c r="B1281" s="149" t="str">
        <f>IFERROR(VLOOKUP(Proc[[#This Row],[App]],Table2[],3,0),"open")</f>
        <v>ok</v>
      </c>
      <c r="C1281" s="72" t="s">
        <v>369</v>
      </c>
      <c r="D1281" t="s">
        <v>3160</v>
      </c>
      <c r="E1281" t="s">
        <v>3173</v>
      </c>
      <c r="F1281" s="117" t="s">
        <v>3173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LS</v>
      </c>
      <c r="L1281" s="69" t="s">
        <v>2563</v>
      </c>
      <c r="M1281" s="79">
        <v>45790.144409722219</v>
      </c>
      <c r="N1281" s="83">
        <v>45791</v>
      </c>
      <c r="O1281" s="83">
        <v>45791</v>
      </c>
      <c r="P1281" s="80" t="str">
        <f ca="1">IF(Proc[[#This Row],[DaysAgeing]]&gt;5,"yep","on track")</f>
        <v>on track</v>
      </c>
      <c r="Q1281" s="3">
        <f ca="1">IF(Proc[[#This Row],[DateClosed]]="",ABS(NETWORKDAYS(Proc[[#This Row],[DateOpened]],TODAY()))-1,ABS(NETWORKDAYS(Proc[[#This Row],[DateOpened]],Proc[[#This Row],[DateClosed]]))-1)</f>
        <v>1</v>
      </c>
      <c r="R1281" s="80" t="s">
        <v>489</v>
      </c>
      <c r="S1281" s="69"/>
    </row>
    <row r="1282" spans="1:19" hidden="1">
      <c r="A1282" s="72" t="s">
        <v>3085</v>
      </c>
      <c r="B1282" s="149" t="str">
        <f>IFERROR(VLOOKUP(Proc[[#This Row],[App]],Table2[],3,0),"open")</f>
        <v>ok</v>
      </c>
      <c r="C1282" s="72" t="s">
        <v>369</v>
      </c>
      <c r="D1282" t="s">
        <v>3161</v>
      </c>
      <c r="E1282" t="s">
        <v>3164</v>
      </c>
      <c r="F1282" s="117" t="s">
        <v>3164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LS</v>
      </c>
      <c r="L1282" s="69" t="s">
        <v>2563</v>
      </c>
      <c r="M1282" s="79">
        <v>45790.144409722219</v>
      </c>
      <c r="N1282" s="83">
        <v>45791</v>
      </c>
      <c r="O1282" s="83">
        <v>45791</v>
      </c>
      <c r="P1282" s="80" t="str">
        <f ca="1">IF(Proc[[#This Row],[DaysAgeing]]&gt;5,"yep","on track")</f>
        <v>on track</v>
      </c>
      <c r="Q1282" s="3">
        <f ca="1">IF(Proc[[#This Row],[DateClosed]]="",ABS(NETWORKDAYS(Proc[[#This Row],[DateOpened]],TODAY()))-1,ABS(NETWORKDAYS(Proc[[#This Row],[DateOpened]],Proc[[#This Row],[DateClosed]]))-1)</f>
        <v>1</v>
      </c>
      <c r="R1282" s="80" t="s">
        <v>489</v>
      </c>
      <c r="S1282" s="69"/>
    </row>
    <row r="1283" spans="1:19" hidden="1">
      <c r="A1283" s="72" t="s">
        <v>3085</v>
      </c>
      <c r="B1283" s="149" t="str">
        <f>IFERROR(VLOOKUP(Proc[[#This Row],[App]],Table2[],3,0),"open")</f>
        <v>ok</v>
      </c>
      <c r="C1283" s="72" t="s">
        <v>369</v>
      </c>
      <c r="D1283" t="s">
        <v>3162</v>
      </c>
      <c r="E1283" t="s">
        <v>3164</v>
      </c>
      <c r="F1283" s="117" t="s">
        <v>3164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LS</v>
      </c>
      <c r="L1283" s="69" t="s">
        <v>2563</v>
      </c>
      <c r="M1283" s="79">
        <v>45790.144409722219</v>
      </c>
      <c r="N1283" s="83">
        <v>45791</v>
      </c>
      <c r="O1283" s="83">
        <v>45791</v>
      </c>
      <c r="P1283" s="80" t="str">
        <f ca="1">IF(Proc[[#This Row],[DaysAgeing]]&gt;5,"yep","on track")</f>
        <v>on track</v>
      </c>
      <c r="Q1283" s="3">
        <f ca="1">IF(Proc[[#This Row],[DateClosed]]="",ABS(NETWORKDAYS(Proc[[#This Row],[DateOpened]],TODAY()))-1,ABS(NETWORKDAYS(Proc[[#This Row],[DateOpened]],Proc[[#This Row],[DateClosed]]))-1)</f>
        <v>1</v>
      </c>
      <c r="R1283" s="80" t="s">
        <v>489</v>
      </c>
      <c r="S1283" s="69"/>
    </row>
    <row r="1284" spans="1:19" hidden="1">
      <c r="A1284" s="72" t="s">
        <v>3085</v>
      </c>
      <c r="B1284" s="149" t="str">
        <f>IFERROR(VLOOKUP(Proc[[#This Row],[App]],Table2[],3,0),"open")</f>
        <v>ok</v>
      </c>
      <c r="C1284" s="72" t="s">
        <v>377</v>
      </c>
      <c r="D1284" t="s">
        <v>3163</v>
      </c>
      <c r="E1284" t="s">
        <v>3164</v>
      </c>
      <c r="F1284" s="103" t="s">
        <v>3164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LS</v>
      </c>
      <c r="L1284" s="69" t="s">
        <v>2563</v>
      </c>
      <c r="M1284" s="79">
        <v>45790.144409722219</v>
      </c>
      <c r="N1284" s="79"/>
      <c r="O1284" s="79">
        <v>45791</v>
      </c>
      <c r="P1284" s="80" t="str">
        <f ca="1">IF(Proc[[#This Row],[DaysAgeing]]&gt;5,"yep","on track")</f>
        <v>on track</v>
      </c>
      <c r="Q1284" s="3">
        <f ca="1">IF(Proc[[#This Row],[DateClosed]]="",ABS(NETWORKDAYS(Proc[[#This Row],[DateOpened]],TODAY()))-1,ABS(NETWORKDAYS(Proc[[#This Row],[DateOpened]],Proc[[#This Row],[DateClosed]]))-1)</f>
        <v>1</v>
      </c>
      <c r="R1284" s="80" t="s">
        <v>489</v>
      </c>
      <c r="S1284" s="94" t="e">
        <f>VLOOKUP(Proc[[#This Row],[Obj]],#REF!,2,0)</f>
        <v>#REF!</v>
      </c>
    </row>
    <row r="1285" spans="1:19" hidden="1">
      <c r="A1285" t="s">
        <v>3182</v>
      </c>
      <c r="B1285" s="149" t="str">
        <f>IFERROR(VLOOKUP(Proc[[#This Row],[App]],Table2[],3,0),"open")</f>
        <v>ok</v>
      </c>
      <c r="C1285" t="s">
        <v>369</v>
      </c>
      <c r="D1285" t="s">
        <v>3183</v>
      </c>
      <c r="E1285" t="s">
        <v>3185</v>
      </c>
      <c r="F1285" s="117" t="s">
        <v>3185</v>
      </c>
      <c r="G1285" s="72" t="s">
        <v>406</v>
      </c>
      <c r="H1285" s="69" t="str">
        <f>IF(Proc[[#This Row],[type]]="LFF (MDG-F)",MID(Proc[[#This Row],[Obj]],13,10),"")</f>
        <v>2123GM1021</v>
      </c>
      <c r="I1285" t="s">
        <v>1198</v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MGF</v>
      </c>
      <c r="L1285" s="69" t="s">
        <v>2563</v>
      </c>
      <c r="M1285" s="79">
        <v>45790.361018518517</v>
      </c>
      <c r="N1285" s="79">
        <v>45790</v>
      </c>
      <c r="O1285" s="83">
        <v>45791</v>
      </c>
      <c r="P1285" s="80" t="str">
        <f ca="1">IF(Proc[[#This Row],[DaysAgeing]]&gt;5,"yep","on track")</f>
        <v>on track</v>
      </c>
      <c r="Q1285" s="3">
        <f ca="1">IF(Proc[[#This Row],[DateClosed]]="",ABS(NETWORKDAYS(Proc[[#This Row],[DateOpened]],TODAY()))-1,ABS(NETWORKDAYS(Proc[[#This Row],[DateOpened]],Proc[[#This Row],[DateClosed]]))-1)</f>
        <v>1</v>
      </c>
      <c r="R1285" s="80" t="s">
        <v>515</v>
      </c>
      <c r="S1285" s="69"/>
    </row>
    <row r="1286" spans="1:19" hidden="1">
      <c r="A1286" s="72" t="s">
        <v>3182</v>
      </c>
      <c r="B1286" s="149" t="str">
        <f>IFERROR(VLOOKUP(Proc[[#This Row],[App]],Table2[],3,0),"open")</f>
        <v>ok</v>
      </c>
      <c r="C1286" s="84" t="s">
        <v>369</v>
      </c>
      <c r="D1286" t="s">
        <v>3184</v>
      </c>
      <c r="E1286" t="s">
        <v>3186</v>
      </c>
      <c r="F1286" s="117" t="s">
        <v>3186</v>
      </c>
      <c r="G1286" s="72" t="s">
        <v>406</v>
      </c>
      <c r="H1286" s="69" t="str">
        <f>IF(Proc[[#This Row],[type]]="LFF (MDG-F)",MID(Proc[[#This Row],[Obj]],13,10),"")</f>
        <v>2123GMB010</v>
      </c>
      <c r="I1286" t="s">
        <v>3187</v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MGF</v>
      </c>
      <c r="L1286" s="69" t="s">
        <v>2563</v>
      </c>
      <c r="M1286" s="79">
        <v>45790.361018518517</v>
      </c>
      <c r="N1286" s="83">
        <v>45791</v>
      </c>
      <c r="O1286" s="83">
        <v>45791</v>
      </c>
      <c r="P1286" s="80" t="str">
        <f ca="1">IF(Proc[[#This Row],[DaysAgeing]]&gt;5,"yep","on track")</f>
        <v>on track</v>
      </c>
      <c r="Q1286" s="3">
        <f ca="1">IF(Proc[[#This Row],[DateClosed]]="",ABS(NETWORKDAYS(Proc[[#This Row],[DateOpened]],TODAY()))-1,ABS(NETWORKDAYS(Proc[[#This Row],[DateOpened]],Proc[[#This Row],[DateClosed]]))-1)</f>
        <v>1</v>
      </c>
      <c r="R1286" s="80" t="s">
        <v>515</v>
      </c>
      <c r="S1286" s="69"/>
    </row>
    <row r="1287" spans="1:19" hidden="1">
      <c r="A1287" t="s">
        <v>3188</v>
      </c>
      <c r="B1287" s="149" t="str">
        <f>IFERROR(VLOOKUP(Proc[[#This Row],[App]],Table2[],3,0),"open")</f>
        <v>ok</v>
      </c>
      <c r="C1287" s="84" t="s">
        <v>369</v>
      </c>
      <c r="D1287" s="82" t="s">
        <v>3189</v>
      </c>
      <c r="E1287" t="s">
        <v>1514</v>
      </c>
      <c r="F1287" s="117" t="s">
        <v>1514</v>
      </c>
      <c r="G1287" s="72" t="s">
        <v>406</v>
      </c>
      <c r="H1287" s="69" t="str">
        <f>IF(Proc[[#This Row],[type]]="LFF (MDG-F)",MID(Proc[[#This Row],[Obj]],13,10),"")</f>
        <v>KE50C0FF10</v>
      </c>
      <c r="I1287" t="s">
        <v>3190</v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LS</v>
      </c>
      <c r="L1287" s="69" t="s">
        <v>2563</v>
      </c>
      <c r="M1287" s="79">
        <v>45790.424861111111</v>
      </c>
      <c r="N1287" s="83">
        <v>45791</v>
      </c>
      <c r="O1287" s="83">
        <v>45791</v>
      </c>
      <c r="P1287" s="80" t="str">
        <f ca="1">IF(Proc[[#This Row],[DaysAgeing]]&gt;5,"yep","on track")</f>
        <v>on track</v>
      </c>
      <c r="Q1287" s="3">
        <f ca="1">IF(Proc[[#This Row],[DateClosed]]="",ABS(NETWORKDAYS(Proc[[#This Row],[DateOpened]],TODAY()))-1,ABS(NETWORKDAYS(Proc[[#This Row],[DateOpened]],Proc[[#This Row],[DateClosed]]))-1)</f>
        <v>1</v>
      </c>
      <c r="R1287" s="80" t="s">
        <v>489</v>
      </c>
      <c r="S1287" s="69"/>
    </row>
    <row r="1288" spans="1:19" hidden="1">
      <c r="A1288" t="s">
        <v>3191</v>
      </c>
      <c r="B1288" s="149" t="str">
        <f>IFERROR(VLOOKUP(Proc[[#This Row],[App]],Table2[],3,0),"open")</f>
        <v>ok</v>
      </c>
      <c r="C1288" s="84" t="s">
        <v>369</v>
      </c>
      <c r="D1288" t="s">
        <v>2447</v>
      </c>
      <c r="E1288" s="84" t="s">
        <v>2458</v>
      </c>
      <c r="F1288" s="117" t="s">
        <v>2458</v>
      </c>
      <c r="G1288" t="s">
        <v>406</v>
      </c>
      <c r="H1288" s="69" t="str">
        <f>IF(Proc[[#This Row],[type]]="LFF (MDG-F)",MID(Proc[[#This Row],[Obj]],13,10),"")</f>
        <v>2148TASA01</v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LS</v>
      </c>
      <c r="L1288" s="85" t="s">
        <v>2563</v>
      </c>
      <c r="M1288" s="80">
        <v>45790.424861111111</v>
      </c>
      <c r="N1288" s="83"/>
      <c r="O1288" s="83"/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147</v>
      </c>
      <c r="R1288" s="80" t="s">
        <v>489</v>
      </c>
      <c r="S1288" s="69"/>
    </row>
    <row r="1289" spans="1:19" hidden="1">
      <c r="A1289" s="72" t="s">
        <v>3191</v>
      </c>
      <c r="B1289" s="149" t="str">
        <f>IFERROR(VLOOKUP(Proc[[#This Row],[App]],Table2[],3,0),"open")</f>
        <v>ok</v>
      </c>
      <c r="C1289" s="84" t="s">
        <v>369</v>
      </c>
      <c r="D1289" t="s">
        <v>2448</v>
      </c>
      <c r="E1289" s="84" t="s">
        <v>2458</v>
      </c>
      <c r="F1289" s="117" t="s">
        <v>2458</v>
      </c>
      <c r="G1289" s="84" t="s">
        <v>406</v>
      </c>
      <c r="H1289" s="69" t="str">
        <f>IF(Proc[[#This Row],[type]]="LFF (MDG-F)",MID(Proc[[#This Row],[Obj]],13,10),"")</f>
        <v>2148TASA99</v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LS</v>
      </c>
      <c r="L1289" s="85" t="s">
        <v>2563</v>
      </c>
      <c r="M1289" s="80">
        <v>45790.424861111111</v>
      </c>
      <c r="N1289" s="83"/>
      <c r="O1289" s="83"/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147</v>
      </c>
      <c r="R1289" s="80" t="s">
        <v>489</v>
      </c>
      <c r="S1289" s="69"/>
    </row>
    <row r="1290" spans="1:19" hidden="1">
      <c r="A1290" s="72" t="s">
        <v>3191</v>
      </c>
      <c r="B1290" s="149" t="str">
        <f>IFERROR(VLOOKUP(Proc[[#This Row],[App]],Table2[],3,0),"open")</f>
        <v>ok</v>
      </c>
      <c r="C1290" s="84" t="s">
        <v>369</v>
      </c>
      <c r="D1290" t="s">
        <v>2449</v>
      </c>
      <c r="E1290" s="84" t="s">
        <v>2458</v>
      </c>
      <c r="F1290" s="117" t="s">
        <v>2458</v>
      </c>
      <c r="G1290" s="84" t="s">
        <v>406</v>
      </c>
      <c r="H1290" s="69" t="str">
        <f>IF(Proc[[#This Row],[type]]="LFF (MDG-F)",MID(Proc[[#This Row],[Obj]],13,10),"")</f>
        <v>2148TASB00</v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LS</v>
      </c>
      <c r="L1290" s="85" t="s">
        <v>2563</v>
      </c>
      <c r="M1290" s="80">
        <v>45790.424861111111</v>
      </c>
      <c r="N1290" s="83"/>
      <c r="O1290" s="83"/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147</v>
      </c>
      <c r="R1290" s="80" t="s">
        <v>489</v>
      </c>
      <c r="S1290" s="69"/>
    </row>
    <row r="1291" spans="1:19" hidden="1">
      <c r="A1291" s="72" t="s">
        <v>3191</v>
      </c>
      <c r="B1291" s="149" t="str">
        <f>IFERROR(VLOOKUP(Proc[[#This Row],[App]],Table2[],3,0),"open")</f>
        <v>ok</v>
      </c>
      <c r="C1291" s="84" t="s">
        <v>369</v>
      </c>
      <c r="D1291" t="s">
        <v>2450</v>
      </c>
      <c r="E1291" s="84" t="s">
        <v>2458</v>
      </c>
      <c r="F1291" s="117" t="s">
        <v>2458</v>
      </c>
      <c r="G1291" s="84" t="s">
        <v>406</v>
      </c>
      <c r="H1291" s="69" t="str">
        <f>IF(Proc[[#This Row],[type]]="LFF (MDG-F)",MID(Proc[[#This Row],[Obj]],13,10),"")</f>
        <v>2148TASB01</v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LS</v>
      </c>
      <c r="L1291" s="85" t="s">
        <v>2563</v>
      </c>
      <c r="M1291" s="80">
        <v>45790.424861111111</v>
      </c>
      <c r="N1291" s="83"/>
      <c r="O1291" s="83"/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147</v>
      </c>
      <c r="R1291" s="80" t="s">
        <v>489</v>
      </c>
      <c r="S1291" s="69"/>
    </row>
    <row r="1292" spans="1:19" hidden="1">
      <c r="A1292" s="72" t="s">
        <v>3191</v>
      </c>
      <c r="B1292" s="149" t="str">
        <f>IFERROR(VLOOKUP(Proc[[#This Row],[App]],Table2[],3,0),"open")</f>
        <v>ok</v>
      </c>
      <c r="C1292" s="84" t="s">
        <v>369</v>
      </c>
      <c r="D1292" t="s">
        <v>2451</v>
      </c>
      <c r="E1292" s="84" t="s">
        <v>2458</v>
      </c>
      <c r="F1292" s="117" t="s">
        <v>2458</v>
      </c>
      <c r="G1292" s="84" t="s">
        <v>406</v>
      </c>
      <c r="H1292" s="69" t="str">
        <f>IF(Proc[[#This Row],[type]]="LFF (MDG-F)",MID(Proc[[#This Row],[Obj]],13,10),"")</f>
        <v>2148TASB99</v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LS</v>
      </c>
      <c r="L1292" s="85" t="s">
        <v>2563</v>
      </c>
      <c r="M1292" s="80">
        <v>45790.424861111111</v>
      </c>
      <c r="N1292" s="83"/>
      <c r="O1292" s="83"/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147</v>
      </c>
      <c r="R1292" s="80" t="s">
        <v>489</v>
      </c>
      <c r="S1292" s="69"/>
    </row>
    <row r="1293" spans="1:19" hidden="1">
      <c r="A1293" s="72" t="s">
        <v>3191</v>
      </c>
      <c r="B1293" s="149" t="str">
        <f>IFERROR(VLOOKUP(Proc[[#This Row],[App]],Table2[],3,0),"open")</f>
        <v>ok</v>
      </c>
      <c r="C1293" s="84" t="s">
        <v>369</v>
      </c>
      <c r="D1293" t="s">
        <v>2452</v>
      </c>
      <c r="E1293" s="84" t="s">
        <v>2458</v>
      </c>
      <c r="F1293" s="117" t="s">
        <v>2458</v>
      </c>
      <c r="G1293" s="84" t="s">
        <v>406</v>
      </c>
      <c r="H1293" s="69" t="str">
        <f>IF(Proc[[#This Row],[type]]="LFF (MDG-F)",MID(Proc[[#This Row],[Obj]],13,10),"")</f>
        <v>2148TBSZ20</v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LS</v>
      </c>
      <c r="L1293" s="85" t="s">
        <v>2563</v>
      </c>
      <c r="M1293" s="80">
        <v>45790.424861111111</v>
      </c>
      <c r="N1293" s="83"/>
      <c r="O1293" s="83"/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147</v>
      </c>
      <c r="R1293" s="80" t="s">
        <v>489</v>
      </c>
      <c r="S1293" s="69"/>
    </row>
    <row r="1294" spans="1:19" hidden="1">
      <c r="A1294" s="72" t="s">
        <v>3191</v>
      </c>
      <c r="B1294" s="149" t="str">
        <f>IFERROR(VLOOKUP(Proc[[#This Row],[App]],Table2[],3,0),"open")</f>
        <v>ok</v>
      </c>
      <c r="C1294" s="84" t="s">
        <v>369</v>
      </c>
      <c r="D1294" t="s">
        <v>2453</v>
      </c>
      <c r="E1294" s="84" t="s">
        <v>2458</v>
      </c>
      <c r="F1294" s="117" t="s">
        <v>2458</v>
      </c>
      <c r="G1294" s="84" t="s">
        <v>406</v>
      </c>
      <c r="H1294" s="69" t="str">
        <f>IF(Proc[[#This Row],[type]]="LFF (MDG-F)",MID(Proc[[#This Row],[Obj]],13,10),"")</f>
        <v>2148TBSZ21</v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LS</v>
      </c>
      <c r="L1294" s="85" t="s">
        <v>2563</v>
      </c>
      <c r="M1294" s="80">
        <v>45790.424861111111</v>
      </c>
      <c r="N1294" s="83"/>
      <c r="O1294" s="83"/>
      <c r="P1294" s="80" t="str">
        <f ca="1">IF(Proc[[#This Row],[DaysAgeing]]&gt;5,"yep","on track")</f>
        <v>yep</v>
      </c>
      <c r="Q1294" s="3">
        <f ca="1">IF(Proc[[#This Row],[DateClosed]]="",ABS(NETWORKDAYS(Proc[[#This Row],[DateOpened]],TODAY()))-1,ABS(NETWORKDAYS(Proc[[#This Row],[DateOpened]],Proc[[#This Row],[DateClosed]]))-1)</f>
        <v>147</v>
      </c>
      <c r="R1294" s="80" t="s">
        <v>489</v>
      </c>
      <c r="S1294" s="69"/>
    </row>
    <row r="1295" spans="1:19" hidden="1">
      <c r="A1295" s="72" t="s">
        <v>3191</v>
      </c>
      <c r="B1295" s="149" t="str">
        <f>IFERROR(VLOOKUP(Proc[[#This Row],[App]],Table2[],3,0),"open")</f>
        <v>ok</v>
      </c>
      <c r="C1295" s="84" t="s">
        <v>369</v>
      </c>
      <c r="D1295" t="s">
        <v>2454</v>
      </c>
      <c r="E1295" s="84" t="s">
        <v>2458</v>
      </c>
      <c r="F1295" s="117" t="s">
        <v>2458</v>
      </c>
      <c r="G1295" s="84" t="s">
        <v>406</v>
      </c>
      <c r="H1295" s="69" t="str">
        <f>IF(Proc[[#This Row],[type]]="LFF (MDG-F)",MID(Proc[[#This Row],[Obj]],13,10),"")</f>
        <v>2148TFSZ64</v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LS</v>
      </c>
      <c r="L1295" s="85" t="s">
        <v>2563</v>
      </c>
      <c r="M1295" s="80">
        <v>45790.424861111111</v>
      </c>
      <c r="N1295" s="83"/>
      <c r="O1295" s="83"/>
      <c r="P1295" s="80" t="str">
        <f ca="1">IF(Proc[[#This Row],[DaysAgeing]]&gt;5,"yep","on track")</f>
        <v>yep</v>
      </c>
      <c r="Q1295" s="3">
        <f ca="1">IF(Proc[[#This Row],[DateClosed]]="",ABS(NETWORKDAYS(Proc[[#This Row],[DateOpened]],TODAY()))-1,ABS(NETWORKDAYS(Proc[[#This Row],[DateOpened]],Proc[[#This Row],[DateClosed]]))-1)</f>
        <v>147</v>
      </c>
      <c r="R1295" s="80" t="s">
        <v>489</v>
      </c>
      <c r="S1295" s="69"/>
    </row>
    <row r="1296" spans="1:19" hidden="1">
      <c r="A1296" s="72" t="s">
        <v>3191</v>
      </c>
      <c r="B1296" s="149" t="str">
        <f>IFERROR(VLOOKUP(Proc[[#This Row],[App]],Table2[],3,0),"open")</f>
        <v>ok</v>
      </c>
      <c r="C1296" s="84" t="s">
        <v>369</v>
      </c>
      <c r="D1296" t="s">
        <v>2455</v>
      </c>
      <c r="E1296" s="84" t="s">
        <v>2458</v>
      </c>
      <c r="F1296" s="117" t="s">
        <v>2458</v>
      </c>
      <c r="G1296" s="84" t="s">
        <v>406</v>
      </c>
      <c r="H1296" s="69" t="str">
        <f>IF(Proc[[#This Row],[type]]="LFF (MDG-F)",MID(Proc[[#This Row],[Obj]],13,10),"")</f>
        <v>2148TKSZ70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LS</v>
      </c>
      <c r="L1296" s="85" t="s">
        <v>2563</v>
      </c>
      <c r="M1296" s="80">
        <v>45790.424861111111</v>
      </c>
      <c r="N1296" s="83"/>
      <c r="O1296" s="83"/>
      <c r="P1296" s="80" t="str">
        <f ca="1">IF(Proc[[#This Row],[DaysAgeing]]&gt;5,"yep","on track")</f>
        <v>yep</v>
      </c>
      <c r="Q1296" s="3">
        <f ca="1">IF(Proc[[#This Row],[DateClosed]]="",ABS(NETWORKDAYS(Proc[[#This Row],[DateOpened]],TODAY()))-1,ABS(NETWORKDAYS(Proc[[#This Row],[DateOpened]],Proc[[#This Row],[DateClosed]]))-1)</f>
        <v>147</v>
      </c>
      <c r="R1296" s="80" t="s">
        <v>489</v>
      </c>
      <c r="S1296" s="69"/>
    </row>
    <row r="1297" spans="1:19" hidden="1">
      <c r="A1297" s="72" t="s">
        <v>3191</v>
      </c>
      <c r="B1297" s="149" t="str">
        <f>IFERROR(VLOOKUP(Proc[[#This Row],[App]],Table2[],3,0),"open")</f>
        <v>ok</v>
      </c>
      <c r="C1297" s="84" t="s">
        <v>369</v>
      </c>
      <c r="D1297" t="s">
        <v>2456</v>
      </c>
      <c r="E1297" s="84" t="s">
        <v>2458</v>
      </c>
      <c r="F1297" s="117" t="s">
        <v>2458</v>
      </c>
      <c r="G1297" s="84" t="s">
        <v>406</v>
      </c>
      <c r="H1297" s="69" t="str">
        <f>IF(Proc[[#This Row],[type]]="LFF (MDG-F)",MID(Proc[[#This Row],[Obj]],13,10),"")</f>
        <v>2148TQSZ91</v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LS</v>
      </c>
      <c r="L1297" s="85" t="s">
        <v>2563</v>
      </c>
      <c r="M1297" s="80">
        <v>45790.424861111111</v>
      </c>
      <c r="N1297" s="83"/>
      <c r="O1297" s="83"/>
      <c r="P1297" s="80" t="str">
        <f ca="1">IF(Proc[[#This Row],[DaysAgeing]]&gt;5,"yep","on track")</f>
        <v>yep</v>
      </c>
      <c r="Q1297" s="3">
        <f ca="1">IF(Proc[[#This Row],[DateClosed]]="",ABS(NETWORKDAYS(Proc[[#This Row],[DateOpened]],TODAY()))-1,ABS(NETWORKDAYS(Proc[[#This Row],[DateOpened]],Proc[[#This Row],[DateClosed]]))-1)</f>
        <v>147</v>
      </c>
      <c r="R1297" s="80" t="s">
        <v>489</v>
      </c>
      <c r="S1297" s="69"/>
    </row>
    <row r="1298" spans="1:19" hidden="1">
      <c r="A1298" s="72" t="s">
        <v>3191</v>
      </c>
      <c r="B1298" s="149" t="str">
        <f>IFERROR(VLOOKUP(Proc[[#This Row],[App]],Table2[],3,0),"open")</f>
        <v>ok</v>
      </c>
      <c r="C1298" s="84" t="s">
        <v>369</v>
      </c>
      <c r="D1298" t="s">
        <v>2457</v>
      </c>
      <c r="E1298" s="84" t="s">
        <v>2458</v>
      </c>
      <c r="F1298" s="117" t="s">
        <v>2458</v>
      </c>
      <c r="G1298" s="84" t="s">
        <v>406</v>
      </c>
      <c r="H1298" s="69" t="str">
        <f>IF(Proc[[#This Row],[type]]="LFF (MDG-F)",MID(Proc[[#This Row],[Obj]],13,10),"")</f>
        <v>2148TQSZ92</v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LS</v>
      </c>
      <c r="L1298" s="85" t="s">
        <v>2563</v>
      </c>
      <c r="M1298" s="80">
        <v>45790.424861111111</v>
      </c>
      <c r="N1298" s="83"/>
      <c r="O1298" s="83"/>
      <c r="P1298" s="80" t="str">
        <f ca="1">IF(Proc[[#This Row],[DaysAgeing]]&gt;5,"yep","on track")</f>
        <v>yep</v>
      </c>
      <c r="Q1298" s="3">
        <f ca="1">IF(Proc[[#This Row],[DateClosed]]="",ABS(NETWORKDAYS(Proc[[#This Row],[DateOpened]],TODAY()))-1,ABS(NETWORKDAYS(Proc[[#This Row],[DateOpened]],Proc[[#This Row],[DateClosed]]))-1)</f>
        <v>147</v>
      </c>
      <c r="R1298" s="80" t="s">
        <v>489</v>
      </c>
      <c r="S1298" s="69"/>
    </row>
    <row r="1299" spans="1:19" hidden="1">
      <c r="A1299" s="72" t="s">
        <v>3191</v>
      </c>
      <c r="B1299" s="149" t="str">
        <f>IFERROR(VLOOKUP(Proc[[#This Row],[App]],Table2[],3,0),"open")</f>
        <v>ok</v>
      </c>
      <c r="C1299" s="84" t="s">
        <v>369</v>
      </c>
      <c r="D1299" t="s">
        <v>3192</v>
      </c>
      <c r="E1299" s="84" t="s">
        <v>2458</v>
      </c>
      <c r="F1299" s="117" t="s">
        <v>2458</v>
      </c>
      <c r="G1299" s="84" t="s">
        <v>406</v>
      </c>
      <c r="H1299" s="69" t="str">
        <f>IF(Proc[[#This Row],[type]]="LFF (MDG-F)",MID(Proc[[#This Row],[Obj]],13,10),"")</f>
        <v>2148TCSZ30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85" t="s">
        <v>2563</v>
      </c>
      <c r="M1299" s="80">
        <v>45790.424861111111</v>
      </c>
      <c r="N1299" s="83"/>
      <c r="O1299" s="83"/>
      <c r="P1299" s="80" t="str">
        <f ca="1">IF(Proc[[#This Row],[DaysAgeing]]&gt;5,"yep","on track")</f>
        <v>yep</v>
      </c>
      <c r="Q1299" s="3">
        <f ca="1">IF(Proc[[#This Row],[DateClosed]]="",ABS(NETWORKDAYS(Proc[[#This Row],[DateOpened]],TODAY()))-1,ABS(NETWORKDAYS(Proc[[#This Row],[DateOpened]],Proc[[#This Row],[DateClosed]]))-1)</f>
        <v>147</v>
      </c>
      <c r="R1299" s="80" t="s">
        <v>489</v>
      </c>
      <c r="S1299" s="69"/>
    </row>
    <row r="1300" spans="1:19" hidden="1">
      <c r="A1300" s="72" t="s">
        <v>3191</v>
      </c>
      <c r="B1300" s="149" t="str">
        <f>IFERROR(VLOOKUP(Proc[[#This Row],[App]],Table2[],3,0),"open")</f>
        <v>ok</v>
      </c>
      <c r="C1300" s="84" t="s">
        <v>369</v>
      </c>
      <c r="D1300" t="s">
        <v>3193</v>
      </c>
      <c r="E1300" s="84" t="s">
        <v>2458</v>
      </c>
      <c r="F1300" s="117" t="s">
        <v>2458</v>
      </c>
      <c r="G1300" s="84" t="s">
        <v>406</v>
      </c>
      <c r="H1300" s="69" t="str">
        <f>IF(Proc[[#This Row],[type]]="LFF (MDG-F)",MID(Proc[[#This Row],[Obj]],13,10),"")</f>
        <v>2148TFSZ60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85" t="s">
        <v>2563</v>
      </c>
      <c r="M1300" s="80">
        <v>45790.424861111111</v>
      </c>
      <c r="N1300" s="83"/>
      <c r="O1300" s="83"/>
      <c r="P1300" s="80" t="str">
        <f ca="1">IF(Proc[[#This Row],[DaysAgeing]]&gt;5,"yep","on track")</f>
        <v>yep</v>
      </c>
      <c r="Q1300" s="3">
        <f ca="1">IF(Proc[[#This Row],[DateClosed]]="",ABS(NETWORKDAYS(Proc[[#This Row],[DateOpened]],TODAY()))-1,ABS(NETWORKDAYS(Proc[[#This Row],[DateOpened]],Proc[[#This Row],[DateClosed]]))-1)</f>
        <v>147</v>
      </c>
      <c r="R1300" s="80" t="s">
        <v>489</v>
      </c>
      <c r="S1300" s="69"/>
    </row>
    <row r="1301" spans="1:19" hidden="1">
      <c r="A1301" s="72" t="s">
        <v>3191</v>
      </c>
      <c r="B1301" s="149" t="str">
        <f>IFERROR(VLOOKUP(Proc[[#This Row],[App]],Table2[],3,0),"open")</f>
        <v>ok</v>
      </c>
      <c r="C1301" s="84" t="s">
        <v>369</v>
      </c>
      <c r="D1301" t="s">
        <v>3194</v>
      </c>
      <c r="E1301" s="84" t="s">
        <v>2458</v>
      </c>
      <c r="F1301" s="117" t="s">
        <v>2458</v>
      </c>
      <c r="G1301" s="84" t="s">
        <v>406</v>
      </c>
      <c r="H1301" s="69" t="str">
        <f>IF(Proc[[#This Row],[type]]="LFF (MDG-F)",MID(Proc[[#This Row],[Obj]],13,10),"")</f>
        <v>2148TFSZ61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85" t="s">
        <v>2563</v>
      </c>
      <c r="M1301" s="80">
        <v>45790.424861111111</v>
      </c>
      <c r="N1301" s="83"/>
      <c r="O1301" s="83"/>
      <c r="P1301" s="80" t="str">
        <f ca="1">IF(Proc[[#This Row],[DaysAgeing]]&gt;5,"yep","on track")</f>
        <v>yep</v>
      </c>
      <c r="Q1301" s="3">
        <f ca="1">IF(Proc[[#This Row],[DateClosed]]="",ABS(NETWORKDAYS(Proc[[#This Row],[DateOpened]],TODAY()))-1,ABS(NETWORKDAYS(Proc[[#This Row],[DateOpened]],Proc[[#This Row],[DateClosed]]))-1)</f>
        <v>147</v>
      </c>
      <c r="R1301" s="80" t="s">
        <v>489</v>
      </c>
      <c r="S1301" s="69"/>
    </row>
    <row r="1302" spans="1:19" hidden="1">
      <c r="A1302" s="72" t="s">
        <v>3191</v>
      </c>
      <c r="B1302" s="149" t="str">
        <f>IFERROR(VLOOKUP(Proc[[#This Row],[App]],Table2[],3,0),"open")</f>
        <v>ok</v>
      </c>
      <c r="C1302" s="84" t="s">
        <v>369</v>
      </c>
      <c r="D1302" t="s">
        <v>3195</v>
      </c>
      <c r="E1302" s="84" t="s">
        <v>2458</v>
      </c>
      <c r="F1302" s="117" t="s">
        <v>2458</v>
      </c>
      <c r="G1302" s="84" t="s">
        <v>406</v>
      </c>
      <c r="H1302" s="69" t="str">
        <f>IF(Proc[[#This Row],[type]]="LFF (MDG-F)",MID(Proc[[#This Row],[Obj]],13,10),"")</f>
        <v>2148TFSZ62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85" t="s">
        <v>2563</v>
      </c>
      <c r="M1302" s="80">
        <v>45790.424861111111</v>
      </c>
      <c r="N1302" s="83"/>
      <c r="O1302" s="83"/>
      <c r="P1302" s="80" t="str">
        <f ca="1">IF(Proc[[#This Row],[DaysAgeing]]&gt;5,"yep","on track")</f>
        <v>yep</v>
      </c>
      <c r="Q1302" s="3">
        <f ca="1">IF(Proc[[#This Row],[DateClosed]]="",ABS(NETWORKDAYS(Proc[[#This Row],[DateOpened]],TODAY()))-1,ABS(NETWORKDAYS(Proc[[#This Row],[DateOpened]],Proc[[#This Row],[DateClosed]]))-1)</f>
        <v>147</v>
      </c>
      <c r="R1302" s="80" t="s">
        <v>489</v>
      </c>
      <c r="S1302" s="69"/>
    </row>
    <row r="1303" spans="1:19" hidden="1">
      <c r="A1303" s="72" t="s">
        <v>3191</v>
      </c>
      <c r="B1303" s="149" t="str">
        <f>IFERROR(VLOOKUP(Proc[[#This Row],[App]],Table2[],3,0),"open")</f>
        <v>ok</v>
      </c>
      <c r="C1303" s="84" t="s">
        <v>369</v>
      </c>
      <c r="D1303" t="s">
        <v>3196</v>
      </c>
      <c r="E1303" s="84" t="s">
        <v>2458</v>
      </c>
      <c r="F1303" s="117" t="s">
        <v>2458</v>
      </c>
      <c r="G1303" s="84" t="s">
        <v>406</v>
      </c>
      <c r="H1303" s="69" t="str">
        <f>IF(Proc[[#This Row],[type]]="LFF (MDG-F)",MID(Proc[[#This Row],[Obj]],13,10),"")</f>
        <v>2148TFSZ63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85" t="s">
        <v>2563</v>
      </c>
      <c r="M1303" s="80">
        <v>45790.424861111111</v>
      </c>
      <c r="N1303" s="83"/>
      <c r="O1303" s="83"/>
      <c r="P1303" s="80" t="str">
        <f ca="1">IF(Proc[[#This Row],[DaysAgeing]]&gt;5,"yep","on track")</f>
        <v>yep</v>
      </c>
      <c r="Q1303" s="3">
        <f ca="1">IF(Proc[[#This Row],[DateClosed]]="",ABS(NETWORKDAYS(Proc[[#This Row],[DateOpened]],TODAY()))-1,ABS(NETWORKDAYS(Proc[[#This Row],[DateOpened]],Proc[[#This Row],[DateClosed]]))-1)</f>
        <v>147</v>
      </c>
      <c r="R1303" s="80" t="s">
        <v>489</v>
      </c>
      <c r="S1303" s="69"/>
    </row>
    <row r="1304" spans="1:19" hidden="1">
      <c r="A1304" s="72" t="s">
        <v>3191</v>
      </c>
      <c r="B1304" s="149" t="str">
        <f>IFERROR(VLOOKUP(Proc[[#This Row],[App]],Table2[],3,0),"open")</f>
        <v>ok</v>
      </c>
      <c r="C1304" s="84" t="s">
        <v>369</v>
      </c>
      <c r="D1304" t="s">
        <v>3200</v>
      </c>
      <c r="E1304" s="84" t="s">
        <v>2458</v>
      </c>
      <c r="F1304" s="117" t="s">
        <v>2458</v>
      </c>
      <c r="G1304" s="84" t="s">
        <v>406</v>
      </c>
      <c r="H1304" s="69" t="str">
        <f>IF(Proc[[#This Row],[type]]="LFF (MDG-F)",MID(Proc[[#This Row],[Obj]],13,10),"")</f>
        <v>2148TASA00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85" t="s">
        <v>2563</v>
      </c>
      <c r="M1304" s="80">
        <v>45790.424861111111</v>
      </c>
      <c r="N1304" s="83"/>
      <c r="O1304" s="83"/>
      <c r="P1304" s="80" t="str">
        <f ca="1">IF(Proc[[#This Row],[DaysAgeing]]&gt;5,"yep","on track")</f>
        <v>yep</v>
      </c>
      <c r="Q1304" s="3">
        <f ca="1">IF(Proc[[#This Row],[DateClosed]]="",ABS(NETWORKDAYS(Proc[[#This Row],[DateOpened]],TODAY()))-1,ABS(NETWORKDAYS(Proc[[#This Row],[DateOpened]],Proc[[#This Row],[DateClosed]]))-1)</f>
        <v>147</v>
      </c>
      <c r="R1304" s="80" t="s">
        <v>489</v>
      </c>
      <c r="S1304" s="69"/>
    </row>
    <row r="1305" spans="1:19" hidden="1">
      <c r="A1305" s="72" t="s">
        <v>3191</v>
      </c>
      <c r="B1305" s="149" t="str">
        <f>IFERROR(VLOOKUP(Proc[[#This Row],[App]],Table2[],3,0),"open")</f>
        <v>ok</v>
      </c>
      <c r="C1305" s="84" t="s">
        <v>369</v>
      </c>
      <c r="D1305" t="s">
        <v>3197</v>
      </c>
      <c r="E1305" s="84" t="s">
        <v>2458</v>
      </c>
      <c r="F1305" s="117" t="s">
        <v>2458</v>
      </c>
      <c r="G1305" s="84" t="s">
        <v>406</v>
      </c>
      <c r="H1305" s="69" t="str">
        <f>IF(Proc[[#This Row],[type]]="LFF (MDG-F)",MID(Proc[[#This Row],[Obj]],13,10),"")</f>
        <v>2148TASA00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85" t="s">
        <v>2563</v>
      </c>
      <c r="M1305" s="80">
        <v>45790.424861111111</v>
      </c>
      <c r="N1305" s="83"/>
      <c r="O1305" s="83"/>
      <c r="P1305" s="80" t="str">
        <f ca="1">IF(Proc[[#This Row],[DaysAgeing]]&gt;5,"yep","on track")</f>
        <v>yep</v>
      </c>
      <c r="Q1305" s="3">
        <f ca="1">IF(Proc[[#This Row],[DateClosed]]="",ABS(NETWORKDAYS(Proc[[#This Row],[DateOpened]],TODAY()))-1,ABS(NETWORKDAYS(Proc[[#This Row],[DateOpened]],Proc[[#This Row],[DateClosed]]))-1)</f>
        <v>147</v>
      </c>
      <c r="R1305" s="80" t="s">
        <v>489</v>
      </c>
      <c r="S1305" s="69"/>
    </row>
    <row r="1306" spans="1:19" hidden="1">
      <c r="A1306" s="72" t="s">
        <v>3191</v>
      </c>
      <c r="B1306" s="149" t="str">
        <f>IFERROR(VLOOKUP(Proc[[#This Row],[App]],Table2[],3,0),"open")</f>
        <v>ok</v>
      </c>
      <c r="C1306" s="84" t="s">
        <v>369</v>
      </c>
      <c r="D1306" t="s">
        <v>3198</v>
      </c>
      <c r="E1306" s="84" t="s">
        <v>2458</v>
      </c>
      <c r="F1306" s="117" t="s">
        <v>2458</v>
      </c>
      <c r="G1306" s="84" t="s">
        <v>406</v>
      </c>
      <c r="H1306" s="69" t="str">
        <f>IF(Proc[[#This Row],[type]]="LFF (MDG-F)",MID(Proc[[#This Row],[Obj]],13,10),"")</f>
        <v>2148TASA00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85" t="s">
        <v>2563</v>
      </c>
      <c r="M1306" s="80">
        <v>45790.424861111111</v>
      </c>
      <c r="N1306" s="83"/>
      <c r="O1306" s="83"/>
      <c r="P1306" s="80" t="str">
        <f ca="1">IF(Proc[[#This Row],[DaysAgeing]]&gt;5,"yep","on track")</f>
        <v>yep</v>
      </c>
      <c r="Q1306" s="3">
        <f ca="1">IF(Proc[[#This Row],[DateClosed]]="",ABS(NETWORKDAYS(Proc[[#This Row],[DateOpened]],TODAY()))-1,ABS(NETWORKDAYS(Proc[[#This Row],[DateOpened]],Proc[[#This Row],[DateClosed]]))-1)</f>
        <v>147</v>
      </c>
      <c r="R1306" s="80" t="s">
        <v>489</v>
      </c>
      <c r="S1306" s="69"/>
    </row>
    <row r="1307" spans="1:19" hidden="1">
      <c r="A1307" s="72" t="s">
        <v>3191</v>
      </c>
      <c r="B1307" s="149" t="str">
        <f>IFERROR(VLOOKUP(Proc[[#This Row],[App]],Table2[],3,0),"open")</f>
        <v>ok</v>
      </c>
      <c r="C1307" s="84" t="s">
        <v>369</v>
      </c>
      <c r="D1307" t="s">
        <v>3199</v>
      </c>
      <c r="E1307" s="84" t="s">
        <v>2458</v>
      </c>
      <c r="F1307" s="117" t="s">
        <v>2458</v>
      </c>
      <c r="G1307" s="84" t="s">
        <v>406</v>
      </c>
      <c r="H1307" s="69" t="str">
        <f>IF(Proc[[#This Row],[type]]="LFF (MDG-F)",MID(Proc[[#This Row],[Obj]],13,10),"")</f>
        <v>2148TASA00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85" t="s">
        <v>2563</v>
      </c>
      <c r="M1307" s="80">
        <v>45790.424861111111</v>
      </c>
      <c r="N1307" s="83"/>
      <c r="O1307" s="83"/>
      <c r="P1307" s="80" t="str">
        <f ca="1">IF(Proc[[#This Row],[DaysAgeing]]&gt;5,"yep","on track")</f>
        <v>yep</v>
      </c>
      <c r="Q1307" s="3">
        <f ca="1">IF(Proc[[#This Row],[DateClosed]]="",ABS(NETWORKDAYS(Proc[[#This Row],[DateOpened]],TODAY()))-1,ABS(NETWORKDAYS(Proc[[#This Row],[DateOpened]],Proc[[#This Row],[DateClosed]]))-1)</f>
        <v>147</v>
      </c>
      <c r="R1307" s="80" t="s">
        <v>489</v>
      </c>
      <c r="S1307" s="69"/>
    </row>
    <row r="1308" spans="1:19" hidden="1">
      <c r="A1308" t="s">
        <v>3201</v>
      </c>
      <c r="B1308" s="149" t="str">
        <f>IFERROR(VLOOKUP(Proc[[#This Row],[App]],Table2[],3,0),"open")</f>
        <v>ok</v>
      </c>
      <c r="C1308" t="s">
        <v>369</v>
      </c>
      <c r="D1308" t="s">
        <v>3202</v>
      </c>
      <c r="E1308" s="84" t="s">
        <v>3227</v>
      </c>
      <c r="F1308" s="117" t="s">
        <v>3227</v>
      </c>
      <c r="G1308" s="84" t="s">
        <v>406</v>
      </c>
      <c r="H1308" s="85" t="str">
        <f>IF(Proc[[#This Row],[type]]="LFF (MDG-F)",MID(Proc[[#This Row],[Obj]],13,10),"")</f>
        <v>DE04G0IT99</v>
      </c>
      <c r="I1308" t="s">
        <v>3285</v>
      </c>
      <c r="J1308" s="85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MGF</v>
      </c>
      <c r="L1308" s="85" t="s">
        <v>2563</v>
      </c>
      <c r="M1308" s="80">
        <v>45790.424861111111</v>
      </c>
      <c r="N1308" s="83">
        <v>45796</v>
      </c>
      <c r="O1308" s="83">
        <v>45796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4</v>
      </c>
      <c r="R1308" s="80" t="s">
        <v>1076</v>
      </c>
      <c r="S1308" s="85"/>
    </row>
    <row r="1309" spans="1:19" hidden="1">
      <c r="A1309" s="84" t="s">
        <v>3201</v>
      </c>
      <c r="B1309" s="149" t="str">
        <f>IFERROR(VLOOKUP(Proc[[#This Row],[App]],Table2[],3,0),"open")</f>
        <v>ok</v>
      </c>
      <c r="C1309" s="84" t="s">
        <v>369</v>
      </c>
      <c r="D1309" t="s">
        <v>3203</v>
      </c>
      <c r="E1309" s="84" t="s">
        <v>3227</v>
      </c>
      <c r="F1309" s="117" t="s">
        <v>3227</v>
      </c>
      <c r="G1309" s="84" t="s">
        <v>406</v>
      </c>
      <c r="H1309" s="85" t="str">
        <f>IF(Proc[[#This Row],[type]]="LFF (MDG-F)",MID(Proc[[#This Row],[Obj]],13,10),"")</f>
        <v>DE04O01001</v>
      </c>
      <c r="I1309" s="84" t="s">
        <v>3285</v>
      </c>
      <c r="J1309" s="85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MGF</v>
      </c>
      <c r="L1309" s="85" t="s">
        <v>2563</v>
      </c>
      <c r="M1309" s="80">
        <v>45790.424861111111</v>
      </c>
      <c r="N1309" s="83">
        <v>45796</v>
      </c>
      <c r="O1309" s="83">
        <v>45796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4</v>
      </c>
      <c r="R1309" s="80" t="s">
        <v>1076</v>
      </c>
      <c r="S1309" s="85"/>
    </row>
    <row r="1310" spans="1:19" hidden="1">
      <c r="A1310" s="84" t="s">
        <v>3201</v>
      </c>
      <c r="B1310" s="149" t="str">
        <f>IFERROR(VLOOKUP(Proc[[#This Row],[App]],Table2[],3,0),"open")</f>
        <v>ok</v>
      </c>
      <c r="C1310" s="84" t="s">
        <v>369</v>
      </c>
      <c r="D1310" t="s">
        <v>3204</v>
      </c>
      <c r="E1310" t="s">
        <v>3227</v>
      </c>
      <c r="F1310" s="117" t="s">
        <v>3227</v>
      </c>
      <c r="G1310" s="84" t="s">
        <v>406</v>
      </c>
      <c r="H1310" s="85" t="str">
        <f>IF(Proc[[#This Row],[type]]="LFF (MDG-F)",MID(Proc[[#This Row],[Obj]],13,10),"")</f>
        <v>DE04O01002</v>
      </c>
      <c r="I1310" s="84" t="s">
        <v>3285</v>
      </c>
      <c r="J1310" s="85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MGF</v>
      </c>
      <c r="L1310" s="85" t="s">
        <v>2563</v>
      </c>
      <c r="M1310" s="80">
        <v>45790.424861111111</v>
      </c>
      <c r="N1310" s="83">
        <v>45796</v>
      </c>
      <c r="O1310" s="83">
        <v>45796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4</v>
      </c>
      <c r="R1310" s="80" t="s">
        <v>1076</v>
      </c>
      <c r="S1310" s="85"/>
    </row>
    <row r="1311" spans="1:19" hidden="1">
      <c r="A1311" s="84" t="s">
        <v>3201</v>
      </c>
      <c r="B1311" s="149" t="str">
        <f>IFERROR(VLOOKUP(Proc[[#This Row],[App]],Table2[],3,0),"open")</f>
        <v>ok</v>
      </c>
      <c r="C1311" s="84" t="s">
        <v>369</v>
      </c>
      <c r="D1311" t="s">
        <v>3205</v>
      </c>
      <c r="E1311" t="s">
        <v>3226</v>
      </c>
      <c r="F1311" s="117" t="s">
        <v>3226</v>
      </c>
      <c r="G1311" s="84" t="s">
        <v>406</v>
      </c>
      <c r="H1311" s="85" t="str">
        <f>IF(Proc[[#This Row],[type]]="LFF (MDG-F)",MID(Proc[[#This Row],[Obj]],13,10),"")</f>
        <v>DE04Z03110</v>
      </c>
      <c r="I1311" s="84" t="s">
        <v>3285</v>
      </c>
      <c r="J1311" s="85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MGF</v>
      </c>
      <c r="L1311" s="85" t="s">
        <v>2563</v>
      </c>
      <c r="M1311" s="80">
        <v>45790.424861111111</v>
      </c>
      <c r="N1311" s="83">
        <v>45796</v>
      </c>
      <c r="O1311" s="83">
        <v>45796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4</v>
      </c>
      <c r="R1311" s="80" t="s">
        <v>1076</v>
      </c>
      <c r="S1311" s="85"/>
    </row>
    <row r="1312" spans="1:19" hidden="1">
      <c r="A1312" s="84" t="s">
        <v>3201</v>
      </c>
      <c r="B1312" s="149" t="str">
        <f>IFERROR(VLOOKUP(Proc[[#This Row],[App]],Table2[],3,0),"open")</f>
        <v>ok</v>
      </c>
      <c r="C1312" s="84" t="s">
        <v>369</v>
      </c>
      <c r="D1312" t="s">
        <v>3206</v>
      </c>
      <c r="E1312" t="s">
        <v>3225</v>
      </c>
      <c r="F1312" s="117" t="s">
        <v>3225</v>
      </c>
      <c r="G1312" t="s">
        <v>400</v>
      </c>
      <c r="H1312" s="85" t="str">
        <f>IF(Proc[[#This Row],[type]]="LFF (MDG-F)",MID(Proc[[#This Row],[Obj]],13,10),"")</f>
        <v/>
      </c>
      <c r="J1312" s="85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MGF</v>
      </c>
      <c r="L1312" s="85" t="s">
        <v>2563</v>
      </c>
      <c r="M1312" s="80">
        <v>45790.424861111111</v>
      </c>
      <c r="N1312" s="83">
        <v>45796</v>
      </c>
      <c r="O1312" s="83">
        <v>45796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4</v>
      </c>
      <c r="R1312" s="80" t="s">
        <v>1076</v>
      </c>
      <c r="S1312" s="85"/>
    </row>
    <row r="1313" spans="1:19" hidden="1">
      <c r="A1313" s="84" t="s">
        <v>3201</v>
      </c>
      <c r="B1313" s="149" t="str">
        <f>IFERROR(VLOOKUP(Proc[[#This Row],[App]],Table2[],3,0),"open")</f>
        <v>ok</v>
      </c>
      <c r="C1313" s="84" t="s">
        <v>369</v>
      </c>
      <c r="D1313" t="s">
        <v>3207</v>
      </c>
      <c r="E1313" s="84" t="s">
        <v>3225</v>
      </c>
      <c r="F1313" s="117" t="s">
        <v>3225</v>
      </c>
      <c r="G1313" s="84" t="s">
        <v>400</v>
      </c>
      <c r="H1313" s="85" t="str">
        <f>IF(Proc[[#This Row],[type]]="LFF (MDG-F)",MID(Proc[[#This Row],[Obj]],13,10),"")</f>
        <v/>
      </c>
      <c r="J1313" s="85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MGF</v>
      </c>
      <c r="L1313" s="85" t="s">
        <v>2563</v>
      </c>
      <c r="M1313" s="80">
        <v>45790.424861111111</v>
      </c>
      <c r="N1313" s="83">
        <v>45796</v>
      </c>
      <c r="O1313" s="83">
        <v>45796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4</v>
      </c>
      <c r="R1313" s="80" t="s">
        <v>1076</v>
      </c>
      <c r="S1313" s="85"/>
    </row>
    <row r="1314" spans="1:19" hidden="1">
      <c r="A1314" s="84" t="s">
        <v>3201</v>
      </c>
      <c r="B1314" s="149" t="str">
        <f>IFERROR(VLOOKUP(Proc[[#This Row],[App]],Table2[],3,0),"open")</f>
        <v>ok</v>
      </c>
      <c r="C1314" s="84" t="s">
        <v>369</v>
      </c>
      <c r="D1314" t="s">
        <v>3208</v>
      </c>
      <c r="E1314" s="84" t="s">
        <v>3225</v>
      </c>
      <c r="F1314" s="117" t="s">
        <v>3225</v>
      </c>
      <c r="G1314" t="s">
        <v>406</v>
      </c>
      <c r="H1314" s="85" t="str">
        <f>IF(Proc[[#This Row],[type]]="LFF (MDG-F)",MID(Proc[[#This Row],[Obj]],13,10),"")</f>
        <v>CN01Z03105</v>
      </c>
      <c r="I1314" s="84" t="s">
        <v>3285</v>
      </c>
      <c r="J1314" s="85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MGF</v>
      </c>
      <c r="L1314" s="85" t="s">
        <v>2563</v>
      </c>
      <c r="M1314" s="80">
        <v>45790.424861111111</v>
      </c>
      <c r="N1314" s="83">
        <v>45796</v>
      </c>
      <c r="O1314" s="83">
        <v>45796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4</v>
      </c>
      <c r="R1314" s="80" t="s">
        <v>1076</v>
      </c>
      <c r="S1314" s="85"/>
    </row>
    <row r="1315" spans="1:19" hidden="1">
      <c r="A1315" s="84" t="s">
        <v>3201</v>
      </c>
      <c r="B1315" s="149" t="str">
        <f>IFERROR(VLOOKUP(Proc[[#This Row],[App]],Table2[],3,0),"open")</f>
        <v>ok</v>
      </c>
      <c r="C1315" s="84" t="s">
        <v>369</v>
      </c>
      <c r="D1315" t="s">
        <v>3209</v>
      </c>
      <c r="E1315" s="84" t="s">
        <v>3225</v>
      </c>
      <c r="F1315" s="117" t="s">
        <v>3225</v>
      </c>
      <c r="G1315" s="84" t="s">
        <v>406</v>
      </c>
      <c r="H1315" s="85" t="str">
        <f>IF(Proc[[#This Row],[type]]="LFF (MDG-F)",MID(Proc[[#This Row],[Obj]],13,10),"")</f>
        <v>DE04Z03108</v>
      </c>
      <c r="I1315" s="84" t="s">
        <v>3285</v>
      </c>
      <c r="J1315" s="85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MGF</v>
      </c>
      <c r="L1315" s="85" t="s">
        <v>2563</v>
      </c>
      <c r="M1315" s="80">
        <v>45790.424861111111</v>
      </c>
      <c r="N1315" s="83">
        <v>45796</v>
      </c>
      <c r="O1315" s="83">
        <v>45796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4</v>
      </c>
      <c r="R1315" s="80" t="s">
        <v>1076</v>
      </c>
      <c r="S1315" s="85"/>
    </row>
    <row r="1316" spans="1:19" hidden="1">
      <c r="A1316" s="84" t="s">
        <v>3201</v>
      </c>
      <c r="B1316" s="149" t="str">
        <f>IFERROR(VLOOKUP(Proc[[#This Row],[App]],Table2[],3,0),"open")</f>
        <v>ok</v>
      </c>
      <c r="C1316" s="84" t="s">
        <v>369</v>
      </c>
      <c r="D1316" t="s">
        <v>3210</v>
      </c>
      <c r="E1316" s="84" t="s">
        <v>3225</v>
      </c>
      <c r="F1316" s="117" t="s">
        <v>3225</v>
      </c>
      <c r="G1316" s="84" t="s">
        <v>406</v>
      </c>
      <c r="H1316" s="85" t="str">
        <f>IF(Proc[[#This Row],[type]]="LFF (MDG-F)",MID(Proc[[#This Row],[Obj]],13,10),"")</f>
        <v>DE10Z03113</v>
      </c>
      <c r="I1316" s="84" t="s">
        <v>3285</v>
      </c>
      <c r="J1316" s="85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MGF</v>
      </c>
      <c r="L1316" s="85" t="s">
        <v>2563</v>
      </c>
      <c r="M1316" s="80">
        <v>45790.424861111111</v>
      </c>
      <c r="N1316" s="83">
        <v>45796</v>
      </c>
      <c r="O1316" s="83">
        <v>45796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4</v>
      </c>
      <c r="R1316" s="80" t="s">
        <v>1076</v>
      </c>
      <c r="S1316" s="85"/>
    </row>
    <row r="1317" spans="1:19" hidden="1">
      <c r="A1317" s="84" t="s">
        <v>3201</v>
      </c>
      <c r="B1317" s="149" t="str">
        <f>IFERROR(VLOOKUP(Proc[[#This Row],[App]],Table2[],3,0),"open")</f>
        <v>ok</v>
      </c>
      <c r="C1317" s="84" t="s">
        <v>369</v>
      </c>
      <c r="D1317" t="s">
        <v>3211</v>
      </c>
      <c r="E1317" s="84" t="s">
        <v>3225</v>
      </c>
      <c r="F1317" s="117" t="s">
        <v>3225</v>
      </c>
      <c r="G1317" s="84" t="s">
        <v>406</v>
      </c>
      <c r="H1317" s="85" t="str">
        <f>IF(Proc[[#This Row],[type]]="LFF (MDG-F)",MID(Proc[[#This Row],[Obj]],13,10),"")</f>
        <v>IN01Z03101</v>
      </c>
      <c r="I1317" s="84" t="s">
        <v>3285</v>
      </c>
      <c r="J1317" s="85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MGF</v>
      </c>
      <c r="L1317" s="85" t="s">
        <v>2563</v>
      </c>
      <c r="M1317" s="80">
        <v>45790.424861111111</v>
      </c>
      <c r="N1317" s="83">
        <v>45796</v>
      </c>
      <c r="O1317" s="83">
        <v>45796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4</v>
      </c>
      <c r="R1317" s="80" t="s">
        <v>1076</v>
      </c>
      <c r="S1317" s="85"/>
    </row>
    <row r="1318" spans="1:19" hidden="1">
      <c r="A1318" s="84" t="s">
        <v>3201</v>
      </c>
      <c r="B1318" s="149" t="str">
        <f>IFERROR(VLOOKUP(Proc[[#This Row],[App]],Table2[],3,0),"open")</f>
        <v>ok</v>
      </c>
      <c r="C1318" s="84" t="s">
        <v>369</v>
      </c>
      <c r="D1318" t="s">
        <v>3212</v>
      </c>
      <c r="E1318" s="84" t="s">
        <v>3225</v>
      </c>
      <c r="F1318" s="117" t="s">
        <v>3225</v>
      </c>
      <c r="G1318" s="84" t="s">
        <v>406</v>
      </c>
      <c r="H1318" s="85" t="str">
        <f>IF(Proc[[#This Row],[type]]="LFF (MDG-F)",MID(Proc[[#This Row],[Obj]],13,10),"")</f>
        <v>JP01Z03103</v>
      </c>
      <c r="I1318" s="84" t="s">
        <v>3285</v>
      </c>
      <c r="J1318" s="85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MGF</v>
      </c>
      <c r="L1318" s="85" t="s">
        <v>2563</v>
      </c>
      <c r="M1318" s="80">
        <v>45790.424861111111</v>
      </c>
      <c r="N1318" s="83">
        <v>45796</v>
      </c>
      <c r="O1318" s="83">
        <v>45796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4</v>
      </c>
      <c r="R1318" s="80" t="s">
        <v>1076</v>
      </c>
      <c r="S1318" s="85"/>
    </row>
    <row r="1319" spans="1:19" hidden="1">
      <c r="A1319" s="84" t="s">
        <v>3201</v>
      </c>
      <c r="B1319" s="149" t="str">
        <f>IFERROR(VLOOKUP(Proc[[#This Row],[App]],Table2[],3,0),"open")</f>
        <v>ok</v>
      </c>
      <c r="C1319" s="84" t="s">
        <v>369</v>
      </c>
      <c r="D1319" t="s">
        <v>3213</v>
      </c>
      <c r="E1319" s="84" t="s">
        <v>3225</v>
      </c>
      <c r="F1319" s="117" t="s">
        <v>3225</v>
      </c>
      <c r="G1319" s="84" t="s">
        <v>406</v>
      </c>
      <c r="H1319" s="85" t="str">
        <f>IF(Proc[[#This Row],[type]]="LFF (MDG-F)",MID(Proc[[#This Row],[Obj]],13,10),"")</f>
        <v>US01Z03107</v>
      </c>
      <c r="I1319" s="84" t="s">
        <v>3285</v>
      </c>
      <c r="J1319" s="85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MGF</v>
      </c>
      <c r="L1319" s="85" t="s">
        <v>2563</v>
      </c>
      <c r="M1319" s="80">
        <v>45790.424861111111</v>
      </c>
      <c r="N1319" s="83">
        <v>45796</v>
      </c>
      <c r="O1319" s="83">
        <v>45796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4</v>
      </c>
      <c r="R1319" s="80" t="s">
        <v>1076</v>
      </c>
      <c r="S1319" s="85"/>
    </row>
    <row r="1320" spans="1:19" hidden="1">
      <c r="A1320" s="84" t="s">
        <v>3201</v>
      </c>
      <c r="B1320" s="149" t="str">
        <f>IFERROR(VLOOKUP(Proc[[#This Row],[App]],Table2[],3,0),"open")</f>
        <v>ok</v>
      </c>
      <c r="C1320" s="84" t="s">
        <v>369</v>
      </c>
      <c r="D1320" t="s">
        <v>3214</v>
      </c>
      <c r="E1320" s="84" t="s">
        <v>3225</v>
      </c>
      <c r="F1320" s="117" t="s">
        <v>3225</v>
      </c>
      <c r="G1320" s="84" t="s">
        <v>406</v>
      </c>
      <c r="H1320" s="85" t="str">
        <f>IF(Proc[[#This Row],[type]]="LFF (MDG-F)",MID(Proc[[#This Row],[Obj]],13,10),"")</f>
        <v>KR03Z03104</v>
      </c>
      <c r="I1320" t="s">
        <v>3286</v>
      </c>
      <c r="J1320" s="85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MGF</v>
      </c>
      <c r="L1320" s="85" t="s">
        <v>2563</v>
      </c>
      <c r="M1320" s="80">
        <v>45790.424861111111</v>
      </c>
      <c r="N1320" s="83">
        <v>45796</v>
      </c>
      <c r="O1320" s="83">
        <v>45796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4</v>
      </c>
      <c r="R1320" s="80" t="s">
        <v>1076</v>
      </c>
      <c r="S1320" s="85"/>
    </row>
    <row r="1321" spans="1:19" hidden="1">
      <c r="A1321" s="84" t="s">
        <v>3201</v>
      </c>
      <c r="B1321" s="149" t="str">
        <f>IFERROR(VLOOKUP(Proc[[#This Row],[App]],Table2[],3,0),"open")</f>
        <v>ok</v>
      </c>
      <c r="C1321" s="84" t="s">
        <v>369</v>
      </c>
      <c r="D1321" t="s">
        <v>3215</v>
      </c>
      <c r="E1321" s="84" t="s">
        <v>3225</v>
      </c>
      <c r="F1321" s="117" t="s">
        <v>3225</v>
      </c>
      <c r="G1321" s="84" t="s">
        <v>406</v>
      </c>
      <c r="H1321" s="85" t="str">
        <f>IF(Proc[[#This Row],[type]]="LFF (MDG-F)",MID(Proc[[#This Row],[Obj]],13,10),"")</f>
        <v>US10Z03102</v>
      </c>
      <c r="I1321" s="84" t="s">
        <v>3285</v>
      </c>
      <c r="J1321" s="85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MGF</v>
      </c>
      <c r="L1321" s="85" t="s">
        <v>2563</v>
      </c>
      <c r="M1321" s="80">
        <v>45790.424861111111</v>
      </c>
      <c r="N1321" s="83">
        <v>45796</v>
      </c>
      <c r="O1321" s="83">
        <v>45796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4</v>
      </c>
      <c r="R1321" s="80" t="s">
        <v>1076</v>
      </c>
      <c r="S1321" s="85"/>
    </row>
    <row r="1322" spans="1:19" hidden="1">
      <c r="A1322" s="84" t="s">
        <v>3201</v>
      </c>
      <c r="B1322" s="149" t="str">
        <f>IFERROR(VLOOKUP(Proc[[#This Row],[App]],Table2[],3,0),"open")</f>
        <v>ok</v>
      </c>
      <c r="C1322" s="84" t="s">
        <v>369</v>
      </c>
      <c r="D1322" t="s">
        <v>3216</v>
      </c>
      <c r="E1322" s="84" t="s">
        <v>3225</v>
      </c>
      <c r="F1322" s="117" t="s">
        <v>3225</v>
      </c>
      <c r="G1322" t="s">
        <v>400</v>
      </c>
      <c r="H1322" s="85" t="str">
        <f>IF(Proc[[#This Row],[type]]="LFF (MDG-F)",MID(Proc[[#This Row],[Obj]],13,10),"")</f>
        <v/>
      </c>
      <c r="J1322" s="85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MGF</v>
      </c>
      <c r="L1322" s="85" t="s">
        <v>2563</v>
      </c>
      <c r="M1322" s="80">
        <v>45790.424861111111</v>
      </c>
      <c r="N1322" s="83">
        <v>45796</v>
      </c>
      <c r="O1322" s="83">
        <v>45796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4</v>
      </c>
      <c r="R1322" s="80" t="s">
        <v>1076</v>
      </c>
      <c r="S1322" s="85"/>
    </row>
    <row r="1323" spans="1:19" hidden="1">
      <c r="A1323" s="84" t="s">
        <v>3201</v>
      </c>
      <c r="B1323" s="149" t="str">
        <f>IFERROR(VLOOKUP(Proc[[#This Row],[App]],Table2[],3,0),"open")</f>
        <v>ok</v>
      </c>
      <c r="C1323" s="84" t="s">
        <v>369</v>
      </c>
      <c r="D1323" t="s">
        <v>3217</v>
      </c>
      <c r="E1323" s="84" t="s">
        <v>3225</v>
      </c>
      <c r="F1323" s="117" t="s">
        <v>3225</v>
      </c>
      <c r="G1323" s="84" t="s">
        <v>400</v>
      </c>
      <c r="H1323" s="85" t="str">
        <f>IF(Proc[[#This Row],[type]]="LFF (MDG-F)",MID(Proc[[#This Row],[Obj]],13,10),"")</f>
        <v/>
      </c>
      <c r="J1323" s="85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MGF</v>
      </c>
      <c r="L1323" s="85" t="s">
        <v>2563</v>
      </c>
      <c r="M1323" s="80">
        <v>45790.424861111111</v>
      </c>
      <c r="N1323" s="83">
        <v>45796</v>
      </c>
      <c r="O1323" s="83">
        <v>45796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4</v>
      </c>
      <c r="R1323" s="80" t="s">
        <v>1076</v>
      </c>
      <c r="S1323" s="85"/>
    </row>
    <row r="1324" spans="1:19" hidden="1">
      <c r="A1324" s="84" t="s">
        <v>3201</v>
      </c>
      <c r="B1324" s="149" t="str">
        <f>IFERROR(VLOOKUP(Proc[[#This Row],[App]],Table2[],3,0),"open")</f>
        <v>ok</v>
      </c>
      <c r="C1324" s="84" t="s">
        <v>369</v>
      </c>
      <c r="D1324" t="s">
        <v>3218</v>
      </c>
      <c r="E1324" s="84" t="s">
        <v>3225</v>
      </c>
      <c r="F1324" s="117" t="s">
        <v>3225</v>
      </c>
      <c r="G1324" s="84" t="s">
        <v>400</v>
      </c>
      <c r="H1324" s="85" t="str">
        <f>IF(Proc[[#This Row],[type]]="LFF (MDG-F)",MID(Proc[[#This Row],[Obj]],13,10),"")</f>
        <v/>
      </c>
      <c r="J1324" s="85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MGF</v>
      </c>
      <c r="L1324" s="85" t="s">
        <v>2563</v>
      </c>
      <c r="M1324" s="80">
        <v>45790.424861111111</v>
      </c>
      <c r="N1324" s="83">
        <v>45796</v>
      </c>
      <c r="O1324" s="83">
        <v>45796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4</v>
      </c>
      <c r="R1324" s="80" t="s">
        <v>1076</v>
      </c>
      <c r="S1324" s="85"/>
    </row>
    <row r="1325" spans="1:19" hidden="1">
      <c r="A1325" s="84" t="s">
        <v>3201</v>
      </c>
      <c r="B1325" s="149" t="str">
        <f>IFERROR(VLOOKUP(Proc[[#This Row],[App]],Table2[],3,0),"open")</f>
        <v>ok</v>
      </c>
      <c r="C1325" s="84" t="s">
        <v>369</v>
      </c>
      <c r="D1325" t="s">
        <v>3219</v>
      </c>
      <c r="E1325" s="84" t="s">
        <v>3225</v>
      </c>
      <c r="F1325" s="117" t="s">
        <v>3225</v>
      </c>
      <c r="G1325" s="84" t="s">
        <v>400</v>
      </c>
      <c r="H1325" s="85" t="str">
        <f>IF(Proc[[#This Row],[type]]="LFF (MDG-F)",MID(Proc[[#This Row],[Obj]],13,10),"")</f>
        <v/>
      </c>
      <c r="J1325" s="85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MGF</v>
      </c>
      <c r="L1325" s="85" t="s">
        <v>2563</v>
      </c>
      <c r="M1325" s="80">
        <v>45790.424861111111</v>
      </c>
      <c r="N1325" s="83">
        <v>45796</v>
      </c>
      <c r="O1325" s="83">
        <v>45796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4</v>
      </c>
      <c r="R1325" s="80" t="s">
        <v>1076</v>
      </c>
      <c r="S1325" s="85"/>
    </row>
    <row r="1326" spans="1:19" hidden="1">
      <c r="A1326" s="84" t="s">
        <v>3201</v>
      </c>
      <c r="B1326" s="149" t="str">
        <f>IFERROR(VLOOKUP(Proc[[#This Row],[App]],Table2[],3,0),"open")</f>
        <v>ok</v>
      </c>
      <c r="C1326" s="84" t="s">
        <v>369</v>
      </c>
      <c r="D1326" t="s">
        <v>3220</v>
      </c>
      <c r="E1326" s="84" t="s">
        <v>3225</v>
      </c>
      <c r="F1326" s="117" t="s">
        <v>3225</v>
      </c>
      <c r="G1326" s="84" t="s">
        <v>400</v>
      </c>
      <c r="H1326" s="85" t="str">
        <f>IF(Proc[[#This Row],[type]]="LFF (MDG-F)",MID(Proc[[#This Row],[Obj]],13,10),"")</f>
        <v/>
      </c>
      <c r="J1326" s="85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MGF</v>
      </c>
      <c r="L1326" s="85" t="s">
        <v>2563</v>
      </c>
      <c r="M1326" s="80">
        <v>45790.424861111111</v>
      </c>
      <c r="N1326" s="83">
        <v>45796</v>
      </c>
      <c r="O1326" s="83">
        <v>45796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4</v>
      </c>
      <c r="R1326" s="80" t="s">
        <v>1076</v>
      </c>
      <c r="S1326" s="85"/>
    </row>
    <row r="1327" spans="1:19" hidden="1">
      <c r="A1327" s="84" t="s">
        <v>3201</v>
      </c>
      <c r="B1327" s="149" t="str">
        <f>IFERROR(VLOOKUP(Proc[[#This Row],[App]],Table2[],3,0),"open")</f>
        <v>ok</v>
      </c>
      <c r="C1327" s="84" t="s">
        <v>369</v>
      </c>
      <c r="D1327" t="s">
        <v>3221</v>
      </c>
      <c r="E1327" s="84" t="s">
        <v>3225</v>
      </c>
      <c r="F1327" s="117" t="s">
        <v>3225</v>
      </c>
      <c r="G1327" s="84" t="s">
        <v>400</v>
      </c>
      <c r="H1327" s="85" t="str">
        <f>IF(Proc[[#This Row],[type]]="LFF (MDG-F)",MID(Proc[[#This Row],[Obj]],13,10),"")</f>
        <v/>
      </c>
      <c r="J1327" s="85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MGF</v>
      </c>
      <c r="L1327" s="85" t="s">
        <v>2563</v>
      </c>
      <c r="M1327" s="80">
        <v>45790.424861111111</v>
      </c>
      <c r="N1327" s="83">
        <v>45796</v>
      </c>
      <c r="O1327" s="83">
        <v>45796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4</v>
      </c>
      <c r="R1327" s="80" t="s">
        <v>1076</v>
      </c>
      <c r="S1327" s="85"/>
    </row>
    <row r="1328" spans="1:19" hidden="1">
      <c r="A1328" s="84" t="s">
        <v>3201</v>
      </c>
      <c r="B1328" s="149" t="str">
        <f>IFERROR(VLOOKUP(Proc[[#This Row],[App]],Table2[],3,0),"open")</f>
        <v>ok</v>
      </c>
      <c r="C1328" s="84" t="s">
        <v>369</v>
      </c>
      <c r="D1328" t="s">
        <v>3222</v>
      </c>
      <c r="E1328" s="84" t="s">
        <v>3225</v>
      </c>
      <c r="F1328" s="117" t="s">
        <v>3225</v>
      </c>
      <c r="G1328" s="84" t="s">
        <v>400</v>
      </c>
      <c r="H1328" s="85" t="str">
        <f>IF(Proc[[#This Row],[type]]="LFF (MDG-F)",MID(Proc[[#This Row],[Obj]],13,10),"")</f>
        <v/>
      </c>
      <c r="J1328" s="85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MGF</v>
      </c>
      <c r="L1328" s="85" t="s">
        <v>2563</v>
      </c>
      <c r="M1328" s="80">
        <v>45790.424861111111</v>
      </c>
      <c r="N1328" s="83">
        <v>45796</v>
      </c>
      <c r="O1328" s="83">
        <v>45796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4</v>
      </c>
      <c r="R1328" s="80" t="s">
        <v>1076</v>
      </c>
      <c r="S1328" s="85"/>
    </row>
    <row r="1329" spans="1:19" hidden="1">
      <c r="A1329" s="84" t="s">
        <v>3201</v>
      </c>
      <c r="B1329" s="149" t="str">
        <f>IFERROR(VLOOKUP(Proc[[#This Row],[App]],Table2[],3,0),"open")</f>
        <v>ok</v>
      </c>
      <c r="C1329" s="84" t="s">
        <v>369</v>
      </c>
      <c r="D1329" t="s">
        <v>3223</v>
      </c>
      <c r="E1329" s="84" t="s">
        <v>3225</v>
      </c>
      <c r="F1329" s="117" t="s">
        <v>3225</v>
      </c>
      <c r="G1329" s="84" t="s">
        <v>400</v>
      </c>
      <c r="H1329" s="85" t="str">
        <f>IF(Proc[[#This Row],[type]]="LFF (MDG-F)",MID(Proc[[#This Row],[Obj]],13,10),"")</f>
        <v/>
      </c>
      <c r="J1329" s="85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MGF</v>
      </c>
      <c r="L1329" s="85" t="s">
        <v>2563</v>
      </c>
      <c r="M1329" s="80">
        <v>45790.424861111111</v>
      </c>
      <c r="N1329" s="83">
        <v>45796</v>
      </c>
      <c r="O1329" s="83">
        <v>45796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4</v>
      </c>
      <c r="R1329" s="80" t="s">
        <v>1076</v>
      </c>
      <c r="S1329" s="85"/>
    </row>
    <row r="1330" spans="1:19" hidden="1">
      <c r="A1330" s="84" t="s">
        <v>3201</v>
      </c>
      <c r="B1330" s="149" t="str">
        <f>IFERROR(VLOOKUP(Proc[[#This Row],[App]],Table2[],3,0),"open")</f>
        <v>ok</v>
      </c>
      <c r="C1330" s="84" t="s">
        <v>369</v>
      </c>
      <c r="D1330" t="s">
        <v>3224</v>
      </c>
      <c r="E1330" s="84" t="s">
        <v>3225</v>
      </c>
      <c r="F1330" s="117" t="s">
        <v>3225</v>
      </c>
      <c r="G1330" s="84" t="s">
        <v>400</v>
      </c>
      <c r="H1330" s="85" t="str">
        <f>IF(Proc[[#This Row],[type]]="LFF (MDG-F)",MID(Proc[[#This Row],[Obj]],13,10),"")</f>
        <v/>
      </c>
      <c r="J1330" s="85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MGF</v>
      </c>
      <c r="L1330" s="85" t="s">
        <v>2563</v>
      </c>
      <c r="M1330" s="80">
        <v>45790.424861111111</v>
      </c>
      <c r="N1330" s="83">
        <v>45796</v>
      </c>
      <c r="O1330" s="83">
        <v>45796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4</v>
      </c>
      <c r="R1330" s="80" t="s">
        <v>1076</v>
      </c>
      <c r="S1330" s="85"/>
    </row>
    <row r="1331" spans="1:19" hidden="1">
      <c r="A1331" t="s">
        <v>3228</v>
      </c>
      <c r="B1331" s="149" t="str">
        <f>IFERROR(VLOOKUP(Proc[[#This Row],[App]],Table2[],3,0),"open")</f>
        <v>ok</v>
      </c>
      <c r="C1331" s="84" t="s">
        <v>369</v>
      </c>
      <c r="D1331" t="s">
        <v>3229</v>
      </c>
      <c r="E1331" t="s">
        <v>3248</v>
      </c>
      <c r="F1331" s="117" t="s">
        <v>3248</v>
      </c>
      <c r="G1331" t="s">
        <v>406</v>
      </c>
      <c r="H1331" s="85" t="str">
        <f>IF(Proc[[#This Row],[type]]="LFF (MDG-F)",MID(Proc[[#This Row],[Obj]],13,10),"")</f>
        <v>AE50GCO220</v>
      </c>
      <c r="I1331" s="84" t="s">
        <v>3259</v>
      </c>
      <c r="J1331" s="85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MGF</v>
      </c>
      <c r="L1331" s="85" t="s">
        <v>2563</v>
      </c>
      <c r="M1331" s="83">
        <v>45791.342372685183</v>
      </c>
      <c r="N1331" s="83">
        <v>45792</v>
      </c>
      <c r="O1331" s="83">
        <v>45792</v>
      </c>
      <c r="P1331" s="86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1</v>
      </c>
      <c r="R1331" s="86" t="s">
        <v>515</v>
      </c>
      <c r="S1331" s="85"/>
    </row>
    <row r="1332" spans="1:19" hidden="1">
      <c r="A1332" s="84" t="s">
        <v>3228</v>
      </c>
      <c r="B1332" s="149" t="str">
        <f>IFERROR(VLOOKUP(Proc[[#This Row],[App]],Table2[],3,0),"open")</f>
        <v>ok</v>
      </c>
      <c r="C1332" s="84" t="s">
        <v>369</v>
      </c>
      <c r="D1332" t="s">
        <v>3230</v>
      </c>
      <c r="E1332" t="s">
        <v>3249</v>
      </c>
      <c r="F1332" s="117" t="s">
        <v>3249</v>
      </c>
      <c r="G1332" s="84" t="s">
        <v>406</v>
      </c>
      <c r="H1332" s="85" t="str">
        <f>IF(Proc[[#This Row],[type]]="LFF (MDG-F)",MID(Proc[[#This Row],[Obj]],13,10),"")</f>
        <v>CN90GMK003</v>
      </c>
      <c r="I1332" s="84" t="s">
        <v>3259</v>
      </c>
      <c r="J1332" s="85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MGF</v>
      </c>
      <c r="L1332" s="85" t="s">
        <v>2563</v>
      </c>
      <c r="M1332" s="83">
        <v>45791.342372685183</v>
      </c>
      <c r="N1332" s="83">
        <v>45792</v>
      </c>
      <c r="O1332" s="83">
        <v>45792</v>
      </c>
      <c r="P1332" s="86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1</v>
      </c>
      <c r="R1332" s="86" t="s">
        <v>515</v>
      </c>
      <c r="S1332" s="85"/>
    </row>
    <row r="1333" spans="1:19" hidden="1">
      <c r="A1333" s="84" t="s">
        <v>3228</v>
      </c>
      <c r="B1333" s="149" t="str">
        <f>IFERROR(VLOOKUP(Proc[[#This Row],[App]],Table2[],3,0),"open")</f>
        <v>ok</v>
      </c>
      <c r="C1333" s="84" t="s">
        <v>369</v>
      </c>
      <c r="D1333" t="s">
        <v>3231</v>
      </c>
      <c r="E1333" t="s">
        <v>3250</v>
      </c>
      <c r="F1333" s="117" t="s">
        <v>3250</v>
      </c>
      <c r="G1333" s="84" t="s">
        <v>406</v>
      </c>
      <c r="H1333" s="85" t="str">
        <f>IF(Proc[[#This Row],[type]]="LFF (MDG-F)",MID(Proc[[#This Row],[Obj]],13,10),"")</f>
        <v>DE10624905</v>
      </c>
      <c r="I1333" s="84" t="s">
        <v>3259</v>
      </c>
      <c r="J1333" s="85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MGF</v>
      </c>
      <c r="L1333" s="85" t="s">
        <v>2563</v>
      </c>
      <c r="M1333" s="83">
        <v>45791.342372685183</v>
      </c>
      <c r="N1333" s="83">
        <v>45792</v>
      </c>
      <c r="O1333" s="83">
        <v>45792</v>
      </c>
      <c r="P1333" s="86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1</v>
      </c>
      <c r="R1333" s="86" t="s">
        <v>515</v>
      </c>
      <c r="S1333" s="85"/>
    </row>
    <row r="1334" spans="1:19" hidden="1">
      <c r="A1334" s="84" t="s">
        <v>3228</v>
      </c>
      <c r="B1334" s="149" t="str">
        <f>IFERROR(VLOOKUP(Proc[[#This Row],[App]],Table2[],3,0),"open")</f>
        <v>ok</v>
      </c>
      <c r="C1334" s="84" t="s">
        <v>369</v>
      </c>
      <c r="D1334" t="s">
        <v>3232</v>
      </c>
      <c r="E1334" t="s">
        <v>3250</v>
      </c>
      <c r="F1334" s="117" t="s">
        <v>3250</v>
      </c>
      <c r="G1334" s="84" t="s">
        <v>406</v>
      </c>
      <c r="H1334" s="85" t="str">
        <f>IF(Proc[[#This Row],[type]]="LFF (MDG-F)",MID(Proc[[#This Row],[Obj]],13,10),"")</f>
        <v>DE10624906</v>
      </c>
      <c r="I1334" s="84" t="s">
        <v>3259</v>
      </c>
      <c r="J1334" s="85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MGF</v>
      </c>
      <c r="L1334" s="85" t="s">
        <v>2563</v>
      </c>
      <c r="M1334" s="83">
        <v>45791.342372685183</v>
      </c>
      <c r="N1334" s="83">
        <v>45792</v>
      </c>
      <c r="O1334" s="83">
        <v>45792</v>
      </c>
      <c r="P1334" s="86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1</v>
      </c>
      <c r="R1334" s="86" t="s">
        <v>515</v>
      </c>
      <c r="S1334" s="85"/>
    </row>
    <row r="1335" spans="1:19" hidden="1">
      <c r="A1335" s="84" t="s">
        <v>3228</v>
      </c>
      <c r="B1335" s="149" t="str">
        <f>IFERROR(VLOOKUP(Proc[[#This Row],[App]],Table2[],3,0),"open")</f>
        <v>ok</v>
      </c>
      <c r="C1335" s="84" t="s">
        <v>369</v>
      </c>
      <c r="D1335" t="s">
        <v>3233</v>
      </c>
      <c r="E1335" t="s">
        <v>3249</v>
      </c>
      <c r="F1335" s="117" t="s">
        <v>3249</v>
      </c>
      <c r="G1335" s="84" t="s">
        <v>406</v>
      </c>
      <c r="H1335" s="85" t="str">
        <f>IF(Proc[[#This Row],[type]]="LFF (MDG-F)",MID(Proc[[#This Row],[Obj]],13,10),"")</f>
        <v>DE10GM1057</v>
      </c>
      <c r="I1335" s="84" t="s">
        <v>3259</v>
      </c>
      <c r="J1335" s="85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MGF</v>
      </c>
      <c r="L1335" s="85" t="s">
        <v>2563</v>
      </c>
      <c r="M1335" s="83">
        <v>45791.342372685183</v>
      </c>
      <c r="N1335" s="83">
        <v>45792</v>
      </c>
      <c r="O1335" s="83">
        <v>45792</v>
      </c>
      <c r="P1335" s="86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6" t="s">
        <v>515</v>
      </c>
      <c r="S1335" s="85"/>
    </row>
    <row r="1336" spans="1:19" hidden="1">
      <c r="A1336" s="84" t="s">
        <v>3228</v>
      </c>
      <c r="B1336" s="149" t="str">
        <f>IFERROR(VLOOKUP(Proc[[#This Row],[App]],Table2[],3,0),"open")</f>
        <v>ok</v>
      </c>
      <c r="C1336" s="84" t="s">
        <v>369</v>
      </c>
      <c r="D1336" t="s">
        <v>3234</v>
      </c>
      <c r="E1336" t="s">
        <v>3251</v>
      </c>
      <c r="F1336" s="117" t="s">
        <v>3251</v>
      </c>
      <c r="G1336" s="84" t="s">
        <v>406</v>
      </c>
      <c r="H1336" s="85" t="str">
        <f>IF(Proc[[#This Row],[type]]="LFF (MDG-F)",MID(Proc[[#This Row],[Obj]],13,10),"")</f>
        <v>DE10GMK003</v>
      </c>
      <c r="I1336" s="84" t="s">
        <v>3259</v>
      </c>
      <c r="J1336" s="85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MGF</v>
      </c>
      <c r="L1336" s="85" t="s">
        <v>2563</v>
      </c>
      <c r="M1336" s="83">
        <v>45791.342372685183</v>
      </c>
      <c r="N1336" s="83">
        <v>45792</v>
      </c>
      <c r="O1336" s="83">
        <v>45792</v>
      </c>
      <c r="P1336" s="86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6" t="s">
        <v>515</v>
      </c>
      <c r="S1336" s="85"/>
    </row>
    <row r="1337" spans="1:19" hidden="1">
      <c r="A1337" s="84" t="s">
        <v>3228</v>
      </c>
      <c r="B1337" s="149" t="str">
        <f>IFERROR(VLOOKUP(Proc[[#This Row],[App]],Table2[],3,0),"open")</f>
        <v>ok</v>
      </c>
      <c r="C1337" s="84" t="s">
        <v>369</v>
      </c>
      <c r="D1337" t="s">
        <v>3235</v>
      </c>
      <c r="E1337" t="s">
        <v>3252</v>
      </c>
      <c r="F1337" s="117" t="s">
        <v>3252</v>
      </c>
      <c r="G1337" s="84" t="s">
        <v>406</v>
      </c>
      <c r="H1337" s="85" t="str">
        <f>IF(Proc[[#This Row],[type]]="LFF (MDG-F)",MID(Proc[[#This Row],[Obj]],13,10),"")</f>
        <v>DE10GMK004</v>
      </c>
      <c r="I1337" s="84" t="s">
        <v>3259</v>
      </c>
      <c r="J1337" s="85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MGF</v>
      </c>
      <c r="L1337" s="85" t="s">
        <v>2563</v>
      </c>
      <c r="M1337" s="83">
        <v>45791.342372685183</v>
      </c>
      <c r="N1337" s="83">
        <v>45792</v>
      </c>
      <c r="O1337" s="83">
        <v>45792</v>
      </c>
      <c r="P1337" s="86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6" t="s">
        <v>515</v>
      </c>
      <c r="S1337" s="85"/>
    </row>
    <row r="1338" spans="1:19" hidden="1">
      <c r="A1338" s="84" t="s">
        <v>3228</v>
      </c>
      <c r="B1338" s="149" t="str">
        <f>IFERROR(VLOOKUP(Proc[[#This Row],[App]],Table2[],3,0),"open")</f>
        <v>ok</v>
      </c>
      <c r="C1338" s="84" t="s">
        <v>369</v>
      </c>
      <c r="D1338" t="s">
        <v>3236</v>
      </c>
      <c r="E1338" t="s">
        <v>3253</v>
      </c>
      <c r="F1338" s="117" t="s">
        <v>3253</v>
      </c>
      <c r="G1338" s="84" t="s">
        <v>406</v>
      </c>
      <c r="H1338" s="85" t="str">
        <f>IF(Proc[[#This Row],[type]]="LFF (MDG-F)",MID(Proc[[#This Row],[Obj]],13,10),"")</f>
        <v>DE10Z03107</v>
      </c>
      <c r="I1338" s="84" t="s">
        <v>3259</v>
      </c>
      <c r="J1338" s="85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MGF</v>
      </c>
      <c r="L1338" s="85" t="s">
        <v>2563</v>
      </c>
      <c r="M1338" s="83">
        <v>45791.342372685183</v>
      </c>
      <c r="N1338" s="83">
        <v>45792</v>
      </c>
      <c r="O1338" s="83">
        <v>45792</v>
      </c>
      <c r="P1338" s="86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6" t="s">
        <v>515</v>
      </c>
      <c r="S1338" s="85"/>
    </row>
    <row r="1339" spans="1:19" hidden="1">
      <c r="A1339" s="84" t="s">
        <v>3228</v>
      </c>
      <c r="B1339" s="149" t="str">
        <f>IFERROR(VLOOKUP(Proc[[#This Row],[App]],Table2[],3,0),"open")</f>
        <v>ok</v>
      </c>
      <c r="C1339" s="84" t="s">
        <v>369</v>
      </c>
      <c r="D1339" t="s">
        <v>3237</v>
      </c>
      <c r="E1339" t="s">
        <v>3249</v>
      </c>
      <c r="F1339" s="117" t="s">
        <v>3249</v>
      </c>
      <c r="G1339" s="84" t="s">
        <v>406</v>
      </c>
      <c r="H1339" s="85" t="str">
        <f>IF(Proc[[#This Row],[type]]="LFF (MDG-F)",MID(Proc[[#This Row],[Obj]],13,10),"")</f>
        <v>DE10Z03108</v>
      </c>
      <c r="I1339" s="84" t="s">
        <v>3259</v>
      </c>
      <c r="J1339" s="85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MGF</v>
      </c>
      <c r="L1339" s="85" t="s">
        <v>2563</v>
      </c>
      <c r="M1339" s="83">
        <v>45791.342372685183</v>
      </c>
      <c r="N1339" s="83">
        <v>45792</v>
      </c>
      <c r="O1339" s="83">
        <v>45792</v>
      </c>
      <c r="P1339" s="86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6" t="s">
        <v>515</v>
      </c>
      <c r="S1339" s="85"/>
    </row>
    <row r="1340" spans="1:19" hidden="1">
      <c r="A1340" s="84" t="s">
        <v>3228</v>
      </c>
      <c r="B1340" s="149" t="str">
        <f>IFERROR(VLOOKUP(Proc[[#This Row],[App]],Table2[],3,0),"open")</f>
        <v>ok</v>
      </c>
      <c r="C1340" s="84" t="s">
        <v>369</v>
      </c>
      <c r="D1340" t="s">
        <v>3238</v>
      </c>
      <c r="E1340" t="s">
        <v>3248</v>
      </c>
      <c r="F1340" s="117" t="s">
        <v>3248</v>
      </c>
      <c r="G1340" s="84" t="s">
        <v>406</v>
      </c>
      <c r="H1340" s="85" t="str">
        <f>IF(Proc[[#This Row],[type]]="LFF (MDG-F)",MID(Proc[[#This Row],[Obj]],13,10),"")</f>
        <v>DE10Z03109</v>
      </c>
      <c r="I1340" s="84" t="s">
        <v>3259</v>
      </c>
      <c r="J1340" s="85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MGF</v>
      </c>
      <c r="L1340" s="85" t="s">
        <v>2563</v>
      </c>
      <c r="M1340" s="83">
        <v>45791.342372685183</v>
      </c>
      <c r="N1340" s="83">
        <v>45792</v>
      </c>
      <c r="O1340" s="83">
        <v>45792</v>
      </c>
      <c r="P1340" s="86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6" t="s">
        <v>515</v>
      </c>
      <c r="S1340" s="85"/>
    </row>
    <row r="1341" spans="1:19" hidden="1">
      <c r="A1341" s="84" t="s">
        <v>3228</v>
      </c>
      <c r="B1341" s="149" t="str">
        <f>IFERROR(VLOOKUP(Proc[[#This Row],[App]],Table2[],3,0),"open")</f>
        <v>ok</v>
      </c>
      <c r="C1341" s="84" t="s">
        <v>369</v>
      </c>
      <c r="D1341" t="s">
        <v>3239</v>
      </c>
      <c r="E1341" t="s">
        <v>3254</v>
      </c>
      <c r="F1341" s="117" t="s">
        <v>3254</v>
      </c>
      <c r="G1341" s="84" t="s">
        <v>406</v>
      </c>
      <c r="H1341" s="85" t="str">
        <f>IF(Proc[[#This Row],[type]]="LFF (MDG-F)",MID(Proc[[#This Row],[Obj]],13,10),"")</f>
        <v>DE10Z03110</v>
      </c>
      <c r="I1341" s="84" t="s">
        <v>3259</v>
      </c>
      <c r="J1341" s="85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MGF</v>
      </c>
      <c r="L1341" s="85" t="s">
        <v>2563</v>
      </c>
      <c r="M1341" s="83">
        <v>45791.342372685183</v>
      </c>
      <c r="N1341" s="83">
        <v>45792</v>
      </c>
      <c r="O1341" s="83">
        <v>45792</v>
      </c>
      <c r="P1341" s="86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6" t="s">
        <v>515</v>
      </c>
      <c r="S1341" s="85"/>
    </row>
    <row r="1342" spans="1:19" hidden="1">
      <c r="A1342" s="84" t="s">
        <v>3228</v>
      </c>
      <c r="B1342" s="149" t="str">
        <f>IFERROR(VLOOKUP(Proc[[#This Row],[App]],Table2[],3,0),"open")</f>
        <v>ok</v>
      </c>
      <c r="C1342" s="84" t="s">
        <v>369</v>
      </c>
      <c r="D1342" t="s">
        <v>3240</v>
      </c>
      <c r="E1342" t="s">
        <v>3253</v>
      </c>
      <c r="F1342" s="117" t="s">
        <v>3253</v>
      </c>
      <c r="G1342" s="84" t="s">
        <v>406</v>
      </c>
      <c r="H1342" s="85" t="str">
        <f>IF(Proc[[#This Row],[type]]="LFF (MDG-F)",MID(Proc[[#This Row],[Obj]],13,10),"")</f>
        <v>1937GMK003</v>
      </c>
      <c r="I1342" s="84" t="s">
        <v>3259</v>
      </c>
      <c r="J1342" s="85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MGF</v>
      </c>
      <c r="L1342" s="85" t="s">
        <v>2563</v>
      </c>
      <c r="M1342" s="83">
        <v>45791.342372685183</v>
      </c>
      <c r="N1342" s="83">
        <v>45792</v>
      </c>
      <c r="O1342" s="83">
        <v>45792</v>
      </c>
      <c r="P1342" s="86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6" t="s">
        <v>515</v>
      </c>
      <c r="S1342" s="85"/>
    </row>
    <row r="1343" spans="1:19" hidden="1">
      <c r="A1343" s="84" t="s">
        <v>3228</v>
      </c>
      <c r="B1343" s="149" t="str">
        <f>IFERROR(VLOOKUP(Proc[[#This Row],[App]],Table2[],3,0),"open")</f>
        <v>ok</v>
      </c>
      <c r="C1343" s="84" t="s">
        <v>369</v>
      </c>
      <c r="D1343" t="s">
        <v>3241</v>
      </c>
      <c r="E1343" t="s">
        <v>3248</v>
      </c>
      <c r="F1343" s="117" t="s">
        <v>3248</v>
      </c>
      <c r="G1343" s="84" t="s">
        <v>406</v>
      </c>
      <c r="H1343" s="85" t="str">
        <f>IF(Proc[[#This Row],[type]]="LFF (MDG-F)",MID(Proc[[#This Row],[Obj]],13,10),"")</f>
        <v>2025GMK003</v>
      </c>
      <c r="I1343" s="84" t="s">
        <v>3259</v>
      </c>
      <c r="J1343" s="85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MGF</v>
      </c>
      <c r="L1343" s="85" t="s">
        <v>2563</v>
      </c>
      <c r="M1343" s="83">
        <v>45791.342372685183</v>
      </c>
      <c r="N1343" s="83">
        <v>45792</v>
      </c>
      <c r="O1343" s="83">
        <v>45792</v>
      </c>
      <c r="P1343" s="86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6" t="s">
        <v>515</v>
      </c>
      <c r="S1343" s="85"/>
    </row>
    <row r="1344" spans="1:19" hidden="1">
      <c r="A1344" s="84" t="s">
        <v>3228</v>
      </c>
      <c r="B1344" s="149" t="str">
        <f>IFERROR(VLOOKUP(Proc[[#This Row],[App]],Table2[],3,0),"open")</f>
        <v>ok</v>
      </c>
      <c r="C1344" s="84" t="s">
        <v>369</v>
      </c>
      <c r="D1344" t="s">
        <v>3242</v>
      </c>
      <c r="E1344" t="s">
        <v>3249</v>
      </c>
      <c r="F1344" s="117" t="s">
        <v>3249</v>
      </c>
      <c r="G1344" s="84" t="s">
        <v>406</v>
      </c>
      <c r="H1344" s="85" t="str">
        <f>IF(Proc[[#This Row],[type]]="LFF (MDG-F)",MID(Proc[[#This Row],[Obj]],13,10),"")</f>
        <v>2123Z03104</v>
      </c>
      <c r="I1344" t="s">
        <v>3259</v>
      </c>
      <c r="J1344" s="85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MGF</v>
      </c>
      <c r="L1344" s="85" t="s">
        <v>2563</v>
      </c>
      <c r="M1344" s="83">
        <v>45791.342372685183</v>
      </c>
      <c r="N1344" s="83">
        <v>45792</v>
      </c>
      <c r="O1344" s="83">
        <v>45792</v>
      </c>
      <c r="P1344" s="86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6" t="s">
        <v>515</v>
      </c>
      <c r="S1344" s="85"/>
    </row>
    <row r="1345" spans="1:19" hidden="1">
      <c r="A1345" s="84" t="s">
        <v>3228</v>
      </c>
      <c r="B1345" s="149" t="str">
        <f>IFERROR(VLOOKUP(Proc[[#This Row],[App]],Table2[],3,0),"open")</f>
        <v>ok</v>
      </c>
      <c r="C1345" s="84" t="s">
        <v>369</v>
      </c>
      <c r="D1345" t="s">
        <v>3243</v>
      </c>
      <c r="E1345" t="s">
        <v>3248</v>
      </c>
      <c r="F1345" s="117" t="s">
        <v>3248</v>
      </c>
      <c r="G1345" t="s">
        <v>400</v>
      </c>
      <c r="H1345" s="85" t="str">
        <f>IF(Proc[[#This Row],[type]]="LFF (MDG-F)",MID(Proc[[#This Row],[Obj]],13,10),"")</f>
        <v/>
      </c>
      <c r="J1345" s="85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MGF</v>
      </c>
      <c r="L1345" s="85" t="s">
        <v>2563</v>
      </c>
      <c r="M1345" s="83">
        <v>45791.342372685183</v>
      </c>
      <c r="N1345" s="83">
        <v>45792</v>
      </c>
      <c r="O1345" s="83">
        <v>45792</v>
      </c>
      <c r="P1345" s="86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6" t="s">
        <v>515</v>
      </c>
      <c r="S1345" s="85"/>
    </row>
    <row r="1346" spans="1:19" hidden="1">
      <c r="A1346" s="84" t="s">
        <v>3228</v>
      </c>
      <c r="B1346" s="149" t="str">
        <f>IFERROR(VLOOKUP(Proc[[#This Row],[App]],Table2[],3,0),"open")</f>
        <v>ok</v>
      </c>
      <c r="C1346" s="84" t="s">
        <v>369</v>
      </c>
      <c r="D1346" t="s">
        <v>3244</v>
      </c>
      <c r="E1346" t="s">
        <v>3249</v>
      </c>
      <c r="F1346" s="117" t="s">
        <v>3249</v>
      </c>
      <c r="G1346" s="84" t="s">
        <v>400</v>
      </c>
      <c r="H1346" s="85" t="str">
        <f>IF(Proc[[#This Row],[type]]="LFF (MDG-F)",MID(Proc[[#This Row],[Obj]],13,10),"")</f>
        <v/>
      </c>
      <c r="J1346" s="85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MGF</v>
      </c>
      <c r="L1346" s="85" t="s">
        <v>2563</v>
      </c>
      <c r="M1346" s="83">
        <v>45791.342372685183</v>
      </c>
      <c r="N1346" s="83">
        <v>45792</v>
      </c>
      <c r="O1346" s="83">
        <v>45792</v>
      </c>
      <c r="P1346" s="86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6" t="s">
        <v>515</v>
      </c>
      <c r="S1346" s="85"/>
    </row>
    <row r="1347" spans="1:19" hidden="1">
      <c r="A1347" s="84" t="s">
        <v>3228</v>
      </c>
      <c r="B1347" s="149" t="str">
        <f>IFERROR(VLOOKUP(Proc[[#This Row],[App]],Table2[],3,0),"open")</f>
        <v>ok</v>
      </c>
      <c r="C1347" s="84" t="s">
        <v>369</v>
      </c>
      <c r="D1347" t="s">
        <v>3245</v>
      </c>
      <c r="E1347" t="s">
        <v>3252</v>
      </c>
      <c r="F1347" s="117" t="s">
        <v>3252</v>
      </c>
      <c r="G1347" s="84" t="s">
        <v>400</v>
      </c>
      <c r="H1347" s="85" t="str">
        <f>IF(Proc[[#This Row],[type]]="LFF (MDG-F)",MID(Proc[[#This Row],[Obj]],13,10),"")</f>
        <v/>
      </c>
      <c r="J1347" s="85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MGF</v>
      </c>
      <c r="L1347" s="85" t="s">
        <v>2563</v>
      </c>
      <c r="M1347" s="83">
        <v>45791.342372685183</v>
      </c>
      <c r="N1347" s="83">
        <v>45792</v>
      </c>
      <c r="O1347" s="83">
        <v>45792</v>
      </c>
      <c r="P1347" s="86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6" t="s">
        <v>515</v>
      </c>
      <c r="S1347" s="85"/>
    </row>
    <row r="1348" spans="1:19" hidden="1">
      <c r="A1348" s="84" t="s">
        <v>3228</v>
      </c>
      <c r="B1348" s="149" t="str">
        <f>IFERROR(VLOOKUP(Proc[[#This Row],[App]],Table2[],3,0),"open")</f>
        <v>ok</v>
      </c>
      <c r="C1348" s="84" t="s">
        <v>369</v>
      </c>
      <c r="D1348" t="s">
        <v>3246</v>
      </c>
      <c r="E1348" t="s">
        <v>3248</v>
      </c>
      <c r="F1348" s="117" t="s">
        <v>3248</v>
      </c>
      <c r="G1348" s="84" t="s">
        <v>400</v>
      </c>
      <c r="H1348" s="85" t="str">
        <f>IF(Proc[[#This Row],[type]]="LFF (MDG-F)",MID(Proc[[#This Row],[Obj]],13,10),"")</f>
        <v/>
      </c>
      <c r="J1348" s="85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MGF</v>
      </c>
      <c r="L1348" s="85" t="s">
        <v>2563</v>
      </c>
      <c r="M1348" s="83">
        <v>45791.342372685183</v>
      </c>
      <c r="N1348" s="83">
        <v>45792</v>
      </c>
      <c r="O1348" s="83">
        <v>45792</v>
      </c>
      <c r="P1348" s="86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6" t="s">
        <v>515</v>
      </c>
      <c r="S1348" s="85"/>
    </row>
    <row r="1349" spans="1:19" hidden="1">
      <c r="A1349" s="84" t="s">
        <v>3228</v>
      </c>
      <c r="B1349" s="149" t="str">
        <f>IFERROR(VLOOKUP(Proc[[#This Row],[App]],Table2[],3,0),"open")</f>
        <v>ok</v>
      </c>
      <c r="C1349" s="84" t="s">
        <v>369</v>
      </c>
      <c r="D1349" t="s">
        <v>3247</v>
      </c>
      <c r="E1349" t="s">
        <v>3249</v>
      </c>
      <c r="F1349" s="117" t="s">
        <v>3249</v>
      </c>
      <c r="G1349" s="84" t="s">
        <v>400</v>
      </c>
      <c r="H1349" s="85" t="str">
        <f>IF(Proc[[#This Row],[type]]="LFF (MDG-F)",MID(Proc[[#This Row],[Obj]],13,10),"")</f>
        <v/>
      </c>
      <c r="J1349" s="85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MGF</v>
      </c>
      <c r="L1349" s="85" t="s">
        <v>2563</v>
      </c>
      <c r="M1349" s="83">
        <v>45791.342372685183</v>
      </c>
      <c r="N1349" s="83">
        <v>45792</v>
      </c>
      <c r="O1349" s="83">
        <v>45792</v>
      </c>
      <c r="P1349" s="86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6" t="s">
        <v>515</v>
      </c>
      <c r="S1349" s="85"/>
    </row>
    <row r="1350" spans="1:19" hidden="1">
      <c r="A1350" t="s">
        <v>3255</v>
      </c>
      <c r="B1350" s="149" t="str">
        <f>IFERROR(VLOOKUP(Proc[[#This Row],[App]],Table2[],3,0),"open")</f>
        <v>ok</v>
      </c>
      <c r="C1350" s="84" t="s">
        <v>369</v>
      </c>
      <c r="D1350" t="s">
        <v>2601</v>
      </c>
      <c r="E1350" t="s">
        <v>3257</v>
      </c>
      <c r="F1350" s="117" t="s">
        <v>3257</v>
      </c>
      <c r="G1350" s="84" t="s">
        <v>400</v>
      </c>
      <c r="H1350" s="85" t="str">
        <f>IF(Proc[[#This Row],[type]]="LFF (MDG-F)",MID(Proc[[#This Row],[Obj]],13,10),"")</f>
        <v/>
      </c>
      <c r="J1350" s="85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MGF</v>
      </c>
      <c r="L1350" s="85" t="s">
        <v>2563</v>
      </c>
      <c r="M1350" s="83">
        <v>45791.326874999999</v>
      </c>
      <c r="N1350" s="83">
        <v>45792</v>
      </c>
      <c r="O1350" s="83">
        <v>45792</v>
      </c>
      <c r="P1350" s="86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6" t="s">
        <v>515</v>
      </c>
      <c r="S1350" s="85"/>
    </row>
    <row r="1351" spans="1:19" hidden="1">
      <c r="A1351" s="84" t="s">
        <v>3255</v>
      </c>
      <c r="B1351" s="149" t="str">
        <f>IFERROR(VLOOKUP(Proc[[#This Row],[App]],Table2[],3,0),"open")</f>
        <v>ok</v>
      </c>
      <c r="C1351" s="84" t="s">
        <v>369</v>
      </c>
      <c r="D1351" t="s">
        <v>3256</v>
      </c>
      <c r="E1351" t="s">
        <v>3258</v>
      </c>
      <c r="F1351" s="117" t="s">
        <v>3258</v>
      </c>
      <c r="G1351" s="84" t="s">
        <v>400</v>
      </c>
      <c r="H1351" s="85" t="str">
        <f>IF(Proc[[#This Row],[type]]="LFF (MDG-F)",MID(Proc[[#This Row],[Obj]],13,10),"")</f>
        <v/>
      </c>
      <c r="J1351" s="85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MGF</v>
      </c>
      <c r="L1351" s="85" t="s">
        <v>2563</v>
      </c>
      <c r="M1351" s="83">
        <v>45791.326874999999</v>
      </c>
      <c r="N1351" s="83">
        <v>45792</v>
      </c>
      <c r="O1351" s="83">
        <v>45792</v>
      </c>
      <c r="P1351" s="86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6" t="s">
        <v>515</v>
      </c>
      <c r="S1351" s="85"/>
    </row>
    <row r="1352" spans="1:19" hidden="1">
      <c r="A1352" t="s">
        <v>3260</v>
      </c>
      <c r="B1352" s="149" t="str">
        <f>IFERROR(VLOOKUP(Proc[[#This Row],[App]],Table2[],3,0),"open")</f>
        <v>ok</v>
      </c>
      <c r="C1352" s="84" t="s">
        <v>369</v>
      </c>
      <c r="D1352" t="s">
        <v>3261</v>
      </c>
      <c r="E1352" t="s">
        <v>3264</v>
      </c>
      <c r="F1352" s="117" t="s">
        <v>3264</v>
      </c>
      <c r="G1352" s="84" t="s">
        <v>400</v>
      </c>
      <c r="H1352" s="85" t="str">
        <f>IF(Proc[[#This Row],[type]]="LFF (MDG-F)",MID(Proc[[#This Row],[Obj]],13,10),"")</f>
        <v/>
      </c>
      <c r="J1352" s="85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85" t="s">
        <v>2563</v>
      </c>
      <c r="M1352" s="83">
        <v>45792.391504629632</v>
      </c>
      <c r="N1352" s="83">
        <v>45796</v>
      </c>
      <c r="O1352" s="83">
        <v>45796</v>
      </c>
      <c r="P1352" s="86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2</v>
      </c>
      <c r="R1352" s="86" t="s">
        <v>489</v>
      </c>
      <c r="S1352" s="85"/>
    </row>
    <row r="1353" spans="1:19" hidden="1">
      <c r="A1353" s="84" t="s">
        <v>3260</v>
      </c>
      <c r="B1353" s="149" t="str">
        <f>IFERROR(VLOOKUP(Proc[[#This Row],[App]],Table2[],3,0),"open")</f>
        <v>ok</v>
      </c>
      <c r="C1353" s="84" t="s">
        <v>369</v>
      </c>
      <c r="D1353" t="s">
        <v>3262</v>
      </c>
      <c r="E1353" t="s">
        <v>3265</v>
      </c>
      <c r="F1353" s="117" t="s">
        <v>3265</v>
      </c>
      <c r="G1353" s="84" t="s">
        <v>400</v>
      </c>
      <c r="H1353" s="85" t="str">
        <f>IF(Proc[[#This Row],[type]]="LFF (MDG-F)",MID(Proc[[#This Row],[Obj]],13,10),"")</f>
        <v/>
      </c>
      <c r="J1353" s="85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85" t="s">
        <v>2563</v>
      </c>
      <c r="M1353" s="83">
        <v>45792.391504629632</v>
      </c>
      <c r="N1353" s="83">
        <v>45796</v>
      </c>
      <c r="O1353" s="83">
        <v>45796</v>
      </c>
      <c r="P1353" s="86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2</v>
      </c>
      <c r="R1353" s="86" t="s">
        <v>489</v>
      </c>
      <c r="S1353" s="85"/>
    </row>
    <row r="1354" spans="1:19" hidden="1">
      <c r="A1354" s="84" t="s">
        <v>3260</v>
      </c>
      <c r="B1354" s="149" t="str">
        <f>IFERROR(VLOOKUP(Proc[[#This Row],[App]],Table2[],3,0),"open")</f>
        <v>ok</v>
      </c>
      <c r="C1354" s="84" t="s">
        <v>369</v>
      </c>
      <c r="D1354" t="s">
        <v>3263</v>
      </c>
      <c r="E1354" t="s">
        <v>3266</v>
      </c>
      <c r="F1354" s="117" t="s">
        <v>3266</v>
      </c>
      <c r="G1354" s="84" t="s">
        <v>400</v>
      </c>
      <c r="H1354" s="85" t="str">
        <f>IF(Proc[[#This Row],[type]]="LFF (MDG-F)",MID(Proc[[#This Row],[Obj]],13,10),"")</f>
        <v/>
      </c>
      <c r="J1354" s="85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85" t="s">
        <v>2563</v>
      </c>
      <c r="M1354" s="83">
        <v>45792.391504629632</v>
      </c>
      <c r="N1354" s="83">
        <v>45796</v>
      </c>
      <c r="O1354" s="83">
        <v>45796</v>
      </c>
      <c r="P1354" s="86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2</v>
      </c>
      <c r="R1354" s="86" t="s">
        <v>489</v>
      </c>
      <c r="S1354" s="85"/>
    </row>
    <row r="1355" spans="1:19" hidden="1">
      <c r="A1355" t="s">
        <v>3267</v>
      </c>
      <c r="B1355" s="149" t="str">
        <f>IFERROR(VLOOKUP(Proc[[#This Row],[App]],Table2[],3,0),"open")</f>
        <v>ok</v>
      </c>
      <c r="C1355" s="84" t="s">
        <v>369</v>
      </c>
      <c r="D1355" t="s">
        <v>3268</v>
      </c>
      <c r="E1355" t="s">
        <v>3279</v>
      </c>
      <c r="F1355" s="117" t="s">
        <v>3279</v>
      </c>
      <c r="G1355" s="84" t="s">
        <v>400</v>
      </c>
      <c r="H1355" s="85" t="str">
        <f>IF(Proc[[#This Row],[type]]="LFF (MDG-F)",MID(Proc[[#This Row],[Obj]],13,10),"")</f>
        <v/>
      </c>
      <c r="J1355" s="85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HC</v>
      </c>
      <c r="L1355" s="85" t="s">
        <v>2563</v>
      </c>
      <c r="M1355" s="83">
        <v>45791.7815162037</v>
      </c>
      <c r="N1355" s="83">
        <v>45796</v>
      </c>
      <c r="O1355" s="83">
        <v>45796</v>
      </c>
      <c r="P1355" s="86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3</v>
      </c>
      <c r="R1355" s="86" t="s">
        <v>3284</v>
      </c>
      <c r="S1355" s="85"/>
    </row>
    <row r="1356" spans="1:19" hidden="1">
      <c r="A1356" s="84" t="s">
        <v>3267</v>
      </c>
      <c r="B1356" s="149" t="str">
        <f>IFERROR(VLOOKUP(Proc[[#This Row],[App]],Table2[],3,0),"open")</f>
        <v>ok</v>
      </c>
      <c r="C1356" s="84" t="s">
        <v>369</v>
      </c>
      <c r="D1356" t="s">
        <v>3269</v>
      </c>
      <c r="E1356" t="s">
        <v>3280</v>
      </c>
      <c r="F1356" s="117" t="s">
        <v>3280</v>
      </c>
      <c r="G1356" s="84" t="s">
        <v>400</v>
      </c>
      <c r="H1356" s="85" t="str">
        <f>IF(Proc[[#This Row],[type]]="LFF (MDG-F)",MID(Proc[[#This Row],[Obj]],13,10),"")</f>
        <v/>
      </c>
      <c r="J1356" s="85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HC</v>
      </c>
      <c r="L1356" s="85" t="s">
        <v>2563</v>
      </c>
      <c r="M1356" s="83">
        <v>45791.7815162037</v>
      </c>
      <c r="N1356" s="83">
        <v>45796</v>
      </c>
      <c r="O1356" s="83">
        <v>45796</v>
      </c>
      <c r="P1356" s="86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3</v>
      </c>
      <c r="R1356" s="86" t="s">
        <v>3284</v>
      </c>
      <c r="S1356" s="85"/>
    </row>
    <row r="1357" spans="1:19" hidden="1">
      <c r="A1357" s="84" t="s">
        <v>3267</v>
      </c>
      <c r="B1357" s="149" t="str">
        <f>IFERROR(VLOOKUP(Proc[[#This Row],[App]],Table2[],3,0),"open")</f>
        <v>ok</v>
      </c>
      <c r="C1357" s="84" t="s">
        <v>369</v>
      </c>
      <c r="D1357" t="s">
        <v>3270</v>
      </c>
      <c r="E1357" t="s">
        <v>3281</v>
      </c>
      <c r="F1357" s="117" t="s">
        <v>3281</v>
      </c>
      <c r="G1357" s="84" t="s">
        <v>400</v>
      </c>
      <c r="H1357" s="85" t="str">
        <f>IF(Proc[[#This Row],[type]]="LFF (MDG-F)",MID(Proc[[#This Row],[Obj]],13,10),"")</f>
        <v/>
      </c>
      <c r="J1357" s="85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HC</v>
      </c>
      <c r="L1357" s="85" t="s">
        <v>2563</v>
      </c>
      <c r="M1357" s="83">
        <v>45791.7815162037</v>
      </c>
      <c r="N1357" s="83">
        <v>45796</v>
      </c>
      <c r="O1357" s="83">
        <v>45796</v>
      </c>
      <c r="P1357" s="86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3</v>
      </c>
      <c r="R1357" s="86" t="s">
        <v>3284</v>
      </c>
      <c r="S1357" s="85"/>
    </row>
    <row r="1358" spans="1:19" hidden="1">
      <c r="A1358" s="84" t="s">
        <v>3267</v>
      </c>
      <c r="B1358" s="149" t="str">
        <f>IFERROR(VLOOKUP(Proc[[#This Row],[App]],Table2[],3,0),"open")</f>
        <v>ok</v>
      </c>
      <c r="C1358" s="84" t="s">
        <v>369</v>
      </c>
      <c r="D1358" t="s">
        <v>3271</v>
      </c>
      <c r="E1358" t="s">
        <v>3282</v>
      </c>
      <c r="F1358" s="117" t="s">
        <v>3282</v>
      </c>
      <c r="G1358" s="84" t="s">
        <v>400</v>
      </c>
      <c r="H1358" s="85" t="str">
        <f>IF(Proc[[#This Row],[type]]="LFF (MDG-F)",MID(Proc[[#This Row],[Obj]],13,10),"")</f>
        <v/>
      </c>
      <c r="J1358" s="85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HC</v>
      </c>
      <c r="L1358" s="85" t="s">
        <v>2563</v>
      </c>
      <c r="M1358" s="83">
        <v>45791.7815162037</v>
      </c>
      <c r="N1358" s="83">
        <v>45796</v>
      </c>
      <c r="O1358" s="83">
        <v>45796</v>
      </c>
      <c r="P1358" s="86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3</v>
      </c>
      <c r="R1358" s="86" t="s">
        <v>3284</v>
      </c>
      <c r="S1358" s="85"/>
    </row>
    <row r="1359" spans="1:19" hidden="1">
      <c r="A1359" s="84" t="s">
        <v>3267</v>
      </c>
      <c r="B1359" s="149" t="str">
        <f>IFERROR(VLOOKUP(Proc[[#This Row],[App]],Table2[],3,0),"open")</f>
        <v>ok</v>
      </c>
      <c r="C1359" s="84" t="s">
        <v>369</v>
      </c>
      <c r="D1359" t="s">
        <v>3272</v>
      </c>
      <c r="E1359" t="s">
        <v>3283</v>
      </c>
      <c r="F1359" s="117" t="s">
        <v>3283</v>
      </c>
      <c r="G1359" s="84" t="s">
        <v>400</v>
      </c>
      <c r="H1359" s="85" t="str">
        <f>IF(Proc[[#This Row],[type]]="LFF (MDG-F)",MID(Proc[[#This Row],[Obj]],13,10),"")</f>
        <v/>
      </c>
      <c r="J1359" s="85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HC</v>
      </c>
      <c r="L1359" s="85" t="s">
        <v>2563</v>
      </c>
      <c r="M1359" s="83">
        <v>45791.7815162037</v>
      </c>
      <c r="N1359" s="83">
        <v>45796</v>
      </c>
      <c r="O1359" s="83">
        <v>45796</v>
      </c>
      <c r="P1359" s="86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3</v>
      </c>
      <c r="R1359" s="86" t="s">
        <v>3284</v>
      </c>
      <c r="S1359" s="85"/>
    </row>
    <row r="1360" spans="1:19" hidden="1">
      <c r="A1360" s="84" t="s">
        <v>3267</v>
      </c>
      <c r="B1360" s="149" t="str">
        <f>IFERROR(VLOOKUP(Proc[[#This Row],[App]],Table2[],3,0),"open")</f>
        <v>ok</v>
      </c>
      <c r="C1360" s="84" t="s">
        <v>369</v>
      </c>
      <c r="D1360" t="s">
        <v>3273</v>
      </c>
      <c r="E1360" t="s">
        <v>3283</v>
      </c>
      <c r="F1360" s="117" t="s">
        <v>3283</v>
      </c>
      <c r="G1360" s="84" t="s">
        <v>400</v>
      </c>
      <c r="H1360" s="85" t="str">
        <f>IF(Proc[[#This Row],[type]]="LFF (MDG-F)",MID(Proc[[#This Row],[Obj]],13,10),"")</f>
        <v/>
      </c>
      <c r="J1360" s="85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HC</v>
      </c>
      <c r="L1360" s="85" t="s">
        <v>2563</v>
      </c>
      <c r="M1360" s="83">
        <v>45791.7815162037</v>
      </c>
      <c r="N1360" s="83">
        <v>45796</v>
      </c>
      <c r="O1360" s="83">
        <v>45796</v>
      </c>
      <c r="P1360" s="86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3</v>
      </c>
      <c r="R1360" s="86" t="s">
        <v>3284</v>
      </c>
      <c r="S1360" s="85"/>
    </row>
    <row r="1361" spans="1:19" hidden="1">
      <c r="A1361" s="84" t="s">
        <v>3267</v>
      </c>
      <c r="B1361" s="149" t="str">
        <f>IFERROR(VLOOKUP(Proc[[#This Row],[App]],Table2[],3,0),"open")</f>
        <v>ok</v>
      </c>
      <c r="C1361" s="84" t="s">
        <v>369</v>
      </c>
      <c r="D1361" t="s">
        <v>3274</v>
      </c>
      <c r="E1361" t="s">
        <v>3280</v>
      </c>
      <c r="F1361" s="117" t="s">
        <v>3280</v>
      </c>
      <c r="G1361" s="84" t="s">
        <v>400</v>
      </c>
      <c r="H1361" s="85" t="str">
        <f>IF(Proc[[#This Row],[type]]="LFF (MDG-F)",MID(Proc[[#This Row],[Obj]],13,10),"")</f>
        <v/>
      </c>
      <c r="J1361" s="85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HC</v>
      </c>
      <c r="L1361" s="85" t="s">
        <v>2563</v>
      </c>
      <c r="M1361" s="83">
        <v>45791.7815162037</v>
      </c>
      <c r="N1361" s="83">
        <v>45796</v>
      </c>
      <c r="O1361" s="83">
        <v>45796</v>
      </c>
      <c r="P1361" s="86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3</v>
      </c>
      <c r="R1361" s="86" t="s">
        <v>3284</v>
      </c>
      <c r="S1361" s="85"/>
    </row>
    <row r="1362" spans="1:19" hidden="1">
      <c r="A1362" s="84" t="s">
        <v>3267</v>
      </c>
      <c r="B1362" s="149" t="str">
        <f>IFERROR(VLOOKUP(Proc[[#This Row],[App]],Table2[],3,0),"open")</f>
        <v>ok</v>
      </c>
      <c r="C1362" s="84" t="s">
        <v>369</v>
      </c>
      <c r="D1362" t="s">
        <v>3275</v>
      </c>
      <c r="E1362" t="s">
        <v>3280</v>
      </c>
      <c r="F1362" s="117" t="s">
        <v>3280</v>
      </c>
      <c r="G1362" s="84" t="s">
        <v>400</v>
      </c>
      <c r="H1362" s="85" t="str">
        <f>IF(Proc[[#This Row],[type]]="LFF (MDG-F)",MID(Proc[[#This Row],[Obj]],13,10),"")</f>
        <v/>
      </c>
      <c r="J1362" s="85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HC</v>
      </c>
      <c r="L1362" s="85" t="s">
        <v>2563</v>
      </c>
      <c r="M1362" s="83">
        <v>45791.7815162037</v>
      </c>
      <c r="N1362" s="83">
        <v>45796</v>
      </c>
      <c r="O1362" s="83">
        <v>45796</v>
      </c>
      <c r="P1362" s="86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3</v>
      </c>
      <c r="R1362" s="86" t="s">
        <v>3284</v>
      </c>
      <c r="S1362" s="85"/>
    </row>
    <row r="1363" spans="1:19" hidden="1">
      <c r="A1363" s="84" t="s">
        <v>3267</v>
      </c>
      <c r="B1363" s="149" t="str">
        <f>IFERROR(VLOOKUP(Proc[[#This Row],[App]],Table2[],3,0),"open")</f>
        <v>ok</v>
      </c>
      <c r="C1363" s="84" t="s">
        <v>369</v>
      </c>
      <c r="D1363" t="s">
        <v>3276</v>
      </c>
      <c r="E1363" t="s">
        <v>3280</v>
      </c>
      <c r="F1363" s="117" t="s">
        <v>3280</v>
      </c>
      <c r="G1363" s="84" t="s">
        <v>400</v>
      </c>
      <c r="H1363" s="85" t="str">
        <f>IF(Proc[[#This Row],[type]]="LFF (MDG-F)",MID(Proc[[#This Row],[Obj]],13,10),"")</f>
        <v/>
      </c>
      <c r="J1363" s="85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HC</v>
      </c>
      <c r="L1363" s="85" t="s">
        <v>2563</v>
      </c>
      <c r="M1363" s="83">
        <v>45791.7815162037</v>
      </c>
      <c r="N1363" s="83">
        <v>45796</v>
      </c>
      <c r="O1363" s="83">
        <v>45796</v>
      </c>
      <c r="P1363" s="86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3</v>
      </c>
      <c r="R1363" s="86" t="s">
        <v>3284</v>
      </c>
      <c r="S1363" s="85"/>
    </row>
    <row r="1364" spans="1:19" hidden="1">
      <c r="A1364" s="84" t="s">
        <v>3267</v>
      </c>
      <c r="B1364" s="149" t="str">
        <f>IFERROR(VLOOKUP(Proc[[#This Row],[App]],Table2[],3,0),"open")</f>
        <v>ok</v>
      </c>
      <c r="C1364" s="84" t="s">
        <v>369</v>
      </c>
      <c r="D1364" t="s">
        <v>3277</v>
      </c>
      <c r="E1364" t="s">
        <v>3280</v>
      </c>
      <c r="F1364" s="117" t="s">
        <v>3280</v>
      </c>
      <c r="G1364" s="84" t="s">
        <v>400</v>
      </c>
      <c r="H1364" s="85" t="str">
        <f>IF(Proc[[#This Row],[type]]="LFF (MDG-F)",MID(Proc[[#This Row],[Obj]],13,10),"")</f>
        <v/>
      </c>
      <c r="J1364" s="85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HC</v>
      </c>
      <c r="L1364" s="85" t="s">
        <v>2563</v>
      </c>
      <c r="M1364" s="83">
        <v>45791.7815162037</v>
      </c>
      <c r="N1364" s="83">
        <v>45796</v>
      </c>
      <c r="O1364" s="83">
        <v>45796</v>
      </c>
      <c r="P1364" s="86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3</v>
      </c>
      <c r="R1364" s="86" t="s">
        <v>3284</v>
      </c>
      <c r="S1364" s="85"/>
    </row>
    <row r="1365" spans="1:19" hidden="1">
      <c r="A1365" s="84" t="s">
        <v>3267</v>
      </c>
      <c r="B1365" s="149" t="str">
        <f>IFERROR(VLOOKUP(Proc[[#This Row],[App]],Table2[],3,0),"open")</f>
        <v>ok</v>
      </c>
      <c r="C1365" s="84" t="s">
        <v>369</v>
      </c>
      <c r="D1365" t="s">
        <v>3278</v>
      </c>
      <c r="E1365" t="s">
        <v>3279</v>
      </c>
      <c r="F1365" s="117" t="s">
        <v>3279</v>
      </c>
      <c r="G1365" s="84" t="s">
        <v>400</v>
      </c>
      <c r="H1365" s="85" t="str">
        <f>IF(Proc[[#This Row],[type]]="LFF (MDG-F)",MID(Proc[[#This Row],[Obj]],13,10),"")</f>
        <v/>
      </c>
      <c r="J1365" s="85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HC</v>
      </c>
      <c r="L1365" s="85" t="s">
        <v>2563</v>
      </c>
      <c r="M1365" s="83">
        <v>45791.7815162037</v>
      </c>
      <c r="N1365" s="83">
        <v>45796</v>
      </c>
      <c r="O1365" s="83">
        <v>45796</v>
      </c>
      <c r="P1365" s="86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3</v>
      </c>
      <c r="R1365" s="86" t="s">
        <v>3284</v>
      </c>
      <c r="S1365" s="85"/>
    </row>
    <row r="1366" spans="1:19" hidden="1">
      <c r="A1366" t="s">
        <v>3289</v>
      </c>
      <c r="B1366" s="149" t="str">
        <f>IFERROR(VLOOKUP(Proc[[#This Row],[App]],Table2[],3,0),"open")</f>
        <v>ok</v>
      </c>
      <c r="C1366" s="84" t="s">
        <v>369</v>
      </c>
      <c r="D1366" t="s">
        <v>3287</v>
      </c>
      <c r="E1366" t="s">
        <v>3288</v>
      </c>
      <c r="F1366" s="117" t="s">
        <v>3288</v>
      </c>
      <c r="G1366" s="84" t="s">
        <v>400</v>
      </c>
      <c r="H1366" s="85" t="str">
        <f>IF(Proc[[#This Row],[type]]="LFF (MDG-F)",MID(Proc[[#This Row],[Obj]],13,10),"")</f>
        <v/>
      </c>
      <c r="J1366" s="85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85" t="s">
        <v>2563</v>
      </c>
      <c r="M1366" s="83">
        <v>45792.60396990741</v>
      </c>
      <c r="N1366" s="83">
        <v>45796</v>
      </c>
      <c r="O1366" s="83">
        <v>45796</v>
      </c>
      <c r="P1366" s="86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2</v>
      </c>
      <c r="R1366" s="86" t="s">
        <v>3290</v>
      </c>
      <c r="S1366" s="85"/>
    </row>
    <row r="1367" spans="1:19" hidden="1">
      <c r="A1367" t="s">
        <v>3291</v>
      </c>
      <c r="B1367" s="149" t="str">
        <f>IFERROR(VLOOKUP(Proc[[#This Row],[App]],Table2[],3,0),"open")</f>
        <v>ok</v>
      </c>
      <c r="C1367" s="84" t="s">
        <v>369</v>
      </c>
      <c r="D1367" t="s">
        <v>4135</v>
      </c>
      <c r="E1367" t="s">
        <v>2417</v>
      </c>
      <c r="F1367" s="117" t="s">
        <v>2417</v>
      </c>
      <c r="G1367" s="103" t="s">
        <v>406</v>
      </c>
      <c r="H1367" s="85" t="str">
        <f>IF(Proc[[#This Row],[type]]="LFF (MDG-F)",MID(Proc[[#This Row],[Obj]],13,10),"")</f>
        <v>DZ50GM1100</v>
      </c>
      <c r="I1367" t="s">
        <v>4137</v>
      </c>
      <c r="J1367" s="85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MGF</v>
      </c>
      <c r="L1367" s="85" t="s">
        <v>2563</v>
      </c>
      <c r="M1367" s="83">
        <v>45793.36509259259</v>
      </c>
      <c r="N1367" s="83"/>
      <c r="O1367" s="83"/>
      <c r="P1367" s="86" t="str">
        <f ca="1">IF(Proc[[#This Row],[DaysAgeing]]&gt;5,"yep","on track")</f>
        <v>yep</v>
      </c>
      <c r="Q1367" s="3">
        <f ca="1">IF(Proc[[#This Row],[DateClosed]]="",ABS(NETWORKDAYS(Proc[[#This Row],[DateOpened]],TODAY()))-1,ABS(NETWORKDAYS(Proc[[#This Row],[DateOpened]],Proc[[#This Row],[DateClosed]]))-1)</f>
        <v>144</v>
      </c>
      <c r="R1367" s="86" t="s">
        <v>515</v>
      </c>
      <c r="S1367" s="85"/>
    </row>
    <row r="1368" spans="1:19" hidden="1">
      <c r="A1368" s="84" t="s">
        <v>3291</v>
      </c>
      <c r="B1368" s="149" t="str">
        <f>IFERROR(VLOOKUP(Proc[[#This Row],[App]],Table2[],3,0),"open")</f>
        <v>ok</v>
      </c>
      <c r="C1368" s="103" t="s">
        <v>369</v>
      </c>
      <c r="D1368" t="s">
        <v>4136</v>
      </c>
      <c r="E1368" t="s">
        <v>2417</v>
      </c>
      <c r="F1368" s="117" t="s">
        <v>2417</v>
      </c>
      <c r="G1368" s="103" t="s">
        <v>406</v>
      </c>
      <c r="H1368" s="85" t="str">
        <f>IF(Proc[[#This Row],[type]]="LFF (MDG-F)",MID(Proc[[#This Row],[Obj]],13,10),"")</f>
        <v>ZA50GM2100</v>
      </c>
      <c r="I1368" s="103" t="s">
        <v>4137</v>
      </c>
      <c r="J1368" s="85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MGF</v>
      </c>
      <c r="L1368" s="85" t="s">
        <v>2563</v>
      </c>
      <c r="M1368" s="83">
        <v>45793.36509259259</v>
      </c>
      <c r="N1368" s="83"/>
      <c r="O1368" s="83"/>
      <c r="P1368" s="86" t="str">
        <f ca="1">IF(Proc[[#This Row],[DaysAgeing]]&gt;5,"yep","on track")</f>
        <v>yep</v>
      </c>
      <c r="Q1368" s="3">
        <f ca="1">IF(Proc[[#This Row],[DateClosed]]="",ABS(NETWORKDAYS(Proc[[#This Row],[DateOpened]],TODAY()))-1,ABS(NETWORKDAYS(Proc[[#This Row],[DateOpened]],Proc[[#This Row],[DateClosed]]))-1)</f>
        <v>144</v>
      </c>
      <c r="R1368" s="86" t="s">
        <v>515</v>
      </c>
      <c r="S1368" s="85"/>
    </row>
    <row r="1369" spans="1:19" s="103" customFormat="1" hidden="1">
      <c r="A1369" s="103" t="s">
        <v>3291</v>
      </c>
      <c r="B1369" s="149" t="str">
        <f>IFERROR(VLOOKUP(Proc[[#This Row],[App]],Table2[],3,0),"open")</f>
        <v>ok</v>
      </c>
      <c r="C1369" s="65" t="s">
        <v>369</v>
      </c>
      <c r="D1369" s="103" t="s">
        <v>4134</v>
      </c>
      <c r="E1369" s="103" t="s">
        <v>476</v>
      </c>
      <c r="F1369" s="117" t="s">
        <v>476</v>
      </c>
      <c r="G1369" s="103" t="s">
        <v>406</v>
      </c>
      <c r="H1369" s="94" t="str">
        <f>IF(Proc[[#This Row],[type]]="LFF (MDG-F)",MID(Proc[[#This Row],[Obj]],13,10),"")</f>
        <v>2053OF0000</v>
      </c>
      <c r="I1369" s="103" t="s">
        <v>4137</v>
      </c>
      <c r="J1369" s="94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MGF</v>
      </c>
      <c r="L1369" s="94" t="s">
        <v>2563</v>
      </c>
      <c r="M1369" s="100">
        <v>45793.36509259259</v>
      </c>
      <c r="N1369" s="100">
        <v>45825</v>
      </c>
      <c r="O1369" s="100">
        <v>45825</v>
      </c>
      <c r="P1369" s="100" t="str">
        <f ca="1">IF(Proc[[#This Row],[DaysAgeing]]&gt;5,"yep","on track")</f>
        <v>yep</v>
      </c>
      <c r="Q1369" s="3">
        <f ca="1">IF(Proc[[#This Row],[DateClosed]]="",ABS(NETWORKDAYS(Proc[[#This Row],[DateOpened]],TODAY()))-1,ABS(NETWORKDAYS(Proc[[#This Row],[DateOpened]],Proc[[#This Row],[DateClosed]]))-1)</f>
        <v>22</v>
      </c>
      <c r="R1369" s="100" t="s">
        <v>515</v>
      </c>
      <c r="S1369" s="94"/>
    </row>
    <row r="1370" spans="1:19" s="103" customFormat="1" hidden="1">
      <c r="A1370" s="103" t="s">
        <v>3291</v>
      </c>
      <c r="B1370" s="149" t="str">
        <f>IFERROR(VLOOKUP(Proc[[#This Row],[App]],Table2[],3,0),"open")</f>
        <v>ok</v>
      </c>
      <c r="C1370" s="103" t="s">
        <v>369</v>
      </c>
      <c r="D1370" s="103" t="s">
        <v>2445</v>
      </c>
      <c r="E1370" s="103" t="s">
        <v>540</v>
      </c>
      <c r="F1370" s="117" t="s">
        <v>540</v>
      </c>
      <c r="G1370" s="103" t="s">
        <v>400</v>
      </c>
      <c r="H1370" s="94" t="str">
        <f>IF(Proc[[#This Row],[type]]="LFF (MDG-F)",MID(Proc[[#This Row],[Obj]],13,10),"")</f>
        <v/>
      </c>
      <c r="I1370" s="103" t="s">
        <v>4138</v>
      </c>
      <c r="J1370" s="94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MGF</v>
      </c>
      <c r="L1370" s="94" t="s">
        <v>2563</v>
      </c>
      <c r="M1370" s="100">
        <v>45793.36509259259</v>
      </c>
      <c r="N1370" s="100">
        <v>45825</v>
      </c>
      <c r="O1370" s="100">
        <v>45825</v>
      </c>
      <c r="P1370" s="100" t="str">
        <f ca="1">IF(Proc[[#This Row],[DaysAgeing]]&gt;5,"yep","on track")</f>
        <v>yep</v>
      </c>
      <c r="Q1370" s="3">
        <f ca="1">IF(Proc[[#This Row],[DateClosed]]="",ABS(NETWORKDAYS(Proc[[#This Row],[DateOpened]],TODAY()))-1,ABS(NETWORKDAYS(Proc[[#This Row],[DateOpened]],Proc[[#This Row],[DateClosed]]))-1)</f>
        <v>22</v>
      </c>
      <c r="R1370" s="100" t="s">
        <v>515</v>
      </c>
      <c r="S1370" s="94"/>
    </row>
    <row r="1371" spans="1:19" hidden="1">
      <c r="A1371" t="s">
        <v>3292</v>
      </c>
      <c r="B1371" s="149" t="str">
        <f>IFERROR(VLOOKUP(Proc[[#This Row],[App]],Table2[],3,0),"open")</f>
        <v>ok</v>
      </c>
      <c r="C1371" s="84" t="s">
        <v>369</v>
      </c>
      <c r="D1371" t="s">
        <v>3293</v>
      </c>
      <c r="E1371" t="s">
        <v>3294</v>
      </c>
      <c r="F1371" s="117" t="s">
        <v>3294</v>
      </c>
      <c r="G1371" s="84" t="s">
        <v>400</v>
      </c>
      <c r="H1371" s="85" t="str">
        <f>IF(Proc[[#This Row],[type]]="LFF (MDG-F)",MID(Proc[[#This Row],[Obj]],13,10),"")</f>
        <v/>
      </c>
      <c r="J1371" s="85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85" t="s">
        <v>2563</v>
      </c>
      <c r="M1371" s="83">
        <v>45793.901400462964</v>
      </c>
      <c r="N1371" s="83"/>
      <c r="O1371" s="83"/>
      <c r="P1371" s="86" t="str">
        <f ca="1">IF(Proc[[#This Row],[DaysAgeing]]&gt;5,"yep","on track")</f>
        <v>yep</v>
      </c>
      <c r="Q1371" s="3">
        <f ca="1">IF(Proc[[#This Row],[DateClosed]]="",ABS(NETWORKDAYS(Proc[[#This Row],[DateOpened]],TODAY()))-1,ABS(NETWORKDAYS(Proc[[#This Row],[DateOpened]],Proc[[#This Row],[DateClosed]]))-1)</f>
        <v>144</v>
      </c>
      <c r="R1371" s="86" t="s">
        <v>3290</v>
      </c>
      <c r="S1371" s="85"/>
    </row>
    <row r="1372" spans="1:19" hidden="1">
      <c r="A1372" t="s">
        <v>3297</v>
      </c>
      <c r="B1372" s="149" t="str">
        <f>IFERROR(VLOOKUP(Proc[[#This Row],[App]],Table2[],3,0),"open")</f>
        <v>ok</v>
      </c>
      <c r="C1372" s="89" t="s">
        <v>369</v>
      </c>
      <c r="D1372" t="s">
        <v>3295</v>
      </c>
      <c r="E1372" t="s">
        <v>3296</v>
      </c>
      <c r="F1372" s="117" t="s">
        <v>3296</v>
      </c>
      <c r="G1372" t="s">
        <v>406</v>
      </c>
      <c r="H1372" s="85" t="str">
        <f>IF(Proc[[#This Row],[type]]="LFF (MDG-F)",MID(Proc[[#This Row],[Obj]],13,10),"")</f>
        <v>2137C00001</v>
      </c>
      <c r="I1372" t="s">
        <v>3329</v>
      </c>
      <c r="J1372" s="85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85" t="s">
        <v>2563</v>
      </c>
      <c r="M1372" s="83">
        <v>45793.901643518519</v>
      </c>
      <c r="N1372" s="83"/>
      <c r="O1372" s="83"/>
      <c r="P1372" s="86" t="str">
        <f ca="1">IF(Proc[[#This Row],[DaysAgeing]]&gt;5,"yep","on track")</f>
        <v>yep</v>
      </c>
      <c r="Q1372" s="3">
        <f ca="1">IF(Proc[[#This Row],[DateClosed]]="",ABS(NETWORKDAYS(Proc[[#This Row],[DateOpened]],TODAY()))-1,ABS(NETWORKDAYS(Proc[[#This Row],[DateOpened]],Proc[[#This Row],[DateClosed]]))-1)</f>
        <v>144</v>
      </c>
      <c r="R1372" s="86" t="s">
        <v>3290</v>
      </c>
      <c r="S1372" s="85"/>
    </row>
    <row r="1373" spans="1:19" hidden="1">
      <c r="A1373" t="s">
        <v>3326</v>
      </c>
      <c r="B1373" s="149" t="str">
        <f>IFERROR(VLOOKUP(Proc[[#This Row],[App]],Table2[],3,0),"open")</f>
        <v>ok</v>
      </c>
      <c r="C1373" s="84" t="s">
        <v>369</v>
      </c>
      <c r="D1373" t="s">
        <v>3298</v>
      </c>
      <c r="E1373" t="s">
        <v>2161</v>
      </c>
      <c r="F1373" s="117" t="s">
        <v>2161</v>
      </c>
      <c r="G1373" s="84" t="s">
        <v>400</v>
      </c>
      <c r="H1373" s="85" t="str">
        <f>IF(Proc[[#This Row],[type]]="LFF (MDG-F)",MID(Proc[[#This Row],[Obj]],13,10),"")</f>
        <v/>
      </c>
      <c r="J1373" s="85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HC</v>
      </c>
      <c r="L1373" s="85" t="s">
        <v>2563</v>
      </c>
      <c r="M1373" s="83">
        <v>45796.393090277779</v>
      </c>
      <c r="N1373" s="83"/>
      <c r="O1373" s="83"/>
      <c r="P1373" s="86" t="str">
        <f ca="1">IF(Proc[[#This Row],[DaysAgeing]]&gt;5,"yep","on track")</f>
        <v>yep</v>
      </c>
      <c r="Q1373" s="3">
        <f ca="1">IF(Proc[[#This Row],[DateClosed]]="",ABS(NETWORKDAYS(Proc[[#This Row],[DateOpened]],TODAY()))-1,ABS(NETWORKDAYS(Proc[[#This Row],[DateOpened]],Proc[[#This Row],[DateClosed]]))-1)</f>
        <v>143</v>
      </c>
      <c r="R1373" s="86" t="s">
        <v>478</v>
      </c>
      <c r="S1373" s="85"/>
    </row>
    <row r="1374" spans="1:19" hidden="1">
      <c r="A1374" s="84" t="s">
        <v>3326</v>
      </c>
      <c r="B1374" s="149" t="str">
        <f>IFERROR(VLOOKUP(Proc[[#This Row],[App]],Table2[],3,0),"open")</f>
        <v>ok</v>
      </c>
      <c r="C1374" s="84" t="s">
        <v>369</v>
      </c>
      <c r="D1374" t="s">
        <v>3299</v>
      </c>
      <c r="E1374" t="s">
        <v>2161</v>
      </c>
      <c r="F1374" s="117" t="s">
        <v>2161</v>
      </c>
      <c r="G1374" s="84" t="s">
        <v>400</v>
      </c>
      <c r="H1374" s="85" t="str">
        <f>IF(Proc[[#This Row],[type]]="LFF (MDG-F)",MID(Proc[[#This Row],[Obj]],13,10),"")</f>
        <v/>
      </c>
      <c r="J1374" s="85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HC</v>
      </c>
      <c r="L1374" s="85" t="s">
        <v>2563</v>
      </c>
      <c r="M1374" s="83">
        <v>45796.393090277779</v>
      </c>
      <c r="N1374" s="83"/>
      <c r="O1374" s="83"/>
      <c r="P1374" s="86" t="str">
        <f ca="1">IF(Proc[[#This Row],[DaysAgeing]]&gt;5,"yep","on track")</f>
        <v>yep</v>
      </c>
      <c r="Q1374" s="3">
        <f ca="1">IF(Proc[[#This Row],[DateClosed]]="",ABS(NETWORKDAYS(Proc[[#This Row],[DateOpened]],TODAY()))-1,ABS(NETWORKDAYS(Proc[[#This Row],[DateOpened]],Proc[[#This Row],[DateClosed]]))-1)</f>
        <v>143</v>
      </c>
      <c r="R1374" s="86" t="s">
        <v>478</v>
      </c>
      <c r="S1374" s="85"/>
    </row>
    <row r="1375" spans="1:19" hidden="1">
      <c r="A1375" s="84" t="s">
        <v>3326</v>
      </c>
      <c r="B1375" s="149" t="str">
        <f>IFERROR(VLOOKUP(Proc[[#This Row],[App]],Table2[],3,0),"open")</f>
        <v>ok</v>
      </c>
      <c r="C1375" s="84" t="s">
        <v>369</v>
      </c>
      <c r="D1375" t="s">
        <v>3300</v>
      </c>
      <c r="E1375" t="s">
        <v>2161</v>
      </c>
      <c r="F1375" s="117" t="s">
        <v>2161</v>
      </c>
      <c r="G1375" s="84" t="s">
        <v>400</v>
      </c>
      <c r="H1375" s="85" t="str">
        <f>IF(Proc[[#This Row],[type]]="LFF (MDG-F)",MID(Proc[[#This Row],[Obj]],13,10),"")</f>
        <v/>
      </c>
      <c r="J1375" s="85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HC</v>
      </c>
      <c r="L1375" s="85" t="s">
        <v>2563</v>
      </c>
      <c r="M1375" s="83">
        <v>45796.393090277779</v>
      </c>
      <c r="N1375" s="83"/>
      <c r="O1375" s="83"/>
      <c r="P1375" s="86" t="str">
        <f ca="1">IF(Proc[[#This Row],[DaysAgeing]]&gt;5,"yep","on track")</f>
        <v>yep</v>
      </c>
      <c r="Q1375" s="3">
        <f ca="1">IF(Proc[[#This Row],[DateClosed]]="",ABS(NETWORKDAYS(Proc[[#This Row],[DateOpened]],TODAY()))-1,ABS(NETWORKDAYS(Proc[[#This Row],[DateOpened]],Proc[[#This Row],[DateClosed]]))-1)</f>
        <v>143</v>
      </c>
      <c r="R1375" s="86" t="s">
        <v>478</v>
      </c>
      <c r="S1375" s="85"/>
    </row>
    <row r="1376" spans="1:19" hidden="1">
      <c r="A1376" s="84" t="s">
        <v>3326</v>
      </c>
      <c r="B1376" s="149" t="str">
        <f>IFERROR(VLOOKUP(Proc[[#This Row],[App]],Table2[],3,0),"open")</f>
        <v>ok</v>
      </c>
      <c r="C1376" s="84" t="s">
        <v>369</v>
      </c>
      <c r="D1376" t="s">
        <v>3301</v>
      </c>
      <c r="E1376" t="s">
        <v>2161</v>
      </c>
      <c r="F1376" s="117" t="s">
        <v>2161</v>
      </c>
      <c r="G1376" s="84" t="s">
        <v>400</v>
      </c>
      <c r="H1376" s="85" t="str">
        <f>IF(Proc[[#This Row],[type]]="LFF (MDG-F)",MID(Proc[[#This Row],[Obj]],13,10),"")</f>
        <v/>
      </c>
      <c r="J1376" s="85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HC</v>
      </c>
      <c r="L1376" s="85" t="s">
        <v>2563</v>
      </c>
      <c r="M1376" s="83">
        <v>45796.393090277779</v>
      </c>
      <c r="N1376" s="83"/>
      <c r="O1376" s="83"/>
      <c r="P1376" s="86" t="str">
        <f ca="1">IF(Proc[[#This Row],[DaysAgeing]]&gt;5,"yep","on track")</f>
        <v>yep</v>
      </c>
      <c r="Q1376" s="3">
        <f ca="1">IF(Proc[[#This Row],[DateClosed]]="",ABS(NETWORKDAYS(Proc[[#This Row],[DateOpened]],TODAY()))-1,ABS(NETWORKDAYS(Proc[[#This Row],[DateOpened]],Proc[[#This Row],[DateClosed]]))-1)</f>
        <v>143</v>
      </c>
      <c r="R1376" s="86" t="s">
        <v>478</v>
      </c>
      <c r="S1376" s="85"/>
    </row>
    <row r="1377" spans="1:19" hidden="1">
      <c r="A1377" s="84" t="s">
        <v>3326</v>
      </c>
      <c r="B1377" s="149" t="str">
        <f>IFERROR(VLOOKUP(Proc[[#This Row],[App]],Table2[],3,0),"open")</f>
        <v>ok</v>
      </c>
      <c r="C1377" s="84" t="s">
        <v>369</v>
      </c>
      <c r="D1377" t="s">
        <v>3302</v>
      </c>
      <c r="E1377" t="s">
        <v>2161</v>
      </c>
      <c r="F1377" s="117" t="s">
        <v>2161</v>
      </c>
      <c r="G1377" s="84" t="s">
        <v>400</v>
      </c>
      <c r="H1377" s="85" t="str">
        <f>IF(Proc[[#This Row],[type]]="LFF (MDG-F)",MID(Proc[[#This Row],[Obj]],13,10),"")</f>
        <v/>
      </c>
      <c r="J1377" s="85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HC</v>
      </c>
      <c r="L1377" s="85" t="s">
        <v>2563</v>
      </c>
      <c r="M1377" s="83">
        <v>45796.393090277779</v>
      </c>
      <c r="N1377" s="83"/>
      <c r="O1377" s="83"/>
      <c r="P1377" s="86" t="str">
        <f ca="1">IF(Proc[[#This Row],[DaysAgeing]]&gt;5,"yep","on track")</f>
        <v>yep</v>
      </c>
      <c r="Q1377" s="3">
        <f ca="1">IF(Proc[[#This Row],[DateClosed]]="",ABS(NETWORKDAYS(Proc[[#This Row],[DateOpened]],TODAY()))-1,ABS(NETWORKDAYS(Proc[[#This Row],[DateOpened]],Proc[[#This Row],[DateClosed]]))-1)</f>
        <v>143</v>
      </c>
      <c r="R1377" s="86" t="s">
        <v>478</v>
      </c>
      <c r="S1377" s="85"/>
    </row>
    <row r="1378" spans="1:19" hidden="1">
      <c r="A1378" s="84" t="s">
        <v>3326</v>
      </c>
      <c r="B1378" s="149" t="str">
        <f>IFERROR(VLOOKUP(Proc[[#This Row],[App]],Table2[],3,0),"open")</f>
        <v>ok</v>
      </c>
      <c r="C1378" s="84" t="s">
        <v>369</v>
      </c>
      <c r="D1378" t="s">
        <v>3303</v>
      </c>
      <c r="E1378" t="s">
        <v>2161</v>
      </c>
      <c r="F1378" s="117" t="s">
        <v>2161</v>
      </c>
      <c r="G1378" s="84" t="s">
        <v>400</v>
      </c>
      <c r="H1378" s="85" t="str">
        <f>IF(Proc[[#This Row],[type]]="LFF (MDG-F)",MID(Proc[[#This Row],[Obj]],13,10),"")</f>
        <v/>
      </c>
      <c r="J1378" s="85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HC</v>
      </c>
      <c r="L1378" s="85" t="s">
        <v>2563</v>
      </c>
      <c r="M1378" s="83">
        <v>45796.393090277779</v>
      </c>
      <c r="N1378" s="83"/>
      <c r="O1378" s="83"/>
      <c r="P1378" s="86" t="str">
        <f ca="1">IF(Proc[[#This Row],[DaysAgeing]]&gt;5,"yep","on track")</f>
        <v>yep</v>
      </c>
      <c r="Q1378" s="3">
        <f ca="1">IF(Proc[[#This Row],[DateClosed]]="",ABS(NETWORKDAYS(Proc[[#This Row],[DateOpened]],TODAY()))-1,ABS(NETWORKDAYS(Proc[[#This Row],[DateOpened]],Proc[[#This Row],[DateClosed]]))-1)</f>
        <v>143</v>
      </c>
      <c r="R1378" s="86" t="s">
        <v>478</v>
      </c>
      <c r="S1378" s="85"/>
    </row>
    <row r="1379" spans="1:19" hidden="1">
      <c r="A1379" s="84" t="s">
        <v>3326</v>
      </c>
      <c r="B1379" s="149" t="str">
        <f>IFERROR(VLOOKUP(Proc[[#This Row],[App]],Table2[],3,0),"open")</f>
        <v>ok</v>
      </c>
      <c r="C1379" s="84" t="s">
        <v>369</v>
      </c>
      <c r="D1379" t="s">
        <v>3304</v>
      </c>
      <c r="E1379" t="s">
        <v>2161</v>
      </c>
      <c r="F1379" s="117" t="s">
        <v>2161</v>
      </c>
      <c r="G1379" s="84" t="s">
        <v>400</v>
      </c>
      <c r="H1379" s="85" t="str">
        <f>IF(Proc[[#This Row],[type]]="LFF (MDG-F)",MID(Proc[[#This Row],[Obj]],13,10),"")</f>
        <v/>
      </c>
      <c r="J1379" s="85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HC</v>
      </c>
      <c r="L1379" s="85" t="s">
        <v>2563</v>
      </c>
      <c r="M1379" s="83">
        <v>45796.393090277779</v>
      </c>
      <c r="N1379" s="83"/>
      <c r="O1379" s="83"/>
      <c r="P1379" s="86" t="str">
        <f ca="1">IF(Proc[[#This Row],[DaysAgeing]]&gt;5,"yep","on track")</f>
        <v>yep</v>
      </c>
      <c r="Q1379" s="3">
        <f ca="1">IF(Proc[[#This Row],[DateClosed]]="",ABS(NETWORKDAYS(Proc[[#This Row],[DateOpened]],TODAY()))-1,ABS(NETWORKDAYS(Proc[[#This Row],[DateOpened]],Proc[[#This Row],[DateClosed]]))-1)</f>
        <v>143</v>
      </c>
      <c r="R1379" s="86" t="s">
        <v>478</v>
      </c>
      <c r="S1379" s="85"/>
    </row>
    <row r="1380" spans="1:19" hidden="1">
      <c r="A1380" s="84" t="s">
        <v>3326</v>
      </c>
      <c r="B1380" s="149" t="str">
        <f>IFERROR(VLOOKUP(Proc[[#This Row],[App]],Table2[],3,0),"open")</f>
        <v>ok</v>
      </c>
      <c r="C1380" s="84" t="s">
        <v>369</v>
      </c>
      <c r="D1380" t="s">
        <v>3305</v>
      </c>
      <c r="E1380" t="s">
        <v>2161</v>
      </c>
      <c r="F1380" s="117" t="s">
        <v>2161</v>
      </c>
      <c r="G1380" s="84" t="s">
        <v>400</v>
      </c>
      <c r="H1380" s="85" t="str">
        <f>IF(Proc[[#This Row],[type]]="LFF (MDG-F)",MID(Proc[[#This Row],[Obj]],13,10),"")</f>
        <v/>
      </c>
      <c r="J1380" s="85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HC</v>
      </c>
      <c r="L1380" s="85" t="s">
        <v>2563</v>
      </c>
      <c r="M1380" s="83">
        <v>45796.393090277779</v>
      </c>
      <c r="N1380" s="83"/>
      <c r="O1380" s="83"/>
      <c r="P1380" s="86" t="str">
        <f ca="1">IF(Proc[[#This Row],[DaysAgeing]]&gt;5,"yep","on track")</f>
        <v>yep</v>
      </c>
      <c r="Q1380" s="3">
        <f ca="1">IF(Proc[[#This Row],[DateClosed]]="",ABS(NETWORKDAYS(Proc[[#This Row],[DateOpened]],TODAY()))-1,ABS(NETWORKDAYS(Proc[[#This Row],[DateOpened]],Proc[[#This Row],[DateClosed]]))-1)</f>
        <v>143</v>
      </c>
      <c r="R1380" s="86" t="s">
        <v>478</v>
      </c>
      <c r="S1380" s="85"/>
    </row>
    <row r="1381" spans="1:19" hidden="1">
      <c r="A1381" s="84" t="s">
        <v>3326</v>
      </c>
      <c r="B1381" s="149" t="str">
        <f>IFERROR(VLOOKUP(Proc[[#This Row],[App]],Table2[],3,0),"open")</f>
        <v>ok</v>
      </c>
      <c r="C1381" s="84" t="s">
        <v>369</v>
      </c>
      <c r="D1381" t="s">
        <v>3306</v>
      </c>
      <c r="E1381" t="s">
        <v>2161</v>
      </c>
      <c r="F1381" s="117" t="s">
        <v>2161</v>
      </c>
      <c r="G1381" s="84" t="s">
        <v>400</v>
      </c>
      <c r="H1381" s="85" t="str">
        <f>IF(Proc[[#This Row],[type]]="LFF (MDG-F)",MID(Proc[[#This Row],[Obj]],13,10),"")</f>
        <v/>
      </c>
      <c r="J1381" s="85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HC</v>
      </c>
      <c r="L1381" s="85" t="s">
        <v>2563</v>
      </c>
      <c r="M1381" s="83">
        <v>45796.393090277779</v>
      </c>
      <c r="N1381" s="83"/>
      <c r="O1381" s="83"/>
      <c r="P1381" s="86" t="str">
        <f ca="1">IF(Proc[[#This Row],[DaysAgeing]]&gt;5,"yep","on track")</f>
        <v>yep</v>
      </c>
      <c r="Q1381" s="3">
        <f ca="1">IF(Proc[[#This Row],[DateClosed]]="",ABS(NETWORKDAYS(Proc[[#This Row],[DateOpened]],TODAY()))-1,ABS(NETWORKDAYS(Proc[[#This Row],[DateOpened]],Proc[[#This Row],[DateClosed]]))-1)</f>
        <v>143</v>
      </c>
      <c r="R1381" s="86" t="s">
        <v>478</v>
      </c>
      <c r="S1381" s="85"/>
    </row>
    <row r="1382" spans="1:19" hidden="1">
      <c r="A1382" s="84" t="s">
        <v>3326</v>
      </c>
      <c r="B1382" s="149" t="str">
        <f>IFERROR(VLOOKUP(Proc[[#This Row],[App]],Table2[],3,0),"open")</f>
        <v>ok</v>
      </c>
      <c r="C1382" s="84" t="s">
        <v>369</v>
      </c>
      <c r="D1382" t="s">
        <v>3307</v>
      </c>
      <c r="E1382" t="s">
        <v>2161</v>
      </c>
      <c r="F1382" s="117" t="s">
        <v>2161</v>
      </c>
      <c r="G1382" s="84" t="s">
        <v>400</v>
      </c>
      <c r="H1382" s="85" t="str">
        <f>IF(Proc[[#This Row],[type]]="LFF (MDG-F)",MID(Proc[[#This Row],[Obj]],13,10),"")</f>
        <v/>
      </c>
      <c r="J1382" s="85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HC</v>
      </c>
      <c r="L1382" s="85" t="s">
        <v>2563</v>
      </c>
      <c r="M1382" s="83">
        <v>45796.393090277779</v>
      </c>
      <c r="N1382" s="83"/>
      <c r="O1382" s="83"/>
      <c r="P1382" s="86" t="str">
        <f ca="1">IF(Proc[[#This Row],[DaysAgeing]]&gt;5,"yep","on track")</f>
        <v>yep</v>
      </c>
      <c r="Q1382" s="3">
        <f ca="1">IF(Proc[[#This Row],[DateClosed]]="",ABS(NETWORKDAYS(Proc[[#This Row],[DateOpened]],TODAY()))-1,ABS(NETWORKDAYS(Proc[[#This Row],[DateOpened]],Proc[[#This Row],[DateClosed]]))-1)</f>
        <v>143</v>
      </c>
      <c r="R1382" s="86" t="s">
        <v>478</v>
      </c>
      <c r="S1382" s="85"/>
    </row>
    <row r="1383" spans="1:19" hidden="1">
      <c r="A1383" s="84" t="s">
        <v>3326</v>
      </c>
      <c r="B1383" s="149" t="str">
        <f>IFERROR(VLOOKUP(Proc[[#This Row],[App]],Table2[],3,0),"open")</f>
        <v>ok</v>
      </c>
      <c r="C1383" s="84" t="s">
        <v>369</v>
      </c>
      <c r="D1383" t="s">
        <v>3308</v>
      </c>
      <c r="E1383" t="s">
        <v>2161</v>
      </c>
      <c r="F1383" s="117" t="s">
        <v>2161</v>
      </c>
      <c r="G1383" s="84" t="s">
        <v>400</v>
      </c>
      <c r="H1383" s="85" t="str">
        <f>IF(Proc[[#This Row],[type]]="LFF (MDG-F)",MID(Proc[[#This Row],[Obj]],13,10),"")</f>
        <v/>
      </c>
      <c r="J1383" s="85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HC</v>
      </c>
      <c r="L1383" s="85" t="s">
        <v>2563</v>
      </c>
      <c r="M1383" s="83">
        <v>45796.393090277779</v>
      </c>
      <c r="N1383" s="83"/>
      <c r="O1383" s="83"/>
      <c r="P1383" s="86" t="str">
        <f ca="1">IF(Proc[[#This Row],[DaysAgeing]]&gt;5,"yep","on track")</f>
        <v>yep</v>
      </c>
      <c r="Q1383" s="3">
        <f ca="1">IF(Proc[[#This Row],[DateClosed]]="",ABS(NETWORKDAYS(Proc[[#This Row],[DateOpened]],TODAY()))-1,ABS(NETWORKDAYS(Proc[[#This Row],[DateOpened]],Proc[[#This Row],[DateClosed]]))-1)</f>
        <v>143</v>
      </c>
      <c r="R1383" s="86" t="s">
        <v>478</v>
      </c>
      <c r="S1383" s="85"/>
    </row>
    <row r="1384" spans="1:19" hidden="1">
      <c r="A1384" s="84" t="s">
        <v>3326</v>
      </c>
      <c r="B1384" s="149" t="str">
        <f>IFERROR(VLOOKUP(Proc[[#This Row],[App]],Table2[],3,0),"open")</f>
        <v>ok</v>
      </c>
      <c r="C1384" s="84" t="s">
        <v>369</v>
      </c>
      <c r="D1384" t="s">
        <v>3309</v>
      </c>
      <c r="E1384" t="s">
        <v>2161</v>
      </c>
      <c r="F1384" s="117" t="s">
        <v>2161</v>
      </c>
      <c r="G1384" s="84" t="s">
        <v>400</v>
      </c>
      <c r="H1384" s="85" t="str">
        <f>IF(Proc[[#This Row],[type]]="LFF (MDG-F)",MID(Proc[[#This Row],[Obj]],13,10),"")</f>
        <v/>
      </c>
      <c r="J1384" s="85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HC</v>
      </c>
      <c r="L1384" s="85" t="s">
        <v>2563</v>
      </c>
      <c r="M1384" s="83">
        <v>45796.393090277779</v>
      </c>
      <c r="N1384" s="83"/>
      <c r="O1384" s="83"/>
      <c r="P1384" s="86" t="str">
        <f ca="1">IF(Proc[[#This Row],[DaysAgeing]]&gt;5,"yep","on track")</f>
        <v>yep</v>
      </c>
      <c r="Q1384" s="3">
        <f ca="1">IF(Proc[[#This Row],[DateClosed]]="",ABS(NETWORKDAYS(Proc[[#This Row],[DateOpened]],TODAY()))-1,ABS(NETWORKDAYS(Proc[[#This Row],[DateOpened]],Proc[[#This Row],[DateClosed]]))-1)</f>
        <v>143</v>
      </c>
      <c r="R1384" s="86" t="s">
        <v>478</v>
      </c>
      <c r="S1384" s="85"/>
    </row>
    <row r="1385" spans="1:19" hidden="1">
      <c r="A1385" s="84" t="s">
        <v>3326</v>
      </c>
      <c r="B1385" s="149" t="str">
        <f>IFERROR(VLOOKUP(Proc[[#This Row],[App]],Table2[],3,0),"open")</f>
        <v>ok</v>
      </c>
      <c r="C1385" s="84" t="s">
        <v>369</v>
      </c>
      <c r="D1385" t="s">
        <v>3310</v>
      </c>
      <c r="E1385" t="s">
        <v>2161</v>
      </c>
      <c r="F1385" s="117" t="s">
        <v>2161</v>
      </c>
      <c r="G1385" s="84" t="s">
        <v>400</v>
      </c>
      <c r="H1385" s="85" t="str">
        <f>IF(Proc[[#This Row],[type]]="LFF (MDG-F)",MID(Proc[[#This Row],[Obj]],13,10),"")</f>
        <v/>
      </c>
      <c r="J1385" s="85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HC</v>
      </c>
      <c r="L1385" s="85" t="s">
        <v>2563</v>
      </c>
      <c r="M1385" s="83">
        <v>45796.393090277779</v>
      </c>
      <c r="N1385" s="83"/>
      <c r="O1385" s="83"/>
      <c r="P1385" s="86" t="str">
        <f ca="1">IF(Proc[[#This Row],[DaysAgeing]]&gt;5,"yep","on track")</f>
        <v>yep</v>
      </c>
      <c r="Q1385" s="3">
        <f ca="1">IF(Proc[[#This Row],[DateClosed]]="",ABS(NETWORKDAYS(Proc[[#This Row],[DateOpened]],TODAY()))-1,ABS(NETWORKDAYS(Proc[[#This Row],[DateOpened]],Proc[[#This Row],[DateClosed]]))-1)</f>
        <v>143</v>
      </c>
      <c r="R1385" s="86" t="s">
        <v>478</v>
      </c>
      <c r="S1385" s="85"/>
    </row>
    <row r="1386" spans="1:19" hidden="1">
      <c r="A1386" s="84" t="s">
        <v>3326</v>
      </c>
      <c r="B1386" s="149" t="str">
        <f>IFERROR(VLOOKUP(Proc[[#This Row],[App]],Table2[],3,0),"open")</f>
        <v>ok</v>
      </c>
      <c r="C1386" s="84" t="s">
        <v>369</v>
      </c>
      <c r="D1386" t="s">
        <v>3311</v>
      </c>
      <c r="E1386" t="s">
        <v>2161</v>
      </c>
      <c r="F1386" s="117" t="s">
        <v>2161</v>
      </c>
      <c r="G1386" s="84" t="s">
        <v>400</v>
      </c>
      <c r="H1386" s="85" t="str">
        <f>IF(Proc[[#This Row],[type]]="LFF (MDG-F)",MID(Proc[[#This Row],[Obj]],13,10),"")</f>
        <v/>
      </c>
      <c r="J1386" s="85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HC</v>
      </c>
      <c r="L1386" s="85" t="s">
        <v>2563</v>
      </c>
      <c r="M1386" s="83">
        <v>45796.393090277779</v>
      </c>
      <c r="N1386" s="83"/>
      <c r="O1386" s="83"/>
      <c r="P1386" s="86" t="str">
        <f ca="1">IF(Proc[[#This Row],[DaysAgeing]]&gt;5,"yep","on track")</f>
        <v>yep</v>
      </c>
      <c r="Q1386" s="3">
        <f ca="1">IF(Proc[[#This Row],[DateClosed]]="",ABS(NETWORKDAYS(Proc[[#This Row],[DateOpened]],TODAY()))-1,ABS(NETWORKDAYS(Proc[[#This Row],[DateOpened]],Proc[[#This Row],[DateClosed]]))-1)</f>
        <v>143</v>
      </c>
      <c r="R1386" s="86" t="s">
        <v>478</v>
      </c>
      <c r="S1386" s="85"/>
    </row>
    <row r="1387" spans="1:19" hidden="1">
      <c r="A1387" s="84" t="s">
        <v>3326</v>
      </c>
      <c r="B1387" s="149" t="str">
        <f>IFERROR(VLOOKUP(Proc[[#This Row],[App]],Table2[],3,0),"open")</f>
        <v>ok</v>
      </c>
      <c r="C1387" s="84" t="s">
        <v>369</v>
      </c>
      <c r="D1387" t="s">
        <v>3312</v>
      </c>
      <c r="E1387" t="s">
        <v>2161</v>
      </c>
      <c r="F1387" s="117" t="s">
        <v>2161</v>
      </c>
      <c r="G1387" s="84" t="s">
        <v>400</v>
      </c>
      <c r="H1387" s="85" t="str">
        <f>IF(Proc[[#This Row],[type]]="LFF (MDG-F)",MID(Proc[[#This Row],[Obj]],13,10),"")</f>
        <v/>
      </c>
      <c r="J1387" s="85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HC</v>
      </c>
      <c r="L1387" s="85" t="s">
        <v>2563</v>
      </c>
      <c r="M1387" s="83">
        <v>45796.393090277779</v>
      </c>
      <c r="N1387" s="83"/>
      <c r="O1387" s="83"/>
      <c r="P1387" s="86" t="str">
        <f ca="1">IF(Proc[[#This Row],[DaysAgeing]]&gt;5,"yep","on track")</f>
        <v>yep</v>
      </c>
      <c r="Q1387" s="3">
        <f ca="1">IF(Proc[[#This Row],[DateClosed]]="",ABS(NETWORKDAYS(Proc[[#This Row],[DateOpened]],TODAY()))-1,ABS(NETWORKDAYS(Proc[[#This Row],[DateOpened]],Proc[[#This Row],[DateClosed]]))-1)</f>
        <v>143</v>
      </c>
      <c r="R1387" s="86" t="s">
        <v>478</v>
      </c>
      <c r="S1387" s="85"/>
    </row>
    <row r="1388" spans="1:19" hidden="1">
      <c r="A1388" s="84" t="s">
        <v>3326</v>
      </c>
      <c r="B1388" s="149" t="str">
        <f>IFERROR(VLOOKUP(Proc[[#This Row],[App]],Table2[],3,0),"open")</f>
        <v>ok</v>
      </c>
      <c r="C1388" s="84" t="s">
        <v>369</v>
      </c>
      <c r="D1388" t="s">
        <v>3313</v>
      </c>
      <c r="E1388" t="s">
        <v>2161</v>
      </c>
      <c r="F1388" s="117" t="s">
        <v>2161</v>
      </c>
      <c r="G1388" s="84" t="s">
        <v>400</v>
      </c>
      <c r="H1388" s="85" t="str">
        <f>IF(Proc[[#This Row],[type]]="LFF (MDG-F)",MID(Proc[[#This Row],[Obj]],13,10),"")</f>
        <v/>
      </c>
      <c r="J1388" s="85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HC</v>
      </c>
      <c r="L1388" s="85" t="s">
        <v>2563</v>
      </c>
      <c r="M1388" s="83">
        <v>45796.393090277779</v>
      </c>
      <c r="N1388" s="83"/>
      <c r="O1388" s="83"/>
      <c r="P1388" s="86" t="str">
        <f ca="1">IF(Proc[[#This Row],[DaysAgeing]]&gt;5,"yep","on track")</f>
        <v>yep</v>
      </c>
      <c r="Q1388" s="3">
        <f ca="1">IF(Proc[[#This Row],[DateClosed]]="",ABS(NETWORKDAYS(Proc[[#This Row],[DateOpened]],TODAY()))-1,ABS(NETWORKDAYS(Proc[[#This Row],[DateOpened]],Proc[[#This Row],[DateClosed]]))-1)</f>
        <v>143</v>
      </c>
      <c r="R1388" s="86" t="s">
        <v>478</v>
      </c>
      <c r="S1388" s="85"/>
    </row>
    <row r="1389" spans="1:19" hidden="1">
      <c r="A1389" s="84" t="s">
        <v>3326</v>
      </c>
      <c r="B1389" s="149" t="str">
        <f>IFERROR(VLOOKUP(Proc[[#This Row],[App]],Table2[],3,0),"open")</f>
        <v>ok</v>
      </c>
      <c r="C1389" s="84" t="s">
        <v>369</v>
      </c>
      <c r="D1389" t="s">
        <v>3314</v>
      </c>
      <c r="E1389" t="s">
        <v>2161</v>
      </c>
      <c r="F1389" s="117" t="s">
        <v>2161</v>
      </c>
      <c r="G1389" s="84" t="s">
        <v>400</v>
      </c>
      <c r="H1389" s="85" t="str">
        <f>IF(Proc[[#This Row],[type]]="LFF (MDG-F)",MID(Proc[[#This Row],[Obj]],13,10),"")</f>
        <v/>
      </c>
      <c r="J1389" s="85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HC</v>
      </c>
      <c r="L1389" s="85" t="s">
        <v>2563</v>
      </c>
      <c r="M1389" s="83">
        <v>45796.393090277779</v>
      </c>
      <c r="N1389" s="83"/>
      <c r="O1389" s="83"/>
      <c r="P1389" s="86" t="str">
        <f ca="1">IF(Proc[[#This Row],[DaysAgeing]]&gt;5,"yep","on track")</f>
        <v>yep</v>
      </c>
      <c r="Q1389" s="3">
        <f ca="1">IF(Proc[[#This Row],[DateClosed]]="",ABS(NETWORKDAYS(Proc[[#This Row],[DateOpened]],TODAY()))-1,ABS(NETWORKDAYS(Proc[[#This Row],[DateOpened]],Proc[[#This Row],[DateClosed]]))-1)</f>
        <v>143</v>
      </c>
      <c r="R1389" s="86" t="s">
        <v>478</v>
      </c>
      <c r="S1389" s="85"/>
    </row>
    <row r="1390" spans="1:19" hidden="1">
      <c r="A1390" s="84" t="s">
        <v>3326</v>
      </c>
      <c r="B1390" s="149" t="str">
        <f>IFERROR(VLOOKUP(Proc[[#This Row],[App]],Table2[],3,0),"open")</f>
        <v>ok</v>
      </c>
      <c r="C1390" s="84" t="s">
        <v>369</v>
      </c>
      <c r="D1390" t="s">
        <v>3315</v>
      </c>
      <c r="E1390" t="s">
        <v>2161</v>
      </c>
      <c r="F1390" s="117" t="s">
        <v>2161</v>
      </c>
      <c r="G1390" s="84" t="s">
        <v>400</v>
      </c>
      <c r="H1390" s="85" t="str">
        <f>IF(Proc[[#This Row],[type]]="LFF (MDG-F)",MID(Proc[[#This Row],[Obj]],13,10),"")</f>
        <v/>
      </c>
      <c r="J1390" s="85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HC</v>
      </c>
      <c r="L1390" s="85" t="s">
        <v>2563</v>
      </c>
      <c r="M1390" s="83">
        <v>45796.393090277779</v>
      </c>
      <c r="N1390" s="83"/>
      <c r="O1390" s="83"/>
      <c r="P1390" s="86" t="str">
        <f ca="1">IF(Proc[[#This Row],[DaysAgeing]]&gt;5,"yep","on track")</f>
        <v>yep</v>
      </c>
      <c r="Q1390" s="3">
        <f ca="1">IF(Proc[[#This Row],[DateClosed]]="",ABS(NETWORKDAYS(Proc[[#This Row],[DateOpened]],TODAY()))-1,ABS(NETWORKDAYS(Proc[[#This Row],[DateOpened]],Proc[[#This Row],[DateClosed]]))-1)</f>
        <v>143</v>
      </c>
      <c r="R1390" s="86" t="s">
        <v>478</v>
      </c>
      <c r="S1390" s="85"/>
    </row>
    <row r="1391" spans="1:19" hidden="1">
      <c r="A1391" s="84" t="s">
        <v>3326</v>
      </c>
      <c r="B1391" s="149" t="str">
        <f>IFERROR(VLOOKUP(Proc[[#This Row],[App]],Table2[],3,0),"open")</f>
        <v>ok</v>
      </c>
      <c r="C1391" s="84" t="s">
        <v>369</v>
      </c>
      <c r="D1391" t="s">
        <v>3316</v>
      </c>
      <c r="E1391" t="s">
        <v>2161</v>
      </c>
      <c r="F1391" s="117" t="s">
        <v>2161</v>
      </c>
      <c r="G1391" s="84" t="s">
        <v>400</v>
      </c>
      <c r="H1391" s="85" t="str">
        <f>IF(Proc[[#This Row],[type]]="LFF (MDG-F)",MID(Proc[[#This Row],[Obj]],13,10),"")</f>
        <v/>
      </c>
      <c r="J1391" s="85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HC</v>
      </c>
      <c r="L1391" s="85" t="s">
        <v>2563</v>
      </c>
      <c r="M1391" s="83">
        <v>45796.393090277779</v>
      </c>
      <c r="N1391" s="83"/>
      <c r="O1391" s="83"/>
      <c r="P1391" s="86" t="str">
        <f ca="1">IF(Proc[[#This Row],[DaysAgeing]]&gt;5,"yep","on track")</f>
        <v>yep</v>
      </c>
      <c r="Q1391" s="3">
        <f ca="1">IF(Proc[[#This Row],[DateClosed]]="",ABS(NETWORKDAYS(Proc[[#This Row],[DateOpened]],TODAY()))-1,ABS(NETWORKDAYS(Proc[[#This Row],[DateOpened]],Proc[[#This Row],[DateClosed]]))-1)</f>
        <v>143</v>
      </c>
      <c r="R1391" s="86" t="s">
        <v>478</v>
      </c>
      <c r="S1391" s="85"/>
    </row>
    <row r="1392" spans="1:19" hidden="1">
      <c r="A1392" s="84" t="s">
        <v>3326</v>
      </c>
      <c r="B1392" s="149" t="str">
        <f>IFERROR(VLOOKUP(Proc[[#This Row],[App]],Table2[],3,0),"open")</f>
        <v>ok</v>
      </c>
      <c r="C1392" s="84" t="s">
        <v>369</v>
      </c>
      <c r="D1392" t="s">
        <v>3317</v>
      </c>
      <c r="E1392" t="s">
        <v>2161</v>
      </c>
      <c r="F1392" s="117" t="s">
        <v>2161</v>
      </c>
      <c r="G1392" s="84" t="s">
        <v>400</v>
      </c>
      <c r="H1392" s="85" t="str">
        <f>IF(Proc[[#This Row],[type]]="LFF (MDG-F)",MID(Proc[[#This Row],[Obj]],13,10),"")</f>
        <v/>
      </c>
      <c r="J1392" s="85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HC</v>
      </c>
      <c r="L1392" s="85" t="s">
        <v>2563</v>
      </c>
      <c r="M1392" s="83">
        <v>45796.393090277779</v>
      </c>
      <c r="N1392" s="83"/>
      <c r="O1392" s="83"/>
      <c r="P1392" s="86" t="str">
        <f ca="1">IF(Proc[[#This Row],[DaysAgeing]]&gt;5,"yep","on track")</f>
        <v>yep</v>
      </c>
      <c r="Q1392" s="3">
        <f ca="1">IF(Proc[[#This Row],[DateClosed]]="",ABS(NETWORKDAYS(Proc[[#This Row],[DateOpened]],TODAY()))-1,ABS(NETWORKDAYS(Proc[[#This Row],[DateOpened]],Proc[[#This Row],[DateClosed]]))-1)</f>
        <v>143</v>
      </c>
      <c r="R1392" s="86" t="s">
        <v>478</v>
      </c>
      <c r="S1392" s="85"/>
    </row>
    <row r="1393" spans="1:19" hidden="1">
      <c r="A1393" s="84" t="s">
        <v>3326</v>
      </c>
      <c r="B1393" s="149" t="str">
        <f>IFERROR(VLOOKUP(Proc[[#This Row],[App]],Table2[],3,0),"open")</f>
        <v>ok</v>
      </c>
      <c r="C1393" s="84" t="s">
        <v>369</v>
      </c>
      <c r="D1393" t="s">
        <v>3318</v>
      </c>
      <c r="E1393" t="s">
        <v>2161</v>
      </c>
      <c r="F1393" s="117" t="s">
        <v>2161</v>
      </c>
      <c r="G1393" s="84" t="s">
        <v>400</v>
      </c>
      <c r="H1393" s="85" t="str">
        <f>IF(Proc[[#This Row],[type]]="LFF (MDG-F)",MID(Proc[[#This Row],[Obj]],13,10),"")</f>
        <v/>
      </c>
      <c r="J1393" s="85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HC</v>
      </c>
      <c r="L1393" s="85" t="s">
        <v>2563</v>
      </c>
      <c r="M1393" s="83">
        <v>45796.393090277779</v>
      </c>
      <c r="N1393" s="83"/>
      <c r="O1393" s="83"/>
      <c r="P1393" s="86" t="str">
        <f ca="1">IF(Proc[[#This Row],[DaysAgeing]]&gt;5,"yep","on track")</f>
        <v>yep</v>
      </c>
      <c r="Q1393" s="3">
        <f ca="1">IF(Proc[[#This Row],[DateClosed]]="",ABS(NETWORKDAYS(Proc[[#This Row],[DateOpened]],TODAY()))-1,ABS(NETWORKDAYS(Proc[[#This Row],[DateOpened]],Proc[[#This Row],[DateClosed]]))-1)</f>
        <v>143</v>
      </c>
      <c r="R1393" s="86" t="s">
        <v>478</v>
      </c>
      <c r="S1393" s="85"/>
    </row>
    <row r="1394" spans="1:19" hidden="1">
      <c r="A1394" s="84" t="s">
        <v>3326</v>
      </c>
      <c r="B1394" s="149" t="str">
        <f>IFERROR(VLOOKUP(Proc[[#This Row],[App]],Table2[],3,0),"open")</f>
        <v>ok</v>
      </c>
      <c r="C1394" s="84" t="s">
        <v>369</v>
      </c>
      <c r="D1394" t="s">
        <v>3319</v>
      </c>
      <c r="E1394" t="s">
        <v>2161</v>
      </c>
      <c r="F1394" s="117" t="s">
        <v>2161</v>
      </c>
      <c r="G1394" s="84" t="s">
        <v>400</v>
      </c>
      <c r="H1394" s="85" t="str">
        <f>IF(Proc[[#This Row],[type]]="LFF (MDG-F)",MID(Proc[[#This Row],[Obj]],13,10),"")</f>
        <v/>
      </c>
      <c r="J1394" s="85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HC</v>
      </c>
      <c r="L1394" s="85" t="s">
        <v>2563</v>
      </c>
      <c r="M1394" s="83">
        <v>45796.393090277779</v>
      </c>
      <c r="N1394" s="83"/>
      <c r="O1394" s="83"/>
      <c r="P1394" s="86" t="str">
        <f ca="1">IF(Proc[[#This Row],[DaysAgeing]]&gt;5,"yep","on track")</f>
        <v>yep</v>
      </c>
      <c r="Q1394" s="3">
        <f ca="1">IF(Proc[[#This Row],[DateClosed]]="",ABS(NETWORKDAYS(Proc[[#This Row],[DateOpened]],TODAY()))-1,ABS(NETWORKDAYS(Proc[[#This Row],[DateOpened]],Proc[[#This Row],[DateClosed]]))-1)</f>
        <v>143</v>
      </c>
      <c r="R1394" s="86" t="s">
        <v>478</v>
      </c>
      <c r="S1394" s="85"/>
    </row>
    <row r="1395" spans="1:19" hidden="1">
      <c r="A1395" s="84" t="s">
        <v>3326</v>
      </c>
      <c r="B1395" s="149" t="str">
        <f>IFERROR(VLOOKUP(Proc[[#This Row],[App]],Table2[],3,0),"open")</f>
        <v>ok</v>
      </c>
      <c r="C1395" s="84" t="s">
        <v>369</v>
      </c>
      <c r="D1395" t="s">
        <v>3320</v>
      </c>
      <c r="E1395" t="s">
        <v>2161</v>
      </c>
      <c r="F1395" s="117" t="s">
        <v>2161</v>
      </c>
      <c r="G1395" s="84" t="s">
        <v>400</v>
      </c>
      <c r="H1395" s="85" t="str">
        <f>IF(Proc[[#This Row],[type]]="LFF (MDG-F)",MID(Proc[[#This Row],[Obj]],13,10),"")</f>
        <v/>
      </c>
      <c r="J1395" s="85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HC</v>
      </c>
      <c r="L1395" s="85" t="s">
        <v>2563</v>
      </c>
      <c r="M1395" s="83">
        <v>45796.393090277779</v>
      </c>
      <c r="N1395" s="83"/>
      <c r="O1395" s="83"/>
      <c r="P1395" s="86" t="str">
        <f ca="1">IF(Proc[[#This Row],[DaysAgeing]]&gt;5,"yep","on track")</f>
        <v>yep</v>
      </c>
      <c r="Q1395" s="3">
        <f ca="1">IF(Proc[[#This Row],[DateClosed]]="",ABS(NETWORKDAYS(Proc[[#This Row],[DateOpened]],TODAY()))-1,ABS(NETWORKDAYS(Proc[[#This Row],[DateOpened]],Proc[[#This Row],[DateClosed]]))-1)</f>
        <v>143</v>
      </c>
      <c r="R1395" s="86" t="s">
        <v>478</v>
      </c>
      <c r="S1395" s="85"/>
    </row>
    <row r="1396" spans="1:19" hidden="1">
      <c r="A1396" s="84" t="s">
        <v>3326</v>
      </c>
      <c r="B1396" s="149" t="str">
        <f>IFERROR(VLOOKUP(Proc[[#This Row],[App]],Table2[],3,0),"open")</f>
        <v>ok</v>
      </c>
      <c r="C1396" s="84" t="s">
        <v>369</v>
      </c>
      <c r="D1396" t="s">
        <v>3321</v>
      </c>
      <c r="E1396" t="s">
        <v>2161</v>
      </c>
      <c r="F1396" s="117" t="s">
        <v>2161</v>
      </c>
      <c r="G1396" s="84" t="s">
        <v>400</v>
      </c>
      <c r="H1396" s="85" t="str">
        <f>IF(Proc[[#This Row],[type]]="LFF (MDG-F)",MID(Proc[[#This Row],[Obj]],13,10),"")</f>
        <v/>
      </c>
      <c r="J1396" s="85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HC</v>
      </c>
      <c r="L1396" s="85" t="s">
        <v>2563</v>
      </c>
      <c r="M1396" s="83">
        <v>45796.393090277779</v>
      </c>
      <c r="N1396" s="83"/>
      <c r="O1396" s="83"/>
      <c r="P1396" s="86" t="str">
        <f ca="1">IF(Proc[[#This Row],[DaysAgeing]]&gt;5,"yep","on track")</f>
        <v>yep</v>
      </c>
      <c r="Q1396" s="3">
        <f ca="1">IF(Proc[[#This Row],[DateClosed]]="",ABS(NETWORKDAYS(Proc[[#This Row],[DateOpened]],TODAY()))-1,ABS(NETWORKDAYS(Proc[[#This Row],[DateOpened]],Proc[[#This Row],[DateClosed]]))-1)</f>
        <v>143</v>
      </c>
      <c r="R1396" s="86" t="s">
        <v>478</v>
      </c>
      <c r="S1396" s="85"/>
    </row>
    <row r="1397" spans="1:19" hidden="1">
      <c r="A1397" s="84" t="s">
        <v>3326</v>
      </c>
      <c r="B1397" s="149" t="str">
        <f>IFERROR(VLOOKUP(Proc[[#This Row],[App]],Table2[],3,0),"open")</f>
        <v>ok</v>
      </c>
      <c r="C1397" s="84" t="s">
        <v>369</v>
      </c>
      <c r="D1397" t="s">
        <v>3322</v>
      </c>
      <c r="E1397" t="s">
        <v>2161</v>
      </c>
      <c r="F1397" s="117" t="s">
        <v>2161</v>
      </c>
      <c r="G1397" s="84" t="s">
        <v>400</v>
      </c>
      <c r="H1397" s="85" t="str">
        <f>IF(Proc[[#This Row],[type]]="LFF (MDG-F)",MID(Proc[[#This Row],[Obj]],13,10),"")</f>
        <v/>
      </c>
      <c r="J1397" s="85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HC</v>
      </c>
      <c r="L1397" s="85" t="s">
        <v>2563</v>
      </c>
      <c r="M1397" s="83">
        <v>45796.393090277779</v>
      </c>
      <c r="N1397" s="83"/>
      <c r="O1397" s="83"/>
      <c r="P1397" s="86" t="str">
        <f ca="1">IF(Proc[[#This Row],[DaysAgeing]]&gt;5,"yep","on track")</f>
        <v>yep</v>
      </c>
      <c r="Q1397" s="3">
        <f ca="1">IF(Proc[[#This Row],[DateClosed]]="",ABS(NETWORKDAYS(Proc[[#This Row],[DateOpened]],TODAY()))-1,ABS(NETWORKDAYS(Proc[[#This Row],[DateOpened]],Proc[[#This Row],[DateClosed]]))-1)</f>
        <v>143</v>
      </c>
      <c r="R1397" s="86" t="s">
        <v>478</v>
      </c>
      <c r="S1397" s="85"/>
    </row>
    <row r="1398" spans="1:19" hidden="1">
      <c r="A1398" s="84" t="s">
        <v>3326</v>
      </c>
      <c r="B1398" s="149" t="str">
        <f>IFERROR(VLOOKUP(Proc[[#This Row],[App]],Table2[],3,0),"open")</f>
        <v>ok</v>
      </c>
      <c r="C1398" s="84" t="s">
        <v>369</v>
      </c>
      <c r="D1398" t="s">
        <v>3323</v>
      </c>
      <c r="E1398" t="s">
        <v>2161</v>
      </c>
      <c r="F1398" s="117" t="s">
        <v>2161</v>
      </c>
      <c r="G1398" s="84" t="s">
        <v>400</v>
      </c>
      <c r="H1398" s="85" t="str">
        <f>IF(Proc[[#This Row],[type]]="LFF (MDG-F)",MID(Proc[[#This Row],[Obj]],13,10),"")</f>
        <v/>
      </c>
      <c r="J1398" s="85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HC</v>
      </c>
      <c r="L1398" s="85" t="s">
        <v>2563</v>
      </c>
      <c r="M1398" s="83">
        <v>45796.393090277779</v>
      </c>
      <c r="N1398" s="83"/>
      <c r="O1398" s="83"/>
      <c r="P1398" s="86" t="str">
        <f ca="1">IF(Proc[[#This Row],[DaysAgeing]]&gt;5,"yep","on track")</f>
        <v>yep</v>
      </c>
      <c r="Q1398" s="3">
        <f ca="1">IF(Proc[[#This Row],[DateClosed]]="",ABS(NETWORKDAYS(Proc[[#This Row],[DateOpened]],TODAY()))-1,ABS(NETWORKDAYS(Proc[[#This Row],[DateOpened]],Proc[[#This Row],[DateClosed]]))-1)</f>
        <v>143</v>
      </c>
      <c r="R1398" s="86" t="s">
        <v>478</v>
      </c>
      <c r="S1398" s="85"/>
    </row>
    <row r="1399" spans="1:19" hidden="1">
      <c r="A1399" s="84" t="s">
        <v>3326</v>
      </c>
      <c r="B1399" s="149" t="str">
        <f>IFERROR(VLOOKUP(Proc[[#This Row],[App]],Table2[],3,0),"open")</f>
        <v>ok</v>
      </c>
      <c r="C1399" s="84" t="s">
        <v>369</v>
      </c>
      <c r="D1399" t="s">
        <v>3324</v>
      </c>
      <c r="E1399" t="s">
        <v>2161</v>
      </c>
      <c r="F1399" s="117" t="s">
        <v>2161</v>
      </c>
      <c r="G1399" s="84" t="s">
        <v>400</v>
      </c>
      <c r="H1399" s="85" t="str">
        <f>IF(Proc[[#This Row],[type]]="LFF (MDG-F)",MID(Proc[[#This Row],[Obj]],13,10),"")</f>
        <v/>
      </c>
      <c r="J1399" s="85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HC</v>
      </c>
      <c r="L1399" s="85" t="s">
        <v>2563</v>
      </c>
      <c r="M1399" s="83">
        <v>45796.393090277779</v>
      </c>
      <c r="N1399" s="83"/>
      <c r="O1399" s="83"/>
      <c r="P1399" s="86" t="str">
        <f ca="1">IF(Proc[[#This Row],[DaysAgeing]]&gt;5,"yep","on track")</f>
        <v>yep</v>
      </c>
      <c r="Q1399" s="3">
        <f ca="1">IF(Proc[[#This Row],[DateClosed]]="",ABS(NETWORKDAYS(Proc[[#This Row],[DateOpened]],TODAY()))-1,ABS(NETWORKDAYS(Proc[[#This Row],[DateOpened]],Proc[[#This Row],[DateClosed]]))-1)</f>
        <v>143</v>
      </c>
      <c r="R1399" s="86" t="s">
        <v>478</v>
      </c>
      <c r="S1399" s="85"/>
    </row>
    <row r="1400" spans="1:19" hidden="1">
      <c r="A1400" s="84" t="s">
        <v>3326</v>
      </c>
      <c r="B1400" s="149" t="str">
        <f>IFERROR(VLOOKUP(Proc[[#This Row],[App]],Table2[],3,0),"open")</f>
        <v>ok</v>
      </c>
      <c r="C1400" s="84" t="s">
        <v>369</v>
      </c>
      <c r="D1400" t="s">
        <v>3325</v>
      </c>
      <c r="E1400" t="s">
        <v>2161</v>
      </c>
      <c r="F1400" s="117" t="s">
        <v>2161</v>
      </c>
      <c r="G1400" s="84" t="s">
        <v>400</v>
      </c>
      <c r="H1400" s="85" t="str">
        <f>IF(Proc[[#This Row],[type]]="LFF (MDG-F)",MID(Proc[[#This Row],[Obj]],13,10),"")</f>
        <v/>
      </c>
      <c r="J1400" s="85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HC</v>
      </c>
      <c r="L1400" s="85" t="s">
        <v>2563</v>
      </c>
      <c r="M1400" s="83">
        <v>45796.393090277779</v>
      </c>
      <c r="N1400" s="83"/>
      <c r="O1400" s="83"/>
      <c r="P1400" s="86" t="str">
        <f ca="1">IF(Proc[[#This Row],[DaysAgeing]]&gt;5,"yep","on track")</f>
        <v>yep</v>
      </c>
      <c r="Q1400" s="3">
        <f ca="1">IF(Proc[[#This Row],[DateClosed]]="",ABS(NETWORKDAYS(Proc[[#This Row],[DateOpened]],TODAY()))-1,ABS(NETWORKDAYS(Proc[[#This Row],[DateOpened]],Proc[[#This Row],[DateClosed]]))-1)</f>
        <v>143</v>
      </c>
      <c r="R1400" s="86" t="s">
        <v>478</v>
      </c>
      <c r="S1400" s="85"/>
    </row>
    <row r="1401" spans="1:19" hidden="1">
      <c r="A1401" t="s">
        <v>3327</v>
      </c>
      <c r="B1401" s="149" t="str">
        <f>IFERROR(VLOOKUP(Proc[[#This Row],[App]],Table2[],3,0),"open")</f>
        <v>ok</v>
      </c>
      <c r="C1401" s="84" t="s">
        <v>369</v>
      </c>
      <c r="D1401" t="s">
        <v>3328</v>
      </c>
      <c r="E1401" t="s">
        <v>2174</v>
      </c>
      <c r="F1401" s="117" t="s">
        <v>2174</v>
      </c>
      <c r="G1401" s="84" t="s">
        <v>400</v>
      </c>
      <c r="H1401" s="85" t="str">
        <f>IF(Proc[[#This Row],[type]]="LFF (MDG-F)",MID(Proc[[#This Row],[Obj]],13,10),"")</f>
        <v/>
      </c>
      <c r="J1401" s="85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HC</v>
      </c>
      <c r="L1401" s="85" t="s">
        <v>2563</v>
      </c>
      <c r="M1401" s="83">
        <v>45796.395428240743</v>
      </c>
      <c r="N1401" s="83"/>
      <c r="O1401" s="83"/>
      <c r="P1401" s="86" t="str">
        <f ca="1">IF(Proc[[#This Row],[DaysAgeing]]&gt;5,"yep","on track")</f>
        <v>yep</v>
      </c>
      <c r="Q1401" s="3">
        <f ca="1">IF(Proc[[#This Row],[DateClosed]]="",ABS(NETWORKDAYS(Proc[[#This Row],[DateOpened]],TODAY()))-1,ABS(NETWORKDAYS(Proc[[#This Row],[DateOpened]],Proc[[#This Row],[DateClosed]]))-1)</f>
        <v>143</v>
      </c>
      <c r="R1401" s="86" t="s">
        <v>478</v>
      </c>
      <c r="S1401" s="85"/>
    </row>
    <row r="1402" spans="1:19" hidden="1">
      <c r="A1402" t="s">
        <v>3331</v>
      </c>
      <c r="B1402" s="149" t="str">
        <f>IFERROR(VLOOKUP(Proc[[#This Row],[App]],Table2[],3,0),"open")</f>
        <v>ok</v>
      </c>
      <c r="C1402" s="89" t="s">
        <v>369</v>
      </c>
      <c r="D1402" t="s">
        <v>3330</v>
      </c>
      <c r="E1402" t="s">
        <v>3280</v>
      </c>
      <c r="F1402" s="117" t="s">
        <v>3280</v>
      </c>
      <c r="G1402" t="s">
        <v>400</v>
      </c>
      <c r="H1402" s="85" t="str">
        <f>IF(Proc[[#This Row],[type]]="LFF (MDG-F)",MID(Proc[[#This Row],[Obj]],13,10),"")</f>
        <v/>
      </c>
      <c r="J1402" s="85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HC</v>
      </c>
      <c r="L1402" s="85" t="s">
        <v>2563</v>
      </c>
      <c r="M1402" s="83">
        <v>45796.761319444442</v>
      </c>
      <c r="N1402" s="83"/>
      <c r="O1402" s="83"/>
      <c r="P1402" s="86" t="str">
        <f ca="1">IF(Proc[[#This Row],[DaysAgeing]]&gt;5,"yep","on track")</f>
        <v>yep</v>
      </c>
      <c r="Q1402" s="3">
        <f ca="1">IF(Proc[[#This Row],[DateClosed]]="",ABS(NETWORKDAYS(Proc[[#This Row],[DateOpened]],TODAY()))-1,ABS(NETWORKDAYS(Proc[[#This Row],[DateOpened]],Proc[[#This Row],[DateClosed]]))-1)</f>
        <v>143</v>
      </c>
      <c r="R1402" s="86" t="s">
        <v>3284</v>
      </c>
      <c r="S1402" s="85"/>
    </row>
    <row r="1403" spans="1:19" hidden="1">
      <c r="A1403" t="s">
        <v>3332</v>
      </c>
      <c r="B1403" s="149" t="str">
        <f>IFERROR(VLOOKUP(Proc[[#This Row],[App]],Table2[],3,0),"open")</f>
        <v>ok</v>
      </c>
      <c r="C1403" s="89" t="s">
        <v>369</v>
      </c>
      <c r="D1403" t="s">
        <v>3333</v>
      </c>
      <c r="E1403" t="s">
        <v>1830</v>
      </c>
      <c r="F1403" s="117" t="s">
        <v>1830</v>
      </c>
      <c r="G1403" s="84" t="s">
        <v>400</v>
      </c>
      <c r="H1403" s="85" t="str">
        <f>IF(Proc[[#This Row],[type]]="LFF (MDG-F)",MID(Proc[[#This Row],[Obj]],13,10),"")</f>
        <v/>
      </c>
      <c r="J1403" s="85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85" t="s">
        <v>2563</v>
      </c>
      <c r="M1403" s="83">
        <v>45797.153009259258</v>
      </c>
      <c r="N1403" s="83"/>
      <c r="O1403" s="83"/>
      <c r="P1403" s="86" t="str">
        <f ca="1">IF(Proc[[#This Row],[DaysAgeing]]&gt;5,"yep","on track")</f>
        <v>yep</v>
      </c>
      <c r="Q1403" s="3">
        <f ca="1">IF(Proc[[#This Row],[DateClosed]]="",ABS(NETWORKDAYS(Proc[[#This Row],[DateOpened]],TODAY()))-1,ABS(NETWORKDAYS(Proc[[#This Row],[DateOpened]],Proc[[#This Row],[DateClosed]]))-1)</f>
        <v>142</v>
      </c>
      <c r="R1403" s="86" t="s">
        <v>972</v>
      </c>
      <c r="S1403" s="85"/>
    </row>
    <row r="1404" spans="1:19" hidden="1">
      <c r="A1404" s="84" t="s">
        <v>3332</v>
      </c>
      <c r="B1404" s="149" t="str">
        <f>IFERROR(VLOOKUP(Proc[[#This Row],[App]],Table2[],3,0),"open")</f>
        <v>ok</v>
      </c>
      <c r="C1404" s="89" t="s">
        <v>369</v>
      </c>
      <c r="D1404" t="s">
        <v>3334</v>
      </c>
      <c r="E1404" t="s">
        <v>1830</v>
      </c>
      <c r="F1404" s="117" t="s">
        <v>1830</v>
      </c>
      <c r="G1404" s="84" t="s">
        <v>400</v>
      </c>
      <c r="H1404" s="85" t="str">
        <f>IF(Proc[[#This Row],[type]]="LFF (MDG-F)",MID(Proc[[#This Row],[Obj]],13,10),"")</f>
        <v/>
      </c>
      <c r="J1404" s="85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85" t="s">
        <v>2563</v>
      </c>
      <c r="M1404" s="83">
        <v>45797.153009259258</v>
      </c>
      <c r="N1404" s="83"/>
      <c r="O1404" s="83"/>
      <c r="P1404" s="86" t="str">
        <f ca="1">IF(Proc[[#This Row],[DaysAgeing]]&gt;5,"yep","on track")</f>
        <v>yep</v>
      </c>
      <c r="Q1404" s="3">
        <f ca="1">IF(Proc[[#This Row],[DateClosed]]="",ABS(NETWORKDAYS(Proc[[#This Row],[DateOpened]],TODAY()))-1,ABS(NETWORKDAYS(Proc[[#This Row],[DateOpened]],Proc[[#This Row],[DateClosed]]))-1)</f>
        <v>142</v>
      </c>
      <c r="R1404" s="86" t="s">
        <v>972</v>
      </c>
      <c r="S1404" s="85"/>
    </row>
    <row r="1405" spans="1:19" hidden="1">
      <c r="A1405" s="84" t="s">
        <v>3332</v>
      </c>
      <c r="B1405" s="149" t="str">
        <f>IFERROR(VLOOKUP(Proc[[#This Row],[App]],Table2[],3,0),"open")</f>
        <v>ok</v>
      </c>
      <c r="C1405" s="89" t="s">
        <v>369</v>
      </c>
      <c r="D1405" t="s">
        <v>3335</v>
      </c>
      <c r="E1405" t="s">
        <v>1830</v>
      </c>
      <c r="F1405" s="117" t="s">
        <v>1830</v>
      </c>
      <c r="G1405" s="84" t="s">
        <v>400</v>
      </c>
      <c r="H1405" s="85" t="str">
        <f>IF(Proc[[#This Row],[type]]="LFF (MDG-F)",MID(Proc[[#This Row],[Obj]],13,10),"")</f>
        <v/>
      </c>
      <c r="J1405" s="85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85" t="s">
        <v>2563</v>
      </c>
      <c r="M1405" s="83">
        <v>45797.153009259258</v>
      </c>
      <c r="N1405" s="83"/>
      <c r="O1405" s="83"/>
      <c r="P1405" s="86" t="str">
        <f ca="1">IF(Proc[[#This Row],[DaysAgeing]]&gt;5,"yep","on track")</f>
        <v>yep</v>
      </c>
      <c r="Q1405" s="3">
        <f ca="1">IF(Proc[[#This Row],[DateClosed]]="",ABS(NETWORKDAYS(Proc[[#This Row],[DateOpened]],TODAY()))-1,ABS(NETWORKDAYS(Proc[[#This Row],[DateOpened]],Proc[[#This Row],[DateClosed]]))-1)</f>
        <v>142</v>
      </c>
      <c r="R1405" s="86" t="s">
        <v>972</v>
      </c>
      <c r="S1405" s="85"/>
    </row>
    <row r="1406" spans="1:19" hidden="1">
      <c r="A1406" s="84" t="s">
        <v>3332</v>
      </c>
      <c r="B1406" s="149" t="str">
        <f>IFERROR(VLOOKUP(Proc[[#This Row],[App]],Table2[],3,0),"open")</f>
        <v>ok</v>
      </c>
      <c r="C1406" s="89" t="s">
        <v>369</v>
      </c>
      <c r="D1406" t="s">
        <v>3336</v>
      </c>
      <c r="E1406" t="s">
        <v>1830</v>
      </c>
      <c r="F1406" s="117" t="s">
        <v>1830</v>
      </c>
      <c r="G1406" s="84" t="s">
        <v>400</v>
      </c>
      <c r="H1406" s="85" t="str">
        <f>IF(Proc[[#This Row],[type]]="LFF (MDG-F)",MID(Proc[[#This Row],[Obj]],13,10),"")</f>
        <v/>
      </c>
      <c r="J1406" s="85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85" t="s">
        <v>2563</v>
      </c>
      <c r="M1406" s="83">
        <v>45797.153009259258</v>
      </c>
      <c r="N1406" s="83"/>
      <c r="O1406" s="83"/>
      <c r="P1406" s="86" t="str">
        <f ca="1">IF(Proc[[#This Row],[DaysAgeing]]&gt;5,"yep","on track")</f>
        <v>yep</v>
      </c>
      <c r="Q1406" s="3">
        <f ca="1">IF(Proc[[#This Row],[DateClosed]]="",ABS(NETWORKDAYS(Proc[[#This Row],[DateOpened]],TODAY()))-1,ABS(NETWORKDAYS(Proc[[#This Row],[DateOpened]],Proc[[#This Row],[DateClosed]]))-1)</f>
        <v>142</v>
      </c>
      <c r="R1406" s="86" t="s">
        <v>972</v>
      </c>
      <c r="S1406" s="85"/>
    </row>
    <row r="1407" spans="1:19" hidden="1">
      <c r="A1407" s="84" t="s">
        <v>3332</v>
      </c>
      <c r="B1407" s="149" t="str">
        <f>IFERROR(VLOOKUP(Proc[[#This Row],[App]],Table2[],3,0),"open")</f>
        <v>ok</v>
      </c>
      <c r="C1407" s="89" t="s">
        <v>369</v>
      </c>
      <c r="D1407" t="s">
        <v>3337</v>
      </c>
      <c r="E1407" t="s">
        <v>1830</v>
      </c>
      <c r="F1407" s="117" t="s">
        <v>1830</v>
      </c>
      <c r="G1407" s="84" t="s">
        <v>400</v>
      </c>
      <c r="H1407" s="85" t="str">
        <f>IF(Proc[[#This Row],[type]]="LFF (MDG-F)",MID(Proc[[#This Row],[Obj]],13,10),"")</f>
        <v/>
      </c>
      <c r="J1407" s="85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85" t="s">
        <v>2563</v>
      </c>
      <c r="M1407" s="83">
        <v>45797.153009259258</v>
      </c>
      <c r="N1407" s="83"/>
      <c r="O1407" s="83"/>
      <c r="P1407" s="86" t="str">
        <f ca="1">IF(Proc[[#This Row],[DaysAgeing]]&gt;5,"yep","on track")</f>
        <v>yep</v>
      </c>
      <c r="Q1407" s="3">
        <f ca="1">IF(Proc[[#This Row],[DateClosed]]="",ABS(NETWORKDAYS(Proc[[#This Row],[DateOpened]],TODAY()))-1,ABS(NETWORKDAYS(Proc[[#This Row],[DateOpened]],Proc[[#This Row],[DateClosed]]))-1)</f>
        <v>142</v>
      </c>
      <c r="R1407" s="86" t="s">
        <v>972</v>
      </c>
      <c r="S1407" s="85"/>
    </row>
    <row r="1408" spans="1:19" hidden="1">
      <c r="A1408" s="84" t="s">
        <v>3332</v>
      </c>
      <c r="B1408" s="149" t="str">
        <f>IFERROR(VLOOKUP(Proc[[#This Row],[App]],Table2[],3,0),"open")</f>
        <v>ok</v>
      </c>
      <c r="C1408" s="89" t="s">
        <v>369</v>
      </c>
      <c r="D1408" t="s">
        <v>3338</v>
      </c>
      <c r="E1408" t="s">
        <v>1830</v>
      </c>
      <c r="F1408" s="117" t="s">
        <v>1830</v>
      </c>
      <c r="G1408" s="84" t="s">
        <v>400</v>
      </c>
      <c r="H1408" s="85" t="str">
        <f>IF(Proc[[#This Row],[type]]="LFF (MDG-F)",MID(Proc[[#This Row],[Obj]],13,10),"")</f>
        <v/>
      </c>
      <c r="J1408" s="85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85" t="s">
        <v>2563</v>
      </c>
      <c r="M1408" s="83">
        <v>45797.153009259258</v>
      </c>
      <c r="N1408" s="83"/>
      <c r="O1408" s="83"/>
      <c r="P1408" s="86" t="str">
        <f ca="1">IF(Proc[[#This Row],[DaysAgeing]]&gt;5,"yep","on track")</f>
        <v>yep</v>
      </c>
      <c r="Q1408" s="3">
        <f ca="1">IF(Proc[[#This Row],[DateClosed]]="",ABS(NETWORKDAYS(Proc[[#This Row],[DateOpened]],TODAY()))-1,ABS(NETWORKDAYS(Proc[[#This Row],[DateOpened]],Proc[[#This Row],[DateClosed]]))-1)</f>
        <v>142</v>
      </c>
      <c r="R1408" s="86" t="s">
        <v>972</v>
      </c>
      <c r="S1408" s="85"/>
    </row>
    <row r="1409" spans="1:19" hidden="1">
      <c r="A1409" s="84" t="s">
        <v>3332</v>
      </c>
      <c r="B1409" s="149" t="str">
        <f>IFERROR(VLOOKUP(Proc[[#This Row],[App]],Table2[],3,0),"open")</f>
        <v>ok</v>
      </c>
      <c r="C1409" s="89" t="s">
        <v>369</v>
      </c>
      <c r="D1409" t="s">
        <v>3339</v>
      </c>
      <c r="E1409" t="s">
        <v>3343</v>
      </c>
      <c r="F1409" s="117" t="s">
        <v>3343</v>
      </c>
      <c r="G1409" s="84" t="s">
        <v>400</v>
      </c>
      <c r="H1409" s="85" t="str">
        <f>IF(Proc[[#This Row],[type]]="LFF (MDG-F)",MID(Proc[[#This Row],[Obj]],13,10),"")</f>
        <v/>
      </c>
      <c r="J1409" s="85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85" t="s">
        <v>2563</v>
      </c>
      <c r="M1409" s="83">
        <v>45797.153009259258</v>
      </c>
      <c r="N1409" s="83"/>
      <c r="O1409" s="83"/>
      <c r="P1409" s="86" t="str">
        <f ca="1">IF(Proc[[#This Row],[DaysAgeing]]&gt;5,"yep","on track")</f>
        <v>yep</v>
      </c>
      <c r="Q1409" s="3">
        <f ca="1">IF(Proc[[#This Row],[DateClosed]]="",ABS(NETWORKDAYS(Proc[[#This Row],[DateOpened]],TODAY()))-1,ABS(NETWORKDAYS(Proc[[#This Row],[DateOpened]],Proc[[#This Row],[DateClosed]]))-1)</f>
        <v>142</v>
      </c>
      <c r="R1409" s="86" t="s">
        <v>972</v>
      </c>
      <c r="S1409" s="85"/>
    </row>
    <row r="1410" spans="1:19" hidden="1">
      <c r="A1410" s="84" t="s">
        <v>3332</v>
      </c>
      <c r="B1410" s="149" t="str">
        <f>IFERROR(VLOOKUP(Proc[[#This Row],[App]],Table2[],3,0),"open")</f>
        <v>ok</v>
      </c>
      <c r="C1410" s="89" t="s">
        <v>369</v>
      </c>
      <c r="D1410" t="s">
        <v>3340</v>
      </c>
      <c r="E1410" t="s">
        <v>1044</v>
      </c>
      <c r="F1410" s="117" t="s">
        <v>1044</v>
      </c>
      <c r="G1410" s="84" t="s">
        <v>400</v>
      </c>
      <c r="H1410" s="85" t="str">
        <f>IF(Proc[[#This Row],[type]]="LFF (MDG-F)",MID(Proc[[#This Row],[Obj]],13,10),"")</f>
        <v/>
      </c>
      <c r="J1410" s="85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85" t="s">
        <v>2563</v>
      </c>
      <c r="M1410" s="83">
        <v>45797.153009259258</v>
      </c>
      <c r="N1410" s="83"/>
      <c r="O1410" s="83"/>
      <c r="P1410" s="86" t="str">
        <f ca="1">IF(Proc[[#This Row],[DaysAgeing]]&gt;5,"yep","on track")</f>
        <v>yep</v>
      </c>
      <c r="Q1410" s="3">
        <f ca="1">IF(Proc[[#This Row],[DateClosed]]="",ABS(NETWORKDAYS(Proc[[#This Row],[DateOpened]],TODAY()))-1,ABS(NETWORKDAYS(Proc[[#This Row],[DateOpened]],Proc[[#This Row],[DateClosed]]))-1)</f>
        <v>142</v>
      </c>
      <c r="R1410" s="86" t="s">
        <v>972</v>
      </c>
      <c r="S1410" s="85"/>
    </row>
    <row r="1411" spans="1:19" hidden="1">
      <c r="A1411" s="84" t="s">
        <v>3332</v>
      </c>
      <c r="B1411" s="149" t="str">
        <f>IFERROR(VLOOKUP(Proc[[#This Row],[App]],Table2[],3,0),"open")</f>
        <v>ok</v>
      </c>
      <c r="C1411" s="89" t="s">
        <v>369</v>
      </c>
      <c r="D1411" t="s">
        <v>3341</v>
      </c>
      <c r="E1411" t="s">
        <v>2376</v>
      </c>
      <c r="F1411" s="117" t="s">
        <v>2376</v>
      </c>
      <c r="G1411" s="84" t="s">
        <v>400</v>
      </c>
      <c r="H1411" s="85" t="str">
        <f>IF(Proc[[#This Row],[type]]="LFF (MDG-F)",MID(Proc[[#This Row],[Obj]],13,10),"")</f>
        <v/>
      </c>
      <c r="J1411" s="85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85" t="s">
        <v>2563</v>
      </c>
      <c r="M1411" s="83">
        <v>45797.153009259258</v>
      </c>
      <c r="N1411" s="83"/>
      <c r="O1411" s="83"/>
      <c r="P1411" s="86" t="str">
        <f ca="1">IF(Proc[[#This Row],[DaysAgeing]]&gt;5,"yep","on track")</f>
        <v>yep</v>
      </c>
      <c r="Q1411" s="3">
        <f ca="1">IF(Proc[[#This Row],[DateClosed]]="",ABS(NETWORKDAYS(Proc[[#This Row],[DateOpened]],TODAY()))-1,ABS(NETWORKDAYS(Proc[[#This Row],[DateOpened]],Proc[[#This Row],[DateClosed]]))-1)</f>
        <v>142</v>
      </c>
      <c r="R1411" s="86" t="s">
        <v>972</v>
      </c>
      <c r="S1411" s="85"/>
    </row>
    <row r="1412" spans="1:19" hidden="1">
      <c r="A1412" s="84" t="s">
        <v>3332</v>
      </c>
      <c r="B1412" s="149" t="str">
        <f>IFERROR(VLOOKUP(Proc[[#This Row],[App]],Table2[],3,0),"open")</f>
        <v>ok</v>
      </c>
      <c r="C1412" s="89" t="s">
        <v>369</v>
      </c>
      <c r="D1412" t="s">
        <v>3342</v>
      </c>
      <c r="E1412" t="s">
        <v>3344</v>
      </c>
      <c r="F1412" s="117" t="s">
        <v>3344</v>
      </c>
      <c r="G1412" s="84" t="s">
        <v>400</v>
      </c>
      <c r="H1412" s="85" t="str">
        <f>IF(Proc[[#This Row],[type]]="LFF (MDG-F)",MID(Proc[[#This Row],[Obj]],13,10),"")</f>
        <v/>
      </c>
      <c r="J1412" s="85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85" t="s">
        <v>2563</v>
      </c>
      <c r="M1412" s="83">
        <v>45797.153009259258</v>
      </c>
      <c r="N1412" s="83"/>
      <c r="O1412" s="83"/>
      <c r="P1412" s="86" t="str">
        <f ca="1">IF(Proc[[#This Row],[DaysAgeing]]&gt;5,"yep","on track")</f>
        <v>yep</v>
      </c>
      <c r="Q1412" s="3">
        <f ca="1">IF(Proc[[#This Row],[DateClosed]]="",ABS(NETWORKDAYS(Proc[[#This Row],[DateOpened]],TODAY()))-1,ABS(NETWORKDAYS(Proc[[#This Row],[DateOpened]],Proc[[#This Row],[DateClosed]]))-1)</f>
        <v>142</v>
      </c>
      <c r="R1412" s="86" t="s">
        <v>972</v>
      </c>
      <c r="S1412" s="85"/>
    </row>
    <row r="1413" spans="1:19" hidden="1">
      <c r="A1413" t="s">
        <v>3345</v>
      </c>
      <c r="B1413" s="149" t="str">
        <f>IFERROR(VLOOKUP(Proc[[#This Row],[App]],Table2[],3,0),"open")</f>
        <v>ok</v>
      </c>
      <c r="C1413" s="89" t="s">
        <v>369</v>
      </c>
      <c r="D1413" t="s">
        <v>3359</v>
      </c>
      <c r="E1413" t="s">
        <v>3346</v>
      </c>
      <c r="F1413" s="117" t="s">
        <v>3346</v>
      </c>
      <c r="G1413" s="88" t="s">
        <v>400</v>
      </c>
      <c r="H1413" s="85" t="str">
        <f>IF(Proc[[#This Row],[type]]="LFF (MDG-F)",MID(Proc[[#This Row],[Obj]],13,10),"")</f>
        <v/>
      </c>
      <c r="J1413" s="85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85" t="s">
        <v>2563</v>
      </c>
      <c r="M1413" s="86">
        <v>45797.153009259258</v>
      </c>
      <c r="N1413" s="87"/>
      <c r="O1413" s="87"/>
      <c r="P1413" s="86" t="str">
        <f ca="1">IF(Proc[[#This Row],[DaysAgeing]]&gt;5,"yep","on track")</f>
        <v>yep</v>
      </c>
      <c r="Q1413" s="3">
        <f ca="1">IF(Proc[[#This Row],[DateClosed]]="",ABS(NETWORKDAYS(Proc[[#This Row],[DateOpened]],TODAY()))-1,ABS(NETWORKDAYS(Proc[[#This Row],[DateOpened]],Proc[[#This Row],[DateClosed]]))-1)</f>
        <v>142</v>
      </c>
      <c r="R1413" s="86" t="s">
        <v>551</v>
      </c>
      <c r="S1413" s="85"/>
    </row>
    <row r="1414" spans="1:19" hidden="1">
      <c r="A1414" s="88" t="s">
        <v>3345</v>
      </c>
      <c r="B1414" s="149" t="str">
        <f>IFERROR(VLOOKUP(Proc[[#This Row],[App]],Table2[],3,0),"open")</f>
        <v>ok</v>
      </c>
      <c r="C1414" s="89" t="s">
        <v>369</v>
      </c>
      <c r="D1414" t="s">
        <v>3360</v>
      </c>
      <c r="E1414" t="s">
        <v>3346</v>
      </c>
      <c r="F1414" s="117" t="s">
        <v>3346</v>
      </c>
      <c r="G1414" s="88" t="s">
        <v>400</v>
      </c>
      <c r="H1414" s="85" t="str">
        <f>IF(Proc[[#This Row],[type]]="LFF (MDG-F)",MID(Proc[[#This Row],[Obj]],13,10),"")</f>
        <v/>
      </c>
      <c r="I1414" s="89"/>
      <c r="J1414" s="85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85" t="s">
        <v>2563</v>
      </c>
      <c r="M1414" s="86">
        <v>45797.153009259258</v>
      </c>
      <c r="N1414" s="87"/>
      <c r="O1414" s="87"/>
      <c r="P1414" s="86" t="str">
        <f ca="1">IF(Proc[[#This Row],[DaysAgeing]]&gt;5,"yep","on track")</f>
        <v>yep</v>
      </c>
      <c r="Q1414" s="3">
        <f ca="1">IF(Proc[[#This Row],[DateClosed]]="",ABS(NETWORKDAYS(Proc[[#This Row],[DateOpened]],TODAY()))-1,ABS(NETWORKDAYS(Proc[[#This Row],[DateOpened]],Proc[[#This Row],[DateClosed]]))-1)</f>
        <v>142</v>
      </c>
      <c r="R1414" s="86" t="s">
        <v>551</v>
      </c>
      <c r="S1414" s="85"/>
    </row>
    <row r="1415" spans="1:19" hidden="1">
      <c r="A1415" s="88" t="s">
        <v>3345</v>
      </c>
      <c r="B1415" s="149" t="str">
        <f>IFERROR(VLOOKUP(Proc[[#This Row],[App]],Table2[],3,0),"open")</f>
        <v>ok</v>
      </c>
      <c r="C1415" s="89" t="s">
        <v>369</v>
      </c>
      <c r="D1415" t="s">
        <v>3361</v>
      </c>
      <c r="E1415" t="s">
        <v>3346</v>
      </c>
      <c r="F1415" s="117" t="s">
        <v>3346</v>
      </c>
      <c r="G1415" s="88" t="s">
        <v>400</v>
      </c>
      <c r="H1415" s="85" t="str">
        <f>IF(Proc[[#This Row],[type]]="LFF (MDG-F)",MID(Proc[[#This Row],[Obj]],13,10),"")</f>
        <v/>
      </c>
      <c r="I1415" s="89"/>
      <c r="J1415" s="85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85" t="s">
        <v>2563</v>
      </c>
      <c r="M1415" s="86">
        <v>45797.153009259258</v>
      </c>
      <c r="N1415" s="87"/>
      <c r="O1415" s="87"/>
      <c r="P1415" s="86" t="str">
        <f ca="1">IF(Proc[[#This Row],[DaysAgeing]]&gt;5,"yep","on track")</f>
        <v>yep</v>
      </c>
      <c r="Q1415" s="3">
        <f ca="1">IF(Proc[[#This Row],[DateClosed]]="",ABS(NETWORKDAYS(Proc[[#This Row],[DateOpened]],TODAY()))-1,ABS(NETWORKDAYS(Proc[[#This Row],[DateOpened]],Proc[[#This Row],[DateClosed]]))-1)</f>
        <v>142</v>
      </c>
      <c r="R1415" s="86" t="s">
        <v>551</v>
      </c>
      <c r="S1415" s="85"/>
    </row>
    <row r="1416" spans="1:19" hidden="1">
      <c r="A1416" t="s">
        <v>3347</v>
      </c>
      <c r="B1416" s="149" t="str">
        <f>IFERROR(VLOOKUP(Proc[[#This Row],[App]],Table2[],3,0),"open")</f>
        <v>ok</v>
      </c>
      <c r="C1416" t="s">
        <v>369</v>
      </c>
      <c r="D1416" t="s">
        <v>3348</v>
      </c>
      <c r="E1416" t="s">
        <v>3349</v>
      </c>
      <c r="F1416" s="117" t="s">
        <v>3349</v>
      </c>
      <c r="G1416" t="s">
        <v>400</v>
      </c>
      <c r="H1416" s="85" t="str">
        <f>IF(Proc[[#This Row],[type]]="LFF (MDG-F)",MID(Proc[[#This Row],[Obj]],13,10),"")</f>
        <v/>
      </c>
      <c r="J1416" s="85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MGF</v>
      </c>
      <c r="L1416" s="85" t="s">
        <v>2563</v>
      </c>
      <c r="M1416" s="86">
        <v>45786.153009259258</v>
      </c>
      <c r="N1416" s="87">
        <v>45807</v>
      </c>
      <c r="O1416" s="87">
        <v>45807</v>
      </c>
      <c r="P1416" s="86" t="str">
        <f ca="1">IF(Proc[[#This Row],[DaysAgeing]]&gt;5,"yep","on track")</f>
        <v>yep</v>
      </c>
      <c r="Q1416" s="3">
        <f ca="1">IF(Proc[[#This Row],[DateClosed]]="",ABS(NETWORKDAYS(Proc[[#This Row],[DateOpened]],TODAY()))-1,ABS(NETWORKDAYS(Proc[[#This Row],[DateOpened]],Proc[[#This Row],[DateClosed]]))-1)</f>
        <v>15</v>
      </c>
      <c r="R1416" s="88" t="s">
        <v>515</v>
      </c>
      <c r="S1416" s="85"/>
    </row>
    <row r="1417" spans="1:19" hidden="1">
      <c r="A1417" t="s">
        <v>3347</v>
      </c>
      <c r="B1417" s="149" t="str">
        <f>IFERROR(VLOOKUP(Proc[[#This Row],[App]],Table2[],3,0),"open")</f>
        <v>ok</v>
      </c>
      <c r="C1417" s="88" t="s">
        <v>369</v>
      </c>
      <c r="D1417" t="s">
        <v>3350</v>
      </c>
      <c r="E1417" t="s">
        <v>3349</v>
      </c>
      <c r="F1417" s="117" t="s">
        <v>3349</v>
      </c>
      <c r="G1417" s="88" t="s">
        <v>400</v>
      </c>
      <c r="H1417" s="85" t="str">
        <f>IF(Proc[[#This Row],[type]]="LFF (MDG-F)",MID(Proc[[#This Row],[Obj]],13,10),"")</f>
        <v/>
      </c>
      <c r="J1417" s="85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MGF</v>
      </c>
      <c r="L1417" s="85" t="s">
        <v>2563</v>
      </c>
      <c r="M1417" s="86">
        <v>45786.153009259258</v>
      </c>
      <c r="N1417" s="87">
        <v>45807</v>
      </c>
      <c r="O1417" s="87">
        <v>45807</v>
      </c>
      <c r="P1417" s="86" t="str">
        <f ca="1">IF(Proc[[#This Row],[DaysAgeing]]&gt;5,"yep","on track")</f>
        <v>yep</v>
      </c>
      <c r="Q1417" s="3">
        <f ca="1">IF(Proc[[#This Row],[DateClosed]]="",ABS(NETWORKDAYS(Proc[[#This Row],[DateOpened]],TODAY()))-1,ABS(NETWORKDAYS(Proc[[#This Row],[DateOpened]],Proc[[#This Row],[DateClosed]]))-1)</f>
        <v>15</v>
      </c>
      <c r="R1417" s="88" t="s">
        <v>515</v>
      </c>
      <c r="S1417" s="85"/>
    </row>
    <row r="1418" spans="1:19" hidden="1">
      <c r="A1418" t="s">
        <v>3347</v>
      </c>
      <c r="B1418" s="149" t="str">
        <f>IFERROR(VLOOKUP(Proc[[#This Row],[App]],Table2[],3,0),"open")</f>
        <v>ok</v>
      </c>
      <c r="C1418" s="89" t="s">
        <v>369</v>
      </c>
      <c r="D1418" t="s">
        <v>3351</v>
      </c>
      <c r="E1418" t="s">
        <v>3349</v>
      </c>
      <c r="F1418" s="117" t="s">
        <v>3349</v>
      </c>
      <c r="G1418" s="88" t="s">
        <v>406</v>
      </c>
      <c r="H1418" s="85" t="str">
        <f>IF(Proc[[#This Row],[type]]="LFF (MDG-F)",MID(Proc[[#This Row],[Obj]],13,10),"")</f>
        <v>DE10GMW030</v>
      </c>
      <c r="I1418" t="s">
        <v>3367</v>
      </c>
      <c r="J1418" s="85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MGF</v>
      </c>
      <c r="L1418" s="85" t="s">
        <v>2563</v>
      </c>
      <c r="M1418" s="86">
        <v>45786.153009259258</v>
      </c>
      <c r="N1418" s="87">
        <v>45807</v>
      </c>
      <c r="O1418" s="87">
        <v>45807</v>
      </c>
      <c r="P1418" s="86" t="str">
        <f ca="1">IF(Proc[[#This Row],[DaysAgeing]]&gt;5,"yep","on track")</f>
        <v>yep</v>
      </c>
      <c r="Q1418" s="3">
        <f ca="1">IF(Proc[[#This Row],[DateClosed]]="",ABS(NETWORKDAYS(Proc[[#This Row],[DateOpened]],TODAY()))-1,ABS(NETWORKDAYS(Proc[[#This Row],[DateOpened]],Proc[[#This Row],[DateClosed]]))-1)</f>
        <v>15</v>
      </c>
      <c r="R1418" s="88" t="s">
        <v>515</v>
      </c>
      <c r="S1418" s="85"/>
    </row>
    <row r="1419" spans="1:19" hidden="1">
      <c r="A1419" t="s">
        <v>3347</v>
      </c>
      <c r="B1419" s="149" t="str">
        <f>IFERROR(VLOOKUP(Proc[[#This Row],[App]],Table2[],3,0),"open")</f>
        <v>ok</v>
      </c>
      <c r="C1419" s="88" t="s">
        <v>369</v>
      </c>
      <c r="D1419" t="s">
        <v>3352</v>
      </c>
      <c r="E1419" t="s">
        <v>3349</v>
      </c>
      <c r="F1419" s="117" t="s">
        <v>3349</v>
      </c>
      <c r="G1419" s="88" t="s">
        <v>400</v>
      </c>
      <c r="H1419" s="85" t="str">
        <f>IF(Proc[[#This Row],[type]]="LFF (MDG-F)",MID(Proc[[#This Row],[Obj]],13,10),"")</f>
        <v/>
      </c>
      <c r="J1419" s="85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MGF</v>
      </c>
      <c r="L1419" s="85" t="s">
        <v>2563</v>
      </c>
      <c r="M1419" s="86">
        <v>45786.153009259258</v>
      </c>
      <c r="N1419" s="87">
        <v>45807</v>
      </c>
      <c r="O1419" s="87">
        <v>45807</v>
      </c>
      <c r="P1419" s="86" t="str">
        <f ca="1">IF(Proc[[#This Row],[DaysAgeing]]&gt;5,"yep","on track")</f>
        <v>yep</v>
      </c>
      <c r="Q1419" s="3">
        <f ca="1">IF(Proc[[#This Row],[DateClosed]]="",ABS(NETWORKDAYS(Proc[[#This Row],[DateOpened]],TODAY()))-1,ABS(NETWORKDAYS(Proc[[#This Row],[DateOpened]],Proc[[#This Row],[DateClosed]]))-1)</f>
        <v>15</v>
      </c>
      <c r="R1419" s="88" t="s">
        <v>515</v>
      </c>
      <c r="S1419" s="85"/>
    </row>
    <row r="1420" spans="1:19" hidden="1">
      <c r="A1420" t="s">
        <v>3347</v>
      </c>
      <c r="B1420" s="149" t="str">
        <f>IFERROR(VLOOKUP(Proc[[#This Row],[App]],Table2[],3,0),"open")</f>
        <v>ok</v>
      </c>
      <c r="C1420" s="88" t="s">
        <v>369</v>
      </c>
      <c r="D1420" t="s">
        <v>3353</v>
      </c>
      <c r="E1420" t="s">
        <v>3349</v>
      </c>
      <c r="F1420" s="117" t="s">
        <v>3349</v>
      </c>
      <c r="G1420" s="88" t="s">
        <v>400</v>
      </c>
      <c r="H1420" s="85" t="str">
        <f>IF(Proc[[#This Row],[type]]="LFF (MDG-F)",MID(Proc[[#This Row],[Obj]],13,10),"")</f>
        <v/>
      </c>
      <c r="J1420" s="85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MGF</v>
      </c>
      <c r="L1420" s="85" t="s">
        <v>2563</v>
      </c>
      <c r="M1420" s="86">
        <v>45786.153009259258</v>
      </c>
      <c r="N1420" s="87">
        <v>45807</v>
      </c>
      <c r="O1420" s="87">
        <v>45807</v>
      </c>
      <c r="P1420" s="86" t="str">
        <f ca="1">IF(Proc[[#This Row],[DaysAgeing]]&gt;5,"yep","on track")</f>
        <v>yep</v>
      </c>
      <c r="Q1420" s="3">
        <f ca="1">IF(Proc[[#This Row],[DateClosed]]="",ABS(NETWORKDAYS(Proc[[#This Row],[DateOpened]],TODAY()))-1,ABS(NETWORKDAYS(Proc[[#This Row],[DateOpened]],Proc[[#This Row],[DateClosed]]))-1)</f>
        <v>15</v>
      </c>
      <c r="R1420" s="88" t="s">
        <v>515</v>
      </c>
      <c r="S1420" s="85"/>
    </row>
    <row r="1421" spans="1:19" hidden="1">
      <c r="A1421" t="s">
        <v>3347</v>
      </c>
      <c r="B1421" s="149" t="str">
        <f>IFERROR(VLOOKUP(Proc[[#This Row],[App]],Table2[],3,0),"open")</f>
        <v>ok</v>
      </c>
      <c r="C1421" s="89" t="s">
        <v>369</v>
      </c>
      <c r="D1421" t="s">
        <v>3354</v>
      </c>
      <c r="E1421" t="s">
        <v>3349</v>
      </c>
      <c r="F1421" s="117" t="s">
        <v>3349</v>
      </c>
      <c r="G1421" s="88" t="s">
        <v>406</v>
      </c>
      <c r="H1421" s="85" t="str">
        <f>IF(Proc[[#This Row],[type]]="LFF (MDG-F)",MID(Proc[[#This Row],[Obj]],13,10),"")</f>
        <v>CN90GHR110</v>
      </c>
      <c r="I1421" s="89" t="s">
        <v>3367</v>
      </c>
      <c r="J1421" s="85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MGF</v>
      </c>
      <c r="L1421" s="85" t="s">
        <v>2563</v>
      </c>
      <c r="M1421" s="86">
        <v>45786.153009259258</v>
      </c>
      <c r="N1421" s="87">
        <v>45807</v>
      </c>
      <c r="O1421" s="87">
        <v>45807</v>
      </c>
      <c r="P1421" s="86" t="str">
        <f ca="1">IF(Proc[[#This Row],[DaysAgeing]]&gt;5,"yep","on track")</f>
        <v>yep</v>
      </c>
      <c r="Q1421" s="3">
        <f ca="1">IF(Proc[[#This Row],[DateClosed]]="",ABS(NETWORKDAYS(Proc[[#This Row],[DateOpened]],TODAY()))-1,ABS(NETWORKDAYS(Proc[[#This Row],[DateOpened]],Proc[[#This Row],[DateClosed]]))-1)</f>
        <v>15</v>
      </c>
      <c r="R1421" s="88" t="s">
        <v>515</v>
      </c>
      <c r="S1421" s="85"/>
    </row>
    <row r="1422" spans="1:19" hidden="1">
      <c r="A1422" t="s">
        <v>3355</v>
      </c>
      <c r="B1422" s="149" t="str">
        <f>IFERROR(VLOOKUP(Proc[[#This Row],[App]],Table2[],3,0),"open")</f>
        <v>ok</v>
      </c>
      <c r="C1422" s="89" t="s">
        <v>369</v>
      </c>
      <c r="D1422" s="89" t="s">
        <v>3362</v>
      </c>
      <c r="E1422" t="s">
        <v>3356</v>
      </c>
      <c r="F1422" s="117" t="s">
        <v>3356</v>
      </c>
      <c r="G1422" s="89" t="s">
        <v>400</v>
      </c>
      <c r="H1422" s="85" t="str">
        <f>IF(Proc[[#This Row],[type]]="LFF (MDG-F)",MID(Proc[[#This Row],[Obj]],13,10),"")</f>
        <v/>
      </c>
      <c r="I1422" s="89"/>
      <c r="J1422" s="85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85" t="s">
        <v>2563</v>
      </c>
      <c r="M1422" s="86">
        <v>45797.153009259258</v>
      </c>
      <c r="N1422" s="87"/>
      <c r="O1422" s="87"/>
      <c r="P1422" s="86" t="str">
        <f ca="1">IF(Proc[[#This Row],[DaysAgeing]]&gt;5,"yep","on track")</f>
        <v>yep</v>
      </c>
      <c r="Q1422" s="3">
        <f ca="1">IF(Proc[[#This Row],[DateClosed]]="",ABS(NETWORKDAYS(Proc[[#This Row],[DateOpened]],TODAY()))-1,ABS(NETWORKDAYS(Proc[[#This Row],[DateOpened]],Proc[[#This Row],[DateClosed]]))-1)</f>
        <v>142</v>
      </c>
      <c r="R1422" s="86" t="s">
        <v>551</v>
      </c>
      <c r="S1422" s="85"/>
    </row>
    <row r="1423" spans="1:19" hidden="1">
      <c r="A1423" t="s">
        <v>3357</v>
      </c>
      <c r="B1423" s="149" t="str">
        <f>IFERROR(VLOOKUP(Proc[[#This Row],[App]],Table2[],3,0),"open")</f>
        <v>ok</v>
      </c>
      <c r="C1423" s="89" t="s">
        <v>369</v>
      </c>
      <c r="D1423" t="s">
        <v>3363</v>
      </c>
      <c r="E1423" t="s">
        <v>3358</v>
      </c>
      <c r="F1423" s="117" t="s">
        <v>3358</v>
      </c>
      <c r="G1423" s="89" t="s">
        <v>400</v>
      </c>
      <c r="H1423" s="85" t="str">
        <f>IF(Proc[[#This Row],[type]]="LFF (MDG-F)",MID(Proc[[#This Row],[Obj]],13,10),"")</f>
        <v/>
      </c>
      <c r="I1423" s="89"/>
      <c r="J1423" s="85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85" t="s">
        <v>2563</v>
      </c>
      <c r="M1423" s="86">
        <v>45797.153009259258</v>
      </c>
      <c r="N1423" s="87"/>
      <c r="O1423" s="87"/>
      <c r="P1423" s="86" t="str">
        <f ca="1">IF(Proc[[#This Row],[DaysAgeing]]&gt;5,"yep","on track")</f>
        <v>yep</v>
      </c>
      <c r="Q1423" s="3">
        <f ca="1">IF(Proc[[#This Row],[DateClosed]]="",ABS(NETWORKDAYS(Proc[[#This Row],[DateOpened]],TODAY()))-1,ABS(NETWORKDAYS(Proc[[#This Row],[DateOpened]],Proc[[#This Row],[DateClosed]]))-1)</f>
        <v>142</v>
      </c>
      <c r="R1423" s="86" t="s">
        <v>551</v>
      </c>
      <c r="S1423" s="85"/>
    </row>
    <row r="1424" spans="1:19" hidden="1">
      <c r="A1424" s="89" t="s">
        <v>3357</v>
      </c>
      <c r="B1424" s="149" t="str">
        <f>IFERROR(VLOOKUP(Proc[[#This Row],[App]],Table2[],3,0),"open")</f>
        <v>ok</v>
      </c>
      <c r="C1424" s="89" t="s">
        <v>369</v>
      </c>
      <c r="D1424" t="s">
        <v>3364</v>
      </c>
      <c r="E1424" s="89" t="s">
        <v>3358</v>
      </c>
      <c r="F1424" s="117" t="s">
        <v>3358</v>
      </c>
      <c r="G1424" s="89" t="s">
        <v>400</v>
      </c>
      <c r="H1424" s="85" t="str">
        <f>IF(Proc[[#This Row],[type]]="LFF (MDG-F)",MID(Proc[[#This Row],[Obj]],13,10),"")</f>
        <v/>
      </c>
      <c r="I1424" s="89"/>
      <c r="J1424" s="85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85" t="s">
        <v>2563</v>
      </c>
      <c r="M1424" s="86">
        <v>45797.153009259258</v>
      </c>
      <c r="N1424" s="87"/>
      <c r="O1424" s="87"/>
      <c r="P1424" s="86" t="str">
        <f ca="1">IF(Proc[[#This Row],[DaysAgeing]]&gt;5,"yep","on track")</f>
        <v>yep</v>
      </c>
      <c r="Q1424" s="3">
        <f ca="1">IF(Proc[[#This Row],[DateClosed]]="",ABS(NETWORKDAYS(Proc[[#This Row],[DateOpened]],TODAY()))-1,ABS(NETWORKDAYS(Proc[[#This Row],[DateOpened]],Proc[[#This Row],[DateClosed]]))-1)</f>
        <v>142</v>
      </c>
      <c r="R1424" s="86" t="s">
        <v>551</v>
      </c>
      <c r="S1424" s="85"/>
    </row>
    <row r="1425" spans="1:19" hidden="1">
      <c r="A1425" s="89" t="s">
        <v>3357</v>
      </c>
      <c r="B1425" s="149" t="str">
        <f>IFERROR(VLOOKUP(Proc[[#This Row],[App]],Table2[],3,0),"open")</f>
        <v>ok</v>
      </c>
      <c r="C1425" s="89" t="s">
        <v>369</v>
      </c>
      <c r="D1425" t="s">
        <v>3365</v>
      </c>
      <c r="E1425" s="89" t="s">
        <v>3358</v>
      </c>
      <c r="F1425" s="117" t="s">
        <v>3358</v>
      </c>
      <c r="G1425" s="89" t="s">
        <v>400</v>
      </c>
      <c r="H1425" s="85" t="str">
        <f>IF(Proc[[#This Row],[type]]="LFF (MDG-F)",MID(Proc[[#This Row],[Obj]],13,10),"")</f>
        <v/>
      </c>
      <c r="I1425" s="89"/>
      <c r="J1425" s="85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85" t="s">
        <v>2563</v>
      </c>
      <c r="M1425" s="86">
        <v>45797.153009259258</v>
      </c>
      <c r="N1425" s="87"/>
      <c r="O1425" s="87"/>
      <c r="P1425" s="86" t="str">
        <f ca="1">IF(Proc[[#This Row],[DaysAgeing]]&gt;5,"yep","on track")</f>
        <v>yep</v>
      </c>
      <c r="Q1425" s="3">
        <f ca="1">IF(Proc[[#This Row],[DateClosed]]="",ABS(NETWORKDAYS(Proc[[#This Row],[DateOpened]],TODAY()))-1,ABS(NETWORKDAYS(Proc[[#This Row],[DateOpened]],Proc[[#This Row],[DateClosed]]))-1)</f>
        <v>142</v>
      </c>
      <c r="R1425" s="86" t="s">
        <v>551</v>
      </c>
      <c r="S1425" s="85"/>
    </row>
    <row r="1426" spans="1:19" hidden="1">
      <c r="A1426" s="89" t="s">
        <v>3357</v>
      </c>
      <c r="B1426" s="149" t="str">
        <f>IFERROR(VLOOKUP(Proc[[#This Row],[App]],Table2[],3,0),"open")</f>
        <v>ok</v>
      </c>
      <c r="C1426" s="89" t="s">
        <v>369</v>
      </c>
      <c r="D1426" t="s">
        <v>3366</v>
      </c>
      <c r="E1426" s="89" t="s">
        <v>3358</v>
      </c>
      <c r="F1426" s="117" t="s">
        <v>3358</v>
      </c>
      <c r="G1426" s="89" t="s">
        <v>400</v>
      </c>
      <c r="H1426" s="85" t="str">
        <f>IF(Proc[[#This Row],[type]]="LFF (MDG-F)",MID(Proc[[#This Row],[Obj]],13,10),"")</f>
        <v/>
      </c>
      <c r="I1426" s="89"/>
      <c r="J1426" s="85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85" t="s">
        <v>2563</v>
      </c>
      <c r="M1426" s="86">
        <v>45797.153009259258</v>
      </c>
      <c r="N1426" s="87"/>
      <c r="O1426" s="87"/>
      <c r="P1426" s="86" t="str">
        <f ca="1">IF(Proc[[#This Row],[DaysAgeing]]&gt;5,"yep","on track")</f>
        <v>yep</v>
      </c>
      <c r="Q1426" s="3">
        <f ca="1">IF(Proc[[#This Row],[DateClosed]]="",ABS(NETWORKDAYS(Proc[[#This Row],[DateOpened]],TODAY()))-1,ABS(NETWORKDAYS(Proc[[#This Row],[DateOpened]],Proc[[#This Row],[DateClosed]]))-1)</f>
        <v>142</v>
      </c>
      <c r="R1426" s="86" t="s">
        <v>551</v>
      </c>
      <c r="S1426" s="85"/>
    </row>
    <row r="1427" spans="1:19" hidden="1">
      <c r="A1427" t="s">
        <v>3368</v>
      </c>
      <c r="B1427" s="149" t="str">
        <f>IFERROR(VLOOKUP(Proc[[#This Row],[App]],Table2[],3,0),"open")</f>
        <v>ok</v>
      </c>
      <c r="C1427" s="89" t="s">
        <v>369</v>
      </c>
      <c r="D1427" t="s">
        <v>3369</v>
      </c>
      <c r="E1427" t="s">
        <v>3371</v>
      </c>
      <c r="F1427" s="117" t="s">
        <v>3371</v>
      </c>
      <c r="G1427" s="89" t="s">
        <v>400</v>
      </c>
      <c r="H1427" s="85" t="str">
        <f>IF(Proc[[#This Row],[type]]="LFF (MDG-F)",MID(Proc[[#This Row],[Obj]],13,10),"")</f>
        <v/>
      </c>
      <c r="J1427" s="85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MGF</v>
      </c>
      <c r="L1427" s="85" t="s">
        <v>2563</v>
      </c>
      <c r="M1427" s="87">
        <v>45798.525590277779</v>
      </c>
      <c r="N1427" s="87">
        <v>45804</v>
      </c>
      <c r="O1427" s="87">
        <v>45804</v>
      </c>
      <c r="P1427" s="9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4</v>
      </c>
      <c r="R1427" s="89" t="s">
        <v>515</v>
      </c>
      <c r="S1427" s="85"/>
    </row>
    <row r="1428" spans="1:19" hidden="1">
      <c r="A1428" s="89" t="s">
        <v>3368</v>
      </c>
      <c r="B1428" s="149" t="str">
        <f>IFERROR(VLOOKUP(Proc[[#This Row],[App]],Table2[],3,0),"open")</f>
        <v>ok</v>
      </c>
      <c r="C1428" s="89" t="s">
        <v>369</v>
      </c>
      <c r="D1428" t="s">
        <v>3370</v>
      </c>
      <c r="E1428" t="s">
        <v>3372</v>
      </c>
      <c r="F1428" s="117" t="s">
        <v>3372</v>
      </c>
      <c r="G1428" s="89" t="s">
        <v>400</v>
      </c>
      <c r="H1428" s="85" t="str">
        <f>IF(Proc[[#This Row],[type]]="LFF (MDG-F)",MID(Proc[[#This Row],[Obj]],13,10),"")</f>
        <v/>
      </c>
      <c r="J1428" s="85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MGF</v>
      </c>
      <c r="L1428" s="85" t="s">
        <v>2563</v>
      </c>
      <c r="M1428" s="87">
        <v>45798.525590277779</v>
      </c>
      <c r="N1428" s="87">
        <v>45804</v>
      </c>
      <c r="O1428" s="87">
        <v>45804</v>
      </c>
      <c r="P1428" s="9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4</v>
      </c>
      <c r="R1428" s="89" t="s">
        <v>515</v>
      </c>
      <c r="S1428" s="85"/>
    </row>
    <row r="1429" spans="1:19" hidden="1">
      <c r="A1429" t="s">
        <v>3374</v>
      </c>
      <c r="B1429" s="149" t="str">
        <f>IFERROR(VLOOKUP(Proc[[#This Row],[App]],Table2[],3,0),"open")</f>
        <v>ok</v>
      </c>
      <c r="C1429" s="89" t="s">
        <v>369</v>
      </c>
      <c r="D1429" t="s">
        <v>3373</v>
      </c>
      <c r="E1429" t="s">
        <v>480</v>
      </c>
      <c r="F1429" s="117" t="s">
        <v>480</v>
      </c>
      <c r="G1429" t="s">
        <v>400</v>
      </c>
      <c r="H1429" s="85" t="str">
        <f>IF(Proc[[#This Row],[type]]="LFF (MDG-F)",MID(Proc[[#This Row],[Obj]],13,10),"")</f>
        <v/>
      </c>
      <c r="J1429" s="85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85" t="s">
        <v>2563</v>
      </c>
      <c r="M1429" s="87">
        <v>45798.593923611108</v>
      </c>
      <c r="N1429" s="87">
        <v>45804</v>
      </c>
      <c r="O1429" s="87">
        <v>45804</v>
      </c>
      <c r="P1429" s="9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4</v>
      </c>
      <c r="R1429" s="90" t="s">
        <v>972</v>
      </c>
      <c r="S1429" s="85"/>
    </row>
    <row r="1430" spans="1:19" hidden="1">
      <c r="A1430" t="s">
        <v>3375</v>
      </c>
      <c r="B1430" s="149" t="str">
        <f>IFERROR(VLOOKUP(Proc[[#This Row],[App]],Table2[],3,0),"open")</f>
        <v>ok</v>
      </c>
      <c r="C1430" s="89" t="s">
        <v>369</v>
      </c>
      <c r="D1430" t="s">
        <v>3376</v>
      </c>
      <c r="E1430" t="s">
        <v>3377</v>
      </c>
      <c r="F1430" s="117" t="s">
        <v>3377</v>
      </c>
      <c r="G1430" t="s">
        <v>400</v>
      </c>
      <c r="H1430" s="85" t="str">
        <f>IF(Proc[[#This Row],[type]]="LFF (MDG-F)",MID(Proc[[#This Row],[Obj]],13,10),"")</f>
        <v/>
      </c>
      <c r="J1430" s="85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HC</v>
      </c>
      <c r="L1430" s="85" t="s">
        <v>2563</v>
      </c>
      <c r="M1430" s="87">
        <v>45800.417442129627</v>
      </c>
      <c r="N1430" s="87">
        <v>45806</v>
      </c>
      <c r="O1430" s="87">
        <v>45806</v>
      </c>
      <c r="P1430" s="9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4</v>
      </c>
      <c r="R1430" s="90" t="s">
        <v>410</v>
      </c>
      <c r="S1430" s="85"/>
    </row>
    <row r="1431" spans="1:19" hidden="1">
      <c r="A1431" t="s">
        <v>3380</v>
      </c>
      <c r="B1431" s="149" t="str">
        <f>IFERROR(VLOOKUP(Proc[[#This Row],[App]],Table2[],3,0),"open")</f>
        <v>ok</v>
      </c>
      <c r="C1431" s="89" t="s">
        <v>369</v>
      </c>
      <c r="D1431" t="s">
        <v>3378</v>
      </c>
      <c r="E1431" t="s">
        <v>2509</v>
      </c>
      <c r="F1431" s="117" t="s">
        <v>2509</v>
      </c>
      <c r="G1431" t="s">
        <v>406</v>
      </c>
      <c r="H1431" s="85" t="str">
        <f>IF(Proc[[#This Row],[type]]="LFF (MDG-F)",MID(Proc[[#This Row],[Obj]],13,10),"")</f>
        <v>DE20538638</v>
      </c>
      <c r="I1431" t="s">
        <v>3383</v>
      </c>
      <c r="J1431" s="85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85" t="s">
        <v>2563</v>
      </c>
      <c r="M1431" s="87">
        <v>45800.33829861111</v>
      </c>
      <c r="N1431" s="87">
        <v>45806</v>
      </c>
      <c r="O1431" s="87">
        <v>45806</v>
      </c>
      <c r="P1431" s="9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4</v>
      </c>
      <c r="R1431" s="90" t="s">
        <v>481</v>
      </c>
      <c r="S1431" s="85"/>
    </row>
    <row r="1432" spans="1:19" hidden="1">
      <c r="A1432" s="89" t="s">
        <v>3380</v>
      </c>
      <c r="B1432" s="149" t="str">
        <f>IFERROR(VLOOKUP(Proc[[#This Row],[App]],Table2[],3,0),"open")</f>
        <v>ok</v>
      </c>
      <c r="C1432" s="89" t="s">
        <v>369</v>
      </c>
      <c r="D1432" t="s">
        <v>3379</v>
      </c>
      <c r="E1432" t="s">
        <v>2509</v>
      </c>
      <c r="F1432" s="117" t="s">
        <v>2509</v>
      </c>
      <c r="G1432" s="89" t="s">
        <v>406</v>
      </c>
      <c r="H1432" s="85" t="str">
        <f>IF(Proc[[#This Row],[type]]="LFF (MDG-F)",MID(Proc[[#This Row],[Obj]],13,10),"")</f>
        <v>DE10538638</v>
      </c>
      <c r="I1432" s="89" t="s">
        <v>3383</v>
      </c>
      <c r="J1432" s="85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85" t="s">
        <v>2563</v>
      </c>
      <c r="M1432" s="87">
        <v>45800.33829861111</v>
      </c>
      <c r="N1432" s="87">
        <v>45806</v>
      </c>
      <c r="O1432" s="87">
        <v>45806</v>
      </c>
      <c r="P1432" s="9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4</v>
      </c>
      <c r="R1432" s="90" t="s">
        <v>481</v>
      </c>
      <c r="S1432" s="85"/>
    </row>
    <row r="1433" spans="1:19" hidden="1">
      <c r="A1433" t="s">
        <v>3384</v>
      </c>
      <c r="B1433" s="149" t="str">
        <f>IFERROR(VLOOKUP(Proc[[#This Row],[App]],Table2[],3,0),"open")</f>
        <v>ok</v>
      </c>
      <c r="C1433" s="89" t="s">
        <v>369</v>
      </c>
      <c r="D1433" t="s">
        <v>3385</v>
      </c>
      <c r="E1433" t="s">
        <v>3394</v>
      </c>
      <c r="F1433" s="117" t="s">
        <v>3394</v>
      </c>
      <c r="G1433" s="89" t="s">
        <v>400</v>
      </c>
      <c r="H1433" s="85" t="str">
        <f>IF(Proc[[#This Row],[type]]="LFF (MDG-F)",MID(Proc[[#This Row],[Obj]],13,10),"")</f>
        <v/>
      </c>
      <c r="J1433" s="85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HC</v>
      </c>
      <c r="L1433" s="85" t="s">
        <v>2563</v>
      </c>
      <c r="M1433" s="87">
        <v>45800.37945601852</v>
      </c>
      <c r="N1433" s="87">
        <v>45804</v>
      </c>
      <c r="O1433" s="87">
        <v>45804</v>
      </c>
      <c r="P1433" s="9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2</v>
      </c>
      <c r="R1433" s="90" t="s">
        <v>410</v>
      </c>
      <c r="S1433" s="85"/>
    </row>
    <row r="1434" spans="1:19" hidden="1">
      <c r="A1434" s="89" t="s">
        <v>3384</v>
      </c>
      <c r="B1434" s="149" t="str">
        <f>IFERROR(VLOOKUP(Proc[[#This Row],[App]],Table2[],3,0),"open")</f>
        <v>ok</v>
      </c>
      <c r="C1434" s="89" t="s">
        <v>369</v>
      </c>
      <c r="D1434" t="s">
        <v>3386</v>
      </c>
      <c r="E1434" t="s">
        <v>3377</v>
      </c>
      <c r="F1434" s="117" t="s">
        <v>3377</v>
      </c>
      <c r="G1434" s="89" t="s">
        <v>400</v>
      </c>
      <c r="H1434" s="85" t="str">
        <f>IF(Proc[[#This Row],[type]]="LFF (MDG-F)",MID(Proc[[#This Row],[Obj]],13,10),"")</f>
        <v/>
      </c>
      <c r="J1434" s="85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HC</v>
      </c>
      <c r="L1434" s="85" t="s">
        <v>2563</v>
      </c>
      <c r="M1434" s="87">
        <v>45800.37945601852</v>
      </c>
      <c r="N1434" s="87">
        <v>45804</v>
      </c>
      <c r="O1434" s="87">
        <v>45804</v>
      </c>
      <c r="P1434" s="90" t="str">
        <f ca="1">IF(Proc[[#This Row],[DaysAgeing]]&gt;5,"yep","on track")</f>
        <v>on track</v>
      </c>
      <c r="Q1434" s="3">
        <f ca="1">IF(Proc[[#This Row],[DateClosed]]="",ABS(NETWORKDAYS(Proc[[#This Row],[DateOpened]],TODAY()))-1,ABS(NETWORKDAYS(Proc[[#This Row],[DateOpened]],Proc[[#This Row],[DateClosed]]))-1)</f>
        <v>2</v>
      </c>
      <c r="R1434" s="90" t="s">
        <v>410</v>
      </c>
      <c r="S1434" s="85"/>
    </row>
    <row r="1435" spans="1:19" hidden="1">
      <c r="A1435" s="89" t="s">
        <v>3384</v>
      </c>
      <c r="B1435" s="149" t="str">
        <f>IFERROR(VLOOKUP(Proc[[#This Row],[App]],Table2[],3,0),"open")</f>
        <v>ok</v>
      </c>
      <c r="C1435" s="89" t="s">
        <v>369</v>
      </c>
      <c r="D1435" t="s">
        <v>3387</v>
      </c>
      <c r="E1435" t="s">
        <v>3377</v>
      </c>
      <c r="F1435" s="117" t="s">
        <v>3377</v>
      </c>
      <c r="G1435" s="89" t="s">
        <v>400</v>
      </c>
      <c r="H1435" s="85" t="str">
        <f>IF(Proc[[#This Row],[type]]="LFF (MDG-F)",MID(Proc[[#This Row],[Obj]],13,10),"")</f>
        <v/>
      </c>
      <c r="J1435" s="85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HC</v>
      </c>
      <c r="L1435" s="85" t="s">
        <v>2563</v>
      </c>
      <c r="M1435" s="87">
        <v>45800.37945601852</v>
      </c>
      <c r="N1435" s="87">
        <v>45804</v>
      </c>
      <c r="O1435" s="87">
        <v>45804</v>
      </c>
      <c r="P1435" s="90" t="str">
        <f ca="1">IF(Proc[[#This Row],[DaysAgeing]]&gt;5,"yep","on track")</f>
        <v>on track</v>
      </c>
      <c r="Q1435" s="3">
        <f ca="1">IF(Proc[[#This Row],[DateClosed]]="",ABS(NETWORKDAYS(Proc[[#This Row],[DateOpened]],TODAY()))-1,ABS(NETWORKDAYS(Proc[[#This Row],[DateOpened]],Proc[[#This Row],[DateClosed]]))-1)</f>
        <v>2</v>
      </c>
      <c r="R1435" s="90" t="s">
        <v>410</v>
      </c>
      <c r="S1435" s="85"/>
    </row>
    <row r="1436" spans="1:19" hidden="1">
      <c r="A1436" s="89" t="s">
        <v>3384</v>
      </c>
      <c r="B1436" s="149" t="str">
        <f>IFERROR(VLOOKUP(Proc[[#This Row],[App]],Table2[],3,0),"open")</f>
        <v>ok</v>
      </c>
      <c r="C1436" s="89" t="s">
        <v>369</v>
      </c>
      <c r="D1436" t="s">
        <v>3388</v>
      </c>
      <c r="E1436" t="s">
        <v>3377</v>
      </c>
      <c r="F1436" s="117" t="s">
        <v>3377</v>
      </c>
      <c r="G1436" s="89" t="s">
        <v>400</v>
      </c>
      <c r="H1436" s="85" t="str">
        <f>IF(Proc[[#This Row],[type]]="LFF (MDG-F)",MID(Proc[[#This Row],[Obj]],13,10),"")</f>
        <v/>
      </c>
      <c r="J1436" s="85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HC</v>
      </c>
      <c r="L1436" s="85" t="s">
        <v>2563</v>
      </c>
      <c r="M1436" s="87">
        <v>45800.37945601852</v>
      </c>
      <c r="N1436" s="87">
        <v>45804</v>
      </c>
      <c r="O1436" s="87">
        <v>45804</v>
      </c>
      <c r="P1436" s="90" t="str">
        <f ca="1">IF(Proc[[#This Row],[DaysAgeing]]&gt;5,"yep","on track")</f>
        <v>on track</v>
      </c>
      <c r="Q1436" s="3">
        <f ca="1">IF(Proc[[#This Row],[DateClosed]]="",ABS(NETWORKDAYS(Proc[[#This Row],[DateOpened]],TODAY()))-1,ABS(NETWORKDAYS(Proc[[#This Row],[DateOpened]],Proc[[#This Row],[DateClosed]]))-1)</f>
        <v>2</v>
      </c>
      <c r="R1436" s="90" t="s">
        <v>410</v>
      </c>
      <c r="S1436" s="85"/>
    </row>
    <row r="1437" spans="1:19" hidden="1">
      <c r="A1437" s="89" t="s">
        <v>3384</v>
      </c>
      <c r="B1437" s="149" t="str">
        <f>IFERROR(VLOOKUP(Proc[[#This Row],[App]],Table2[],3,0),"open")</f>
        <v>ok</v>
      </c>
      <c r="C1437" s="89" t="s">
        <v>369</v>
      </c>
      <c r="D1437" t="s">
        <v>3389</v>
      </c>
      <c r="E1437" t="s">
        <v>3377</v>
      </c>
      <c r="F1437" s="117" t="s">
        <v>3377</v>
      </c>
      <c r="G1437" s="89" t="s">
        <v>400</v>
      </c>
      <c r="H1437" s="85" t="str">
        <f>IF(Proc[[#This Row],[type]]="LFF (MDG-F)",MID(Proc[[#This Row],[Obj]],13,10),"")</f>
        <v/>
      </c>
      <c r="J1437" s="85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HC</v>
      </c>
      <c r="L1437" s="85" t="s">
        <v>2563</v>
      </c>
      <c r="M1437" s="87">
        <v>45800.37945601852</v>
      </c>
      <c r="N1437" s="87">
        <v>45804</v>
      </c>
      <c r="O1437" s="87">
        <v>45804</v>
      </c>
      <c r="P1437" s="90" t="str">
        <f ca="1">IF(Proc[[#This Row],[DaysAgeing]]&gt;5,"yep","on track")</f>
        <v>on track</v>
      </c>
      <c r="Q1437" s="3">
        <f ca="1">IF(Proc[[#This Row],[DateClosed]]="",ABS(NETWORKDAYS(Proc[[#This Row],[DateOpened]],TODAY()))-1,ABS(NETWORKDAYS(Proc[[#This Row],[DateOpened]],Proc[[#This Row],[DateClosed]]))-1)</f>
        <v>2</v>
      </c>
      <c r="R1437" s="90" t="s">
        <v>410</v>
      </c>
      <c r="S1437" s="85"/>
    </row>
    <row r="1438" spans="1:19" hidden="1">
      <c r="A1438" s="89" t="s">
        <v>3384</v>
      </c>
      <c r="B1438" s="149" t="str">
        <f>IFERROR(VLOOKUP(Proc[[#This Row],[App]],Table2[],3,0),"open")</f>
        <v>ok</v>
      </c>
      <c r="C1438" s="89" t="s">
        <v>369</v>
      </c>
      <c r="D1438" t="s">
        <v>3390</v>
      </c>
      <c r="E1438" t="s">
        <v>3377</v>
      </c>
      <c r="F1438" s="117" t="s">
        <v>3377</v>
      </c>
      <c r="G1438" s="89" t="s">
        <v>400</v>
      </c>
      <c r="H1438" s="85" t="str">
        <f>IF(Proc[[#This Row],[type]]="LFF (MDG-F)",MID(Proc[[#This Row],[Obj]],13,10),"")</f>
        <v/>
      </c>
      <c r="J1438" s="85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HC</v>
      </c>
      <c r="L1438" s="85" t="s">
        <v>2563</v>
      </c>
      <c r="M1438" s="87">
        <v>45800.37945601852</v>
      </c>
      <c r="N1438" s="87">
        <v>45804</v>
      </c>
      <c r="O1438" s="87">
        <v>45804</v>
      </c>
      <c r="P1438" s="90" t="str">
        <f ca="1">IF(Proc[[#This Row],[DaysAgeing]]&gt;5,"yep","on track")</f>
        <v>on track</v>
      </c>
      <c r="Q1438" s="3">
        <f ca="1">IF(Proc[[#This Row],[DateClosed]]="",ABS(NETWORKDAYS(Proc[[#This Row],[DateOpened]],TODAY()))-1,ABS(NETWORKDAYS(Proc[[#This Row],[DateOpened]],Proc[[#This Row],[DateClosed]]))-1)</f>
        <v>2</v>
      </c>
      <c r="R1438" s="90" t="s">
        <v>410</v>
      </c>
      <c r="S1438" s="85"/>
    </row>
    <row r="1439" spans="1:19" hidden="1">
      <c r="A1439" s="89" t="s">
        <v>3384</v>
      </c>
      <c r="B1439" s="149" t="str">
        <f>IFERROR(VLOOKUP(Proc[[#This Row],[App]],Table2[],3,0),"open")</f>
        <v>ok</v>
      </c>
      <c r="C1439" s="89" t="s">
        <v>369</v>
      </c>
      <c r="D1439" t="s">
        <v>3391</v>
      </c>
      <c r="E1439" t="s">
        <v>3377</v>
      </c>
      <c r="F1439" s="117" t="s">
        <v>3377</v>
      </c>
      <c r="G1439" s="89" t="s">
        <v>400</v>
      </c>
      <c r="H1439" s="85" t="str">
        <f>IF(Proc[[#This Row],[type]]="LFF (MDG-F)",MID(Proc[[#This Row],[Obj]],13,10),"")</f>
        <v/>
      </c>
      <c r="J1439" s="85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HC</v>
      </c>
      <c r="L1439" s="85" t="s">
        <v>2563</v>
      </c>
      <c r="M1439" s="87">
        <v>45800.37945601852</v>
      </c>
      <c r="N1439" s="87">
        <v>45804</v>
      </c>
      <c r="O1439" s="87">
        <v>45804</v>
      </c>
      <c r="P1439" s="90" t="str">
        <f ca="1">IF(Proc[[#This Row],[DaysAgeing]]&gt;5,"yep","on track")</f>
        <v>on track</v>
      </c>
      <c r="Q1439" s="3">
        <f ca="1">IF(Proc[[#This Row],[DateClosed]]="",ABS(NETWORKDAYS(Proc[[#This Row],[DateOpened]],TODAY()))-1,ABS(NETWORKDAYS(Proc[[#This Row],[DateOpened]],Proc[[#This Row],[DateClosed]]))-1)</f>
        <v>2</v>
      </c>
      <c r="R1439" s="90" t="s">
        <v>410</v>
      </c>
      <c r="S1439" s="85"/>
    </row>
    <row r="1440" spans="1:19" hidden="1">
      <c r="A1440" s="89" t="s">
        <v>3384</v>
      </c>
      <c r="B1440" s="149" t="str">
        <f>IFERROR(VLOOKUP(Proc[[#This Row],[App]],Table2[],3,0),"open")</f>
        <v>ok</v>
      </c>
      <c r="C1440" s="89" t="s">
        <v>369</v>
      </c>
      <c r="D1440" t="s">
        <v>3392</v>
      </c>
      <c r="E1440" t="s">
        <v>3377</v>
      </c>
      <c r="F1440" s="117" t="s">
        <v>3377</v>
      </c>
      <c r="G1440" s="89" t="s">
        <v>400</v>
      </c>
      <c r="H1440" s="85" t="str">
        <f>IF(Proc[[#This Row],[type]]="LFF (MDG-F)",MID(Proc[[#This Row],[Obj]],13,10),"")</f>
        <v/>
      </c>
      <c r="J1440" s="85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HC</v>
      </c>
      <c r="L1440" s="85" t="s">
        <v>2563</v>
      </c>
      <c r="M1440" s="87">
        <v>45800.37945601852</v>
      </c>
      <c r="N1440" s="87">
        <v>45804</v>
      </c>
      <c r="O1440" s="87">
        <v>45804</v>
      </c>
      <c r="P1440" s="90" t="str">
        <f ca="1">IF(Proc[[#This Row],[DaysAgeing]]&gt;5,"yep","on track")</f>
        <v>on track</v>
      </c>
      <c r="Q1440" s="3">
        <f ca="1">IF(Proc[[#This Row],[DateClosed]]="",ABS(NETWORKDAYS(Proc[[#This Row],[DateOpened]],TODAY()))-1,ABS(NETWORKDAYS(Proc[[#This Row],[DateOpened]],Proc[[#This Row],[DateClosed]]))-1)</f>
        <v>2</v>
      </c>
      <c r="R1440" s="90" t="s">
        <v>410</v>
      </c>
      <c r="S1440" s="85"/>
    </row>
    <row r="1441" spans="1:19" hidden="1">
      <c r="A1441" s="89" t="s">
        <v>3384</v>
      </c>
      <c r="B1441" s="149" t="str">
        <f>IFERROR(VLOOKUP(Proc[[#This Row],[App]],Table2[],3,0),"open")</f>
        <v>ok</v>
      </c>
      <c r="C1441" s="89" t="s">
        <v>369</v>
      </c>
      <c r="D1441" t="s">
        <v>3393</v>
      </c>
      <c r="E1441" t="s">
        <v>3377</v>
      </c>
      <c r="F1441" s="117" t="s">
        <v>3377</v>
      </c>
      <c r="G1441" s="89" t="s">
        <v>400</v>
      </c>
      <c r="H1441" s="85" t="str">
        <f>IF(Proc[[#This Row],[type]]="LFF (MDG-F)",MID(Proc[[#This Row],[Obj]],13,10),"")</f>
        <v/>
      </c>
      <c r="J1441" s="85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HC</v>
      </c>
      <c r="L1441" s="85" t="s">
        <v>2563</v>
      </c>
      <c r="M1441" s="87">
        <v>45800.37945601852</v>
      </c>
      <c r="N1441" s="87">
        <v>45804</v>
      </c>
      <c r="O1441" s="87">
        <v>45804</v>
      </c>
      <c r="P1441" s="90" t="str">
        <f ca="1">IF(Proc[[#This Row],[DaysAgeing]]&gt;5,"yep","on track")</f>
        <v>on track</v>
      </c>
      <c r="Q1441" s="3">
        <f ca="1">IF(Proc[[#This Row],[DateClosed]]="",ABS(NETWORKDAYS(Proc[[#This Row],[DateOpened]],TODAY()))-1,ABS(NETWORKDAYS(Proc[[#This Row],[DateOpened]],Proc[[#This Row],[DateClosed]]))-1)</f>
        <v>2</v>
      </c>
      <c r="R1441" s="90" t="s">
        <v>410</v>
      </c>
      <c r="S1441" s="85"/>
    </row>
    <row r="1442" spans="1:19" hidden="1">
      <c r="A1442" t="s">
        <v>3395</v>
      </c>
      <c r="B1442" s="149" t="str">
        <f>IFERROR(VLOOKUP(Proc[[#This Row],[App]],Table2[],3,0),"open")</f>
        <v>ok</v>
      </c>
      <c r="C1442" s="89" t="s">
        <v>369</v>
      </c>
      <c r="D1442" t="s">
        <v>2947</v>
      </c>
      <c r="E1442" t="s">
        <v>3396</v>
      </c>
      <c r="F1442" s="117" t="s">
        <v>3396</v>
      </c>
      <c r="G1442" s="89" t="s">
        <v>400</v>
      </c>
      <c r="H1442" s="85" t="str">
        <f>IF(Proc[[#This Row],[type]]="LFF (MDG-F)",MID(Proc[[#This Row],[Obj]],13,10),"")</f>
        <v/>
      </c>
      <c r="J1442" s="85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HC</v>
      </c>
      <c r="L1442" s="85" t="s">
        <v>2563</v>
      </c>
      <c r="M1442" s="87">
        <v>45800.450960648152</v>
      </c>
      <c r="N1442" s="87">
        <v>45804</v>
      </c>
      <c r="O1442" s="87">
        <v>45804</v>
      </c>
      <c r="P1442" s="90" t="str">
        <f ca="1">IF(Proc[[#This Row],[DaysAgeing]]&gt;5,"yep","on track")</f>
        <v>on track</v>
      </c>
      <c r="Q1442" s="3">
        <f ca="1">IF(Proc[[#This Row],[DateClosed]]="",ABS(NETWORKDAYS(Proc[[#This Row],[DateOpened]],TODAY()))-1,ABS(NETWORKDAYS(Proc[[#This Row],[DateOpened]],Proc[[#This Row],[DateClosed]]))-1)</f>
        <v>2</v>
      </c>
      <c r="R1442" s="90" t="s">
        <v>410</v>
      </c>
      <c r="S1442" s="85"/>
    </row>
    <row r="1443" spans="1:19" hidden="1">
      <c r="A1443" s="89" t="s">
        <v>3395</v>
      </c>
      <c r="B1443" s="149" t="str">
        <f>IFERROR(VLOOKUP(Proc[[#This Row],[App]],Table2[],3,0),"open")</f>
        <v>ok</v>
      </c>
      <c r="C1443" s="89" t="s">
        <v>369</v>
      </c>
      <c r="D1443" t="s">
        <v>2948</v>
      </c>
      <c r="E1443" t="s">
        <v>3396</v>
      </c>
      <c r="F1443" s="117" t="s">
        <v>3396</v>
      </c>
      <c r="G1443" s="89" t="s">
        <v>400</v>
      </c>
      <c r="H1443" s="85" t="str">
        <f>IF(Proc[[#This Row],[type]]="LFF (MDG-F)",MID(Proc[[#This Row],[Obj]],13,10),"")</f>
        <v/>
      </c>
      <c r="J1443" s="85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HC</v>
      </c>
      <c r="L1443" s="85" t="s">
        <v>2563</v>
      </c>
      <c r="M1443" s="87">
        <v>45800.450960648152</v>
      </c>
      <c r="N1443" s="87">
        <v>45804</v>
      </c>
      <c r="O1443" s="87">
        <v>45804</v>
      </c>
      <c r="P1443" s="90" t="str">
        <f ca="1">IF(Proc[[#This Row],[DaysAgeing]]&gt;5,"yep","on track")</f>
        <v>on track</v>
      </c>
      <c r="Q1443" s="3">
        <f ca="1">IF(Proc[[#This Row],[DateClosed]]="",ABS(NETWORKDAYS(Proc[[#This Row],[DateOpened]],TODAY()))-1,ABS(NETWORKDAYS(Proc[[#This Row],[DateOpened]],Proc[[#This Row],[DateClosed]]))-1)</f>
        <v>2</v>
      </c>
      <c r="R1443" s="90" t="s">
        <v>410</v>
      </c>
      <c r="S1443" s="85"/>
    </row>
    <row r="1444" spans="1:19" hidden="1">
      <c r="A1444" s="89" t="s">
        <v>3395</v>
      </c>
      <c r="B1444" s="149" t="str">
        <f>IFERROR(VLOOKUP(Proc[[#This Row],[App]],Table2[],3,0),"open")</f>
        <v>ok</v>
      </c>
      <c r="C1444" s="89" t="s">
        <v>369</v>
      </c>
      <c r="D1444" t="s">
        <v>2949</v>
      </c>
      <c r="E1444" t="s">
        <v>3397</v>
      </c>
      <c r="F1444" s="117" t="s">
        <v>3397</v>
      </c>
      <c r="G1444" s="89" t="s">
        <v>400</v>
      </c>
      <c r="H1444" s="85" t="str">
        <f>IF(Proc[[#This Row],[type]]="LFF (MDG-F)",MID(Proc[[#This Row],[Obj]],13,10),"")</f>
        <v/>
      </c>
      <c r="J1444" s="85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HC</v>
      </c>
      <c r="L1444" s="85" t="s">
        <v>2563</v>
      </c>
      <c r="M1444" s="87">
        <v>45800.450960648152</v>
      </c>
      <c r="N1444" s="87">
        <v>45804</v>
      </c>
      <c r="O1444" s="87">
        <v>45804</v>
      </c>
      <c r="P1444" s="90" t="str">
        <f ca="1">IF(Proc[[#This Row],[DaysAgeing]]&gt;5,"yep","on track")</f>
        <v>on track</v>
      </c>
      <c r="Q1444" s="3">
        <f ca="1">IF(Proc[[#This Row],[DateClosed]]="",ABS(NETWORKDAYS(Proc[[#This Row],[DateOpened]],TODAY()))-1,ABS(NETWORKDAYS(Proc[[#This Row],[DateOpened]],Proc[[#This Row],[DateClosed]]))-1)</f>
        <v>2</v>
      </c>
      <c r="R1444" s="90" t="s">
        <v>410</v>
      </c>
      <c r="S1444" s="85"/>
    </row>
    <row r="1445" spans="1:19" hidden="1">
      <c r="A1445" s="89" t="s">
        <v>3395</v>
      </c>
      <c r="B1445" s="149" t="str">
        <f>IFERROR(VLOOKUP(Proc[[#This Row],[App]],Table2[],3,0),"open")</f>
        <v>ok</v>
      </c>
      <c r="C1445" s="89" t="s">
        <v>369</v>
      </c>
      <c r="D1445" t="s">
        <v>2950</v>
      </c>
      <c r="E1445" t="s">
        <v>3397</v>
      </c>
      <c r="F1445" s="117" t="s">
        <v>3397</v>
      </c>
      <c r="G1445" s="89" t="s">
        <v>400</v>
      </c>
      <c r="H1445" s="85" t="str">
        <f>IF(Proc[[#This Row],[type]]="LFF (MDG-F)",MID(Proc[[#This Row],[Obj]],13,10),"")</f>
        <v/>
      </c>
      <c r="J1445" s="85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HC</v>
      </c>
      <c r="L1445" s="85" t="s">
        <v>2563</v>
      </c>
      <c r="M1445" s="87">
        <v>45800.450960648152</v>
      </c>
      <c r="N1445" s="87">
        <v>45804</v>
      </c>
      <c r="O1445" s="87">
        <v>45804</v>
      </c>
      <c r="P1445" s="90" t="str">
        <f ca="1">IF(Proc[[#This Row],[DaysAgeing]]&gt;5,"yep","on track")</f>
        <v>on track</v>
      </c>
      <c r="Q1445" s="3">
        <f ca="1">IF(Proc[[#This Row],[DateClosed]]="",ABS(NETWORKDAYS(Proc[[#This Row],[DateOpened]],TODAY()))-1,ABS(NETWORKDAYS(Proc[[#This Row],[DateOpened]],Proc[[#This Row],[DateClosed]]))-1)</f>
        <v>2</v>
      </c>
      <c r="R1445" s="90" t="s">
        <v>410</v>
      </c>
      <c r="S1445" s="85"/>
    </row>
    <row r="1446" spans="1:19" hidden="1">
      <c r="A1446" s="89" t="s">
        <v>3395</v>
      </c>
      <c r="B1446" s="149" t="str">
        <f>IFERROR(VLOOKUP(Proc[[#This Row],[App]],Table2[],3,0),"open")</f>
        <v>ok</v>
      </c>
      <c r="C1446" s="89" t="s">
        <v>369</v>
      </c>
      <c r="D1446" t="s">
        <v>2951</v>
      </c>
      <c r="E1446" t="s">
        <v>3397</v>
      </c>
      <c r="F1446" s="117" t="s">
        <v>3397</v>
      </c>
      <c r="G1446" s="89" t="s">
        <v>400</v>
      </c>
      <c r="H1446" s="85" t="str">
        <f>IF(Proc[[#This Row],[type]]="LFF (MDG-F)",MID(Proc[[#This Row],[Obj]],13,10),"")</f>
        <v/>
      </c>
      <c r="J1446" s="85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HC</v>
      </c>
      <c r="L1446" s="85" t="s">
        <v>2563</v>
      </c>
      <c r="M1446" s="87">
        <v>45800.450960648152</v>
      </c>
      <c r="N1446" s="87">
        <v>45804</v>
      </c>
      <c r="O1446" s="87">
        <v>45804</v>
      </c>
      <c r="P1446" s="90" t="str">
        <f ca="1">IF(Proc[[#This Row],[DaysAgeing]]&gt;5,"yep","on track")</f>
        <v>on track</v>
      </c>
      <c r="Q1446" s="3">
        <f ca="1">IF(Proc[[#This Row],[DateClosed]]="",ABS(NETWORKDAYS(Proc[[#This Row],[DateOpened]],TODAY()))-1,ABS(NETWORKDAYS(Proc[[#This Row],[DateOpened]],Proc[[#This Row],[DateClosed]]))-1)</f>
        <v>2</v>
      </c>
      <c r="R1446" s="90" t="s">
        <v>410</v>
      </c>
      <c r="S1446" s="85"/>
    </row>
    <row r="1447" spans="1:19" hidden="1">
      <c r="A1447" s="89" t="s">
        <v>3395</v>
      </c>
      <c r="B1447" s="149" t="str">
        <f>IFERROR(VLOOKUP(Proc[[#This Row],[App]],Table2[],3,0),"open")</f>
        <v>ok</v>
      </c>
      <c r="C1447" s="89" t="s">
        <v>369</v>
      </c>
      <c r="D1447" t="s">
        <v>2952</v>
      </c>
      <c r="E1447" t="s">
        <v>3398</v>
      </c>
      <c r="F1447" s="117" t="s">
        <v>3398</v>
      </c>
      <c r="G1447" s="89" t="s">
        <v>400</v>
      </c>
      <c r="H1447" s="85" t="str">
        <f>IF(Proc[[#This Row],[type]]="LFF (MDG-F)",MID(Proc[[#This Row],[Obj]],13,10),"")</f>
        <v/>
      </c>
      <c r="J1447" s="85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HC</v>
      </c>
      <c r="L1447" s="85" t="s">
        <v>2563</v>
      </c>
      <c r="M1447" s="87">
        <v>45800.450960648152</v>
      </c>
      <c r="N1447" s="87">
        <v>45804</v>
      </c>
      <c r="O1447" s="87">
        <v>45804</v>
      </c>
      <c r="P1447" s="90" t="str">
        <f ca="1">IF(Proc[[#This Row],[DaysAgeing]]&gt;5,"yep","on track")</f>
        <v>on track</v>
      </c>
      <c r="Q1447" s="3">
        <f ca="1">IF(Proc[[#This Row],[DateClosed]]="",ABS(NETWORKDAYS(Proc[[#This Row],[DateOpened]],TODAY()))-1,ABS(NETWORKDAYS(Proc[[#This Row],[DateOpened]],Proc[[#This Row],[DateClosed]]))-1)</f>
        <v>2</v>
      </c>
      <c r="R1447" s="90" t="s">
        <v>410</v>
      </c>
      <c r="S1447" s="85"/>
    </row>
    <row r="1448" spans="1:19" hidden="1">
      <c r="A1448" s="89" t="s">
        <v>3395</v>
      </c>
      <c r="B1448" s="149" t="str">
        <f>IFERROR(VLOOKUP(Proc[[#This Row],[App]],Table2[],3,0),"open")</f>
        <v>ok</v>
      </c>
      <c r="C1448" s="89" t="s">
        <v>369</v>
      </c>
      <c r="D1448" t="s">
        <v>2953</v>
      </c>
      <c r="E1448" t="s">
        <v>3396</v>
      </c>
      <c r="F1448" s="117" t="s">
        <v>3396</v>
      </c>
      <c r="G1448" s="89" t="s">
        <v>400</v>
      </c>
      <c r="H1448" s="85" t="str">
        <f>IF(Proc[[#This Row],[type]]="LFF (MDG-F)",MID(Proc[[#This Row],[Obj]],13,10),"")</f>
        <v/>
      </c>
      <c r="J1448" s="85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HC</v>
      </c>
      <c r="L1448" s="85" t="s">
        <v>2563</v>
      </c>
      <c r="M1448" s="87">
        <v>45800.450960648152</v>
      </c>
      <c r="N1448" s="87">
        <v>45804</v>
      </c>
      <c r="O1448" s="87">
        <v>45804</v>
      </c>
      <c r="P1448" s="90" t="str">
        <f ca="1">IF(Proc[[#This Row],[DaysAgeing]]&gt;5,"yep","on track")</f>
        <v>on track</v>
      </c>
      <c r="Q1448" s="3">
        <f ca="1">IF(Proc[[#This Row],[DateClosed]]="",ABS(NETWORKDAYS(Proc[[#This Row],[DateOpened]],TODAY()))-1,ABS(NETWORKDAYS(Proc[[#This Row],[DateOpened]],Proc[[#This Row],[DateClosed]]))-1)</f>
        <v>2</v>
      </c>
      <c r="R1448" s="90" t="s">
        <v>410</v>
      </c>
      <c r="S1448" s="85"/>
    </row>
    <row r="1449" spans="1:19" hidden="1">
      <c r="A1449" s="89" t="s">
        <v>3395</v>
      </c>
      <c r="B1449" s="149" t="str">
        <f>IFERROR(VLOOKUP(Proc[[#This Row],[App]],Table2[],3,0),"open")</f>
        <v>ok</v>
      </c>
      <c r="C1449" s="89" t="s">
        <v>369</v>
      </c>
      <c r="D1449" t="s">
        <v>2954</v>
      </c>
      <c r="E1449" t="s">
        <v>3396</v>
      </c>
      <c r="F1449" s="117" t="s">
        <v>3396</v>
      </c>
      <c r="G1449" s="89" t="s">
        <v>400</v>
      </c>
      <c r="H1449" s="85" t="str">
        <f>IF(Proc[[#This Row],[type]]="LFF (MDG-F)",MID(Proc[[#This Row],[Obj]],13,10),"")</f>
        <v/>
      </c>
      <c r="J1449" s="85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HC</v>
      </c>
      <c r="L1449" s="85" t="s">
        <v>2563</v>
      </c>
      <c r="M1449" s="87">
        <v>45800.450960648152</v>
      </c>
      <c r="N1449" s="87">
        <v>45804</v>
      </c>
      <c r="O1449" s="87">
        <v>45804</v>
      </c>
      <c r="P1449" s="90" t="str">
        <f ca="1">IF(Proc[[#This Row],[DaysAgeing]]&gt;5,"yep","on track")</f>
        <v>on track</v>
      </c>
      <c r="Q1449" s="3">
        <f ca="1">IF(Proc[[#This Row],[DateClosed]]="",ABS(NETWORKDAYS(Proc[[#This Row],[DateOpened]],TODAY()))-1,ABS(NETWORKDAYS(Proc[[#This Row],[DateOpened]],Proc[[#This Row],[DateClosed]]))-1)</f>
        <v>2</v>
      </c>
      <c r="R1449" s="90" t="s">
        <v>410</v>
      </c>
      <c r="S1449" s="85"/>
    </row>
    <row r="1450" spans="1:19" hidden="1">
      <c r="A1450" s="89" t="s">
        <v>3395</v>
      </c>
      <c r="B1450" s="149" t="str">
        <f>IFERROR(VLOOKUP(Proc[[#This Row],[App]],Table2[],3,0),"open")</f>
        <v>ok</v>
      </c>
      <c r="C1450" s="89" t="s">
        <v>369</v>
      </c>
      <c r="D1450" t="s">
        <v>2955</v>
      </c>
      <c r="E1450" t="s">
        <v>3399</v>
      </c>
      <c r="F1450" s="117" t="s">
        <v>3399</v>
      </c>
      <c r="G1450" s="89" t="s">
        <v>400</v>
      </c>
      <c r="H1450" s="85" t="str">
        <f>IF(Proc[[#This Row],[type]]="LFF (MDG-F)",MID(Proc[[#This Row],[Obj]],13,10),"")</f>
        <v/>
      </c>
      <c r="J1450" s="85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HC</v>
      </c>
      <c r="L1450" s="85" t="s">
        <v>2563</v>
      </c>
      <c r="M1450" s="87">
        <v>45800.450960648152</v>
      </c>
      <c r="N1450" s="87">
        <v>45804</v>
      </c>
      <c r="O1450" s="87">
        <v>45804</v>
      </c>
      <c r="P1450" s="90" t="str">
        <f ca="1">IF(Proc[[#This Row],[DaysAgeing]]&gt;5,"yep","on track")</f>
        <v>on track</v>
      </c>
      <c r="Q1450" s="3">
        <f ca="1">IF(Proc[[#This Row],[DateClosed]]="",ABS(NETWORKDAYS(Proc[[#This Row],[DateOpened]],TODAY()))-1,ABS(NETWORKDAYS(Proc[[#This Row],[DateOpened]],Proc[[#This Row],[DateClosed]]))-1)</f>
        <v>2</v>
      </c>
      <c r="R1450" s="90" t="s">
        <v>410</v>
      </c>
      <c r="S1450" s="85"/>
    </row>
    <row r="1451" spans="1:19" hidden="1">
      <c r="A1451" s="89" t="s">
        <v>3395</v>
      </c>
      <c r="B1451" s="149" t="str">
        <f>IFERROR(VLOOKUP(Proc[[#This Row],[App]],Table2[],3,0),"open")</f>
        <v>ok</v>
      </c>
      <c r="C1451" s="89" t="s">
        <v>369</v>
      </c>
      <c r="D1451" t="s">
        <v>2956</v>
      </c>
      <c r="E1451" t="s">
        <v>3399</v>
      </c>
      <c r="F1451" s="117" t="s">
        <v>3399</v>
      </c>
      <c r="G1451" s="89" t="s">
        <v>400</v>
      </c>
      <c r="H1451" s="85" t="str">
        <f>IF(Proc[[#This Row],[type]]="LFF (MDG-F)",MID(Proc[[#This Row],[Obj]],13,10),"")</f>
        <v/>
      </c>
      <c r="J1451" s="85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HC</v>
      </c>
      <c r="L1451" s="85" t="s">
        <v>2563</v>
      </c>
      <c r="M1451" s="87">
        <v>45800.450960648152</v>
      </c>
      <c r="N1451" s="87">
        <v>45804</v>
      </c>
      <c r="O1451" s="87">
        <v>45804</v>
      </c>
      <c r="P1451" s="90" t="str">
        <f ca="1">IF(Proc[[#This Row],[DaysAgeing]]&gt;5,"yep","on track")</f>
        <v>on track</v>
      </c>
      <c r="Q1451" s="3">
        <f ca="1">IF(Proc[[#This Row],[DateClosed]]="",ABS(NETWORKDAYS(Proc[[#This Row],[DateOpened]],TODAY()))-1,ABS(NETWORKDAYS(Proc[[#This Row],[DateOpened]],Proc[[#This Row],[DateClosed]]))-1)</f>
        <v>2</v>
      </c>
      <c r="R1451" s="90" t="s">
        <v>410</v>
      </c>
      <c r="S1451" s="85"/>
    </row>
    <row r="1452" spans="1:19" hidden="1">
      <c r="A1452" s="89" t="s">
        <v>3395</v>
      </c>
      <c r="B1452" s="149" t="str">
        <f>IFERROR(VLOOKUP(Proc[[#This Row],[App]],Table2[],3,0),"open")</f>
        <v>ok</v>
      </c>
      <c r="C1452" s="89" t="s">
        <v>369</v>
      </c>
      <c r="D1452" t="s">
        <v>2957</v>
      </c>
      <c r="E1452" t="s">
        <v>3400</v>
      </c>
      <c r="F1452" s="117" t="s">
        <v>3400</v>
      </c>
      <c r="G1452" s="89" t="s">
        <v>400</v>
      </c>
      <c r="H1452" s="85" t="str">
        <f>IF(Proc[[#This Row],[type]]="LFF (MDG-F)",MID(Proc[[#This Row],[Obj]],13,10),"")</f>
        <v/>
      </c>
      <c r="J1452" s="85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HC</v>
      </c>
      <c r="L1452" s="85" t="s">
        <v>2563</v>
      </c>
      <c r="M1452" s="87">
        <v>45800.450960648152</v>
      </c>
      <c r="N1452" s="87">
        <v>45804</v>
      </c>
      <c r="O1452" s="87">
        <v>45804</v>
      </c>
      <c r="P1452" s="90" t="str">
        <f ca="1">IF(Proc[[#This Row],[DaysAgeing]]&gt;5,"yep","on track")</f>
        <v>on track</v>
      </c>
      <c r="Q1452" s="3">
        <f ca="1">IF(Proc[[#This Row],[DateClosed]]="",ABS(NETWORKDAYS(Proc[[#This Row],[DateOpened]],TODAY()))-1,ABS(NETWORKDAYS(Proc[[#This Row],[DateOpened]],Proc[[#This Row],[DateClosed]]))-1)</f>
        <v>2</v>
      </c>
      <c r="R1452" s="90" t="s">
        <v>410</v>
      </c>
      <c r="S1452" s="85"/>
    </row>
    <row r="1453" spans="1:19" hidden="1">
      <c r="A1453" s="89" t="s">
        <v>3395</v>
      </c>
      <c r="B1453" s="149" t="str">
        <f>IFERROR(VLOOKUP(Proc[[#This Row],[App]],Table2[],3,0),"open")</f>
        <v>ok</v>
      </c>
      <c r="C1453" s="89" t="s">
        <v>369</v>
      </c>
      <c r="D1453" t="s">
        <v>2958</v>
      </c>
      <c r="E1453" t="s">
        <v>3400</v>
      </c>
      <c r="F1453" s="117" t="s">
        <v>3400</v>
      </c>
      <c r="G1453" s="89" t="s">
        <v>400</v>
      </c>
      <c r="H1453" s="85" t="str">
        <f>IF(Proc[[#This Row],[type]]="LFF (MDG-F)",MID(Proc[[#This Row],[Obj]],13,10),"")</f>
        <v/>
      </c>
      <c r="J1453" s="85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HC</v>
      </c>
      <c r="L1453" s="85" t="s">
        <v>2563</v>
      </c>
      <c r="M1453" s="87">
        <v>45800.450960648152</v>
      </c>
      <c r="N1453" s="87">
        <v>45804</v>
      </c>
      <c r="O1453" s="87">
        <v>45804</v>
      </c>
      <c r="P1453" s="90" t="str">
        <f ca="1">IF(Proc[[#This Row],[DaysAgeing]]&gt;5,"yep","on track")</f>
        <v>on track</v>
      </c>
      <c r="Q1453" s="3">
        <f ca="1">IF(Proc[[#This Row],[DateClosed]]="",ABS(NETWORKDAYS(Proc[[#This Row],[DateOpened]],TODAY()))-1,ABS(NETWORKDAYS(Proc[[#This Row],[DateOpened]],Proc[[#This Row],[DateClosed]]))-1)</f>
        <v>2</v>
      </c>
      <c r="R1453" s="90" t="s">
        <v>410</v>
      </c>
      <c r="S1453" s="85"/>
    </row>
    <row r="1454" spans="1:19" hidden="1">
      <c r="A1454" s="89" t="s">
        <v>3395</v>
      </c>
      <c r="B1454" s="149" t="str">
        <f>IFERROR(VLOOKUP(Proc[[#This Row],[App]],Table2[],3,0),"open")</f>
        <v>ok</v>
      </c>
      <c r="C1454" s="89" t="s">
        <v>369</v>
      </c>
      <c r="D1454" t="s">
        <v>2959</v>
      </c>
      <c r="E1454" t="s">
        <v>3400</v>
      </c>
      <c r="F1454" s="117" t="s">
        <v>3400</v>
      </c>
      <c r="G1454" s="89" t="s">
        <v>400</v>
      </c>
      <c r="H1454" s="85" t="str">
        <f>IF(Proc[[#This Row],[type]]="LFF (MDG-F)",MID(Proc[[#This Row],[Obj]],13,10),"")</f>
        <v/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HC</v>
      </c>
      <c r="L1454" s="85" t="s">
        <v>2563</v>
      </c>
      <c r="M1454" s="87">
        <v>45800.450960648152</v>
      </c>
      <c r="N1454" s="87">
        <v>45804</v>
      </c>
      <c r="O1454" s="87">
        <v>45804</v>
      </c>
      <c r="P1454" s="9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2</v>
      </c>
      <c r="R1454" s="90" t="s">
        <v>410</v>
      </c>
      <c r="S1454" s="85"/>
    </row>
    <row r="1455" spans="1:19" hidden="1">
      <c r="A1455" s="89" t="s">
        <v>3395</v>
      </c>
      <c r="B1455" s="149" t="str">
        <f>IFERROR(VLOOKUP(Proc[[#This Row],[App]],Table2[],3,0),"open")</f>
        <v>ok</v>
      </c>
      <c r="C1455" s="89" t="s">
        <v>369</v>
      </c>
      <c r="D1455" t="s">
        <v>2960</v>
      </c>
      <c r="E1455" t="s">
        <v>3400</v>
      </c>
      <c r="F1455" s="117" t="s">
        <v>3400</v>
      </c>
      <c r="G1455" s="89" t="s">
        <v>400</v>
      </c>
      <c r="H1455" s="85" t="str">
        <f>IF(Proc[[#This Row],[type]]="LFF (MDG-F)",MID(Proc[[#This Row],[Obj]],13,10),"")</f>
        <v/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HC</v>
      </c>
      <c r="L1455" s="85" t="s">
        <v>2563</v>
      </c>
      <c r="M1455" s="87">
        <v>45800.450960648152</v>
      </c>
      <c r="N1455" s="87">
        <v>45804</v>
      </c>
      <c r="O1455" s="87">
        <v>45804</v>
      </c>
      <c r="P1455" s="9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2</v>
      </c>
      <c r="R1455" s="90" t="s">
        <v>410</v>
      </c>
      <c r="S1455" s="85"/>
    </row>
    <row r="1456" spans="1:19" hidden="1">
      <c r="A1456" s="89" t="s">
        <v>3395</v>
      </c>
      <c r="B1456" s="149" t="str">
        <f>IFERROR(VLOOKUP(Proc[[#This Row],[App]],Table2[],3,0),"open")</f>
        <v>ok</v>
      </c>
      <c r="C1456" s="89" t="s">
        <v>369</v>
      </c>
      <c r="D1456" t="s">
        <v>2961</v>
      </c>
      <c r="E1456" t="s">
        <v>3397</v>
      </c>
      <c r="F1456" s="117" t="s">
        <v>3397</v>
      </c>
      <c r="G1456" s="89" t="s">
        <v>400</v>
      </c>
      <c r="H1456" s="85" t="str">
        <f>IF(Proc[[#This Row],[type]]="LFF (MDG-F)",MID(Proc[[#This Row],[Obj]],13,10),"")</f>
        <v/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HC</v>
      </c>
      <c r="L1456" s="85" t="s">
        <v>2563</v>
      </c>
      <c r="M1456" s="87">
        <v>45800.450960648152</v>
      </c>
      <c r="N1456" s="87">
        <v>45804</v>
      </c>
      <c r="O1456" s="87">
        <v>45804</v>
      </c>
      <c r="P1456" s="9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2</v>
      </c>
      <c r="R1456" s="90" t="s">
        <v>410</v>
      </c>
      <c r="S1456" s="85"/>
    </row>
    <row r="1457" spans="1:19" hidden="1">
      <c r="A1457" s="89" t="s">
        <v>3395</v>
      </c>
      <c r="B1457" s="149" t="str">
        <f>IFERROR(VLOOKUP(Proc[[#This Row],[App]],Table2[],3,0),"open")</f>
        <v>ok</v>
      </c>
      <c r="C1457" s="89" t="s">
        <v>369</v>
      </c>
      <c r="D1457" t="s">
        <v>2962</v>
      </c>
      <c r="E1457" t="s">
        <v>3397</v>
      </c>
      <c r="F1457" s="117" t="s">
        <v>3397</v>
      </c>
      <c r="G1457" s="89" t="s">
        <v>400</v>
      </c>
      <c r="H1457" s="85" t="str">
        <f>IF(Proc[[#This Row],[type]]="LFF (MDG-F)",MID(Proc[[#This Row],[Obj]],13,10),"")</f>
        <v/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HC</v>
      </c>
      <c r="L1457" s="85" t="s">
        <v>2563</v>
      </c>
      <c r="M1457" s="87">
        <v>45800.450960648152</v>
      </c>
      <c r="N1457" s="87">
        <v>45804</v>
      </c>
      <c r="O1457" s="87">
        <v>45804</v>
      </c>
      <c r="P1457" s="9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2</v>
      </c>
      <c r="R1457" s="90" t="s">
        <v>410</v>
      </c>
      <c r="S1457" s="85"/>
    </row>
    <row r="1458" spans="1:19" hidden="1">
      <c r="A1458" s="89" t="s">
        <v>3395</v>
      </c>
      <c r="B1458" s="149" t="str">
        <f>IFERROR(VLOOKUP(Proc[[#This Row],[App]],Table2[],3,0),"open")</f>
        <v>ok</v>
      </c>
      <c r="C1458" s="89" t="s">
        <v>369</v>
      </c>
      <c r="D1458" t="s">
        <v>2963</v>
      </c>
      <c r="E1458" t="s">
        <v>3400</v>
      </c>
      <c r="F1458" s="117" t="s">
        <v>3400</v>
      </c>
      <c r="G1458" s="89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HC</v>
      </c>
      <c r="L1458" s="85" t="s">
        <v>2563</v>
      </c>
      <c r="M1458" s="87">
        <v>45800.450960648152</v>
      </c>
      <c r="N1458" s="87">
        <v>45804</v>
      </c>
      <c r="O1458" s="87">
        <v>45804</v>
      </c>
      <c r="P1458" s="9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2</v>
      </c>
      <c r="R1458" s="90" t="s">
        <v>410</v>
      </c>
      <c r="S1458" s="85"/>
    </row>
    <row r="1459" spans="1:19" hidden="1">
      <c r="A1459" s="89" t="s">
        <v>3395</v>
      </c>
      <c r="B1459" s="149" t="str">
        <f>IFERROR(VLOOKUP(Proc[[#This Row],[App]],Table2[],3,0),"open")</f>
        <v>ok</v>
      </c>
      <c r="C1459" s="89" t="s">
        <v>369</v>
      </c>
      <c r="D1459" t="s">
        <v>2964</v>
      </c>
      <c r="E1459" t="s">
        <v>3400</v>
      </c>
      <c r="F1459" s="117" t="s">
        <v>3400</v>
      </c>
      <c r="G1459" s="89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HC</v>
      </c>
      <c r="L1459" s="85" t="s">
        <v>2563</v>
      </c>
      <c r="M1459" s="87">
        <v>45800.450960648152</v>
      </c>
      <c r="N1459" s="87">
        <v>45804</v>
      </c>
      <c r="O1459" s="87">
        <v>45804</v>
      </c>
      <c r="P1459" s="9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2</v>
      </c>
      <c r="R1459" s="90" t="s">
        <v>410</v>
      </c>
      <c r="S1459" s="85"/>
    </row>
    <row r="1460" spans="1:19" hidden="1">
      <c r="A1460" s="89" t="s">
        <v>3395</v>
      </c>
      <c r="B1460" s="149" t="str">
        <f>IFERROR(VLOOKUP(Proc[[#This Row],[App]],Table2[],3,0),"open")</f>
        <v>ok</v>
      </c>
      <c r="C1460" s="89" t="s">
        <v>369</v>
      </c>
      <c r="D1460" t="s">
        <v>2965</v>
      </c>
      <c r="E1460" t="s">
        <v>3400</v>
      </c>
      <c r="F1460" s="117" t="s">
        <v>3400</v>
      </c>
      <c r="G1460" s="89" t="s">
        <v>400</v>
      </c>
      <c r="H1460" s="85" t="str">
        <f>IF(Proc[[#This Row],[type]]="LFF (MDG-F)",MID(Proc[[#This Row],[Obj]],13,10),"")</f>
        <v/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HC</v>
      </c>
      <c r="L1460" s="85" t="s">
        <v>2563</v>
      </c>
      <c r="M1460" s="87">
        <v>45800.450960648152</v>
      </c>
      <c r="N1460" s="87">
        <v>45804</v>
      </c>
      <c r="O1460" s="87">
        <v>45804</v>
      </c>
      <c r="P1460" s="9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2</v>
      </c>
      <c r="R1460" s="90" t="s">
        <v>410</v>
      </c>
      <c r="S1460" s="85"/>
    </row>
    <row r="1461" spans="1:19" hidden="1">
      <c r="A1461" s="89" t="s">
        <v>3395</v>
      </c>
      <c r="B1461" s="149" t="str">
        <f>IFERROR(VLOOKUP(Proc[[#This Row],[App]],Table2[],3,0),"open")</f>
        <v>ok</v>
      </c>
      <c r="C1461" s="89" t="s">
        <v>369</v>
      </c>
      <c r="D1461" t="s">
        <v>2966</v>
      </c>
      <c r="E1461" t="s">
        <v>3401</v>
      </c>
      <c r="F1461" s="117" t="s">
        <v>3401</v>
      </c>
      <c r="G1461" s="89" t="s">
        <v>400</v>
      </c>
      <c r="H1461" s="85" t="str">
        <f>IF(Proc[[#This Row],[type]]="LFF (MDG-F)",MID(Proc[[#This Row],[Obj]],13,10),"")</f>
        <v/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HC</v>
      </c>
      <c r="L1461" s="85" t="s">
        <v>2563</v>
      </c>
      <c r="M1461" s="87">
        <v>45800.450960648152</v>
      </c>
      <c r="N1461" s="87">
        <v>45804</v>
      </c>
      <c r="O1461" s="87">
        <v>45804</v>
      </c>
      <c r="P1461" s="9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2</v>
      </c>
      <c r="R1461" s="90" t="s">
        <v>410</v>
      </c>
      <c r="S1461" s="85"/>
    </row>
    <row r="1462" spans="1:19" hidden="1">
      <c r="A1462" s="89" t="s">
        <v>3395</v>
      </c>
      <c r="B1462" s="149" t="str">
        <f>IFERROR(VLOOKUP(Proc[[#This Row],[App]],Table2[],3,0),"open")</f>
        <v>ok</v>
      </c>
      <c r="C1462" s="89" t="s">
        <v>369</v>
      </c>
      <c r="D1462" t="s">
        <v>2967</v>
      </c>
      <c r="E1462" t="s">
        <v>3401</v>
      </c>
      <c r="F1462" s="117" t="s">
        <v>3401</v>
      </c>
      <c r="G1462" s="89" t="s">
        <v>400</v>
      </c>
      <c r="H1462" s="85" t="str">
        <f>IF(Proc[[#This Row],[type]]="LFF (MDG-F)",MID(Proc[[#This Row],[Obj]],13,10),"")</f>
        <v/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HC</v>
      </c>
      <c r="L1462" s="85" t="s">
        <v>2563</v>
      </c>
      <c r="M1462" s="87">
        <v>45800.450960648152</v>
      </c>
      <c r="N1462" s="87">
        <v>45804</v>
      </c>
      <c r="O1462" s="87">
        <v>45804</v>
      </c>
      <c r="P1462" s="9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2</v>
      </c>
      <c r="R1462" s="90" t="s">
        <v>410</v>
      </c>
      <c r="S1462" s="85"/>
    </row>
    <row r="1463" spans="1:19" hidden="1">
      <c r="A1463" s="89" t="s">
        <v>3395</v>
      </c>
      <c r="B1463" s="149" t="str">
        <f>IFERROR(VLOOKUP(Proc[[#This Row],[App]],Table2[],3,0),"open")</f>
        <v>ok</v>
      </c>
      <c r="C1463" s="89" t="s">
        <v>369</v>
      </c>
      <c r="D1463" t="s">
        <v>2968</v>
      </c>
      <c r="E1463" t="s">
        <v>3401</v>
      </c>
      <c r="F1463" s="117" t="s">
        <v>3401</v>
      </c>
      <c r="G1463" s="89" t="s">
        <v>400</v>
      </c>
      <c r="H1463" s="85" t="str">
        <f>IF(Proc[[#This Row],[type]]="LFF (MDG-F)",MID(Proc[[#This Row],[Obj]],13,10),"")</f>
        <v/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HC</v>
      </c>
      <c r="L1463" s="85" t="s">
        <v>2563</v>
      </c>
      <c r="M1463" s="87">
        <v>45800.450960648152</v>
      </c>
      <c r="N1463" s="87">
        <v>45804</v>
      </c>
      <c r="O1463" s="87">
        <v>45804</v>
      </c>
      <c r="P1463" s="9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2</v>
      </c>
      <c r="R1463" s="90" t="s">
        <v>410</v>
      </c>
      <c r="S1463" s="85"/>
    </row>
    <row r="1464" spans="1:19" hidden="1">
      <c r="A1464" s="89" t="s">
        <v>3395</v>
      </c>
      <c r="B1464" s="149" t="str">
        <f>IFERROR(VLOOKUP(Proc[[#This Row],[App]],Table2[],3,0),"open")</f>
        <v>ok</v>
      </c>
      <c r="C1464" s="89" t="s">
        <v>369</v>
      </c>
      <c r="D1464" t="s">
        <v>2969</v>
      </c>
      <c r="E1464" t="s">
        <v>3401</v>
      </c>
      <c r="F1464" s="117" t="s">
        <v>3401</v>
      </c>
      <c r="G1464" s="89" t="s">
        <v>400</v>
      </c>
      <c r="H1464" s="85" t="str">
        <f>IF(Proc[[#This Row],[type]]="LFF (MDG-F)",MID(Proc[[#This Row],[Obj]],13,10),"")</f>
        <v/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HC</v>
      </c>
      <c r="L1464" s="85" t="s">
        <v>2563</v>
      </c>
      <c r="M1464" s="87">
        <v>45800.450960648152</v>
      </c>
      <c r="N1464" s="87">
        <v>45804</v>
      </c>
      <c r="O1464" s="87">
        <v>45804</v>
      </c>
      <c r="P1464" s="9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2</v>
      </c>
      <c r="R1464" s="90" t="s">
        <v>410</v>
      </c>
      <c r="S1464" s="85"/>
    </row>
    <row r="1465" spans="1:19" hidden="1">
      <c r="A1465" s="89" t="s">
        <v>3395</v>
      </c>
      <c r="B1465" s="149" t="str">
        <f>IFERROR(VLOOKUP(Proc[[#This Row],[App]],Table2[],3,0),"open")</f>
        <v>ok</v>
      </c>
      <c r="C1465" s="89" t="s">
        <v>369</v>
      </c>
      <c r="D1465" t="s">
        <v>2970</v>
      </c>
      <c r="E1465" t="s">
        <v>3401</v>
      </c>
      <c r="F1465" s="117" t="s">
        <v>3401</v>
      </c>
      <c r="G1465" s="89" t="s">
        <v>400</v>
      </c>
      <c r="H1465" s="85" t="str">
        <f>IF(Proc[[#This Row],[type]]="LFF (MDG-F)",MID(Proc[[#This Row],[Obj]],13,10),"")</f>
        <v/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HC</v>
      </c>
      <c r="L1465" s="85" t="s">
        <v>2563</v>
      </c>
      <c r="M1465" s="87">
        <v>45800.450960648152</v>
      </c>
      <c r="N1465" s="87">
        <v>45804</v>
      </c>
      <c r="O1465" s="87">
        <v>45804</v>
      </c>
      <c r="P1465" s="9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2</v>
      </c>
      <c r="R1465" s="90" t="s">
        <v>410</v>
      </c>
      <c r="S1465" s="85"/>
    </row>
    <row r="1466" spans="1:19" hidden="1">
      <c r="A1466" s="89" t="s">
        <v>3395</v>
      </c>
      <c r="B1466" s="149" t="str">
        <f>IFERROR(VLOOKUP(Proc[[#This Row],[App]],Table2[],3,0),"open")</f>
        <v>ok</v>
      </c>
      <c r="C1466" s="89" t="s">
        <v>369</v>
      </c>
      <c r="D1466" t="s">
        <v>2971</v>
      </c>
      <c r="E1466" t="s">
        <v>3401</v>
      </c>
      <c r="F1466" s="117" t="s">
        <v>3401</v>
      </c>
      <c r="G1466" s="89" t="s">
        <v>400</v>
      </c>
      <c r="H1466" s="85" t="str">
        <f>IF(Proc[[#This Row],[type]]="LFF (MDG-F)",MID(Proc[[#This Row],[Obj]],13,10),"")</f>
        <v/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HC</v>
      </c>
      <c r="L1466" s="85" t="s">
        <v>2563</v>
      </c>
      <c r="M1466" s="87">
        <v>45800.450960648152</v>
      </c>
      <c r="N1466" s="87">
        <v>45804</v>
      </c>
      <c r="O1466" s="87">
        <v>45804</v>
      </c>
      <c r="P1466" s="9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2</v>
      </c>
      <c r="R1466" s="90" t="s">
        <v>410</v>
      </c>
      <c r="S1466" s="85"/>
    </row>
    <row r="1467" spans="1:19" hidden="1">
      <c r="A1467" s="89" t="s">
        <v>3395</v>
      </c>
      <c r="B1467" s="149" t="str">
        <f>IFERROR(VLOOKUP(Proc[[#This Row],[App]],Table2[],3,0),"open")</f>
        <v>ok</v>
      </c>
      <c r="C1467" s="89" t="s">
        <v>369</v>
      </c>
      <c r="D1467" t="s">
        <v>2972</v>
      </c>
      <c r="E1467" t="s">
        <v>3401</v>
      </c>
      <c r="F1467" s="117" t="s">
        <v>3401</v>
      </c>
      <c r="G1467" s="89" t="s">
        <v>400</v>
      </c>
      <c r="H1467" s="85" t="str">
        <f>IF(Proc[[#This Row],[type]]="LFF (MDG-F)",MID(Proc[[#This Row],[Obj]],13,10),"")</f>
        <v/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HC</v>
      </c>
      <c r="L1467" s="85" t="s">
        <v>2563</v>
      </c>
      <c r="M1467" s="87">
        <v>45800.450960648152</v>
      </c>
      <c r="N1467" s="87">
        <v>45804</v>
      </c>
      <c r="O1467" s="87">
        <v>45804</v>
      </c>
      <c r="P1467" s="9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2</v>
      </c>
      <c r="R1467" s="90" t="s">
        <v>410</v>
      </c>
      <c r="S1467" s="85"/>
    </row>
    <row r="1468" spans="1:19" hidden="1">
      <c r="A1468" s="89" t="s">
        <v>3395</v>
      </c>
      <c r="B1468" s="149" t="str">
        <f>IFERROR(VLOOKUP(Proc[[#This Row],[App]],Table2[],3,0),"open")</f>
        <v>ok</v>
      </c>
      <c r="C1468" s="89" t="s">
        <v>369</v>
      </c>
      <c r="D1468" t="s">
        <v>2973</v>
      </c>
      <c r="E1468" t="s">
        <v>3401</v>
      </c>
      <c r="F1468" s="117" t="s">
        <v>3401</v>
      </c>
      <c r="G1468" s="89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HC</v>
      </c>
      <c r="L1468" s="85" t="s">
        <v>2563</v>
      </c>
      <c r="M1468" s="87">
        <v>45800.450960648152</v>
      </c>
      <c r="N1468" s="87">
        <v>45804</v>
      </c>
      <c r="O1468" s="87">
        <v>45804</v>
      </c>
      <c r="P1468" s="9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2</v>
      </c>
      <c r="R1468" s="90" t="s">
        <v>410</v>
      </c>
      <c r="S1468" s="85"/>
    </row>
    <row r="1469" spans="1:19" hidden="1">
      <c r="A1469" s="89" t="s">
        <v>3395</v>
      </c>
      <c r="B1469" s="149" t="str">
        <f>IFERROR(VLOOKUP(Proc[[#This Row],[App]],Table2[],3,0),"open")</f>
        <v>ok</v>
      </c>
      <c r="C1469" s="89" t="s">
        <v>369</v>
      </c>
      <c r="D1469" t="s">
        <v>2974</v>
      </c>
      <c r="E1469" t="s">
        <v>3401</v>
      </c>
      <c r="F1469" s="117" t="s">
        <v>3401</v>
      </c>
      <c r="G1469" s="89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HC</v>
      </c>
      <c r="L1469" s="85" t="s">
        <v>2563</v>
      </c>
      <c r="M1469" s="87">
        <v>45800.450960648152</v>
      </c>
      <c r="N1469" s="87">
        <v>45804</v>
      </c>
      <c r="O1469" s="87">
        <v>45804</v>
      </c>
      <c r="P1469" s="9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2</v>
      </c>
      <c r="R1469" s="90" t="s">
        <v>410</v>
      </c>
      <c r="S1469" s="85"/>
    </row>
    <row r="1470" spans="1:19" hidden="1">
      <c r="A1470" s="89" t="s">
        <v>3395</v>
      </c>
      <c r="B1470" s="149" t="str">
        <f>IFERROR(VLOOKUP(Proc[[#This Row],[App]],Table2[],3,0),"open")</f>
        <v>ok</v>
      </c>
      <c r="C1470" s="89" t="s">
        <v>369</v>
      </c>
      <c r="D1470" t="s">
        <v>2975</v>
      </c>
      <c r="E1470" t="s">
        <v>3401</v>
      </c>
      <c r="F1470" s="117" t="s">
        <v>3401</v>
      </c>
      <c r="G1470" s="89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HC</v>
      </c>
      <c r="L1470" s="85" t="s">
        <v>2563</v>
      </c>
      <c r="M1470" s="87">
        <v>45800.450960648152</v>
      </c>
      <c r="N1470" s="87">
        <v>45804</v>
      </c>
      <c r="O1470" s="87">
        <v>45804</v>
      </c>
      <c r="P1470" s="9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2</v>
      </c>
      <c r="R1470" s="90" t="s">
        <v>410</v>
      </c>
      <c r="S1470" s="85"/>
    </row>
    <row r="1471" spans="1:19" hidden="1">
      <c r="A1471" s="89" t="s">
        <v>3395</v>
      </c>
      <c r="B1471" s="149" t="str">
        <f>IFERROR(VLOOKUP(Proc[[#This Row],[App]],Table2[],3,0),"open")</f>
        <v>ok</v>
      </c>
      <c r="C1471" s="89" t="s">
        <v>369</v>
      </c>
      <c r="D1471" t="s">
        <v>2976</v>
      </c>
      <c r="E1471" t="s">
        <v>3401</v>
      </c>
      <c r="F1471" s="117" t="s">
        <v>3401</v>
      </c>
      <c r="G1471" s="89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HC</v>
      </c>
      <c r="L1471" s="85" t="s">
        <v>2563</v>
      </c>
      <c r="M1471" s="87">
        <v>45800.450960648152</v>
      </c>
      <c r="N1471" s="87">
        <v>45804</v>
      </c>
      <c r="O1471" s="87">
        <v>45804</v>
      </c>
      <c r="P1471" s="9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2</v>
      </c>
      <c r="R1471" s="90" t="s">
        <v>410</v>
      </c>
      <c r="S1471" s="85"/>
    </row>
    <row r="1472" spans="1:19" hidden="1">
      <c r="A1472" s="89" t="s">
        <v>3395</v>
      </c>
      <c r="B1472" s="149" t="str">
        <f>IFERROR(VLOOKUP(Proc[[#This Row],[App]],Table2[],3,0),"open")</f>
        <v>ok</v>
      </c>
      <c r="C1472" s="89" t="s">
        <v>369</v>
      </c>
      <c r="D1472" t="s">
        <v>2977</v>
      </c>
      <c r="E1472" t="s">
        <v>3401</v>
      </c>
      <c r="F1472" s="117" t="s">
        <v>3401</v>
      </c>
      <c r="G1472" s="89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HC</v>
      </c>
      <c r="L1472" s="85" t="s">
        <v>2563</v>
      </c>
      <c r="M1472" s="87">
        <v>45800.450960648152</v>
      </c>
      <c r="N1472" s="87">
        <v>45804</v>
      </c>
      <c r="O1472" s="87">
        <v>45804</v>
      </c>
      <c r="P1472" s="9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2</v>
      </c>
      <c r="R1472" s="90" t="s">
        <v>410</v>
      </c>
      <c r="S1472" s="85"/>
    </row>
    <row r="1473" spans="1:19" hidden="1">
      <c r="A1473" s="89" t="s">
        <v>3395</v>
      </c>
      <c r="B1473" s="149" t="str">
        <f>IFERROR(VLOOKUP(Proc[[#This Row],[App]],Table2[],3,0),"open")</f>
        <v>ok</v>
      </c>
      <c r="C1473" s="89" t="s">
        <v>369</v>
      </c>
      <c r="D1473" t="s">
        <v>2978</v>
      </c>
      <c r="E1473" t="s">
        <v>3401</v>
      </c>
      <c r="F1473" s="117" t="s">
        <v>3401</v>
      </c>
      <c r="G1473" s="89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HC</v>
      </c>
      <c r="L1473" s="85" t="s">
        <v>2563</v>
      </c>
      <c r="M1473" s="87">
        <v>45800.450960648152</v>
      </c>
      <c r="N1473" s="87">
        <v>45804</v>
      </c>
      <c r="O1473" s="87">
        <v>45804</v>
      </c>
      <c r="P1473" s="9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2</v>
      </c>
      <c r="R1473" s="90" t="s">
        <v>410</v>
      </c>
      <c r="S1473" s="85"/>
    </row>
    <row r="1474" spans="1:19" hidden="1">
      <c r="A1474" s="89" t="s">
        <v>3395</v>
      </c>
      <c r="B1474" s="149" t="str">
        <f>IFERROR(VLOOKUP(Proc[[#This Row],[App]],Table2[],3,0),"open")</f>
        <v>ok</v>
      </c>
      <c r="C1474" s="89" t="s">
        <v>369</v>
      </c>
      <c r="D1474" t="s">
        <v>2979</v>
      </c>
      <c r="E1474" t="s">
        <v>3401</v>
      </c>
      <c r="F1474" s="117" t="s">
        <v>3401</v>
      </c>
      <c r="G1474" s="89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HC</v>
      </c>
      <c r="L1474" s="85" t="s">
        <v>2563</v>
      </c>
      <c r="M1474" s="87">
        <v>45800.450960648152</v>
      </c>
      <c r="N1474" s="87">
        <v>45804</v>
      </c>
      <c r="O1474" s="87">
        <v>45804</v>
      </c>
      <c r="P1474" s="9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2</v>
      </c>
      <c r="R1474" s="90" t="s">
        <v>410</v>
      </c>
      <c r="S1474" s="85"/>
    </row>
    <row r="1475" spans="1:19" hidden="1">
      <c r="A1475" s="89" t="s">
        <v>3395</v>
      </c>
      <c r="B1475" s="149" t="str">
        <f>IFERROR(VLOOKUP(Proc[[#This Row],[App]],Table2[],3,0),"open")</f>
        <v>ok</v>
      </c>
      <c r="C1475" s="89" t="s">
        <v>369</v>
      </c>
      <c r="D1475" t="s">
        <v>2980</v>
      </c>
      <c r="E1475" t="s">
        <v>3401</v>
      </c>
      <c r="F1475" s="117" t="s">
        <v>3401</v>
      </c>
      <c r="G1475" s="89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HC</v>
      </c>
      <c r="L1475" s="85" t="s">
        <v>2563</v>
      </c>
      <c r="M1475" s="87">
        <v>45800.450960648152</v>
      </c>
      <c r="N1475" s="87">
        <v>45804</v>
      </c>
      <c r="O1475" s="87">
        <v>45804</v>
      </c>
      <c r="P1475" s="9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2</v>
      </c>
      <c r="R1475" s="90" t="s">
        <v>410</v>
      </c>
      <c r="S1475" s="85"/>
    </row>
    <row r="1476" spans="1:19" hidden="1">
      <c r="A1476" s="89" t="s">
        <v>3395</v>
      </c>
      <c r="B1476" s="149" t="str">
        <f>IFERROR(VLOOKUP(Proc[[#This Row],[App]],Table2[],3,0),"open")</f>
        <v>ok</v>
      </c>
      <c r="C1476" s="89" t="s">
        <v>369</v>
      </c>
      <c r="D1476" t="s">
        <v>2981</v>
      </c>
      <c r="E1476" t="s">
        <v>3401</v>
      </c>
      <c r="F1476" s="117" t="s">
        <v>3401</v>
      </c>
      <c r="G1476" s="89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HC</v>
      </c>
      <c r="L1476" s="85" t="s">
        <v>2563</v>
      </c>
      <c r="M1476" s="87">
        <v>45800.450960648152</v>
      </c>
      <c r="N1476" s="87">
        <v>45804</v>
      </c>
      <c r="O1476" s="87">
        <v>45804</v>
      </c>
      <c r="P1476" s="9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2</v>
      </c>
      <c r="R1476" s="90" t="s">
        <v>410</v>
      </c>
      <c r="S1476" s="85"/>
    </row>
    <row r="1477" spans="1:19" hidden="1">
      <c r="A1477" s="89" t="s">
        <v>3395</v>
      </c>
      <c r="B1477" s="149" t="str">
        <f>IFERROR(VLOOKUP(Proc[[#This Row],[App]],Table2[],3,0),"open")</f>
        <v>ok</v>
      </c>
      <c r="C1477" s="89" t="s">
        <v>369</v>
      </c>
      <c r="D1477" t="s">
        <v>2982</v>
      </c>
      <c r="E1477" t="s">
        <v>3401</v>
      </c>
      <c r="F1477" s="117" t="s">
        <v>3401</v>
      </c>
      <c r="G1477" s="89" t="s">
        <v>400</v>
      </c>
      <c r="H1477" s="85" t="str">
        <f>IF(Proc[[#This Row],[type]]="LFF (MDG-F)",MID(Proc[[#This Row],[Obj]],13,10),"")</f>
        <v/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HC</v>
      </c>
      <c r="L1477" s="85" t="s">
        <v>2563</v>
      </c>
      <c r="M1477" s="87">
        <v>45800.450960648152</v>
      </c>
      <c r="N1477" s="87">
        <v>45804</v>
      </c>
      <c r="O1477" s="87">
        <v>45804</v>
      </c>
      <c r="P1477" s="90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2</v>
      </c>
      <c r="R1477" s="90" t="s">
        <v>410</v>
      </c>
      <c r="S1477" s="85"/>
    </row>
    <row r="1478" spans="1:19" hidden="1">
      <c r="A1478" s="89" t="s">
        <v>3395</v>
      </c>
      <c r="B1478" s="149" t="str">
        <f>IFERROR(VLOOKUP(Proc[[#This Row],[App]],Table2[],3,0),"open")</f>
        <v>ok</v>
      </c>
      <c r="C1478" s="89" t="s">
        <v>369</v>
      </c>
      <c r="D1478" t="s">
        <v>2983</v>
      </c>
      <c r="E1478" t="s">
        <v>3401</v>
      </c>
      <c r="F1478" s="117" t="s">
        <v>3401</v>
      </c>
      <c r="G1478" s="89" t="s">
        <v>400</v>
      </c>
      <c r="H1478" s="85" t="str">
        <f>IF(Proc[[#This Row],[type]]="LFF (MDG-F)",MID(Proc[[#This Row],[Obj]],13,10),"")</f>
        <v/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HC</v>
      </c>
      <c r="L1478" s="85" t="s">
        <v>2563</v>
      </c>
      <c r="M1478" s="87">
        <v>45800.450960648152</v>
      </c>
      <c r="N1478" s="87">
        <v>45804</v>
      </c>
      <c r="O1478" s="87">
        <v>45804</v>
      </c>
      <c r="P1478" s="90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2</v>
      </c>
      <c r="R1478" s="90" t="s">
        <v>410</v>
      </c>
      <c r="S1478" s="85"/>
    </row>
    <row r="1479" spans="1:19" hidden="1">
      <c r="A1479" s="89" t="s">
        <v>3395</v>
      </c>
      <c r="B1479" s="149" t="str">
        <f>IFERROR(VLOOKUP(Proc[[#This Row],[App]],Table2[],3,0),"open")</f>
        <v>ok</v>
      </c>
      <c r="C1479" s="89" t="s">
        <v>369</v>
      </c>
      <c r="D1479" t="s">
        <v>2984</v>
      </c>
      <c r="E1479" t="s">
        <v>3401</v>
      </c>
      <c r="F1479" s="117" t="s">
        <v>3401</v>
      </c>
      <c r="G1479" s="89" t="s">
        <v>400</v>
      </c>
      <c r="H1479" s="85" t="str">
        <f>IF(Proc[[#This Row],[type]]="LFF (MDG-F)",MID(Proc[[#This Row],[Obj]],13,10),"")</f>
        <v/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HC</v>
      </c>
      <c r="L1479" s="85" t="s">
        <v>2563</v>
      </c>
      <c r="M1479" s="87">
        <v>45800.450960648152</v>
      </c>
      <c r="N1479" s="87">
        <v>45804</v>
      </c>
      <c r="O1479" s="87">
        <v>45804</v>
      </c>
      <c r="P1479" s="90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2</v>
      </c>
      <c r="R1479" s="90" t="s">
        <v>410</v>
      </c>
      <c r="S1479" s="85"/>
    </row>
    <row r="1480" spans="1:19" hidden="1">
      <c r="A1480" s="89" t="s">
        <v>3395</v>
      </c>
      <c r="B1480" s="149" t="str">
        <f>IFERROR(VLOOKUP(Proc[[#This Row],[App]],Table2[],3,0),"open")</f>
        <v>ok</v>
      </c>
      <c r="C1480" s="89" t="s">
        <v>369</v>
      </c>
      <c r="D1480" t="s">
        <v>2985</v>
      </c>
      <c r="E1480" t="s">
        <v>3401</v>
      </c>
      <c r="F1480" s="117" t="s">
        <v>3401</v>
      </c>
      <c r="G1480" s="89" t="s">
        <v>400</v>
      </c>
      <c r="H1480" s="85" t="str">
        <f>IF(Proc[[#This Row],[type]]="LFF (MDG-F)",MID(Proc[[#This Row],[Obj]],13,10),"")</f>
        <v/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HC</v>
      </c>
      <c r="L1480" s="85" t="s">
        <v>2563</v>
      </c>
      <c r="M1480" s="87">
        <v>45800.450960648152</v>
      </c>
      <c r="N1480" s="87">
        <v>45804</v>
      </c>
      <c r="O1480" s="87">
        <v>45804</v>
      </c>
      <c r="P1480" s="90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2</v>
      </c>
      <c r="R1480" s="90" t="s">
        <v>410</v>
      </c>
      <c r="S1480" s="85"/>
    </row>
    <row r="1481" spans="1:19" hidden="1">
      <c r="A1481" s="89" t="s">
        <v>3395</v>
      </c>
      <c r="B1481" s="149" t="str">
        <f>IFERROR(VLOOKUP(Proc[[#This Row],[App]],Table2[],3,0),"open")</f>
        <v>ok</v>
      </c>
      <c r="C1481" s="89" t="s">
        <v>369</v>
      </c>
      <c r="D1481" t="s">
        <v>2986</v>
      </c>
      <c r="E1481" t="s">
        <v>3401</v>
      </c>
      <c r="F1481" s="117" t="s">
        <v>3401</v>
      </c>
      <c r="G1481" s="89" t="s">
        <v>400</v>
      </c>
      <c r="H1481" s="85" t="str">
        <f>IF(Proc[[#This Row],[type]]="LFF (MDG-F)",MID(Proc[[#This Row],[Obj]],13,10),"")</f>
        <v/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HC</v>
      </c>
      <c r="L1481" s="85" t="s">
        <v>2563</v>
      </c>
      <c r="M1481" s="87">
        <v>45800.450960648152</v>
      </c>
      <c r="N1481" s="87">
        <v>45804</v>
      </c>
      <c r="O1481" s="87">
        <v>45804</v>
      </c>
      <c r="P1481" s="90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2</v>
      </c>
      <c r="R1481" s="90" t="s">
        <v>410</v>
      </c>
      <c r="S1481" s="85"/>
    </row>
    <row r="1482" spans="1:19" hidden="1">
      <c r="A1482" s="89" t="s">
        <v>3395</v>
      </c>
      <c r="B1482" s="149" t="str">
        <f>IFERROR(VLOOKUP(Proc[[#This Row],[App]],Table2[],3,0),"open")</f>
        <v>ok</v>
      </c>
      <c r="C1482" s="89" t="s">
        <v>369</v>
      </c>
      <c r="D1482" t="s">
        <v>2987</v>
      </c>
      <c r="E1482" t="s">
        <v>3401</v>
      </c>
      <c r="F1482" s="117" t="s">
        <v>3401</v>
      </c>
      <c r="G1482" s="89" t="s">
        <v>400</v>
      </c>
      <c r="H1482" s="85" t="str">
        <f>IF(Proc[[#This Row],[type]]="LFF (MDG-F)",MID(Proc[[#This Row],[Obj]],13,10),"")</f>
        <v/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HC</v>
      </c>
      <c r="L1482" s="85" t="s">
        <v>2563</v>
      </c>
      <c r="M1482" s="87">
        <v>45800.450960648152</v>
      </c>
      <c r="N1482" s="87">
        <v>45804</v>
      </c>
      <c r="O1482" s="87">
        <v>45804</v>
      </c>
      <c r="P1482" s="90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2</v>
      </c>
      <c r="R1482" s="90" t="s">
        <v>410</v>
      </c>
      <c r="S1482" s="85"/>
    </row>
    <row r="1483" spans="1:19" hidden="1">
      <c r="A1483" s="89" t="s">
        <v>3395</v>
      </c>
      <c r="B1483" s="149" t="str">
        <f>IFERROR(VLOOKUP(Proc[[#This Row],[App]],Table2[],3,0),"open")</f>
        <v>ok</v>
      </c>
      <c r="C1483" s="89" t="s">
        <v>369</v>
      </c>
      <c r="D1483" t="s">
        <v>2988</v>
      </c>
      <c r="E1483" t="s">
        <v>3401</v>
      </c>
      <c r="F1483" s="117" t="s">
        <v>3401</v>
      </c>
      <c r="G1483" s="89" t="s">
        <v>400</v>
      </c>
      <c r="H1483" s="85" t="str">
        <f>IF(Proc[[#This Row],[type]]="LFF (MDG-F)",MID(Proc[[#This Row],[Obj]],13,10),"")</f>
        <v/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HC</v>
      </c>
      <c r="L1483" s="85" t="s">
        <v>2563</v>
      </c>
      <c r="M1483" s="87">
        <v>45800.450960648152</v>
      </c>
      <c r="N1483" s="87">
        <v>45804</v>
      </c>
      <c r="O1483" s="87">
        <v>45804</v>
      </c>
      <c r="P1483" s="90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2</v>
      </c>
      <c r="R1483" s="90" t="s">
        <v>410</v>
      </c>
      <c r="S1483" s="85"/>
    </row>
    <row r="1484" spans="1:19" hidden="1">
      <c r="A1484" s="89" t="s">
        <v>3395</v>
      </c>
      <c r="B1484" s="149" t="str">
        <f>IFERROR(VLOOKUP(Proc[[#This Row],[App]],Table2[],3,0),"open")</f>
        <v>ok</v>
      </c>
      <c r="C1484" s="89" t="s">
        <v>369</v>
      </c>
      <c r="D1484" t="s">
        <v>2989</v>
      </c>
      <c r="E1484" t="s">
        <v>3401</v>
      </c>
      <c r="F1484" s="117" t="s">
        <v>3401</v>
      </c>
      <c r="G1484" s="89" t="s">
        <v>400</v>
      </c>
      <c r="H1484" s="85" t="str">
        <f>IF(Proc[[#This Row],[type]]="LFF (MDG-F)",MID(Proc[[#This Row],[Obj]],13,10),"")</f>
        <v/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HC</v>
      </c>
      <c r="L1484" s="85" t="s">
        <v>2563</v>
      </c>
      <c r="M1484" s="87">
        <v>45800.450960648152</v>
      </c>
      <c r="N1484" s="87">
        <v>45804</v>
      </c>
      <c r="O1484" s="87">
        <v>45804</v>
      </c>
      <c r="P1484" s="90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2</v>
      </c>
      <c r="R1484" s="90" t="s">
        <v>410</v>
      </c>
      <c r="S1484" s="85"/>
    </row>
    <row r="1485" spans="1:19" hidden="1">
      <c r="A1485" s="89" t="s">
        <v>3395</v>
      </c>
      <c r="B1485" s="149" t="str">
        <f>IFERROR(VLOOKUP(Proc[[#This Row],[App]],Table2[],3,0),"open")</f>
        <v>ok</v>
      </c>
      <c r="C1485" s="89" t="s">
        <v>369</v>
      </c>
      <c r="D1485" t="s">
        <v>2990</v>
      </c>
      <c r="E1485" t="s">
        <v>3401</v>
      </c>
      <c r="F1485" s="117" t="s">
        <v>3401</v>
      </c>
      <c r="G1485" s="89" t="s">
        <v>400</v>
      </c>
      <c r="H1485" s="85" t="str">
        <f>IF(Proc[[#This Row],[type]]="LFF (MDG-F)",MID(Proc[[#This Row],[Obj]],13,10),"")</f>
        <v/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HC</v>
      </c>
      <c r="L1485" s="85" t="s">
        <v>2563</v>
      </c>
      <c r="M1485" s="87">
        <v>45800.450960648152</v>
      </c>
      <c r="N1485" s="87">
        <v>45804</v>
      </c>
      <c r="O1485" s="87">
        <v>45804</v>
      </c>
      <c r="P1485" s="90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2</v>
      </c>
      <c r="R1485" s="90" t="s">
        <v>410</v>
      </c>
      <c r="S1485" s="85"/>
    </row>
    <row r="1486" spans="1:19" hidden="1">
      <c r="A1486" s="89" t="s">
        <v>3395</v>
      </c>
      <c r="B1486" s="149" t="str">
        <f>IFERROR(VLOOKUP(Proc[[#This Row],[App]],Table2[],3,0),"open")</f>
        <v>ok</v>
      </c>
      <c r="C1486" s="89" t="s">
        <v>369</v>
      </c>
      <c r="D1486" t="s">
        <v>2991</v>
      </c>
      <c r="E1486" t="s">
        <v>3401</v>
      </c>
      <c r="F1486" s="117" t="s">
        <v>3401</v>
      </c>
      <c r="G1486" s="89" t="s">
        <v>400</v>
      </c>
      <c r="H1486" s="85" t="str">
        <f>IF(Proc[[#This Row],[type]]="LFF (MDG-F)",MID(Proc[[#This Row],[Obj]],13,10),"")</f>
        <v/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HC</v>
      </c>
      <c r="L1486" s="85" t="s">
        <v>2563</v>
      </c>
      <c r="M1486" s="87">
        <v>45800.450960648152</v>
      </c>
      <c r="N1486" s="87">
        <v>45804</v>
      </c>
      <c r="O1486" s="87">
        <v>45804</v>
      </c>
      <c r="P1486" s="90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2</v>
      </c>
      <c r="R1486" s="90" t="s">
        <v>410</v>
      </c>
      <c r="S1486" s="85"/>
    </row>
    <row r="1487" spans="1:19" hidden="1">
      <c r="A1487" s="89" t="s">
        <v>3395</v>
      </c>
      <c r="B1487" s="149" t="str">
        <f>IFERROR(VLOOKUP(Proc[[#This Row],[App]],Table2[],3,0),"open")</f>
        <v>ok</v>
      </c>
      <c r="C1487" s="89" t="s">
        <v>369</v>
      </c>
      <c r="D1487" t="s">
        <v>2992</v>
      </c>
      <c r="E1487" t="s">
        <v>3401</v>
      </c>
      <c r="F1487" s="117" t="s">
        <v>3401</v>
      </c>
      <c r="G1487" s="89" t="s">
        <v>400</v>
      </c>
      <c r="H1487" s="85" t="str">
        <f>IF(Proc[[#This Row],[type]]="LFF (MDG-F)",MID(Proc[[#This Row],[Obj]],13,10),"")</f>
        <v/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HC</v>
      </c>
      <c r="L1487" s="85" t="s">
        <v>2563</v>
      </c>
      <c r="M1487" s="87">
        <v>45800.450960648152</v>
      </c>
      <c r="N1487" s="87">
        <v>45804</v>
      </c>
      <c r="O1487" s="87">
        <v>45804</v>
      </c>
      <c r="P1487" s="90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2</v>
      </c>
      <c r="R1487" s="90" t="s">
        <v>410</v>
      </c>
      <c r="S1487" s="85"/>
    </row>
    <row r="1488" spans="1:19" hidden="1">
      <c r="A1488" s="89" t="s">
        <v>3395</v>
      </c>
      <c r="B1488" s="149" t="str">
        <f>IFERROR(VLOOKUP(Proc[[#This Row],[App]],Table2[],3,0),"open")</f>
        <v>ok</v>
      </c>
      <c r="C1488" s="89" t="s">
        <v>369</v>
      </c>
      <c r="D1488" t="s">
        <v>2993</v>
      </c>
      <c r="E1488" t="s">
        <v>3401</v>
      </c>
      <c r="F1488" s="117" t="s">
        <v>3401</v>
      </c>
      <c r="G1488" s="89" t="s">
        <v>400</v>
      </c>
      <c r="H1488" s="85" t="str">
        <f>IF(Proc[[#This Row],[type]]="LFF (MDG-F)",MID(Proc[[#This Row],[Obj]],13,10),"")</f>
        <v/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HC</v>
      </c>
      <c r="L1488" s="85" t="s">
        <v>2563</v>
      </c>
      <c r="M1488" s="87">
        <v>45800.450960648152</v>
      </c>
      <c r="N1488" s="87">
        <v>45804</v>
      </c>
      <c r="O1488" s="87">
        <v>45804</v>
      </c>
      <c r="P1488" s="90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2</v>
      </c>
      <c r="R1488" s="90" t="s">
        <v>410</v>
      </c>
      <c r="S1488" s="85"/>
    </row>
    <row r="1489" spans="1:19" hidden="1">
      <c r="A1489" s="89" t="s">
        <v>3395</v>
      </c>
      <c r="B1489" s="149" t="str">
        <f>IFERROR(VLOOKUP(Proc[[#This Row],[App]],Table2[],3,0),"open")</f>
        <v>ok</v>
      </c>
      <c r="C1489" s="89" t="s">
        <v>369</v>
      </c>
      <c r="D1489" t="s">
        <v>2994</v>
      </c>
      <c r="E1489" t="s">
        <v>3401</v>
      </c>
      <c r="F1489" s="117" t="s">
        <v>3401</v>
      </c>
      <c r="G1489" s="89" t="s">
        <v>400</v>
      </c>
      <c r="H1489" s="85" t="str">
        <f>IF(Proc[[#This Row],[type]]="LFF (MDG-F)",MID(Proc[[#This Row],[Obj]],13,10),"")</f>
        <v/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HC</v>
      </c>
      <c r="L1489" s="85" t="s">
        <v>2563</v>
      </c>
      <c r="M1489" s="87">
        <v>45800.450960648152</v>
      </c>
      <c r="N1489" s="87">
        <v>45804</v>
      </c>
      <c r="O1489" s="87">
        <v>45804</v>
      </c>
      <c r="P1489" s="90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2</v>
      </c>
      <c r="R1489" s="90" t="s">
        <v>410</v>
      </c>
      <c r="S1489" s="85"/>
    </row>
    <row r="1490" spans="1:19" hidden="1">
      <c r="A1490" s="89" t="s">
        <v>3395</v>
      </c>
      <c r="B1490" s="149" t="str">
        <f>IFERROR(VLOOKUP(Proc[[#This Row],[App]],Table2[],3,0),"open")</f>
        <v>ok</v>
      </c>
      <c r="C1490" s="89" t="s">
        <v>369</v>
      </c>
      <c r="D1490" t="s">
        <v>2995</v>
      </c>
      <c r="E1490" t="s">
        <v>3401</v>
      </c>
      <c r="F1490" s="117" t="s">
        <v>3401</v>
      </c>
      <c r="G1490" s="89" t="s">
        <v>400</v>
      </c>
      <c r="H1490" s="85" t="str">
        <f>IF(Proc[[#This Row],[type]]="LFF (MDG-F)",MID(Proc[[#This Row],[Obj]],13,10),"")</f>
        <v/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HC</v>
      </c>
      <c r="L1490" s="85" t="s">
        <v>2563</v>
      </c>
      <c r="M1490" s="87">
        <v>45800.450960648152</v>
      </c>
      <c r="N1490" s="87">
        <v>45804</v>
      </c>
      <c r="O1490" s="87">
        <v>45804</v>
      </c>
      <c r="P1490" s="90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2</v>
      </c>
      <c r="R1490" s="90" t="s">
        <v>410</v>
      </c>
      <c r="S1490" s="85"/>
    </row>
    <row r="1491" spans="1:19" hidden="1">
      <c r="A1491" s="89" t="s">
        <v>3395</v>
      </c>
      <c r="B1491" s="149" t="str">
        <f>IFERROR(VLOOKUP(Proc[[#This Row],[App]],Table2[],3,0),"open")</f>
        <v>ok</v>
      </c>
      <c r="C1491" s="89" t="s">
        <v>369</v>
      </c>
      <c r="D1491" t="s">
        <v>2996</v>
      </c>
      <c r="E1491" t="s">
        <v>3401</v>
      </c>
      <c r="F1491" s="117" t="s">
        <v>3401</v>
      </c>
      <c r="G1491" s="89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HC</v>
      </c>
      <c r="L1491" s="85" t="s">
        <v>2563</v>
      </c>
      <c r="M1491" s="87">
        <v>45800.450960648152</v>
      </c>
      <c r="N1491" s="87">
        <v>45804</v>
      </c>
      <c r="O1491" s="87">
        <v>45804</v>
      </c>
      <c r="P1491" s="90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2</v>
      </c>
      <c r="R1491" s="90" t="s">
        <v>410</v>
      </c>
      <c r="S1491" s="85"/>
    </row>
    <row r="1492" spans="1:19" hidden="1">
      <c r="A1492" s="89" t="s">
        <v>3395</v>
      </c>
      <c r="B1492" s="149" t="str">
        <f>IFERROR(VLOOKUP(Proc[[#This Row],[App]],Table2[],3,0),"open")</f>
        <v>ok</v>
      </c>
      <c r="C1492" s="89" t="s">
        <v>369</v>
      </c>
      <c r="D1492" t="s">
        <v>2997</v>
      </c>
      <c r="E1492" t="s">
        <v>3401</v>
      </c>
      <c r="F1492" s="117" t="s">
        <v>3401</v>
      </c>
      <c r="G1492" s="89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HC</v>
      </c>
      <c r="L1492" s="85" t="s">
        <v>2563</v>
      </c>
      <c r="M1492" s="87">
        <v>45800.450960648152</v>
      </c>
      <c r="N1492" s="87">
        <v>45804</v>
      </c>
      <c r="O1492" s="87">
        <v>45804</v>
      </c>
      <c r="P1492" s="90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2</v>
      </c>
      <c r="R1492" s="90" t="s">
        <v>410</v>
      </c>
      <c r="S1492" s="85"/>
    </row>
    <row r="1493" spans="1:19" hidden="1">
      <c r="A1493" s="89" t="s">
        <v>3395</v>
      </c>
      <c r="B1493" s="149" t="str">
        <f>IFERROR(VLOOKUP(Proc[[#This Row],[App]],Table2[],3,0),"open")</f>
        <v>ok</v>
      </c>
      <c r="C1493" s="89" t="s">
        <v>369</v>
      </c>
      <c r="D1493" t="s">
        <v>2998</v>
      </c>
      <c r="E1493" t="s">
        <v>3401</v>
      </c>
      <c r="F1493" s="117" t="s">
        <v>3401</v>
      </c>
      <c r="G1493" s="89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HC</v>
      </c>
      <c r="L1493" s="85" t="s">
        <v>2563</v>
      </c>
      <c r="M1493" s="87">
        <v>45800.450960648152</v>
      </c>
      <c r="N1493" s="87">
        <v>45804</v>
      </c>
      <c r="O1493" s="87">
        <v>45804</v>
      </c>
      <c r="P1493" s="90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2</v>
      </c>
      <c r="R1493" s="90" t="s">
        <v>410</v>
      </c>
      <c r="S1493" s="85"/>
    </row>
    <row r="1494" spans="1:19" hidden="1">
      <c r="A1494" s="89" t="s">
        <v>3395</v>
      </c>
      <c r="B1494" s="149" t="str">
        <f>IFERROR(VLOOKUP(Proc[[#This Row],[App]],Table2[],3,0),"open")</f>
        <v>ok</v>
      </c>
      <c r="C1494" s="89" t="s">
        <v>369</v>
      </c>
      <c r="D1494" t="s">
        <v>2999</v>
      </c>
      <c r="E1494" t="s">
        <v>3401</v>
      </c>
      <c r="F1494" s="117" t="s">
        <v>3401</v>
      </c>
      <c r="G1494" s="89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HC</v>
      </c>
      <c r="L1494" s="85" t="s">
        <v>2563</v>
      </c>
      <c r="M1494" s="87">
        <v>45800.450960648152</v>
      </c>
      <c r="N1494" s="87">
        <v>45804</v>
      </c>
      <c r="O1494" s="87">
        <v>45804</v>
      </c>
      <c r="P1494" s="90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2</v>
      </c>
      <c r="R1494" s="90" t="s">
        <v>410</v>
      </c>
      <c r="S1494" s="85"/>
    </row>
    <row r="1495" spans="1:19" hidden="1">
      <c r="A1495" s="89" t="s">
        <v>3395</v>
      </c>
      <c r="B1495" s="149" t="str">
        <f>IFERROR(VLOOKUP(Proc[[#This Row],[App]],Table2[],3,0),"open")</f>
        <v>ok</v>
      </c>
      <c r="C1495" s="89" t="s">
        <v>369</v>
      </c>
      <c r="D1495" t="s">
        <v>3000</v>
      </c>
      <c r="E1495" t="s">
        <v>3401</v>
      </c>
      <c r="F1495" s="117" t="s">
        <v>3401</v>
      </c>
      <c r="G1495" s="89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HC</v>
      </c>
      <c r="L1495" s="85" t="s">
        <v>2563</v>
      </c>
      <c r="M1495" s="87">
        <v>45800.450960648152</v>
      </c>
      <c r="N1495" s="87">
        <v>45804</v>
      </c>
      <c r="O1495" s="87">
        <v>45804</v>
      </c>
      <c r="P1495" s="90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2</v>
      </c>
      <c r="R1495" s="90" t="s">
        <v>410</v>
      </c>
      <c r="S1495" s="85"/>
    </row>
    <row r="1496" spans="1:19" hidden="1">
      <c r="A1496" s="89" t="s">
        <v>3395</v>
      </c>
      <c r="B1496" s="149" t="str">
        <f>IFERROR(VLOOKUP(Proc[[#This Row],[App]],Table2[],3,0),"open")</f>
        <v>ok</v>
      </c>
      <c r="C1496" s="89" t="s">
        <v>369</v>
      </c>
      <c r="D1496" t="s">
        <v>3001</v>
      </c>
      <c r="E1496" t="s">
        <v>3401</v>
      </c>
      <c r="F1496" s="117" t="s">
        <v>3401</v>
      </c>
      <c r="G1496" s="89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HC</v>
      </c>
      <c r="L1496" s="85" t="s">
        <v>2563</v>
      </c>
      <c r="M1496" s="87">
        <v>45800.450960648152</v>
      </c>
      <c r="N1496" s="87">
        <v>45804</v>
      </c>
      <c r="O1496" s="87">
        <v>45804</v>
      </c>
      <c r="P1496" s="90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2</v>
      </c>
      <c r="R1496" s="90" t="s">
        <v>410</v>
      </c>
      <c r="S1496" s="85"/>
    </row>
    <row r="1497" spans="1:19" hidden="1">
      <c r="A1497" t="s">
        <v>3403</v>
      </c>
      <c r="B1497" s="149" t="str">
        <f>IFERROR(VLOOKUP(Proc[[#This Row],[App]],Table2[],3,0),"open")</f>
        <v>ok</v>
      </c>
      <c r="C1497" s="89" t="s">
        <v>369</v>
      </c>
      <c r="D1497" t="s">
        <v>3402</v>
      </c>
      <c r="E1497" t="s">
        <v>2049</v>
      </c>
      <c r="F1497" s="117" t="s">
        <v>2049</v>
      </c>
      <c r="G1497" s="89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7">
        <v>45800.502141203702</v>
      </c>
      <c r="N1497" s="87">
        <v>45804</v>
      </c>
      <c r="O1497" s="87">
        <v>45804</v>
      </c>
      <c r="P1497" s="90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2</v>
      </c>
      <c r="R1497" s="90" t="s">
        <v>515</v>
      </c>
      <c r="S1497" s="85"/>
    </row>
    <row r="1498" spans="1:19" hidden="1">
      <c r="A1498" t="s">
        <v>3404</v>
      </c>
      <c r="B1498" s="149" t="str">
        <f>IFERROR(VLOOKUP(Proc[[#This Row],[App]],Table2[],3,0),"open")</f>
        <v>ok</v>
      </c>
      <c r="C1498" t="s">
        <v>369</v>
      </c>
      <c r="D1498" t="s">
        <v>3405</v>
      </c>
      <c r="E1498" t="s">
        <v>3514</v>
      </c>
      <c r="F1498" s="117" t="s">
        <v>3514</v>
      </c>
      <c r="G1498" s="89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7">
        <v>45801.263680555552</v>
      </c>
      <c r="N1498" s="87"/>
      <c r="O1498" s="87"/>
      <c r="P1498" s="90" t="str">
        <f ca="1">IF(Proc[[#This Row],[DaysAgeing]]&gt;5,"yep","on track")</f>
        <v>yep</v>
      </c>
      <c r="Q1498" s="3">
        <f ca="1">IF(Proc[[#This Row],[DateClosed]]="",ABS(NETWORKDAYS(Proc[[#This Row],[DateOpened]],TODAY()))-1,ABS(NETWORKDAYS(Proc[[#This Row],[DateOpened]],Proc[[#This Row],[DateClosed]]))-1)</f>
        <v>138</v>
      </c>
      <c r="R1498" s="90" t="s">
        <v>489</v>
      </c>
      <c r="S1498" s="85"/>
    </row>
    <row r="1499" spans="1:19" hidden="1">
      <c r="A1499" s="89" t="s">
        <v>3404</v>
      </c>
      <c r="B1499" s="149" t="str">
        <f>IFERROR(VLOOKUP(Proc[[#This Row],[App]],Table2[],3,0),"open")</f>
        <v>ok</v>
      </c>
      <c r="C1499" s="89" t="s">
        <v>369</v>
      </c>
      <c r="D1499" t="s">
        <v>3406</v>
      </c>
      <c r="E1499" t="s">
        <v>3515</v>
      </c>
      <c r="F1499" s="117" t="s">
        <v>3515</v>
      </c>
      <c r="G1499" s="89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7">
        <v>45801.263680555552</v>
      </c>
      <c r="N1499" s="87"/>
      <c r="O1499" s="87"/>
      <c r="P1499" s="90" t="str">
        <f ca="1">IF(Proc[[#This Row],[DaysAgeing]]&gt;5,"yep","on track")</f>
        <v>yep</v>
      </c>
      <c r="Q1499" s="3">
        <f ca="1">IF(Proc[[#This Row],[DateClosed]]="",ABS(NETWORKDAYS(Proc[[#This Row],[DateOpened]],TODAY()))-1,ABS(NETWORKDAYS(Proc[[#This Row],[DateOpened]],Proc[[#This Row],[DateClosed]]))-1)</f>
        <v>138</v>
      </c>
      <c r="R1499" s="90" t="s">
        <v>489</v>
      </c>
      <c r="S1499" s="85"/>
    </row>
    <row r="1500" spans="1:19" hidden="1">
      <c r="A1500" s="89" t="s">
        <v>3404</v>
      </c>
      <c r="B1500" s="149" t="str">
        <f>IFERROR(VLOOKUP(Proc[[#This Row],[App]],Table2[],3,0),"open")</f>
        <v>ok</v>
      </c>
      <c r="C1500" s="89" t="s">
        <v>369</v>
      </c>
      <c r="D1500" t="s">
        <v>3407</v>
      </c>
      <c r="E1500" t="s">
        <v>3515</v>
      </c>
      <c r="F1500" s="117" t="s">
        <v>3515</v>
      </c>
      <c r="G1500" s="89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7">
        <v>45801.263680555552</v>
      </c>
      <c r="N1500" s="87"/>
      <c r="O1500" s="87"/>
      <c r="P1500" s="90" t="str">
        <f ca="1">IF(Proc[[#This Row],[DaysAgeing]]&gt;5,"yep","on track")</f>
        <v>yep</v>
      </c>
      <c r="Q1500" s="3">
        <f ca="1">IF(Proc[[#This Row],[DateClosed]]="",ABS(NETWORKDAYS(Proc[[#This Row],[DateOpened]],TODAY()))-1,ABS(NETWORKDAYS(Proc[[#This Row],[DateOpened]],Proc[[#This Row],[DateClosed]]))-1)</f>
        <v>138</v>
      </c>
      <c r="R1500" s="90" t="s">
        <v>489</v>
      </c>
      <c r="S1500" s="85"/>
    </row>
    <row r="1501" spans="1:19" hidden="1">
      <c r="A1501" s="89" t="s">
        <v>3404</v>
      </c>
      <c r="B1501" s="149" t="str">
        <f>IFERROR(VLOOKUP(Proc[[#This Row],[App]],Table2[],3,0),"open")</f>
        <v>ok</v>
      </c>
      <c r="C1501" s="89" t="s">
        <v>369</v>
      </c>
      <c r="D1501" t="s">
        <v>3408</v>
      </c>
      <c r="E1501" t="s">
        <v>3516</v>
      </c>
      <c r="F1501" s="117" t="s">
        <v>3516</v>
      </c>
      <c r="G1501" s="89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LS</v>
      </c>
      <c r="L1501" s="85" t="s">
        <v>2563</v>
      </c>
      <c r="M1501" s="87">
        <v>45801.263680555552</v>
      </c>
      <c r="N1501" s="87"/>
      <c r="O1501" s="87"/>
      <c r="P1501" s="90" t="str">
        <f ca="1">IF(Proc[[#This Row],[DaysAgeing]]&gt;5,"yep","on track")</f>
        <v>yep</v>
      </c>
      <c r="Q1501" s="3">
        <f ca="1">IF(Proc[[#This Row],[DateClosed]]="",ABS(NETWORKDAYS(Proc[[#This Row],[DateOpened]],TODAY()))-1,ABS(NETWORKDAYS(Proc[[#This Row],[DateOpened]],Proc[[#This Row],[DateClosed]]))-1)</f>
        <v>138</v>
      </c>
      <c r="R1501" s="90" t="s">
        <v>489</v>
      </c>
      <c r="S1501" s="85"/>
    </row>
    <row r="1502" spans="1:19" hidden="1">
      <c r="A1502" s="89" t="s">
        <v>3404</v>
      </c>
      <c r="B1502" s="149" t="str">
        <f>IFERROR(VLOOKUP(Proc[[#This Row],[App]],Table2[],3,0),"open")</f>
        <v>ok</v>
      </c>
      <c r="C1502" s="89" t="s">
        <v>369</v>
      </c>
      <c r="D1502" t="s">
        <v>3409</v>
      </c>
      <c r="E1502" t="s">
        <v>3517</v>
      </c>
      <c r="F1502" s="117" t="s">
        <v>3517</v>
      </c>
      <c r="G1502" s="89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LS</v>
      </c>
      <c r="L1502" s="85" t="s">
        <v>2563</v>
      </c>
      <c r="M1502" s="87">
        <v>45801.263680555552</v>
      </c>
      <c r="N1502" s="87"/>
      <c r="O1502" s="87"/>
      <c r="P1502" s="90" t="str">
        <f ca="1">IF(Proc[[#This Row],[DaysAgeing]]&gt;5,"yep","on track")</f>
        <v>yep</v>
      </c>
      <c r="Q1502" s="3">
        <f ca="1">IF(Proc[[#This Row],[DateClosed]]="",ABS(NETWORKDAYS(Proc[[#This Row],[DateOpened]],TODAY()))-1,ABS(NETWORKDAYS(Proc[[#This Row],[DateOpened]],Proc[[#This Row],[DateClosed]]))-1)</f>
        <v>138</v>
      </c>
      <c r="R1502" s="90" t="s">
        <v>489</v>
      </c>
      <c r="S1502" s="85"/>
    </row>
    <row r="1503" spans="1:19" hidden="1">
      <c r="A1503" s="89" t="s">
        <v>3404</v>
      </c>
      <c r="B1503" s="149" t="str">
        <f>IFERROR(VLOOKUP(Proc[[#This Row],[App]],Table2[],3,0),"open")</f>
        <v>ok</v>
      </c>
      <c r="C1503" s="89" t="s">
        <v>369</v>
      </c>
      <c r="D1503" t="s">
        <v>3410</v>
      </c>
      <c r="E1503" t="s">
        <v>3517</v>
      </c>
      <c r="F1503" s="117" t="s">
        <v>3517</v>
      </c>
      <c r="G1503" s="89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LS</v>
      </c>
      <c r="L1503" s="85" t="s">
        <v>2563</v>
      </c>
      <c r="M1503" s="87">
        <v>45801.263680555552</v>
      </c>
      <c r="N1503" s="87"/>
      <c r="O1503" s="87"/>
      <c r="P1503" s="90" t="str">
        <f ca="1">IF(Proc[[#This Row],[DaysAgeing]]&gt;5,"yep","on track")</f>
        <v>yep</v>
      </c>
      <c r="Q1503" s="3">
        <f ca="1">IF(Proc[[#This Row],[DateClosed]]="",ABS(NETWORKDAYS(Proc[[#This Row],[DateOpened]],TODAY()))-1,ABS(NETWORKDAYS(Proc[[#This Row],[DateOpened]],Proc[[#This Row],[DateClosed]]))-1)</f>
        <v>138</v>
      </c>
      <c r="R1503" s="90" t="s">
        <v>489</v>
      </c>
      <c r="S1503" s="85"/>
    </row>
    <row r="1504" spans="1:19" hidden="1">
      <c r="A1504" s="89" t="s">
        <v>3404</v>
      </c>
      <c r="B1504" s="149" t="str">
        <f>IFERROR(VLOOKUP(Proc[[#This Row],[App]],Table2[],3,0),"open")</f>
        <v>ok</v>
      </c>
      <c r="C1504" s="89" t="s">
        <v>369</v>
      </c>
      <c r="D1504" t="s">
        <v>3411</v>
      </c>
      <c r="E1504" t="s">
        <v>3517</v>
      </c>
      <c r="F1504" s="117" t="s">
        <v>3517</v>
      </c>
      <c r="G1504" s="89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LS</v>
      </c>
      <c r="L1504" s="85" t="s">
        <v>2563</v>
      </c>
      <c r="M1504" s="87">
        <v>45801.263680555552</v>
      </c>
      <c r="N1504" s="87"/>
      <c r="O1504" s="87"/>
      <c r="P1504" s="90" t="str">
        <f ca="1">IF(Proc[[#This Row],[DaysAgeing]]&gt;5,"yep","on track")</f>
        <v>yep</v>
      </c>
      <c r="Q1504" s="3">
        <f ca="1">IF(Proc[[#This Row],[DateClosed]]="",ABS(NETWORKDAYS(Proc[[#This Row],[DateOpened]],TODAY()))-1,ABS(NETWORKDAYS(Proc[[#This Row],[DateOpened]],Proc[[#This Row],[DateClosed]]))-1)</f>
        <v>138</v>
      </c>
      <c r="R1504" s="90" t="s">
        <v>489</v>
      </c>
      <c r="S1504" s="85"/>
    </row>
    <row r="1505" spans="1:19" hidden="1">
      <c r="A1505" s="89" t="s">
        <v>3404</v>
      </c>
      <c r="B1505" s="149" t="str">
        <f>IFERROR(VLOOKUP(Proc[[#This Row],[App]],Table2[],3,0),"open")</f>
        <v>ok</v>
      </c>
      <c r="C1505" s="89" t="s">
        <v>369</v>
      </c>
      <c r="D1505" t="s">
        <v>3412</v>
      </c>
      <c r="E1505" t="s">
        <v>3518</v>
      </c>
      <c r="F1505" s="117" t="s">
        <v>3518</v>
      </c>
      <c r="G1505" s="89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LS</v>
      </c>
      <c r="L1505" s="85" t="s">
        <v>2563</v>
      </c>
      <c r="M1505" s="87">
        <v>45801.263680555552</v>
      </c>
      <c r="N1505" s="87"/>
      <c r="O1505" s="87"/>
      <c r="P1505" s="90" t="str">
        <f ca="1">IF(Proc[[#This Row],[DaysAgeing]]&gt;5,"yep","on track")</f>
        <v>yep</v>
      </c>
      <c r="Q1505" s="3">
        <f ca="1">IF(Proc[[#This Row],[DateClosed]]="",ABS(NETWORKDAYS(Proc[[#This Row],[DateOpened]],TODAY()))-1,ABS(NETWORKDAYS(Proc[[#This Row],[DateOpened]],Proc[[#This Row],[DateClosed]]))-1)</f>
        <v>138</v>
      </c>
      <c r="R1505" s="90" t="s">
        <v>489</v>
      </c>
      <c r="S1505" s="85"/>
    </row>
    <row r="1506" spans="1:19" hidden="1">
      <c r="A1506" s="89" t="s">
        <v>3404</v>
      </c>
      <c r="B1506" s="149" t="str">
        <f>IFERROR(VLOOKUP(Proc[[#This Row],[App]],Table2[],3,0),"open")</f>
        <v>ok</v>
      </c>
      <c r="C1506" s="89" t="s">
        <v>369</v>
      </c>
      <c r="D1506" t="s">
        <v>3413</v>
      </c>
      <c r="E1506" t="s">
        <v>3515</v>
      </c>
      <c r="F1506" s="117" t="s">
        <v>3515</v>
      </c>
      <c r="G1506" s="89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LS</v>
      </c>
      <c r="L1506" s="85" t="s">
        <v>2563</v>
      </c>
      <c r="M1506" s="87">
        <v>45801.263680555552</v>
      </c>
      <c r="N1506" s="87"/>
      <c r="O1506" s="87"/>
      <c r="P1506" s="90" t="str">
        <f ca="1">IF(Proc[[#This Row],[DaysAgeing]]&gt;5,"yep","on track")</f>
        <v>yep</v>
      </c>
      <c r="Q1506" s="3">
        <f ca="1">IF(Proc[[#This Row],[DateClosed]]="",ABS(NETWORKDAYS(Proc[[#This Row],[DateOpened]],TODAY()))-1,ABS(NETWORKDAYS(Proc[[#This Row],[DateOpened]],Proc[[#This Row],[DateClosed]]))-1)</f>
        <v>138</v>
      </c>
      <c r="R1506" s="90" t="s">
        <v>489</v>
      </c>
      <c r="S1506" s="85"/>
    </row>
    <row r="1507" spans="1:19" hidden="1">
      <c r="A1507" s="89" t="s">
        <v>3404</v>
      </c>
      <c r="B1507" s="149" t="str">
        <f>IFERROR(VLOOKUP(Proc[[#This Row],[App]],Table2[],3,0),"open")</f>
        <v>ok</v>
      </c>
      <c r="C1507" s="89" t="s">
        <v>369</v>
      </c>
      <c r="D1507" t="s">
        <v>3414</v>
      </c>
      <c r="E1507" t="s">
        <v>3519</v>
      </c>
      <c r="F1507" s="117" t="s">
        <v>3519</v>
      </c>
      <c r="G1507" s="89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LS</v>
      </c>
      <c r="L1507" s="85" t="s">
        <v>2563</v>
      </c>
      <c r="M1507" s="87">
        <v>45801.263680555552</v>
      </c>
      <c r="N1507" s="87"/>
      <c r="O1507" s="87"/>
      <c r="P1507" s="90" t="str">
        <f ca="1">IF(Proc[[#This Row],[DaysAgeing]]&gt;5,"yep","on track")</f>
        <v>yep</v>
      </c>
      <c r="Q1507" s="3">
        <f ca="1">IF(Proc[[#This Row],[DateClosed]]="",ABS(NETWORKDAYS(Proc[[#This Row],[DateOpened]],TODAY()))-1,ABS(NETWORKDAYS(Proc[[#This Row],[DateOpened]],Proc[[#This Row],[DateClosed]]))-1)</f>
        <v>138</v>
      </c>
      <c r="R1507" s="90" t="s">
        <v>489</v>
      </c>
      <c r="S1507" s="85"/>
    </row>
    <row r="1508" spans="1:19" hidden="1">
      <c r="A1508" s="89" t="s">
        <v>3404</v>
      </c>
      <c r="B1508" s="149" t="str">
        <f>IFERROR(VLOOKUP(Proc[[#This Row],[App]],Table2[],3,0),"open")</f>
        <v>ok</v>
      </c>
      <c r="C1508" s="89" t="s">
        <v>369</v>
      </c>
      <c r="D1508" t="s">
        <v>3415</v>
      </c>
      <c r="E1508" t="s">
        <v>3520</v>
      </c>
      <c r="F1508" s="117" t="s">
        <v>3520</v>
      </c>
      <c r="G1508" s="89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LS</v>
      </c>
      <c r="L1508" s="85" t="s">
        <v>2563</v>
      </c>
      <c r="M1508" s="87">
        <v>45801.263680555552</v>
      </c>
      <c r="N1508" s="87"/>
      <c r="O1508" s="87"/>
      <c r="P1508" s="90" t="str">
        <f ca="1">IF(Proc[[#This Row],[DaysAgeing]]&gt;5,"yep","on track")</f>
        <v>yep</v>
      </c>
      <c r="Q1508" s="3">
        <f ca="1">IF(Proc[[#This Row],[DateClosed]]="",ABS(NETWORKDAYS(Proc[[#This Row],[DateOpened]],TODAY()))-1,ABS(NETWORKDAYS(Proc[[#This Row],[DateOpened]],Proc[[#This Row],[DateClosed]]))-1)</f>
        <v>138</v>
      </c>
      <c r="R1508" s="90" t="s">
        <v>489</v>
      </c>
      <c r="S1508" s="85"/>
    </row>
    <row r="1509" spans="1:19" hidden="1">
      <c r="A1509" s="89" t="s">
        <v>3404</v>
      </c>
      <c r="B1509" s="149" t="str">
        <f>IFERROR(VLOOKUP(Proc[[#This Row],[App]],Table2[],3,0),"open")</f>
        <v>ok</v>
      </c>
      <c r="C1509" s="89" t="s">
        <v>369</v>
      </c>
      <c r="D1509" t="s">
        <v>3416</v>
      </c>
      <c r="E1509" t="s">
        <v>3520</v>
      </c>
      <c r="F1509" s="117" t="s">
        <v>3520</v>
      </c>
      <c r="G1509" s="89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LS</v>
      </c>
      <c r="L1509" s="85" t="s">
        <v>2563</v>
      </c>
      <c r="M1509" s="87">
        <v>45801.263680555552</v>
      </c>
      <c r="N1509" s="87"/>
      <c r="O1509" s="87"/>
      <c r="P1509" s="90" t="str">
        <f ca="1">IF(Proc[[#This Row],[DaysAgeing]]&gt;5,"yep","on track")</f>
        <v>yep</v>
      </c>
      <c r="Q1509" s="3">
        <f ca="1">IF(Proc[[#This Row],[DateClosed]]="",ABS(NETWORKDAYS(Proc[[#This Row],[DateOpened]],TODAY()))-1,ABS(NETWORKDAYS(Proc[[#This Row],[DateOpened]],Proc[[#This Row],[DateClosed]]))-1)</f>
        <v>138</v>
      </c>
      <c r="R1509" s="90" t="s">
        <v>489</v>
      </c>
      <c r="S1509" s="85"/>
    </row>
    <row r="1510" spans="1:19" hidden="1">
      <c r="A1510" s="89" t="s">
        <v>3404</v>
      </c>
      <c r="B1510" s="149" t="str">
        <f>IFERROR(VLOOKUP(Proc[[#This Row],[App]],Table2[],3,0),"open")</f>
        <v>ok</v>
      </c>
      <c r="C1510" s="89" t="s">
        <v>369</v>
      </c>
      <c r="D1510" t="s">
        <v>3417</v>
      </c>
      <c r="E1510" t="s">
        <v>3521</v>
      </c>
      <c r="F1510" s="117" t="s">
        <v>3521</v>
      </c>
      <c r="G1510" s="89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LS</v>
      </c>
      <c r="L1510" s="85" t="s">
        <v>2563</v>
      </c>
      <c r="M1510" s="87">
        <v>45801.263680555552</v>
      </c>
      <c r="N1510" s="87"/>
      <c r="O1510" s="87"/>
      <c r="P1510" s="90" t="str">
        <f ca="1">IF(Proc[[#This Row],[DaysAgeing]]&gt;5,"yep","on track")</f>
        <v>yep</v>
      </c>
      <c r="Q1510" s="3">
        <f ca="1">IF(Proc[[#This Row],[DateClosed]]="",ABS(NETWORKDAYS(Proc[[#This Row],[DateOpened]],TODAY()))-1,ABS(NETWORKDAYS(Proc[[#This Row],[DateOpened]],Proc[[#This Row],[DateClosed]]))-1)</f>
        <v>138</v>
      </c>
      <c r="R1510" s="90" t="s">
        <v>489</v>
      </c>
      <c r="S1510" s="85"/>
    </row>
    <row r="1511" spans="1:19" hidden="1">
      <c r="A1511" s="89" t="s">
        <v>3404</v>
      </c>
      <c r="B1511" s="149" t="str">
        <f>IFERROR(VLOOKUP(Proc[[#This Row],[App]],Table2[],3,0),"open")</f>
        <v>ok</v>
      </c>
      <c r="C1511" s="89" t="s">
        <v>369</v>
      </c>
      <c r="D1511" t="s">
        <v>3418</v>
      </c>
      <c r="E1511" t="s">
        <v>3515</v>
      </c>
      <c r="F1511" s="117" t="s">
        <v>3515</v>
      </c>
      <c r="G1511" s="89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LS</v>
      </c>
      <c r="L1511" s="85" t="s">
        <v>2563</v>
      </c>
      <c r="M1511" s="87">
        <v>45801.263680555552</v>
      </c>
      <c r="N1511" s="87"/>
      <c r="O1511" s="87"/>
      <c r="P1511" s="90" t="str">
        <f ca="1">IF(Proc[[#This Row],[DaysAgeing]]&gt;5,"yep","on track")</f>
        <v>yep</v>
      </c>
      <c r="Q1511" s="3">
        <f ca="1">IF(Proc[[#This Row],[DateClosed]]="",ABS(NETWORKDAYS(Proc[[#This Row],[DateOpened]],TODAY()))-1,ABS(NETWORKDAYS(Proc[[#This Row],[DateOpened]],Proc[[#This Row],[DateClosed]]))-1)</f>
        <v>138</v>
      </c>
      <c r="R1511" s="90" t="s">
        <v>489</v>
      </c>
      <c r="S1511" s="85"/>
    </row>
    <row r="1512" spans="1:19" hidden="1">
      <c r="A1512" s="89" t="s">
        <v>3404</v>
      </c>
      <c r="B1512" s="149" t="str">
        <f>IFERROR(VLOOKUP(Proc[[#This Row],[App]],Table2[],3,0),"open")</f>
        <v>ok</v>
      </c>
      <c r="C1512" s="89" t="s">
        <v>369</v>
      </c>
      <c r="D1512" t="s">
        <v>3419</v>
      </c>
      <c r="E1512" t="s">
        <v>3522</v>
      </c>
      <c r="F1512" s="117" t="s">
        <v>3522</v>
      </c>
      <c r="G1512" s="89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7">
        <v>45801.263680555552</v>
      </c>
      <c r="N1512" s="87"/>
      <c r="O1512" s="87"/>
      <c r="P1512" s="90" t="str">
        <f ca="1">IF(Proc[[#This Row],[DaysAgeing]]&gt;5,"yep","on track")</f>
        <v>yep</v>
      </c>
      <c r="Q1512" s="3">
        <f ca="1">IF(Proc[[#This Row],[DateClosed]]="",ABS(NETWORKDAYS(Proc[[#This Row],[DateOpened]],TODAY()))-1,ABS(NETWORKDAYS(Proc[[#This Row],[DateOpened]],Proc[[#This Row],[DateClosed]]))-1)</f>
        <v>138</v>
      </c>
      <c r="R1512" s="90" t="s">
        <v>489</v>
      </c>
      <c r="S1512" s="85"/>
    </row>
    <row r="1513" spans="1:19" hidden="1">
      <c r="A1513" s="89" t="s">
        <v>3404</v>
      </c>
      <c r="B1513" s="149" t="str">
        <f>IFERROR(VLOOKUP(Proc[[#This Row],[App]],Table2[],3,0),"open")</f>
        <v>ok</v>
      </c>
      <c r="C1513" s="89" t="s">
        <v>369</v>
      </c>
      <c r="D1513" t="s">
        <v>3420</v>
      </c>
      <c r="E1513" t="s">
        <v>3515</v>
      </c>
      <c r="F1513" s="117" t="s">
        <v>3515</v>
      </c>
      <c r="G1513" s="89" t="s">
        <v>400</v>
      </c>
      <c r="H1513" s="85" t="str">
        <f>IF(Proc[[#This Row],[type]]="LFF (MDG-F)",MID(Proc[[#This Row],[Obj]],13,10),"")</f>
        <v/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LS</v>
      </c>
      <c r="L1513" s="85" t="s">
        <v>2563</v>
      </c>
      <c r="M1513" s="87">
        <v>45801.263680555552</v>
      </c>
      <c r="N1513" s="87"/>
      <c r="O1513" s="87"/>
      <c r="P1513" s="90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138</v>
      </c>
      <c r="R1513" s="90" t="s">
        <v>489</v>
      </c>
      <c r="S1513" s="85"/>
    </row>
    <row r="1514" spans="1:19" hidden="1">
      <c r="A1514" s="89" t="s">
        <v>3404</v>
      </c>
      <c r="B1514" s="149" t="str">
        <f>IFERROR(VLOOKUP(Proc[[#This Row],[App]],Table2[],3,0),"open")</f>
        <v>ok</v>
      </c>
      <c r="C1514" s="89" t="s">
        <v>369</v>
      </c>
      <c r="D1514" t="s">
        <v>3421</v>
      </c>
      <c r="E1514" t="s">
        <v>3515</v>
      </c>
      <c r="F1514" s="117" t="s">
        <v>3515</v>
      </c>
      <c r="G1514" s="89" t="s">
        <v>400</v>
      </c>
      <c r="H1514" s="85" t="str">
        <f>IF(Proc[[#This Row],[type]]="LFF (MDG-F)",MID(Proc[[#This Row],[Obj]],13,10),"")</f>
        <v/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LS</v>
      </c>
      <c r="L1514" s="85" t="s">
        <v>2563</v>
      </c>
      <c r="M1514" s="87">
        <v>45801.263680555552</v>
      </c>
      <c r="N1514" s="87"/>
      <c r="O1514" s="87"/>
      <c r="P1514" s="90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138</v>
      </c>
      <c r="R1514" s="90" t="s">
        <v>489</v>
      </c>
      <c r="S1514" s="85"/>
    </row>
    <row r="1515" spans="1:19" hidden="1">
      <c r="A1515" s="89" t="s">
        <v>3404</v>
      </c>
      <c r="B1515" s="149" t="str">
        <f>IFERROR(VLOOKUP(Proc[[#This Row],[App]],Table2[],3,0),"open")</f>
        <v>ok</v>
      </c>
      <c r="C1515" s="89" t="s">
        <v>369</v>
      </c>
      <c r="D1515" t="s">
        <v>3422</v>
      </c>
      <c r="E1515" t="s">
        <v>3523</v>
      </c>
      <c r="F1515" s="117" t="s">
        <v>3523</v>
      </c>
      <c r="G1515" s="89" t="s">
        <v>400</v>
      </c>
      <c r="H1515" s="85" t="str">
        <f>IF(Proc[[#This Row],[type]]="LFF (MDG-F)",MID(Proc[[#This Row],[Obj]],13,10),"")</f>
        <v/>
      </c>
      <c r="J1515" s="85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LS</v>
      </c>
      <c r="L1515" s="85" t="s">
        <v>2563</v>
      </c>
      <c r="M1515" s="87">
        <v>45801.263680555552</v>
      </c>
      <c r="N1515" s="87"/>
      <c r="O1515" s="87"/>
      <c r="P1515" s="9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138</v>
      </c>
      <c r="R1515" s="90" t="s">
        <v>489</v>
      </c>
      <c r="S1515" s="85"/>
    </row>
    <row r="1516" spans="1:19" hidden="1">
      <c r="A1516" s="89" t="s">
        <v>3404</v>
      </c>
      <c r="B1516" s="149" t="str">
        <f>IFERROR(VLOOKUP(Proc[[#This Row],[App]],Table2[],3,0),"open")</f>
        <v>ok</v>
      </c>
      <c r="C1516" s="89" t="s">
        <v>369</v>
      </c>
      <c r="D1516" t="s">
        <v>3423</v>
      </c>
      <c r="E1516" t="s">
        <v>3524</v>
      </c>
      <c r="F1516" s="117" t="s">
        <v>3524</v>
      </c>
      <c r="G1516" s="89" t="s">
        <v>400</v>
      </c>
      <c r="H1516" s="85" t="str">
        <f>IF(Proc[[#This Row],[type]]="LFF (MDG-F)",MID(Proc[[#This Row],[Obj]],13,10),"")</f>
        <v/>
      </c>
      <c r="J1516" s="85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LS</v>
      </c>
      <c r="L1516" s="85" t="s">
        <v>2563</v>
      </c>
      <c r="M1516" s="87">
        <v>45801.263680555552</v>
      </c>
      <c r="N1516" s="87"/>
      <c r="O1516" s="87"/>
      <c r="P1516" s="9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138</v>
      </c>
      <c r="R1516" s="90" t="s">
        <v>489</v>
      </c>
      <c r="S1516" s="85"/>
    </row>
    <row r="1517" spans="1:19" hidden="1">
      <c r="A1517" s="89" t="s">
        <v>3404</v>
      </c>
      <c r="B1517" s="149" t="str">
        <f>IFERROR(VLOOKUP(Proc[[#This Row],[App]],Table2[],3,0),"open")</f>
        <v>ok</v>
      </c>
      <c r="C1517" s="89" t="s">
        <v>369</v>
      </c>
      <c r="D1517" t="s">
        <v>3424</v>
      </c>
      <c r="E1517" t="s">
        <v>3515</v>
      </c>
      <c r="F1517" s="117" t="s">
        <v>3515</v>
      </c>
      <c r="G1517" s="89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7">
        <v>45801.263680555552</v>
      </c>
      <c r="N1517" s="87"/>
      <c r="O1517" s="87"/>
      <c r="P1517" s="90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138</v>
      </c>
      <c r="R1517" s="90" t="s">
        <v>489</v>
      </c>
      <c r="S1517" s="85"/>
    </row>
    <row r="1518" spans="1:19" hidden="1">
      <c r="A1518" s="89" t="s">
        <v>3404</v>
      </c>
      <c r="B1518" s="149" t="str">
        <f>IFERROR(VLOOKUP(Proc[[#This Row],[App]],Table2[],3,0),"open")</f>
        <v>ok</v>
      </c>
      <c r="C1518" s="89" t="s">
        <v>369</v>
      </c>
      <c r="D1518" t="s">
        <v>3425</v>
      </c>
      <c r="E1518" t="s">
        <v>3515</v>
      </c>
      <c r="F1518" s="117" t="s">
        <v>3515</v>
      </c>
      <c r="G1518" s="89" t="s">
        <v>400</v>
      </c>
      <c r="H1518" s="85" t="str">
        <f>IF(Proc[[#This Row],[type]]="LFF (MDG-F)",MID(Proc[[#This Row],[Obj]],13,10),"")</f>
        <v/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7">
        <v>45801.263680555552</v>
      </c>
      <c r="N1518" s="87"/>
      <c r="O1518" s="87"/>
      <c r="P1518" s="90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138</v>
      </c>
      <c r="R1518" s="90" t="s">
        <v>489</v>
      </c>
      <c r="S1518" s="85"/>
    </row>
    <row r="1519" spans="1:19" hidden="1">
      <c r="A1519" s="89" t="s">
        <v>3404</v>
      </c>
      <c r="B1519" s="149" t="str">
        <f>IFERROR(VLOOKUP(Proc[[#This Row],[App]],Table2[],3,0),"open")</f>
        <v>ok</v>
      </c>
      <c r="C1519" s="89" t="s">
        <v>369</v>
      </c>
      <c r="D1519" t="s">
        <v>3426</v>
      </c>
      <c r="E1519" t="s">
        <v>3515</v>
      </c>
      <c r="F1519" s="117" t="s">
        <v>3515</v>
      </c>
      <c r="G1519" s="89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LS</v>
      </c>
      <c r="L1519" s="85" t="s">
        <v>2563</v>
      </c>
      <c r="M1519" s="87">
        <v>45801.263680555552</v>
      </c>
      <c r="N1519" s="87"/>
      <c r="O1519" s="87"/>
      <c r="P1519" s="90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138</v>
      </c>
      <c r="R1519" s="90" t="s">
        <v>489</v>
      </c>
      <c r="S1519" s="85"/>
    </row>
    <row r="1520" spans="1:19" hidden="1">
      <c r="A1520" s="89" t="s">
        <v>3404</v>
      </c>
      <c r="B1520" s="149" t="str">
        <f>IFERROR(VLOOKUP(Proc[[#This Row],[App]],Table2[],3,0),"open")</f>
        <v>ok</v>
      </c>
      <c r="C1520" s="89" t="s">
        <v>369</v>
      </c>
      <c r="D1520" t="s">
        <v>3427</v>
      </c>
      <c r="E1520" t="s">
        <v>3525</v>
      </c>
      <c r="F1520" s="117" t="s">
        <v>3525</v>
      </c>
      <c r="G1520" s="89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LS</v>
      </c>
      <c r="L1520" s="85" t="s">
        <v>2563</v>
      </c>
      <c r="M1520" s="87">
        <v>45801.263680555552</v>
      </c>
      <c r="N1520" s="87"/>
      <c r="O1520" s="87"/>
      <c r="P1520" s="90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138</v>
      </c>
      <c r="R1520" s="90" t="s">
        <v>489</v>
      </c>
      <c r="S1520" s="85"/>
    </row>
    <row r="1521" spans="1:19" hidden="1">
      <c r="A1521" s="89" t="s">
        <v>3404</v>
      </c>
      <c r="B1521" s="149" t="str">
        <f>IFERROR(VLOOKUP(Proc[[#This Row],[App]],Table2[],3,0),"open")</f>
        <v>ok</v>
      </c>
      <c r="C1521" s="89" t="s">
        <v>369</v>
      </c>
      <c r="D1521" t="s">
        <v>3428</v>
      </c>
      <c r="E1521" t="s">
        <v>3515</v>
      </c>
      <c r="F1521" s="117" t="s">
        <v>3515</v>
      </c>
      <c r="G1521" s="89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LS</v>
      </c>
      <c r="L1521" s="85" t="s">
        <v>2563</v>
      </c>
      <c r="M1521" s="87">
        <v>45801.263680555552</v>
      </c>
      <c r="N1521" s="87"/>
      <c r="O1521" s="87"/>
      <c r="P1521" s="90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138</v>
      </c>
      <c r="R1521" s="90" t="s">
        <v>489</v>
      </c>
      <c r="S1521" s="85"/>
    </row>
    <row r="1522" spans="1:19" hidden="1">
      <c r="A1522" s="89" t="s">
        <v>3404</v>
      </c>
      <c r="B1522" s="149" t="str">
        <f>IFERROR(VLOOKUP(Proc[[#This Row],[App]],Table2[],3,0),"open")</f>
        <v>ok</v>
      </c>
      <c r="C1522" s="89" t="s">
        <v>369</v>
      </c>
      <c r="D1522" t="s">
        <v>3429</v>
      </c>
      <c r="E1522" t="s">
        <v>3526</v>
      </c>
      <c r="F1522" s="117" t="s">
        <v>3526</v>
      </c>
      <c r="G1522" s="89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LS</v>
      </c>
      <c r="L1522" s="85" t="s">
        <v>2563</v>
      </c>
      <c r="M1522" s="87">
        <v>45801.263680555552</v>
      </c>
      <c r="N1522" s="87"/>
      <c r="O1522" s="87"/>
      <c r="P1522" s="90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138</v>
      </c>
      <c r="R1522" s="90" t="s">
        <v>489</v>
      </c>
      <c r="S1522" s="85"/>
    </row>
    <row r="1523" spans="1:19" hidden="1">
      <c r="A1523" s="89" t="s">
        <v>3404</v>
      </c>
      <c r="B1523" s="149" t="str">
        <f>IFERROR(VLOOKUP(Proc[[#This Row],[App]],Table2[],3,0),"open")</f>
        <v>ok</v>
      </c>
      <c r="C1523" s="89" t="s">
        <v>369</v>
      </c>
      <c r="D1523" t="s">
        <v>3189</v>
      </c>
      <c r="E1523" t="s">
        <v>1514</v>
      </c>
      <c r="F1523" s="117" t="s">
        <v>1514</v>
      </c>
      <c r="G1523" t="s">
        <v>406</v>
      </c>
      <c r="H1523" s="85" t="str">
        <f>IF(Proc[[#This Row],[type]]="LFF (MDG-F)",MID(Proc[[#This Row],[Obj]],13,10),"")</f>
        <v>KE50C0FF10</v>
      </c>
      <c r="I1523" t="s">
        <v>1198</v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LS</v>
      </c>
      <c r="L1523" s="85" t="s">
        <v>2563</v>
      </c>
      <c r="M1523" s="87">
        <v>45801.263680555552</v>
      </c>
      <c r="N1523" s="87">
        <v>45806</v>
      </c>
      <c r="O1523" s="87">
        <v>45806</v>
      </c>
      <c r="P1523" s="90" t="str">
        <f ca="1">IF(Proc[[#This Row],[DaysAgeing]]&gt;5,"yep","on track")</f>
        <v>on track</v>
      </c>
      <c r="Q1523" s="3">
        <f ca="1">IF(Proc[[#This Row],[DateClosed]]="",ABS(NETWORKDAYS(Proc[[#This Row],[DateOpened]],TODAY()))-1,ABS(NETWORKDAYS(Proc[[#This Row],[DateOpened]],Proc[[#This Row],[DateClosed]]))-1)</f>
        <v>3</v>
      </c>
      <c r="R1523" s="90" t="s">
        <v>489</v>
      </c>
      <c r="S1523" s="85"/>
    </row>
    <row r="1524" spans="1:19" hidden="1">
      <c r="A1524" s="89" t="s">
        <v>3404</v>
      </c>
      <c r="B1524" s="149" t="str">
        <f>IFERROR(VLOOKUP(Proc[[#This Row],[App]],Table2[],3,0),"open")</f>
        <v>ok</v>
      </c>
      <c r="C1524" s="89" t="s">
        <v>369</v>
      </c>
      <c r="D1524" t="s">
        <v>3430</v>
      </c>
      <c r="E1524" t="s">
        <v>2371</v>
      </c>
      <c r="F1524" s="117" t="s">
        <v>2371</v>
      </c>
      <c r="G1524" s="89" t="s">
        <v>406</v>
      </c>
      <c r="H1524" s="85" t="str">
        <f>IF(Proc[[#This Row],[type]]="LFF (MDG-F)",MID(Proc[[#This Row],[Obj]],13,10),"")</f>
        <v>1756C00005</v>
      </c>
      <c r="I1524" t="s">
        <v>3558</v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LS</v>
      </c>
      <c r="L1524" s="85" t="s">
        <v>2563</v>
      </c>
      <c r="M1524" s="87">
        <v>45801.263680555552</v>
      </c>
      <c r="N1524" s="87">
        <v>45806</v>
      </c>
      <c r="O1524" s="87">
        <v>45806</v>
      </c>
      <c r="P1524" s="90" t="str">
        <f ca="1">IF(Proc[[#This Row],[DaysAgeing]]&gt;5,"yep","on track")</f>
        <v>on track</v>
      </c>
      <c r="Q1524" s="3">
        <f ca="1">IF(Proc[[#This Row],[DateClosed]]="",ABS(NETWORKDAYS(Proc[[#This Row],[DateOpened]],TODAY()))-1,ABS(NETWORKDAYS(Proc[[#This Row],[DateOpened]],Proc[[#This Row],[DateClosed]]))-1)</f>
        <v>3</v>
      </c>
      <c r="R1524" s="90" t="s">
        <v>489</v>
      </c>
      <c r="S1524" s="85"/>
    </row>
    <row r="1525" spans="1:19" hidden="1">
      <c r="A1525" s="89" t="s">
        <v>3404</v>
      </c>
      <c r="B1525" s="149" t="str">
        <f>IFERROR(VLOOKUP(Proc[[#This Row],[App]],Table2[],3,0),"open")</f>
        <v>ok</v>
      </c>
      <c r="C1525" s="89" t="s">
        <v>369</v>
      </c>
      <c r="D1525" t="s">
        <v>3431</v>
      </c>
      <c r="E1525" t="s">
        <v>3525</v>
      </c>
      <c r="F1525" s="117" t="s">
        <v>3525</v>
      </c>
      <c r="G1525" s="89" t="s">
        <v>406</v>
      </c>
      <c r="H1525" s="85" t="str">
        <f>IF(Proc[[#This Row],[type]]="LFF (MDG-F)",MID(Proc[[#This Row],[Obj]],13,10),"")</f>
        <v>1756CS7063</v>
      </c>
      <c r="I1525" t="s">
        <v>3558</v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LS</v>
      </c>
      <c r="L1525" s="85" t="s">
        <v>2563</v>
      </c>
      <c r="M1525" s="87">
        <v>45801.263680555552</v>
      </c>
      <c r="N1525" s="87">
        <v>45806</v>
      </c>
      <c r="O1525" s="87">
        <v>45806</v>
      </c>
      <c r="P1525" s="90" t="str">
        <f ca="1">IF(Proc[[#This Row],[DaysAgeing]]&gt;5,"yep","on track")</f>
        <v>on track</v>
      </c>
      <c r="Q1525" s="3">
        <f ca="1">IF(Proc[[#This Row],[DateClosed]]="",ABS(NETWORKDAYS(Proc[[#This Row],[DateOpened]],TODAY()))-1,ABS(NETWORKDAYS(Proc[[#This Row],[DateOpened]],Proc[[#This Row],[DateClosed]]))-1)</f>
        <v>3</v>
      </c>
      <c r="R1525" s="90" t="s">
        <v>489</v>
      </c>
      <c r="S1525" s="85"/>
    </row>
    <row r="1526" spans="1:19" hidden="1">
      <c r="A1526" s="89" t="s">
        <v>3404</v>
      </c>
      <c r="B1526" s="149" t="str">
        <f>IFERROR(VLOOKUP(Proc[[#This Row],[App]],Table2[],3,0),"open")</f>
        <v>ok</v>
      </c>
      <c r="C1526" s="89" t="s">
        <v>369</v>
      </c>
      <c r="D1526" t="s">
        <v>3432</v>
      </c>
      <c r="E1526" t="s">
        <v>3527</v>
      </c>
      <c r="F1526" s="117" t="s">
        <v>3527</v>
      </c>
      <c r="G1526" s="89" t="s">
        <v>406</v>
      </c>
      <c r="H1526" s="85" t="str">
        <f>IF(Proc[[#This Row],[type]]="LFF (MDG-F)",MID(Proc[[#This Row],[Obj]],13,10),"")</f>
        <v>1756CS7346</v>
      </c>
      <c r="I1526" t="s">
        <v>3558</v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LS</v>
      </c>
      <c r="L1526" s="85" t="s">
        <v>2563</v>
      </c>
      <c r="M1526" s="87">
        <v>45801.263680555552</v>
      </c>
      <c r="N1526" s="87">
        <v>45806</v>
      </c>
      <c r="O1526" s="87">
        <v>45806</v>
      </c>
      <c r="P1526" s="90" t="str">
        <f ca="1">IF(Proc[[#This Row],[DaysAgeing]]&gt;5,"yep","on track")</f>
        <v>on track</v>
      </c>
      <c r="Q1526" s="3">
        <f ca="1">IF(Proc[[#This Row],[DateClosed]]="",ABS(NETWORKDAYS(Proc[[#This Row],[DateOpened]],TODAY()))-1,ABS(NETWORKDAYS(Proc[[#This Row],[DateOpened]],Proc[[#This Row],[DateClosed]]))-1)</f>
        <v>3</v>
      </c>
      <c r="R1526" s="90" t="s">
        <v>489</v>
      </c>
      <c r="S1526" s="85"/>
    </row>
    <row r="1527" spans="1:19" hidden="1">
      <c r="A1527" s="89" t="s">
        <v>3404</v>
      </c>
      <c r="B1527" s="149" t="str">
        <f>IFERROR(VLOOKUP(Proc[[#This Row],[App]],Table2[],3,0),"open")</f>
        <v>ok</v>
      </c>
      <c r="C1527" s="89" t="s">
        <v>369</v>
      </c>
      <c r="D1527" t="s">
        <v>3433</v>
      </c>
      <c r="E1527" t="s">
        <v>3528</v>
      </c>
      <c r="F1527" s="117" t="s">
        <v>3528</v>
      </c>
      <c r="G1527" s="89" t="s">
        <v>406</v>
      </c>
      <c r="H1527" s="85" t="str">
        <f>IF(Proc[[#This Row],[type]]="LFF (MDG-F)",MID(Proc[[#This Row],[Obj]],13,10),"")</f>
        <v>1756OF0007</v>
      </c>
      <c r="I1527" t="s">
        <v>3558</v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LS</v>
      </c>
      <c r="L1527" s="85" t="s">
        <v>2563</v>
      </c>
      <c r="M1527" s="87">
        <v>45801.263680555552</v>
      </c>
      <c r="N1527" s="87">
        <v>45806</v>
      </c>
      <c r="O1527" s="87">
        <v>45806</v>
      </c>
      <c r="P1527" s="90" t="str">
        <f ca="1">IF(Proc[[#This Row],[DaysAgeing]]&gt;5,"yep","on track")</f>
        <v>on track</v>
      </c>
      <c r="Q1527" s="3">
        <f ca="1">IF(Proc[[#This Row],[DateClosed]]="",ABS(NETWORKDAYS(Proc[[#This Row],[DateOpened]],TODAY()))-1,ABS(NETWORKDAYS(Proc[[#This Row],[DateOpened]],Proc[[#This Row],[DateClosed]]))-1)</f>
        <v>3</v>
      </c>
      <c r="R1527" s="90" t="s">
        <v>489</v>
      </c>
      <c r="S1527" s="85"/>
    </row>
    <row r="1528" spans="1:19" hidden="1">
      <c r="A1528" s="89" t="s">
        <v>3404</v>
      </c>
      <c r="B1528" s="149" t="str">
        <f>IFERROR(VLOOKUP(Proc[[#This Row],[App]],Table2[],3,0),"open")</f>
        <v>ok</v>
      </c>
      <c r="C1528" s="89" t="s">
        <v>369</v>
      </c>
      <c r="D1528" t="s">
        <v>3434</v>
      </c>
      <c r="E1528" t="s">
        <v>3529</v>
      </c>
      <c r="F1528" s="117" t="s">
        <v>3529</v>
      </c>
      <c r="G1528" s="89" t="s">
        <v>406</v>
      </c>
      <c r="H1528" s="85" t="str">
        <f>IF(Proc[[#This Row],[type]]="LFF (MDG-F)",MID(Proc[[#This Row],[Obj]],13,10),"")</f>
        <v>1937L52686</v>
      </c>
      <c r="I1528" t="s">
        <v>3558</v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LS</v>
      </c>
      <c r="L1528" s="85" t="s">
        <v>2563</v>
      </c>
      <c r="M1528" s="87">
        <v>45801.263680555552</v>
      </c>
      <c r="N1528" s="87">
        <v>45806</v>
      </c>
      <c r="O1528" s="87">
        <v>45806</v>
      </c>
      <c r="P1528" s="90" t="str">
        <f ca="1">IF(Proc[[#This Row],[DaysAgeing]]&gt;5,"yep","on track")</f>
        <v>on track</v>
      </c>
      <c r="Q1528" s="3">
        <f ca="1">IF(Proc[[#This Row],[DateClosed]]="",ABS(NETWORKDAYS(Proc[[#This Row],[DateOpened]],TODAY()))-1,ABS(NETWORKDAYS(Proc[[#This Row],[DateOpened]],Proc[[#This Row],[DateClosed]]))-1)</f>
        <v>3</v>
      </c>
      <c r="R1528" s="90" t="s">
        <v>489</v>
      </c>
      <c r="S1528" s="85"/>
    </row>
    <row r="1529" spans="1:19" hidden="1">
      <c r="A1529" s="89" t="s">
        <v>3404</v>
      </c>
      <c r="B1529" s="149" t="str">
        <f>IFERROR(VLOOKUP(Proc[[#This Row],[App]],Table2[],3,0),"open")</f>
        <v>ok</v>
      </c>
      <c r="C1529" s="89" t="s">
        <v>369</v>
      </c>
      <c r="D1529" t="s">
        <v>3435</v>
      </c>
      <c r="E1529" t="s">
        <v>3516</v>
      </c>
      <c r="F1529" s="117" t="s">
        <v>3516</v>
      </c>
      <c r="G1529" s="89" t="s">
        <v>406</v>
      </c>
      <c r="H1529" s="85" t="str">
        <f>IF(Proc[[#This Row],[type]]="LFF (MDG-F)",MID(Proc[[#This Row],[Obj]],13,10),"")</f>
        <v>2025C01122</v>
      </c>
      <c r="I1529" t="s">
        <v>3558</v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LS</v>
      </c>
      <c r="L1529" s="85" t="s">
        <v>2563</v>
      </c>
      <c r="M1529" s="87">
        <v>45801.263680555552</v>
      </c>
      <c r="N1529" s="87">
        <v>45806</v>
      </c>
      <c r="O1529" s="87">
        <v>45806</v>
      </c>
      <c r="P1529" s="90" t="str">
        <f ca="1">IF(Proc[[#This Row],[DaysAgeing]]&gt;5,"yep","on track")</f>
        <v>on track</v>
      </c>
      <c r="Q1529" s="3">
        <f ca="1">IF(Proc[[#This Row],[DateClosed]]="",ABS(NETWORKDAYS(Proc[[#This Row],[DateOpened]],TODAY()))-1,ABS(NETWORKDAYS(Proc[[#This Row],[DateOpened]],Proc[[#This Row],[DateClosed]]))-1)</f>
        <v>3</v>
      </c>
      <c r="R1529" s="90" t="s">
        <v>489</v>
      </c>
      <c r="S1529" s="85"/>
    </row>
    <row r="1530" spans="1:19" hidden="1">
      <c r="A1530" s="89" t="s">
        <v>3404</v>
      </c>
      <c r="B1530" s="149" t="str">
        <f>IFERROR(VLOOKUP(Proc[[#This Row],[App]],Table2[],3,0),"open")</f>
        <v>ok</v>
      </c>
      <c r="C1530" s="89" t="s">
        <v>369</v>
      </c>
      <c r="D1530" t="s">
        <v>3436</v>
      </c>
      <c r="E1530" t="s">
        <v>3530</v>
      </c>
      <c r="F1530" s="117" t="s">
        <v>3530</v>
      </c>
      <c r="G1530" s="89" t="s">
        <v>406</v>
      </c>
      <c r="H1530" s="85" t="str">
        <f>IF(Proc[[#This Row],[type]]="LFF (MDG-F)",MID(Proc[[#This Row],[Obj]],13,10),"")</f>
        <v>2063C05891</v>
      </c>
      <c r="I1530" t="s">
        <v>3558</v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LS</v>
      </c>
      <c r="L1530" s="85" t="s">
        <v>2563</v>
      </c>
      <c r="M1530" s="87">
        <v>45801.263680555552</v>
      </c>
      <c r="N1530" s="87">
        <v>45806</v>
      </c>
      <c r="O1530" s="87">
        <v>45806</v>
      </c>
      <c r="P1530" s="90" t="str">
        <f ca="1">IF(Proc[[#This Row],[DaysAgeing]]&gt;5,"yep","on track")</f>
        <v>on track</v>
      </c>
      <c r="Q1530" s="3">
        <f ca="1">IF(Proc[[#This Row],[DateClosed]]="",ABS(NETWORKDAYS(Proc[[#This Row],[DateOpened]],TODAY()))-1,ABS(NETWORKDAYS(Proc[[#This Row],[DateOpened]],Proc[[#This Row],[DateClosed]]))-1)</f>
        <v>3</v>
      </c>
      <c r="R1530" s="90" t="s">
        <v>489</v>
      </c>
      <c r="S1530" s="85"/>
    </row>
    <row r="1531" spans="1:19" hidden="1">
      <c r="A1531" s="89" t="s">
        <v>3404</v>
      </c>
      <c r="B1531" s="149" t="str">
        <f>IFERROR(VLOOKUP(Proc[[#This Row],[App]],Table2[],3,0),"open")</f>
        <v>ok</v>
      </c>
      <c r="C1531" s="89" t="s">
        <v>369</v>
      </c>
      <c r="D1531" t="s">
        <v>3437</v>
      </c>
      <c r="E1531" t="s">
        <v>3531</v>
      </c>
      <c r="F1531" s="117" t="s">
        <v>3531</v>
      </c>
      <c r="G1531" s="89" t="s">
        <v>406</v>
      </c>
      <c r="H1531" s="85" t="str">
        <f>IF(Proc[[#This Row],[type]]="LFF (MDG-F)",MID(Proc[[#This Row],[Obj]],13,10),"")</f>
        <v>2063C06245</v>
      </c>
      <c r="I1531" t="s">
        <v>3558</v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LS</v>
      </c>
      <c r="L1531" s="85" t="s">
        <v>2563</v>
      </c>
      <c r="M1531" s="87">
        <v>45801.263680555552</v>
      </c>
      <c r="N1531" s="87">
        <v>45806</v>
      </c>
      <c r="O1531" s="87">
        <v>45806</v>
      </c>
      <c r="P1531" s="90" t="str">
        <f ca="1">IF(Proc[[#This Row],[DaysAgeing]]&gt;5,"yep","on track")</f>
        <v>on track</v>
      </c>
      <c r="Q1531" s="3">
        <f ca="1">IF(Proc[[#This Row],[DateClosed]]="",ABS(NETWORKDAYS(Proc[[#This Row],[DateOpened]],TODAY()))-1,ABS(NETWORKDAYS(Proc[[#This Row],[DateOpened]],Proc[[#This Row],[DateClosed]]))-1)</f>
        <v>3</v>
      </c>
      <c r="R1531" s="90" t="s">
        <v>489</v>
      </c>
      <c r="S1531" s="85"/>
    </row>
    <row r="1532" spans="1:19" hidden="1">
      <c r="A1532" s="89" t="s">
        <v>3404</v>
      </c>
      <c r="B1532" s="149" t="str">
        <f>IFERROR(VLOOKUP(Proc[[#This Row],[App]],Table2[],3,0),"open")</f>
        <v>ok</v>
      </c>
      <c r="C1532" s="89" t="s">
        <v>369</v>
      </c>
      <c r="D1532" t="s">
        <v>3438</v>
      </c>
      <c r="E1532" t="s">
        <v>3532</v>
      </c>
      <c r="F1532" s="117" t="s">
        <v>3532</v>
      </c>
      <c r="G1532" s="89" t="s">
        <v>406</v>
      </c>
      <c r="H1532" s="85" t="str">
        <f>IF(Proc[[#This Row],[type]]="LFF (MDG-F)",MID(Proc[[#This Row],[Obj]],13,10),"")</f>
        <v>2088C00662</v>
      </c>
      <c r="I1532" t="s">
        <v>3558</v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LS</v>
      </c>
      <c r="L1532" s="85" t="s">
        <v>2563</v>
      </c>
      <c r="M1532" s="87">
        <v>45801.263680555552</v>
      </c>
      <c r="N1532" s="87">
        <v>45806</v>
      </c>
      <c r="O1532" s="87">
        <v>45806</v>
      </c>
      <c r="P1532" s="90" t="str">
        <f ca="1">IF(Proc[[#This Row],[DaysAgeing]]&gt;5,"yep","on track")</f>
        <v>on track</v>
      </c>
      <c r="Q1532" s="3">
        <f ca="1">IF(Proc[[#This Row],[DateClosed]]="",ABS(NETWORKDAYS(Proc[[#This Row],[DateOpened]],TODAY()))-1,ABS(NETWORKDAYS(Proc[[#This Row],[DateOpened]],Proc[[#This Row],[DateClosed]]))-1)</f>
        <v>3</v>
      </c>
      <c r="R1532" s="90" t="s">
        <v>489</v>
      </c>
      <c r="S1532" s="85"/>
    </row>
    <row r="1533" spans="1:19" hidden="1">
      <c r="A1533" s="89" t="s">
        <v>3404</v>
      </c>
      <c r="B1533" s="149" t="str">
        <f>IFERROR(VLOOKUP(Proc[[#This Row],[App]],Table2[],3,0),"open")</f>
        <v>ok</v>
      </c>
      <c r="C1533" s="89" t="s">
        <v>369</v>
      </c>
      <c r="D1533" t="s">
        <v>3439</v>
      </c>
      <c r="E1533" t="s">
        <v>3526</v>
      </c>
      <c r="F1533" s="117" t="s">
        <v>3526</v>
      </c>
      <c r="G1533" s="89" t="s">
        <v>406</v>
      </c>
      <c r="H1533" s="85" t="str">
        <f>IF(Proc[[#This Row],[type]]="LFF (MDG-F)",MID(Proc[[#This Row],[Obj]],13,10),"")</f>
        <v>2088L50001</v>
      </c>
      <c r="I1533" t="s">
        <v>3558</v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LS</v>
      </c>
      <c r="L1533" s="85" t="s">
        <v>2563</v>
      </c>
      <c r="M1533" s="87">
        <v>45801.263680555552</v>
      </c>
      <c r="N1533" s="87">
        <v>45806</v>
      </c>
      <c r="O1533" s="87">
        <v>45806</v>
      </c>
      <c r="P1533" s="90" t="str">
        <f ca="1">IF(Proc[[#This Row],[DaysAgeing]]&gt;5,"yep","on track")</f>
        <v>on track</v>
      </c>
      <c r="Q1533" s="3">
        <f ca="1">IF(Proc[[#This Row],[DateClosed]]="",ABS(NETWORKDAYS(Proc[[#This Row],[DateOpened]],TODAY()))-1,ABS(NETWORKDAYS(Proc[[#This Row],[DateOpened]],Proc[[#This Row],[DateClosed]]))-1)</f>
        <v>3</v>
      </c>
      <c r="R1533" s="90" t="s">
        <v>489</v>
      </c>
      <c r="S1533" s="85"/>
    </row>
    <row r="1534" spans="1:19" hidden="1">
      <c r="A1534" s="89" t="s">
        <v>3404</v>
      </c>
      <c r="B1534" s="149" t="str">
        <f>IFERROR(VLOOKUP(Proc[[#This Row],[App]],Table2[],3,0),"open")</f>
        <v>ok</v>
      </c>
      <c r="C1534" s="89" t="s">
        <v>369</v>
      </c>
      <c r="D1534" t="s">
        <v>3440</v>
      </c>
      <c r="E1534" t="s">
        <v>3531</v>
      </c>
      <c r="F1534" s="117" t="s">
        <v>3531</v>
      </c>
      <c r="G1534" s="89" t="s">
        <v>406</v>
      </c>
      <c r="H1534" s="85" t="str">
        <f>IF(Proc[[#This Row],[type]]="LFF (MDG-F)",MID(Proc[[#This Row],[Obj]],13,10),"")</f>
        <v>2102CS0020</v>
      </c>
      <c r="I1534" t="s">
        <v>3558</v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LS</v>
      </c>
      <c r="L1534" s="85" t="s">
        <v>2563</v>
      </c>
      <c r="M1534" s="87">
        <v>45801.263680555552</v>
      </c>
      <c r="N1534" s="87">
        <v>45806</v>
      </c>
      <c r="O1534" s="87">
        <v>45806</v>
      </c>
      <c r="P1534" s="90" t="str">
        <f ca="1">IF(Proc[[#This Row],[DaysAgeing]]&gt;5,"yep","on track")</f>
        <v>on track</v>
      </c>
      <c r="Q1534" s="3">
        <f ca="1">IF(Proc[[#This Row],[DateClosed]]="",ABS(NETWORKDAYS(Proc[[#This Row],[DateOpened]],TODAY()))-1,ABS(NETWORKDAYS(Proc[[#This Row],[DateOpened]],Proc[[#This Row],[DateClosed]]))-1)</f>
        <v>3</v>
      </c>
      <c r="R1534" s="90" t="s">
        <v>489</v>
      </c>
      <c r="S1534" s="85"/>
    </row>
    <row r="1535" spans="1:19" hidden="1">
      <c r="A1535" s="89" t="s">
        <v>3404</v>
      </c>
      <c r="B1535" s="149" t="str">
        <f>IFERROR(VLOOKUP(Proc[[#This Row],[App]],Table2[],3,0),"open")</f>
        <v>ok</v>
      </c>
      <c r="C1535" s="89" t="s">
        <v>369</v>
      </c>
      <c r="D1535" t="s">
        <v>3441</v>
      </c>
      <c r="E1535" t="s">
        <v>3531</v>
      </c>
      <c r="F1535" s="117" t="s">
        <v>3531</v>
      </c>
      <c r="G1535" s="89" t="s">
        <v>406</v>
      </c>
      <c r="H1535" s="85" t="str">
        <f>IF(Proc[[#This Row],[type]]="LFF (MDG-F)",MID(Proc[[#This Row],[Obj]],13,10),"")</f>
        <v>2102CS0713</v>
      </c>
      <c r="I1535" t="s">
        <v>3558</v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LS</v>
      </c>
      <c r="L1535" s="85" t="s">
        <v>2563</v>
      </c>
      <c r="M1535" s="87">
        <v>45801.263680555552</v>
      </c>
      <c r="N1535" s="87">
        <v>45806</v>
      </c>
      <c r="O1535" s="87">
        <v>45806</v>
      </c>
      <c r="P1535" s="90" t="str">
        <f ca="1">IF(Proc[[#This Row],[DaysAgeing]]&gt;5,"yep","on track")</f>
        <v>on track</v>
      </c>
      <c r="Q1535" s="3">
        <f ca="1">IF(Proc[[#This Row],[DateClosed]]="",ABS(NETWORKDAYS(Proc[[#This Row],[DateOpened]],TODAY()))-1,ABS(NETWORKDAYS(Proc[[#This Row],[DateOpened]],Proc[[#This Row],[DateClosed]]))-1)</f>
        <v>3</v>
      </c>
      <c r="R1535" s="90" t="s">
        <v>489</v>
      </c>
      <c r="S1535" s="85"/>
    </row>
    <row r="1536" spans="1:19" hidden="1">
      <c r="A1536" s="89" t="s">
        <v>3404</v>
      </c>
      <c r="B1536" s="149" t="str">
        <f>IFERROR(VLOOKUP(Proc[[#This Row],[App]],Table2[],3,0),"open")</f>
        <v>ok</v>
      </c>
      <c r="C1536" s="89" t="s">
        <v>369</v>
      </c>
      <c r="D1536" t="s">
        <v>3442</v>
      </c>
      <c r="E1536" t="s">
        <v>3526</v>
      </c>
      <c r="F1536" s="117" t="s">
        <v>3526</v>
      </c>
      <c r="G1536" s="89" t="s">
        <v>406</v>
      </c>
      <c r="H1536" s="85" t="str">
        <f>IF(Proc[[#This Row],[type]]="LFF (MDG-F)",MID(Proc[[#This Row],[Obj]],13,10),"")</f>
        <v>2102OF0002</v>
      </c>
      <c r="I1536" t="s">
        <v>3558</v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LS</v>
      </c>
      <c r="L1536" s="85" t="s">
        <v>2563</v>
      </c>
      <c r="M1536" s="87">
        <v>45801.263680555552</v>
      </c>
      <c r="N1536" s="87">
        <v>45806</v>
      </c>
      <c r="O1536" s="87">
        <v>45806</v>
      </c>
      <c r="P1536" s="90" t="str">
        <f ca="1">IF(Proc[[#This Row],[DaysAgeing]]&gt;5,"yep","on track")</f>
        <v>on track</v>
      </c>
      <c r="Q1536" s="3">
        <f ca="1">IF(Proc[[#This Row],[DateClosed]]="",ABS(NETWORKDAYS(Proc[[#This Row],[DateOpened]],TODAY()))-1,ABS(NETWORKDAYS(Proc[[#This Row],[DateOpened]],Proc[[#This Row],[DateClosed]]))-1)</f>
        <v>3</v>
      </c>
      <c r="R1536" s="90" t="s">
        <v>489</v>
      </c>
      <c r="S1536" s="85"/>
    </row>
    <row r="1537" spans="1:19" hidden="1">
      <c r="A1537" s="89" t="s">
        <v>3404</v>
      </c>
      <c r="B1537" s="149" t="str">
        <f>IFERROR(VLOOKUP(Proc[[#This Row],[App]],Table2[],3,0),"open")</f>
        <v>ok</v>
      </c>
      <c r="C1537" s="89" t="s">
        <v>369</v>
      </c>
      <c r="D1537" t="s">
        <v>3443</v>
      </c>
      <c r="E1537" t="s">
        <v>3531</v>
      </c>
      <c r="F1537" s="117" t="s">
        <v>3531</v>
      </c>
      <c r="G1537" s="89" t="s">
        <v>406</v>
      </c>
      <c r="H1537" s="85" t="str">
        <f>IF(Proc[[#This Row],[type]]="LFF (MDG-F)",MID(Proc[[#This Row],[Obj]],13,10),"")</f>
        <v>2102TESZ81</v>
      </c>
      <c r="I1537" t="s">
        <v>3558</v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LS</v>
      </c>
      <c r="L1537" s="85" t="s">
        <v>2563</v>
      </c>
      <c r="M1537" s="87">
        <v>45801.263680555552</v>
      </c>
      <c r="N1537" s="87">
        <v>45806</v>
      </c>
      <c r="O1537" s="87">
        <v>45806</v>
      </c>
      <c r="P1537" s="90" t="str">
        <f ca="1">IF(Proc[[#This Row],[DaysAgeing]]&gt;5,"yep","on track")</f>
        <v>on track</v>
      </c>
      <c r="Q1537" s="3">
        <f ca="1">IF(Proc[[#This Row],[DateClosed]]="",ABS(NETWORKDAYS(Proc[[#This Row],[DateOpened]],TODAY()))-1,ABS(NETWORKDAYS(Proc[[#This Row],[DateOpened]],Proc[[#This Row],[DateClosed]]))-1)</f>
        <v>3</v>
      </c>
      <c r="R1537" s="90" t="s">
        <v>489</v>
      </c>
      <c r="S1537" s="85"/>
    </row>
    <row r="1538" spans="1:19" hidden="1">
      <c r="A1538" s="89" t="s">
        <v>3404</v>
      </c>
      <c r="B1538" s="149" t="str">
        <f>IFERROR(VLOOKUP(Proc[[#This Row],[App]],Table2[],3,0),"open")</f>
        <v>ok</v>
      </c>
      <c r="C1538" s="89" t="s">
        <v>369</v>
      </c>
      <c r="D1538" t="s">
        <v>3444</v>
      </c>
      <c r="E1538" t="s">
        <v>3528</v>
      </c>
      <c r="F1538" s="117" t="s">
        <v>3528</v>
      </c>
      <c r="G1538" s="89" t="s">
        <v>406</v>
      </c>
      <c r="H1538" s="85" t="str">
        <f>IF(Proc[[#This Row],[type]]="LFF (MDG-F)",MID(Proc[[#This Row],[Obj]],13,10),"")</f>
        <v>2103OF0001</v>
      </c>
      <c r="I1538" t="s">
        <v>3558</v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LS</v>
      </c>
      <c r="L1538" s="85" t="s">
        <v>2563</v>
      </c>
      <c r="M1538" s="87">
        <v>45801.263680555552</v>
      </c>
      <c r="N1538" s="87">
        <v>45806</v>
      </c>
      <c r="O1538" s="87">
        <v>45806</v>
      </c>
      <c r="P1538" s="90" t="str">
        <f ca="1">IF(Proc[[#This Row],[DaysAgeing]]&gt;5,"yep","on track")</f>
        <v>on track</v>
      </c>
      <c r="Q1538" s="3">
        <f ca="1">IF(Proc[[#This Row],[DateClosed]]="",ABS(NETWORKDAYS(Proc[[#This Row],[DateOpened]],TODAY()))-1,ABS(NETWORKDAYS(Proc[[#This Row],[DateOpened]],Proc[[#This Row],[DateClosed]]))-1)</f>
        <v>3</v>
      </c>
      <c r="R1538" s="90" t="s">
        <v>489</v>
      </c>
      <c r="S1538" s="85"/>
    </row>
    <row r="1539" spans="1:19" hidden="1">
      <c r="A1539" s="89" t="s">
        <v>3404</v>
      </c>
      <c r="B1539" s="149" t="str">
        <f>IFERROR(VLOOKUP(Proc[[#This Row],[App]],Table2[],3,0),"open")</f>
        <v>ok</v>
      </c>
      <c r="C1539" s="89" t="s">
        <v>369</v>
      </c>
      <c r="D1539" t="s">
        <v>3445</v>
      </c>
      <c r="E1539" t="s">
        <v>3527</v>
      </c>
      <c r="F1539" s="117" t="s">
        <v>3527</v>
      </c>
      <c r="G1539" s="89" t="s">
        <v>406</v>
      </c>
      <c r="H1539" s="85" t="str">
        <f>IF(Proc[[#This Row],[type]]="LFF (MDG-F)",MID(Proc[[#This Row],[Obj]],13,10),"")</f>
        <v>2123C00049</v>
      </c>
      <c r="I1539" t="s">
        <v>3558</v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LS</v>
      </c>
      <c r="L1539" s="85" t="s">
        <v>2563</v>
      </c>
      <c r="M1539" s="87">
        <v>45801.263680555552</v>
      </c>
      <c r="N1539" s="87">
        <v>45806</v>
      </c>
      <c r="O1539" s="87">
        <v>45806</v>
      </c>
      <c r="P1539" s="90" t="str">
        <f ca="1">IF(Proc[[#This Row],[DaysAgeing]]&gt;5,"yep","on track")</f>
        <v>on track</v>
      </c>
      <c r="Q1539" s="3">
        <f ca="1">IF(Proc[[#This Row],[DateClosed]]="",ABS(NETWORKDAYS(Proc[[#This Row],[DateOpened]],TODAY()))-1,ABS(NETWORKDAYS(Proc[[#This Row],[DateOpened]],Proc[[#This Row],[DateClosed]]))-1)</f>
        <v>3</v>
      </c>
      <c r="R1539" s="90" t="s">
        <v>489</v>
      </c>
      <c r="S1539" s="85"/>
    </row>
    <row r="1540" spans="1:19" hidden="1">
      <c r="A1540" s="89" t="s">
        <v>3404</v>
      </c>
      <c r="B1540" s="149" t="str">
        <f>IFERROR(VLOOKUP(Proc[[#This Row],[App]],Table2[],3,0),"open")</f>
        <v>ok</v>
      </c>
      <c r="C1540" s="89" t="s">
        <v>369</v>
      </c>
      <c r="D1540" t="s">
        <v>3446</v>
      </c>
      <c r="E1540" t="s">
        <v>3533</v>
      </c>
      <c r="F1540" s="117" t="s">
        <v>3533</v>
      </c>
      <c r="G1540" s="89" t="s">
        <v>406</v>
      </c>
      <c r="H1540" s="85" t="str">
        <f>IF(Proc[[#This Row],[type]]="LFF (MDG-F)",MID(Proc[[#This Row],[Obj]],13,10),"")</f>
        <v>2123CS0002</v>
      </c>
      <c r="I1540" t="s">
        <v>3558</v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LS</v>
      </c>
      <c r="L1540" s="85" t="s">
        <v>2563</v>
      </c>
      <c r="M1540" s="87">
        <v>45801.263680555552</v>
      </c>
      <c r="N1540" s="87">
        <v>45806</v>
      </c>
      <c r="O1540" s="87">
        <v>45806</v>
      </c>
      <c r="P1540" s="90" t="str">
        <f ca="1">IF(Proc[[#This Row],[DaysAgeing]]&gt;5,"yep","on track")</f>
        <v>on track</v>
      </c>
      <c r="Q1540" s="3">
        <f ca="1">IF(Proc[[#This Row],[DateClosed]]="",ABS(NETWORKDAYS(Proc[[#This Row],[DateOpened]],TODAY()))-1,ABS(NETWORKDAYS(Proc[[#This Row],[DateOpened]],Proc[[#This Row],[DateClosed]]))-1)</f>
        <v>3</v>
      </c>
      <c r="R1540" s="90" t="s">
        <v>489</v>
      </c>
      <c r="S1540" s="85"/>
    </row>
    <row r="1541" spans="1:19" hidden="1">
      <c r="A1541" s="89" t="s">
        <v>3404</v>
      </c>
      <c r="B1541" s="149" t="str">
        <f>IFERROR(VLOOKUP(Proc[[#This Row],[App]],Table2[],3,0),"open")</f>
        <v>ok</v>
      </c>
      <c r="C1541" s="89" t="s">
        <v>369</v>
      </c>
      <c r="D1541" t="s">
        <v>3447</v>
      </c>
      <c r="E1541" t="s">
        <v>3519</v>
      </c>
      <c r="F1541" s="117" t="s">
        <v>3519</v>
      </c>
      <c r="G1541" s="89" t="s">
        <v>406</v>
      </c>
      <c r="H1541" s="85" t="str">
        <f>IF(Proc[[#This Row],[type]]="LFF (MDG-F)",MID(Proc[[#This Row],[Obj]],13,10),"")</f>
        <v>2123L50008</v>
      </c>
      <c r="I1541" t="s">
        <v>3558</v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LS</v>
      </c>
      <c r="L1541" s="85" t="s">
        <v>2563</v>
      </c>
      <c r="M1541" s="87">
        <v>45801.263680555552</v>
      </c>
      <c r="N1541" s="87">
        <v>45806</v>
      </c>
      <c r="O1541" s="87">
        <v>45806</v>
      </c>
      <c r="P1541" s="90" t="str">
        <f ca="1">IF(Proc[[#This Row],[DaysAgeing]]&gt;5,"yep","on track")</f>
        <v>on track</v>
      </c>
      <c r="Q1541" s="3">
        <f ca="1">IF(Proc[[#This Row],[DateClosed]]="",ABS(NETWORKDAYS(Proc[[#This Row],[DateOpened]],TODAY()))-1,ABS(NETWORKDAYS(Proc[[#This Row],[DateOpened]],Proc[[#This Row],[DateClosed]]))-1)</f>
        <v>3</v>
      </c>
      <c r="R1541" s="90" t="s">
        <v>489</v>
      </c>
      <c r="S1541" s="85"/>
    </row>
    <row r="1542" spans="1:19" hidden="1">
      <c r="A1542" s="89" t="s">
        <v>3404</v>
      </c>
      <c r="B1542" s="149" t="str">
        <f>IFERROR(VLOOKUP(Proc[[#This Row],[App]],Table2[],3,0),"open")</f>
        <v>ok</v>
      </c>
      <c r="C1542" s="89" t="s">
        <v>369</v>
      </c>
      <c r="D1542" t="s">
        <v>3448</v>
      </c>
      <c r="E1542" t="s">
        <v>3534</v>
      </c>
      <c r="F1542" s="117" t="s">
        <v>3534</v>
      </c>
      <c r="G1542" s="89" t="s">
        <v>406</v>
      </c>
      <c r="H1542" s="85" t="str">
        <f>IF(Proc[[#This Row],[type]]="LFF (MDG-F)",MID(Proc[[#This Row],[Obj]],13,10),"")</f>
        <v>2125C00005</v>
      </c>
      <c r="I1542" t="s">
        <v>3558</v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LS</v>
      </c>
      <c r="L1542" s="85" t="s">
        <v>2563</v>
      </c>
      <c r="M1542" s="87">
        <v>45801.263680555552</v>
      </c>
      <c r="N1542" s="87">
        <v>45806</v>
      </c>
      <c r="O1542" s="87">
        <v>45806</v>
      </c>
      <c r="P1542" s="90" t="str">
        <f ca="1">IF(Proc[[#This Row],[DaysAgeing]]&gt;5,"yep","on track")</f>
        <v>on track</v>
      </c>
      <c r="Q1542" s="3">
        <f ca="1">IF(Proc[[#This Row],[DateClosed]]="",ABS(NETWORKDAYS(Proc[[#This Row],[DateOpened]],TODAY()))-1,ABS(NETWORKDAYS(Proc[[#This Row],[DateOpened]],Proc[[#This Row],[DateClosed]]))-1)</f>
        <v>3</v>
      </c>
      <c r="R1542" s="90" t="s">
        <v>489</v>
      </c>
      <c r="S1542" s="85"/>
    </row>
    <row r="1543" spans="1:19" hidden="1">
      <c r="A1543" s="89" t="s">
        <v>3404</v>
      </c>
      <c r="B1543" s="149" t="str">
        <f>IFERROR(VLOOKUP(Proc[[#This Row],[App]],Table2[],3,0),"open")</f>
        <v>ok</v>
      </c>
      <c r="C1543" s="89" t="s">
        <v>369</v>
      </c>
      <c r="D1543" t="s">
        <v>3449</v>
      </c>
      <c r="E1543" t="s">
        <v>3516</v>
      </c>
      <c r="F1543" s="117" t="s">
        <v>3516</v>
      </c>
      <c r="G1543" s="89" t="s">
        <v>406</v>
      </c>
      <c r="H1543" s="85" t="str">
        <f>IF(Proc[[#This Row],[type]]="LFF (MDG-F)",MID(Proc[[#This Row],[Obj]],13,10),"")</f>
        <v>2128C00002</v>
      </c>
      <c r="I1543" t="s">
        <v>3558</v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LS</v>
      </c>
      <c r="L1543" s="85" t="s">
        <v>2563</v>
      </c>
      <c r="M1543" s="87">
        <v>45801.263680555552</v>
      </c>
      <c r="N1543" s="87">
        <v>45806</v>
      </c>
      <c r="O1543" s="87">
        <v>45806</v>
      </c>
      <c r="P1543" s="90" t="str">
        <f ca="1">IF(Proc[[#This Row],[DaysAgeing]]&gt;5,"yep","on track")</f>
        <v>on track</v>
      </c>
      <c r="Q1543" s="3">
        <f ca="1">IF(Proc[[#This Row],[DateClosed]]="",ABS(NETWORKDAYS(Proc[[#This Row],[DateOpened]],TODAY()))-1,ABS(NETWORKDAYS(Proc[[#This Row],[DateOpened]],Proc[[#This Row],[DateClosed]]))-1)</f>
        <v>3</v>
      </c>
      <c r="R1543" s="90" t="s">
        <v>489</v>
      </c>
      <c r="S1543" s="85"/>
    </row>
    <row r="1544" spans="1:19" hidden="1">
      <c r="A1544" s="89" t="s">
        <v>3404</v>
      </c>
      <c r="B1544" s="149" t="str">
        <f>IFERROR(VLOOKUP(Proc[[#This Row],[App]],Table2[],3,0),"open")</f>
        <v>ok</v>
      </c>
      <c r="C1544" s="89" t="s">
        <v>369</v>
      </c>
      <c r="D1544" t="s">
        <v>3450</v>
      </c>
      <c r="E1544" t="s">
        <v>3535</v>
      </c>
      <c r="F1544" s="117" t="s">
        <v>3535</v>
      </c>
      <c r="G1544" s="89" t="s">
        <v>406</v>
      </c>
      <c r="H1544" s="85" t="str">
        <f>IF(Proc[[#This Row],[type]]="LFF (MDG-F)",MID(Proc[[#This Row],[Obj]],13,10),"")</f>
        <v>2137TPM813</v>
      </c>
      <c r="I1544" t="s">
        <v>3558</v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LS</v>
      </c>
      <c r="L1544" s="85" t="s">
        <v>2563</v>
      </c>
      <c r="M1544" s="87">
        <v>45801.263680555552</v>
      </c>
      <c r="N1544" s="87">
        <v>45806</v>
      </c>
      <c r="O1544" s="87">
        <v>45806</v>
      </c>
      <c r="P1544" s="90" t="str">
        <f ca="1">IF(Proc[[#This Row],[DaysAgeing]]&gt;5,"yep","on track")</f>
        <v>on track</v>
      </c>
      <c r="Q1544" s="3">
        <f ca="1">IF(Proc[[#This Row],[DateClosed]]="",ABS(NETWORKDAYS(Proc[[#This Row],[DateOpened]],TODAY()))-1,ABS(NETWORKDAYS(Proc[[#This Row],[DateOpened]],Proc[[#This Row],[DateClosed]]))-1)</f>
        <v>3</v>
      </c>
      <c r="R1544" s="90" t="s">
        <v>489</v>
      </c>
      <c r="S1544" s="85"/>
    </row>
    <row r="1545" spans="1:19" hidden="1">
      <c r="A1545" s="89" t="s">
        <v>3404</v>
      </c>
      <c r="B1545" s="149" t="str">
        <f>IFERROR(VLOOKUP(Proc[[#This Row],[App]],Table2[],3,0),"open")</f>
        <v>ok</v>
      </c>
      <c r="C1545" s="89" t="s">
        <v>369</v>
      </c>
      <c r="D1545" t="s">
        <v>3451</v>
      </c>
      <c r="E1545" t="s">
        <v>3535</v>
      </c>
      <c r="F1545" s="117" t="s">
        <v>3535</v>
      </c>
      <c r="G1545" s="89" t="s">
        <v>406</v>
      </c>
      <c r="H1545" s="85" t="str">
        <f>IF(Proc[[#This Row],[type]]="LFF (MDG-F)",MID(Proc[[#This Row],[Obj]],13,10),"")</f>
        <v>2137TPM819</v>
      </c>
      <c r="I1545" t="s">
        <v>3558</v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LS</v>
      </c>
      <c r="L1545" s="85" t="s">
        <v>2563</v>
      </c>
      <c r="M1545" s="87">
        <v>45801.263680555552</v>
      </c>
      <c r="N1545" s="87">
        <v>45806</v>
      </c>
      <c r="O1545" s="87">
        <v>45806</v>
      </c>
      <c r="P1545" s="90" t="str">
        <f ca="1">IF(Proc[[#This Row],[DaysAgeing]]&gt;5,"yep","on track")</f>
        <v>on track</v>
      </c>
      <c r="Q1545" s="3">
        <f ca="1">IF(Proc[[#This Row],[DateClosed]]="",ABS(NETWORKDAYS(Proc[[#This Row],[DateOpened]],TODAY()))-1,ABS(NETWORKDAYS(Proc[[#This Row],[DateOpened]],Proc[[#This Row],[DateClosed]]))-1)</f>
        <v>3</v>
      </c>
      <c r="R1545" s="90" t="s">
        <v>489</v>
      </c>
      <c r="S1545" s="85"/>
    </row>
    <row r="1546" spans="1:19" hidden="1">
      <c r="A1546" s="89" t="s">
        <v>3404</v>
      </c>
      <c r="B1546" s="149" t="str">
        <f>IFERROR(VLOOKUP(Proc[[#This Row],[App]],Table2[],3,0),"open")</f>
        <v>ok</v>
      </c>
      <c r="C1546" s="89" t="s">
        <v>369</v>
      </c>
      <c r="D1546" t="s">
        <v>3452</v>
      </c>
      <c r="E1546" t="s">
        <v>3529</v>
      </c>
      <c r="F1546" s="117" t="s">
        <v>3529</v>
      </c>
      <c r="G1546" s="89" t="s">
        <v>406</v>
      </c>
      <c r="H1546" s="85" t="str">
        <f>IF(Proc[[#This Row],[type]]="LFF (MDG-F)",MID(Proc[[#This Row],[Obj]],13,10),"")</f>
        <v>2148L50220</v>
      </c>
      <c r="I1546" t="s">
        <v>3558</v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LS</v>
      </c>
      <c r="L1546" s="85" t="s">
        <v>2563</v>
      </c>
      <c r="M1546" s="87">
        <v>45801.263680555552</v>
      </c>
      <c r="N1546" s="87">
        <v>45806</v>
      </c>
      <c r="O1546" s="87">
        <v>45806</v>
      </c>
      <c r="P1546" s="90" t="str">
        <f ca="1">IF(Proc[[#This Row],[DaysAgeing]]&gt;5,"yep","on track")</f>
        <v>on track</v>
      </c>
      <c r="Q1546" s="3">
        <f ca="1">IF(Proc[[#This Row],[DateClosed]]="",ABS(NETWORKDAYS(Proc[[#This Row],[DateOpened]],TODAY()))-1,ABS(NETWORKDAYS(Proc[[#This Row],[DateOpened]],Proc[[#This Row],[DateClosed]]))-1)</f>
        <v>3</v>
      </c>
      <c r="R1546" s="90" t="s">
        <v>489</v>
      </c>
      <c r="S1546" s="85"/>
    </row>
    <row r="1547" spans="1:19" hidden="1">
      <c r="A1547" s="89" t="s">
        <v>3404</v>
      </c>
      <c r="B1547" s="149" t="str">
        <f>IFERROR(VLOOKUP(Proc[[#This Row],[App]],Table2[],3,0),"open")</f>
        <v>ok</v>
      </c>
      <c r="C1547" s="89" t="s">
        <v>369</v>
      </c>
      <c r="D1547" t="s">
        <v>3453</v>
      </c>
      <c r="E1547" t="s">
        <v>3528</v>
      </c>
      <c r="F1547" s="117" t="s">
        <v>3528</v>
      </c>
      <c r="G1547" s="89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LS</v>
      </c>
      <c r="L1547" s="85" t="s">
        <v>2563</v>
      </c>
      <c r="M1547" s="87">
        <v>45801.263680555552</v>
      </c>
      <c r="N1547" s="87"/>
      <c r="O1547" s="87"/>
      <c r="P1547" s="90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138</v>
      </c>
      <c r="R1547" s="90" t="s">
        <v>489</v>
      </c>
      <c r="S1547" s="85"/>
    </row>
    <row r="1548" spans="1:19" hidden="1">
      <c r="A1548" s="89" t="s">
        <v>3404</v>
      </c>
      <c r="B1548" s="149" t="str">
        <f>IFERROR(VLOOKUP(Proc[[#This Row],[App]],Table2[],3,0),"open")</f>
        <v>ok</v>
      </c>
      <c r="C1548" s="89" t="s">
        <v>369</v>
      </c>
      <c r="D1548" t="s">
        <v>3454</v>
      </c>
      <c r="E1548" t="s">
        <v>3517</v>
      </c>
      <c r="F1548" s="117" t="s">
        <v>3517</v>
      </c>
      <c r="G1548" s="89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LS</v>
      </c>
      <c r="L1548" s="85" t="s">
        <v>2563</v>
      </c>
      <c r="M1548" s="87">
        <v>45801.263680555552</v>
      </c>
      <c r="N1548" s="87"/>
      <c r="O1548" s="87"/>
      <c r="P1548" s="90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138</v>
      </c>
      <c r="R1548" s="90" t="s">
        <v>489</v>
      </c>
      <c r="S1548" s="85"/>
    </row>
    <row r="1549" spans="1:19" hidden="1">
      <c r="A1549" s="89" t="s">
        <v>3404</v>
      </c>
      <c r="B1549" s="149" t="str">
        <f>IFERROR(VLOOKUP(Proc[[#This Row],[App]],Table2[],3,0),"open")</f>
        <v>ok</v>
      </c>
      <c r="C1549" s="89" t="s">
        <v>369</v>
      </c>
      <c r="D1549" t="s">
        <v>3455</v>
      </c>
      <c r="E1549" t="s">
        <v>3516</v>
      </c>
      <c r="F1549" s="117" t="s">
        <v>3516</v>
      </c>
      <c r="G1549" s="89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7">
        <v>45801.263680555552</v>
      </c>
      <c r="N1549" s="87"/>
      <c r="O1549" s="87"/>
      <c r="P1549" s="90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138</v>
      </c>
      <c r="R1549" s="90" t="s">
        <v>489</v>
      </c>
      <c r="S1549" s="85"/>
    </row>
    <row r="1550" spans="1:19" hidden="1">
      <c r="A1550" s="89" t="s">
        <v>3404</v>
      </c>
      <c r="B1550" s="149" t="str">
        <f>IFERROR(VLOOKUP(Proc[[#This Row],[App]],Table2[],3,0),"open")</f>
        <v>ok</v>
      </c>
      <c r="C1550" s="89" t="s">
        <v>369</v>
      </c>
      <c r="D1550" t="s">
        <v>3456</v>
      </c>
      <c r="E1550" t="s">
        <v>3514</v>
      </c>
      <c r="F1550" s="117" t="s">
        <v>3514</v>
      </c>
      <c r="G1550" s="89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7">
        <v>45801.263680555552</v>
      </c>
      <c r="N1550" s="87"/>
      <c r="O1550" s="87"/>
      <c r="P1550" s="90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138</v>
      </c>
      <c r="R1550" s="90" t="s">
        <v>489</v>
      </c>
      <c r="S1550" s="85"/>
    </row>
    <row r="1551" spans="1:19" hidden="1">
      <c r="A1551" s="89" t="s">
        <v>3404</v>
      </c>
      <c r="B1551" s="149" t="str">
        <f>IFERROR(VLOOKUP(Proc[[#This Row],[App]],Table2[],3,0),"open")</f>
        <v>ok</v>
      </c>
      <c r="C1551" s="89" t="s">
        <v>369</v>
      </c>
      <c r="D1551" t="s">
        <v>3457</v>
      </c>
      <c r="E1551" t="s">
        <v>3531</v>
      </c>
      <c r="F1551" s="117" t="s">
        <v>3531</v>
      </c>
      <c r="G1551" s="89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7">
        <v>45801.263680555552</v>
      </c>
      <c r="N1551" s="87"/>
      <c r="O1551" s="87"/>
      <c r="P1551" s="90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138</v>
      </c>
      <c r="R1551" s="90" t="s">
        <v>489</v>
      </c>
      <c r="S1551" s="85"/>
    </row>
    <row r="1552" spans="1:19" hidden="1">
      <c r="A1552" s="89" t="s">
        <v>3404</v>
      </c>
      <c r="B1552" s="149" t="str">
        <f>IFERROR(VLOOKUP(Proc[[#This Row],[App]],Table2[],3,0),"open")</f>
        <v>ok</v>
      </c>
      <c r="C1552" s="89" t="s">
        <v>369</v>
      </c>
      <c r="D1552" t="s">
        <v>3458</v>
      </c>
      <c r="E1552" t="s">
        <v>3531</v>
      </c>
      <c r="F1552" s="117" t="s">
        <v>3531</v>
      </c>
      <c r="G1552" s="89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7">
        <v>45801.263680555552</v>
      </c>
      <c r="N1552" s="87"/>
      <c r="O1552" s="87"/>
      <c r="P1552" s="90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138</v>
      </c>
      <c r="R1552" s="90" t="s">
        <v>489</v>
      </c>
      <c r="S1552" s="85"/>
    </row>
    <row r="1553" spans="1:19" hidden="1">
      <c r="A1553" s="89" t="s">
        <v>3404</v>
      </c>
      <c r="B1553" s="149" t="str">
        <f>IFERROR(VLOOKUP(Proc[[#This Row],[App]],Table2[],3,0),"open")</f>
        <v>ok</v>
      </c>
      <c r="C1553" s="89" t="s">
        <v>369</v>
      </c>
      <c r="D1553" t="s">
        <v>3459</v>
      </c>
      <c r="E1553" t="s">
        <v>3534</v>
      </c>
      <c r="F1553" s="117" t="s">
        <v>3534</v>
      </c>
      <c r="G1553" s="89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7">
        <v>45801.263680555552</v>
      </c>
      <c r="N1553" s="87"/>
      <c r="O1553" s="87"/>
      <c r="P1553" s="90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138</v>
      </c>
      <c r="R1553" s="90" t="s">
        <v>489</v>
      </c>
      <c r="S1553" s="85"/>
    </row>
    <row r="1554" spans="1:19" hidden="1">
      <c r="A1554" s="89" t="s">
        <v>3404</v>
      </c>
      <c r="B1554" s="149" t="str">
        <f>IFERROR(VLOOKUP(Proc[[#This Row],[App]],Table2[],3,0),"open")</f>
        <v>ok</v>
      </c>
      <c r="C1554" s="89" t="s">
        <v>369</v>
      </c>
      <c r="D1554" t="s">
        <v>3460</v>
      </c>
      <c r="E1554" t="s">
        <v>3516</v>
      </c>
      <c r="F1554" s="117" t="s">
        <v>3516</v>
      </c>
      <c r="G1554" s="89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7">
        <v>45801.263680555552</v>
      </c>
      <c r="N1554" s="87"/>
      <c r="O1554" s="87"/>
      <c r="P1554" s="90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138</v>
      </c>
      <c r="R1554" s="90" t="s">
        <v>489</v>
      </c>
      <c r="S1554" s="85"/>
    </row>
    <row r="1555" spans="1:19" hidden="1">
      <c r="A1555" s="89" t="s">
        <v>3404</v>
      </c>
      <c r="B1555" s="149" t="str">
        <f>IFERROR(VLOOKUP(Proc[[#This Row],[App]],Table2[],3,0),"open")</f>
        <v>ok</v>
      </c>
      <c r="C1555" s="89" t="s">
        <v>369</v>
      </c>
      <c r="D1555" t="s">
        <v>3461</v>
      </c>
      <c r="E1555" t="s">
        <v>3514</v>
      </c>
      <c r="F1555" s="117" t="s">
        <v>3514</v>
      </c>
      <c r="G1555" s="89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7">
        <v>45801.263680555552</v>
      </c>
      <c r="N1555" s="87"/>
      <c r="O1555" s="87"/>
      <c r="P1555" s="90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138</v>
      </c>
      <c r="R1555" s="90" t="s">
        <v>489</v>
      </c>
      <c r="S1555" s="85"/>
    </row>
    <row r="1556" spans="1:19" hidden="1">
      <c r="A1556" s="89" t="s">
        <v>3404</v>
      </c>
      <c r="B1556" s="149" t="str">
        <f>IFERROR(VLOOKUP(Proc[[#This Row],[App]],Table2[],3,0),"open")</f>
        <v>ok</v>
      </c>
      <c r="C1556" s="89" t="s">
        <v>369</v>
      </c>
      <c r="D1556" t="s">
        <v>3462</v>
      </c>
      <c r="E1556" t="s">
        <v>3536</v>
      </c>
      <c r="F1556" s="117" t="s">
        <v>3536</v>
      </c>
      <c r="G1556" s="89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7">
        <v>45801.263680555552</v>
      </c>
      <c r="N1556" s="87"/>
      <c r="O1556" s="87"/>
      <c r="P1556" s="90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138</v>
      </c>
      <c r="R1556" s="90" t="s">
        <v>489</v>
      </c>
      <c r="S1556" s="85"/>
    </row>
    <row r="1557" spans="1:19" hidden="1">
      <c r="A1557" s="89" t="s">
        <v>3404</v>
      </c>
      <c r="B1557" s="149" t="str">
        <f>IFERROR(VLOOKUP(Proc[[#This Row],[App]],Table2[],3,0),"open")</f>
        <v>ok</v>
      </c>
      <c r="C1557" s="89" t="s">
        <v>369</v>
      </c>
      <c r="D1557" t="s">
        <v>3463</v>
      </c>
      <c r="E1557" t="s">
        <v>3515</v>
      </c>
      <c r="F1557" s="117" t="s">
        <v>3515</v>
      </c>
      <c r="G1557" s="89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7">
        <v>45801.263680555552</v>
      </c>
      <c r="N1557" s="87"/>
      <c r="O1557" s="87"/>
      <c r="P1557" s="90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138</v>
      </c>
      <c r="R1557" s="90" t="s">
        <v>489</v>
      </c>
      <c r="S1557" s="85"/>
    </row>
    <row r="1558" spans="1:19" hidden="1">
      <c r="A1558" s="89" t="s">
        <v>3404</v>
      </c>
      <c r="B1558" s="149" t="str">
        <f>IFERROR(VLOOKUP(Proc[[#This Row],[App]],Table2[],3,0),"open")</f>
        <v>ok</v>
      </c>
      <c r="C1558" s="89" t="s">
        <v>369</v>
      </c>
      <c r="D1558" t="s">
        <v>3464</v>
      </c>
      <c r="E1558" t="s">
        <v>3515</v>
      </c>
      <c r="F1558" s="117" t="s">
        <v>3515</v>
      </c>
      <c r="G1558" s="89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7">
        <v>45801.263680555552</v>
      </c>
      <c r="N1558" s="87"/>
      <c r="O1558" s="87"/>
      <c r="P1558" s="90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138</v>
      </c>
      <c r="R1558" s="90" t="s">
        <v>489</v>
      </c>
      <c r="S1558" s="85"/>
    </row>
    <row r="1559" spans="1:19" hidden="1">
      <c r="A1559" s="89" t="s">
        <v>3404</v>
      </c>
      <c r="B1559" s="149" t="str">
        <f>IFERROR(VLOOKUP(Proc[[#This Row],[App]],Table2[],3,0),"open")</f>
        <v>ok</v>
      </c>
      <c r="C1559" s="89" t="s">
        <v>369</v>
      </c>
      <c r="D1559" t="s">
        <v>3465</v>
      </c>
      <c r="E1559" t="s">
        <v>3515</v>
      </c>
      <c r="F1559" s="117" t="s">
        <v>3515</v>
      </c>
      <c r="G1559" s="89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7">
        <v>45801.263680555552</v>
      </c>
      <c r="N1559" s="87"/>
      <c r="O1559" s="87"/>
      <c r="P1559" s="90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138</v>
      </c>
      <c r="R1559" s="90" t="s">
        <v>489</v>
      </c>
      <c r="S1559" s="85"/>
    </row>
    <row r="1560" spans="1:19" hidden="1">
      <c r="A1560" s="89" t="s">
        <v>3404</v>
      </c>
      <c r="B1560" s="149" t="str">
        <f>IFERROR(VLOOKUP(Proc[[#This Row],[App]],Table2[],3,0),"open")</f>
        <v>ok</v>
      </c>
      <c r="C1560" s="89" t="s">
        <v>369</v>
      </c>
      <c r="D1560" t="s">
        <v>3466</v>
      </c>
      <c r="E1560" t="s">
        <v>3529</v>
      </c>
      <c r="F1560" s="117" t="s">
        <v>3529</v>
      </c>
      <c r="G1560" s="89" t="s">
        <v>400</v>
      </c>
      <c r="H1560" s="85" t="str">
        <f>IF(Proc[[#This Row],[type]]="LFF (MDG-F)",MID(Proc[[#This Row],[Obj]],13,10),"")</f>
        <v/>
      </c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7">
        <v>45801.263680555552</v>
      </c>
      <c r="N1560" s="87"/>
      <c r="O1560" s="87"/>
      <c r="P1560" s="90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138</v>
      </c>
      <c r="R1560" s="90" t="s">
        <v>489</v>
      </c>
      <c r="S1560" s="85"/>
    </row>
    <row r="1561" spans="1:19" hidden="1">
      <c r="A1561" s="89" t="s">
        <v>3404</v>
      </c>
      <c r="B1561" s="149" t="str">
        <f>IFERROR(VLOOKUP(Proc[[#This Row],[App]],Table2[],3,0),"open")</f>
        <v>ok</v>
      </c>
      <c r="C1561" s="89" t="s">
        <v>369</v>
      </c>
      <c r="D1561" t="s">
        <v>3467</v>
      </c>
      <c r="E1561" t="s">
        <v>3534</v>
      </c>
      <c r="F1561" s="117" t="s">
        <v>3534</v>
      </c>
      <c r="G1561" s="89" t="s">
        <v>400</v>
      </c>
      <c r="H1561" s="85" t="str">
        <f>IF(Proc[[#This Row],[type]]="LFF (MDG-F)",MID(Proc[[#This Row],[Obj]],13,10),"")</f>
        <v/>
      </c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7">
        <v>45801.263680555552</v>
      </c>
      <c r="N1561" s="87"/>
      <c r="O1561" s="87"/>
      <c r="P1561" s="90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138</v>
      </c>
      <c r="R1561" s="90" t="s">
        <v>489</v>
      </c>
      <c r="S1561" s="85"/>
    </row>
    <row r="1562" spans="1:19" hidden="1">
      <c r="A1562" s="89" t="s">
        <v>3404</v>
      </c>
      <c r="B1562" s="149" t="str">
        <f>IFERROR(VLOOKUP(Proc[[#This Row],[App]],Table2[],3,0),"open")</f>
        <v>ok</v>
      </c>
      <c r="C1562" s="89" t="s">
        <v>369</v>
      </c>
      <c r="D1562" t="s">
        <v>3468</v>
      </c>
      <c r="E1562" t="s">
        <v>3531</v>
      </c>
      <c r="F1562" s="117" t="s">
        <v>3531</v>
      </c>
      <c r="G1562" s="89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LS</v>
      </c>
      <c r="L1562" s="85" t="s">
        <v>2563</v>
      </c>
      <c r="M1562" s="87">
        <v>45801.263680555552</v>
      </c>
      <c r="N1562" s="87"/>
      <c r="O1562" s="87"/>
      <c r="P1562" s="90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138</v>
      </c>
      <c r="R1562" s="90" t="s">
        <v>489</v>
      </c>
      <c r="S1562" s="85"/>
    </row>
    <row r="1563" spans="1:19" hidden="1">
      <c r="A1563" s="89" t="s">
        <v>3404</v>
      </c>
      <c r="B1563" s="149" t="str">
        <f>IFERROR(VLOOKUP(Proc[[#This Row],[App]],Table2[],3,0),"open")</f>
        <v>ok</v>
      </c>
      <c r="C1563" s="89" t="s">
        <v>369</v>
      </c>
      <c r="D1563" t="s">
        <v>3469</v>
      </c>
      <c r="E1563" t="s">
        <v>3537</v>
      </c>
      <c r="F1563" s="117" t="s">
        <v>3537</v>
      </c>
      <c r="G1563" s="89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LS</v>
      </c>
      <c r="L1563" s="85" t="s">
        <v>2563</v>
      </c>
      <c r="M1563" s="87">
        <v>45801.263680555552</v>
      </c>
      <c r="N1563" s="87"/>
      <c r="O1563" s="87"/>
      <c r="P1563" s="90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138</v>
      </c>
      <c r="R1563" s="90" t="s">
        <v>489</v>
      </c>
      <c r="S1563" s="85"/>
    </row>
    <row r="1564" spans="1:19" hidden="1">
      <c r="A1564" s="89" t="s">
        <v>3404</v>
      </c>
      <c r="B1564" s="149" t="str">
        <f>IFERROR(VLOOKUP(Proc[[#This Row],[App]],Table2[],3,0),"open")</f>
        <v>ok</v>
      </c>
      <c r="C1564" s="89" t="s">
        <v>369</v>
      </c>
      <c r="D1564" t="s">
        <v>3470</v>
      </c>
      <c r="E1564" t="s">
        <v>3527</v>
      </c>
      <c r="F1564" s="117" t="s">
        <v>3527</v>
      </c>
      <c r="G1564" s="89" t="s">
        <v>400</v>
      </c>
      <c r="H1564" s="85" t="str">
        <f>IF(Proc[[#This Row],[type]]="LFF (MDG-F)",MID(Proc[[#This Row],[Obj]],13,10),"")</f>
        <v/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LS</v>
      </c>
      <c r="L1564" s="85" t="s">
        <v>2563</v>
      </c>
      <c r="M1564" s="87">
        <v>45801.263680555552</v>
      </c>
      <c r="N1564" s="87"/>
      <c r="O1564" s="87"/>
      <c r="P1564" s="90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138</v>
      </c>
      <c r="R1564" s="90" t="s">
        <v>489</v>
      </c>
      <c r="S1564" s="85"/>
    </row>
    <row r="1565" spans="1:19" hidden="1">
      <c r="A1565" s="89" t="s">
        <v>3404</v>
      </c>
      <c r="B1565" s="149" t="str">
        <f>IFERROR(VLOOKUP(Proc[[#This Row],[App]],Table2[],3,0),"open")</f>
        <v>ok</v>
      </c>
      <c r="C1565" s="89" t="s">
        <v>369</v>
      </c>
      <c r="D1565" t="s">
        <v>3471</v>
      </c>
      <c r="E1565" t="s">
        <v>3538</v>
      </c>
      <c r="F1565" s="117" t="s">
        <v>3538</v>
      </c>
      <c r="G1565" s="89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LS</v>
      </c>
      <c r="L1565" s="85" t="s">
        <v>2563</v>
      </c>
      <c r="M1565" s="87">
        <v>45801.263680555552</v>
      </c>
      <c r="N1565" s="87"/>
      <c r="O1565" s="87"/>
      <c r="P1565" s="90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138</v>
      </c>
      <c r="R1565" s="90" t="s">
        <v>489</v>
      </c>
      <c r="S1565" s="85"/>
    </row>
    <row r="1566" spans="1:19" hidden="1">
      <c r="A1566" s="89" t="s">
        <v>3404</v>
      </c>
      <c r="B1566" s="149" t="str">
        <f>IFERROR(VLOOKUP(Proc[[#This Row],[App]],Table2[],3,0),"open")</f>
        <v>ok</v>
      </c>
      <c r="C1566" s="89" t="s">
        <v>369</v>
      </c>
      <c r="D1566" t="s">
        <v>2579</v>
      </c>
      <c r="E1566" t="s">
        <v>3539</v>
      </c>
      <c r="F1566" s="117" t="s">
        <v>3539</v>
      </c>
      <c r="G1566" s="89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LS</v>
      </c>
      <c r="L1566" s="85" t="s">
        <v>2563</v>
      </c>
      <c r="M1566" s="87">
        <v>45801.263680555552</v>
      </c>
      <c r="N1566" s="87"/>
      <c r="O1566" s="87"/>
      <c r="P1566" s="90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138</v>
      </c>
      <c r="R1566" s="90" t="s">
        <v>489</v>
      </c>
      <c r="S1566" s="85"/>
    </row>
    <row r="1567" spans="1:19" hidden="1">
      <c r="A1567" s="89" t="s">
        <v>3404</v>
      </c>
      <c r="B1567" s="149" t="str">
        <f>IFERROR(VLOOKUP(Proc[[#This Row],[App]],Table2[],3,0),"open")</f>
        <v>ok</v>
      </c>
      <c r="C1567" s="89" t="s">
        <v>369</v>
      </c>
      <c r="D1567" t="s">
        <v>3472</v>
      </c>
      <c r="E1567" t="s">
        <v>3514</v>
      </c>
      <c r="F1567" s="117" t="s">
        <v>3514</v>
      </c>
      <c r="G1567" s="89" t="s">
        <v>400</v>
      </c>
      <c r="H1567" s="85" t="str">
        <f>IF(Proc[[#This Row],[type]]="LFF (MDG-F)",MID(Proc[[#This Row],[Obj]],13,10),"")</f>
        <v/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LS</v>
      </c>
      <c r="L1567" s="85" t="s">
        <v>2563</v>
      </c>
      <c r="M1567" s="87">
        <v>45801.263680555552</v>
      </c>
      <c r="N1567" s="87"/>
      <c r="O1567" s="87"/>
      <c r="P1567" s="90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138</v>
      </c>
      <c r="R1567" s="90" t="s">
        <v>489</v>
      </c>
      <c r="S1567" s="85"/>
    </row>
    <row r="1568" spans="1:19" hidden="1">
      <c r="A1568" s="89" t="s">
        <v>3404</v>
      </c>
      <c r="B1568" s="149" t="str">
        <f>IFERROR(VLOOKUP(Proc[[#This Row],[App]],Table2[],3,0),"open")</f>
        <v>ok</v>
      </c>
      <c r="C1568" s="89" t="s">
        <v>369</v>
      </c>
      <c r="D1568" t="s">
        <v>2580</v>
      </c>
      <c r="E1568" t="s">
        <v>3540</v>
      </c>
      <c r="F1568" s="117" t="s">
        <v>3540</v>
      </c>
      <c r="G1568" s="89" t="s">
        <v>400</v>
      </c>
      <c r="H1568" s="85" t="str">
        <f>IF(Proc[[#This Row],[type]]="LFF (MDG-F)",MID(Proc[[#This Row],[Obj]],13,10),"")</f>
        <v/>
      </c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7">
        <v>45801.263680555552</v>
      </c>
      <c r="N1568" s="87"/>
      <c r="O1568" s="87"/>
      <c r="P1568" s="90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138</v>
      </c>
      <c r="R1568" s="90" t="s">
        <v>489</v>
      </c>
      <c r="S1568" s="85"/>
    </row>
    <row r="1569" spans="1:19" hidden="1">
      <c r="A1569" s="89" t="s">
        <v>3404</v>
      </c>
      <c r="B1569" s="149" t="str">
        <f>IFERROR(VLOOKUP(Proc[[#This Row],[App]],Table2[],3,0),"open")</f>
        <v>ok</v>
      </c>
      <c r="C1569" s="89" t="s">
        <v>369</v>
      </c>
      <c r="D1569" t="s">
        <v>3473</v>
      </c>
      <c r="E1569" t="s">
        <v>3520</v>
      </c>
      <c r="F1569" s="117" t="s">
        <v>3520</v>
      </c>
      <c r="G1569" s="89" t="s">
        <v>400</v>
      </c>
      <c r="H1569" s="85" t="str">
        <f>IF(Proc[[#This Row],[type]]="LFF (MDG-F)",MID(Proc[[#This Row],[Obj]],13,10),"")</f>
        <v/>
      </c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7">
        <v>45801.263680555552</v>
      </c>
      <c r="N1569" s="87"/>
      <c r="O1569" s="87"/>
      <c r="P1569" s="90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138</v>
      </c>
      <c r="R1569" s="90" t="s">
        <v>489</v>
      </c>
      <c r="S1569" s="85"/>
    </row>
    <row r="1570" spans="1:19" hidden="1">
      <c r="A1570" s="89" t="s">
        <v>3404</v>
      </c>
      <c r="B1570" s="149" t="str">
        <f>IFERROR(VLOOKUP(Proc[[#This Row],[App]],Table2[],3,0),"open")</f>
        <v>ok</v>
      </c>
      <c r="C1570" s="89" t="s">
        <v>369</v>
      </c>
      <c r="D1570" t="s">
        <v>3474</v>
      </c>
      <c r="E1570" t="s">
        <v>3527</v>
      </c>
      <c r="F1570" s="117" t="s">
        <v>3527</v>
      </c>
      <c r="G1570" s="89" t="s">
        <v>400</v>
      </c>
      <c r="H1570" s="85" t="str">
        <f>IF(Proc[[#This Row],[type]]="LFF (MDG-F)",MID(Proc[[#This Row],[Obj]],13,10),"")</f>
        <v/>
      </c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7">
        <v>45801.263680555552</v>
      </c>
      <c r="N1570" s="87"/>
      <c r="O1570" s="87"/>
      <c r="P1570" s="90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138</v>
      </c>
      <c r="R1570" s="90" t="s">
        <v>489</v>
      </c>
      <c r="S1570" s="85"/>
    </row>
    <row r="1571" spans="1:19" hidden="1">
      <c r="A1571" s="89" t="s">
        <v>3404</v>
      </c>
      <c r="B1571" s="149" t="str">
        <f>IFERROR(VLOOKUP(Proc[[#This Row],[App]],Table2[],3,0),"open")</f>
        <v>ok</v>
      </c>
      <c r="C1571" s="89" t="s">
        <v>369</v>
      </c>
      <c r="D1571" t="s">
        <v>3475</v>
      </c>
      <c r="E1571" t="s">
        <v>3527</v>
      </c>
      <c r="F1571" s="117" t="s">
        <v>3527</v>
      </c>
      <c r="G1571" s="89" t="s">
        <v>400</v>
      </c>
      <c r="H1571" s="85" t="str">
        <f>IF(Proc[[#This Row],[type]]="LFF (MDG-F)",MID(Proc[[#This Row],[Obj]],13,10),"")</f>
        <v/>
      </c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7">
        <v>45801.263680555552</v>
      </c>
      <c r="N1571" s="87"/>
      <c r="O1571" s="87"/>
      <c r="P1571" s="90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138</v>
      </c>
      <c r="R1571" s="90" t="s">
        <v>489</v>
      </c>
      <c r="S1571" s="85"/>
    </row>
    <row r="1572" spans="1:19" hidden="1">
      <c r="A1572" s="89" t="s">
        <v>3404</v>
      </c>
      <c r="B1572" s="149" t="str">
        <f>IFERROR(VLOOKUP(Proc[[#This Row],[App]],Table2[],3,0),"open")</f>
        <v>ok</v>
      </c>
      <c r="C1572" s="89" t="s">
        <v>369</v>
      </c>
      <c r="D1572" t="s">
        <v>3476</v>
      </c>
      <c r="E1572" t="s">
        <v>3516</v>
      </c>
      <c r="F1572" s="117" t="s">
        <v>3516</v>
      </c>
      <c r="G1572" s="89" t="s">
        <v>400</v>
      </c>
      <c r="H1572" s="85" t="str">
        <f>IF(Proc[[#This Row],[type]]="LFF (MDG-F)",MID(Proc[[#This Row],[Obj]],13,10),"")</f>
        <v/>
      </c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7">
        <v>45801.263680555552</v>
      </c>
      <c r="N1572" s="87"/>
      <c r="O1572" s="87"/>
      <c r="P1572" s="90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138</v>
      </c>
      <c r="R1572" s="90" t="s">
        <v>489</v>
      </c>
      <c r="S1572" s="85"/>
    </row>
    <row r="1573" spans="1:19" hidden="1">
      <c r="A1573" s="89" t="s">
        <v>3404</v>
      </c>
      <c r="B1573" s="149" t="str">
        <f>IFERROR(VLOOKUP(Proc[[#This Row],[App]],Table2[],3,0),"open")</f>
        <v>ok</v>
      </c>
      <c r="C1573" s="89" t="s">
        <v>369</v>
      </c>
      <c r="D1573" t="s">
        <v>3477</v>
      </c>
      <c r="E1573" t="s">
        <v>3516</v>
      </c>
      <c r="F1573" s="117" t="s">
        <v>3516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LS</v>
      </c>
      <c r="L1573" s="85" t="s">
        <v>2563</v>
      </c>
      <c r="M1573" s="87">
        <v>45801.263680555552</v>
      </c>
      <c r="N1573" s="87"/>
      <c r="O1573" s="87"/>
      <c r="P1573" s="90" t="str">
        <f ca="1">IF(Proc[[#This Row],[DaysAgeing]]&gt;5,"yep","on track")</f>
        <v>yep</v>
      </c>
      <c r="Q1573" s="3">
        <f ca="1">IF(Proc[[#This Row],[DateClosed]]="",ABS(NETWORKDAYS(Proc[[#This Row],[DateOpened]],TODAY()))-1,ABS(NETWORKDAYS(Proc[[#This Row],[DateOpened]],Proc[[#This Row],[DateClosed]]))-1)</f>
        <v>138</v>
      </c>
      <c r="R1573" s="90" t="s">
        <v>489</v>
      </c>
      <c r="S1573" s="85"/>
    </row>
    <row r="1574" spans="1:19" hidden="1">
      <c r="A1574" s="89" t="s">
        <v>3404</v>
      </c>
      <c r="B1574" s="149" t="str">
        <f>IFERROR(VLOOKUP(Proc[[#This Row],[App]],Table2[],3,0),"open")</f>
        <v>ok</v>
      </c>
      <c r="C1574" s="89" t="s">
        <v>369</v>
      </c>
      <c r="D1574" t="s">
        <v>3478</v>
      </c>
      <c r="E1574" t="s">
        <v>3523</v>
      </c>
      <c r="F1574" s="117" t="s">
        <v>3523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LS</v>
      </c>
      <c r="L1574" s="85" t="s">
        <v>2563</v>
      </c>
      <c r="M1574" s="87">
        <v>45801.263680555552</v>
      </c>
      <c r="N1574" s="87"/>
      <c r="O1574" s="87"/>
      <c r="P1574" s="90" t="str">
        <f ca="1">IF(Proc[[#This Row],[DaysAgeing]]&gt;5,"yep","on track")</f>
        <v>yep</v>
      </c>
      <c r="Q1574" s="3">
        <f ca="1">IF(Proc[[#This Row],[DateClosed]]="",ABS(NETWORKDAYS(Proc[[#This Row],[DateOpened]],TODAY()))-1,ABS(NETWORKDAYS(Proc[[#This Row],[DateOpened]],Proc[[#This Row],[DateClosed]]))-1)</f>
        <v>138</v>
      </c>
      <c r="R1574" s="90" t="s">
        <v>489</v>
      </c>
      <c r="S1574" s="85"/>
    </row>
    <row r="1575" spans="1:19" hidden="1">
      <c r="A1575" s="89" t="s">
        <v>3404</v>
      </c>
      <c r="B1575" s="149" t="str">
        <f>IFERROR(VLOOKUP(Proc[[#This Row],[App]],Table2[],3,0),"open")</f>
        <v>ok</v>
      </c>
      <c r="C1575" s="89" t="s">
        <v>369</v>
      </c>
      <c r="D1575" t="s">
        <v>3479</v>
      </c>
      <c r="E1575" t="s">
        <v>3536</v>
      </c>
      <c r="F1575" s="117" t="s">
        <v>3536</v>
      </c>
      <c r="G1575" s="89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45801.263680555552</v>
      </c>
      <c r="N1575" s="87"/>
      <c r="O1575" s="87"/>
      <c r="P1575" s="90" t="str">
        <f ca="1">IF(Proc[[#This Row],[DaysAgeing]]&gt;5,"yep","on track")</f>
        <v>yep</v>
      </c>
      <c r="Q1575" s="3">
        <f ca="1">IF(Proc[[#This Row],[DateClosed]]="",ABS(NETWORKDAYS(Proc[[#This Row],[DateOpened]],TODAY()))-1,ABS(NETWORKDAYS(Proc[[#This Row],[DateOpened]],Proc[[#This Row],[DateClosed]]))-1)</f>
        <v>138</v>
      </c>
      <c r="R1575" s="90" t="s">
        <v>489</v>
      </c>
      <c r="S1575" s="85"/>
    </row>
    <row r="1576" spans="1:19" hidden="1">
      <c r="A1576" s="89" t="s">
        <v>3404</v>
      </c>
      <c r="B1576" s="149" t="str">
        <f>IFERROR(VLOOKUP(Proc[[#This Row],[App]],Table2[],3,0),"open")</f>
        <v>ok</v>
      </c>
      <c r="C1576" s="89" t="s">
        <v>369</v>
      </c>
      <c r="D1576" t="s">
        <v>3480</v>
      </c>
      <c r="E1576" t="s">
        <v>3530</v>
      </c>
      <c r="F1576" s="117" t="s">
        <v>3530</v>
      </c>
      <c r="G1576" s="89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LS</v>
      </c>
      <c r="L1576" s="85" t="s">
        <v>2563</v>
      </c>
      <c r="M1576" s="87">
        <v>45801.263680555552</v>
      </c>
      <c r="N1576" s="87"/>
      <c r="O1576" s="87"/>
      <c r="P1576" s="90" t="str">
        <f ca="1">IF(Proc[[#This Row],[DaysAgeing]]&gt;5,"yep","on track")</f>
        <v>yep</v>
      </c>
      <c r="Q1576" s="3">
        <f ca="1">IF(Proc[[#This Row],[DateClosed]]="",ABS(NETWORKDAYS(Proc[[#This Row],[DateOpened]],TODAY()))-1,ABS(NETWORKDAYS(Proc[[#This Row],[DateOpened]],Proc[[#This Row],[DateClosed]]))-1)</f>
        <v>138</v>
      </c>
      <c r="R1576" s="90" t="s">
        <v>489</v>
      </c>
      <c r="S1576" s="85"/>
    </row>
    <row r="1577" spans="1:19" hidden="1">
      <c r="A1577" s="89" t="s">
        <v>3404</v>
      </c>
      <c r="B1577" s="149" t="str">
        <f>IFERROR(VLOOKUP(Proc[[#This Row],[App]],Table2[],3,0),"open")</f>
        <v>ok</v>
      </c>
      <c r="C1577" s="89" t="s">
        <v>369</v>
      </c>
      <c r="D1577" t="s">
        <v>3481</v>
      </c>
      <c r="E1577" t="s">
        <v>3524</v>
      </c>
      <c r="F1577" s="117" t="s">
        <v>3524</v>
      </c>
      <c r="G1577" s="89" t="s">
        <v>400</v>
      </c>
      <c r="H1577" s="85" t="str">
        <f>IF(Proc[[#This Row],[type]]="LFF (MDG-F)",MID(Proc[[#This Row],[Obj]],13,10),"")</f>
        <v/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LS</v>
      </c>
      <c r="L1577" s="85" t="s">
        <v>2563</v>
      </c>
      <c r="M1577" s="87">
        <v>45801.263680555552</v>
      </c>
      <c r="N1577" s="87"/>
      <c r="O1577" s="87"/>
      <c r="P1577" s="90" t="str">
        <f ca="1">IF(Proc[[#This Row],[DaysAgeing]]&gt;5,"yep","on track")</f>
        <v>yep</v>
      </c>
      <c r="Q1577" s="3">
        <f ca="1">IF(Proc[[#This Row],[DateClosed]]="",ABS(NETWORKDAYS(Proc[[#This Row],[DateOpened]],TODAY()))-1,ABS(NETWORKDAYS(Proc[[#This Row],[DateOpened]],Proc[[#This Row],[DateClosed]]))-1)</f>
        <v>138</v>
      </c>
      <c r="R1577" s="90" t="s">
        <v>489</v>
      </c>
      <c r="S1577" s="85"/>
    </row>
    <row r="1578" spans="1:19" hidden="1">
      <c r="A1578" s="89" t="s">
        <v>3404</v>
      </c>
      <c r="B1578" s="149" t="str">
        <f>IFERROR(VLOOKUP(Proc[[#This Row],[App]],Table2[],3,0),"open")</f>
        <v>ok</v>
      </c>
      <c r="C1578" s="89" t="s">
        <v>369</v>
      </c>
      <c r="D1578" t="s">
        <v>3482</v>
      </c>
      <c r="E1578" t="s">
        <v>3530</v>
      </c>
      <c r="F1578" s="117" t="s">
        <v>3530</v>
      </c>
      <c r="G1578" s="89" t="s">
        <v>400</v>
      </c>
      <c r="H1578" s="85" t="str">
        <f>IF(Proc[[#This Row],[type]]="LFF (MDG-F)",MID(Proc[[#This Row],[Obj]],13,10),"")</f>
        <v/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LS</v>
      </c>
      <c r="L1578" s="85" t="s">
        <v>2563</v>
      </c>
      <c r="M1578" s="87">
        <v>45801.263680555552</v>
      </c>
      <c r="N1578" s="87"/>
      <c r="O1578" s="87"/>
      <c r="P1578" s="90" t="str">
        <f ca="1">IF(Proc[[#This Row],[DaysAgeing]]&gt;5,"yep","on track")</f>
        <v>yep</v>
      </c>
      <c r="Q1578" s="3">
        <f ca="1">IF(Proc[[#This Row],[DateClosed]]="",ABS(NETWORKDAYS(Proc[[#This Row],[DateOpened]],TODAY()))-1,ABS(NETWORKDAYS(Proc[[#This Row],[DateOpened]],Proc[[#This Row],[DateClosed]]))-1)</f>
        <v>138</v>
      </c>
      <c r="R1578" s="90" t="s">
        <v>489</v>
      </c>
      <c r="S1578" s="85"/>
    </row>
    <row r="1579" spans="1:19" hidden="1">
      <c r="A1579" s="89" t="s">
        <v>3404</v>
      </c>
      <c r="B1579" s="149" t="str">
        <f>IFERROR(VLOOKUP(Proc[[#This Row],[App]],Table2[],3,0),"open")</f>
        <v>ok</v>
      </c>
      <c r="C1579" s="89" t="s">
        <v>369</v>
      </c>
      <c r="D1579" t="s">
        <v>3483</v>
      </c>
      <c r="E1579" t="s">
        <v>3537</v>
      </c>
      <c r="F1579" s="117" t="s">
        <v>3537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LS</v>
      </c>
      <c r="L1579" s="85" t="s">
        <v>2563</v>
      </c>
      <c r="M1579" s="87">
        <v>45801.263680555552</v>
      </c>
      <c r="N1579" s="87"/>
      <c r="O1579" s="87"/>
      <c r="P1579" s="90" t="str">
        <f ca="1">IF(Proc[[#This Row],[DaysAgeing]]&gt;5,"yep","on track")</f>
        <v>yep</v>
      </c>
      <c r="Q1579" s="3">
        <f ca="1">IF(Proc[[#This Row],[DateClosed]]="",ABS(NETWORKDAYS(Proc[[#This Row],[DateOpened]],TODAY()))-1,ABS(NETWORKDAYS(Proc[[#This Row],[DateOpened]],Proc[[#This Row],[DateClosed]]))-1)</f>
        <v>138</v>
      </c>
      <c r="R1579" s="90" t="s">
        <v>489</v>
      </c>
      <c r="S1579" s="85"/>
    </row>
    <row r="1580" spans="1:19" hidden="1">
      <c r="A1580" s="89" t="s">
        <v>3404</v>
      </c>
      <c r="B1580" s="149" t="str">
        <f>IFERROR(VLOOKUP(Proc[[#This Row],[App]],Table2[],3,0),"open")</f>
        <v>ok</v>
      </c>
      <c r="C1580" s="89" t="s">
        <v>369</v>
      </c>
      <c r="D1580" t="s">
        <v>3484</v>
      </c>
      <c r="E1580" t="s">
        <v>3527</v>
      </c>
      <c r="F1580" s="117" t="s">
        <v>3527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LS</v>
      </c>
      <c r="L1580" s="85" t="s">
        <v>2563</v>
      </c>
      <c r="M1580" s="87">
        <v>45801.263680555552</v>
      </c>
      <c r="N1580" s="87"/>
      <c r="O1580" s="87"/>
      <c r="P1580" s="90" t="str">
        <f ca="1">IF(Proc[[#This Row],[DaysAgeing]]&gt;5,"yep","on track")</f>
        <v>yep</v>
      </c>
      <c r="Q1580" s="3">
        <f ca="1">IF(Proc[[#This Row],[DateClosed]]="",ABS(NETWORKDAYS(Proc[[#This Row],[DateOpened]],TODAY()))-1,ABS(NETWORKDAYS(Proc[[#This Row],[DateOpened]],Proc[[#This Row],[DateClosed]]))-1)</f>
        <v>138</v>
      </c>
      <c r="R1580" s="90" t="s">
        <v>489</v>
      </c>
      <c r="S1580" s="85"/>
    </row>
    <row r="1581" spans="1:19" hidden="1">
      <c r="A1581" s="89" t="s">
        <v>3404</v>
      </c>
      <c r="B1581" s="149" t="str">
        <f>IFERROR(VLOOKUP(Proc[[#This Row],[App]],Table2[],3,0),"open")</f>
        <v>ok</v>
      </c>
      <c r="C1581" s="89" t="s">
        <v>369</v>
      </c>
      <c r="D1581" t="s">
        <v>3485</v>
      </c>
      <c r="E1581" t="s">
        <v>3541</v>
      </c>
      <c r="F1581" s="117" t="s">
        <v>3541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LS</v>
      </c>
      <c r="L1581" s="85" t="s">
        <v>2563</v>
      </c>
      <c r="M1581" s="87">
        <v>45801.263680555552</v>
      </c>
      <c r="N1581" s="87"/>
      <c r="O1581" s="87"/>
      <c r="P1581" s="90" t="str">
        <f ca="1">IF(Proc[[#This Row],[DaysAgeing]]&gt;5,"yep","on track")</f>
        <v>yep</v>
      </c>
      <c r="Q1581" s="3">
        <f ca="1">IF(Proc[[#This Row],[DateClosed]]="",ABS(NETWORKDAYS(Proc[[#This Row],[DateOpened]],TODAY()))-1,ABS(NETWORKDAYS(Proc[[#This Row],[DateOpened]],Proc[[#This Row],[DateClosed]]))-1)</f>
        <v>138</v>
      </c>
      <c r="R1581" s="90" t="s">
        <v>489</v>
      </c>
      <c r="S1581" s="85"/>
    </row>
    <row r="1582" spans="1:19" hidden="1">
      <c r="A1582" s="89" t="s">
        <v>3404</v>
      </c>
      <c r="B1582" s="149" t="str">
        <f>IFERROR(VLOOKUP(Proc[[#This Row],[App]],Table2[],3,0),"open")</f>
        <v>ok</v>
      </c>
      <c r="C1582" s="89" t="s">
        <v>369</v>
      </c>
      <c r="D1582" t="s">
        <v>3486</v>
      </c>
      <c r="E1582" t="s">
        <v>3524</v>
      </c>
      <c r="F1582" s="117" t="s">
        <v>3524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LS</v>
      </c>
      <c r="L1582" s="85" t="s">
        <v>2563</v>
      </c>
      <c r="M1582" s="87">
        <v>45801.263680555552</v>
      </c>
      <c r="N1582" s="87"/>
      <c r="O1582" s="87"/>
      <c r="P1582" s="90" t="str">
        <f ca="1">IF(Proc[[#This Row],[DaysAgeing]]&gt;5,"yep","on track")</f>
        <v>yep</v>
      </c>
      <c r="Q1582" s="3">
        <f ca="1">IF(Proc[[#This Row],[DateClosed]]="",ABS(NETWORKDAYS(Proc[[#This Row],[DateOpened]],TODAY()))-1,ABS(NETWORKDAYS(Proc[[#This Row],[DateOpened]],Proc[[#This Row],[DateClosed]]))-1)</f>
        <v>138</v>
      </c>
      <c r="R1582" s="90" t="s">
        <v>489</v>
      </c>
      <c r="S1582" s="85"/>
    </row>
    <row r="1583" spans="1:19" hidden="1">
      <c r="A1583" s="89" t="s">
        <v>3404</v>
      </c>
      <c r="B1583" s="149" t="str">
        <f>IFERROR(VLOOKUP(Proc[[#This Row],[App]],Table2[],3,0),"open")</f>
        <v>ok</v>
      </c>
      <c r="C1583" s="89" t="s">
        <v>369</v>
      </c>
      <c r="D1583" t="s">
        <v>3487</v>
      </c>
      <c r="E1583" t="s">
        <v>3514</v>
      </c>
      <c r="F1583" s="117" t="s">
        <v>3514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LS</v>
      </c>
      <c r="L1583" s="85" t="s">
        <v>2563</v>
      </c>
      <c r="M1583" s="87">
        <v>45801.263680555552</v>
      </c>
      <c r="N1583" s="87"/>
      <c r="O1583" s="87"/>
      <c r="P1583" s="90" t="str">
        <f ca="1">IF(Proc[[#This Row],[DaysAgeing]]&gt;5,"yep","on track")</f>
        <v>yep</v>
      </c>
      <c r="Q1583" s="3">
        <f ca="1">IF(Proc[[#This Row],[DateClosed]]="",ABS(NETWORKDAYS(Proc[[#This Row],[DateOpened]],TODAY()))-1,ABS(NETWORKDAYS(Proc[[#This Row],[DateOpened]],Proc[[#This Row],[DateClosed]]))-1)</f>
        <v>138</v>
      </c>
      <c r="R1583" s="90" t="s">
        <v>489</v>
      </c>
      <c r="S1583" s="85"/>
    </row>
    <row r="1584" spans="1:19" hidden="1">
      <c r="A1584" s="89" t="s">
        <v>3404</v>
      </c>
      <c r="B1584" s="149" t="str">
        <f>IFERROR(VLOOKUP(Proc[[#This Row],[App]],Table2[],3,0),"open")</f>
        <v>ok</v>
      </c>
      <c r="C1584" s="89" t="s">
        <v>369</v>
      </c>
      <c r="D1584" t="s">
        <v>3488</v>
      </c>
      <c r="E1584" t="s">
        <v>3516</v>
      </c>
      <c r="F1584" s="117" t="s">
        <v>3516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LS</v>
      </c>
      <c r="L1584" s="85" t="s">
        <v>2563</v>
      </c>
      <c r="M1584" s="87">
        <v>45801.263680555552</v>
      </c>
      <c r="N1584" s="87"/>
      <c r="O1584" s="87"/>
      <c r="P1584" s="90" t="str">
        <f ca="1">IF(Proc[[#This Row],[DaysAgeing]]&gt;5,"yep","on track")</f>
        <v>yep</v>
      </c>
      <c r="Q1584" s="3">
        <f ca="1">IF(Proc[[#This Row],[DateClosed]]="",ABS(NETWORKDAYS(Proc[[#This Row],[DateOpened]],TODAY()))-1,ABS(NETWORKDAYS(Proc[[#This Row],[DateOpened]],Proc[[#This Row],[DateClosed]]))-1)</f>
        <v>138</v>
      </c>
      <c r="R1584" s="90" t="s">
        <v>489</v>
      </c>
      <c r="S1584" s="85"/>
    </row>
    <row r="1585" spans="1:19" hidden="1">
      <c r="A1585" s="89" t="s">
        <v>3404</v>
      </c>
      <c r="B1585" s="149" t="str">
        <f>IFERROR(VLOOKUP(Proc[[#This Row],[App]],Table2[],3,0),"open")</f>
        <v>ok</v>
      </c>
      <c r="C1585" s="89" t="s">
        <v>369</v>
      </c>
      <c r="D1585" t="s">
        <v>3489</v>
      </c>
      <c r="E1585" t="s">
        <v>3530</v>
      </c>
      <c r="F1585" s="117" t="s">
        <v>3530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LS</v>
      </c>
      <c r="L1585" s="85" t="s">
        <v>2563</v>
      </c>
      <c r="M1585" s="87">
        <v>45801.263680555552</v>
      </c>
      <c r="N1585" s="87"/>
      <c r="O1585" s="87"/>
      <c r="P1585" s="90" t="str">
        <f ca="1">IF(Proc[[#This Row],[DaysAgeing]]&gt;5,"yep","on track")</f>
        <v>yep</v>
      </c>
      <c r="Q1585" s="3">
        <f ca="1">IF(Proc[[#This Row],[DateClosed]]="",ABS(NETWORKDAYS(Proc[[#This Row],[DateOpened]],TODAY()))-1,ABS(NETWORKDAYS(Proc[[#This Row],[DateOpened]],Proc[[#This Row],[DateClosed]]))-1)</f>
        <v>138</v>
      </c>
      <c r="R1585" s="90" t="s">
        <v>489</v>
      </c>
      <c r="S1585" s="85"/>
    </row>
    <row r="1586" spans="1:19" hidden="1">
      <c r="A1586" s="89" t="s">
        <v>3404</v>
      </c>
      <c r="B1586" s="149" t="str">
        <f>IFERROR(VLOOKUP(Proc[[#This Row],[App]],Table2[],3,0),"open")</f>
        <v>ok</v>
      </c>
      <c r="C1586" s="89" t="s">
        <v>369</v>
      </c>
      <c r="D1586" t="s">
        <v>3490</v>
      </c>
      <c r="E1586" t="s">
        <v>3523</v>
      </c>
      <c r="F1586" s="117" t="s">
        <v>3523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LS</v>
      </c>
      <c r="L1586" s="85" t="s">
        <v>2563</v>
      </c>
      <c r="M1586" s="87">
        <v>45801.263680555552</v>
      </c>
      <c r="N1586" s="87"/>
      <c r="O1586" s="87"/>
      <c r="P1586" s="90" t="str">
        <f ca="1">IF(Proc[[#This Row],[DaysAgeing]]&gt;5,"yep","on track")</f>
        <v>yep</v>
      </c>
      <c r="Q1586" s="3">
        <f ca="1">IF(Proc[[#This Row],[DateClosed]]="",ABS(NETWORKDAYS(Proc[[#This Row],[DateOpened]],TODAY()))-1,ABS(NETWORKDAYS(Proc[[#This Row],[DateOpened]],Proc[[#This Row],[DateClosed]]))-1)</f>
        <v>138</v>
      </c>
      <c r="R1586" s="90" t="s">
        <v>489</v>
      </c>
      <c r="S1586" s="85"/>
    </row>
    <row r="1587" spans="1:19" hidden="1">
      <c r="A1587" s="89" t="s">
        <v>3404</v>
      </c>
      <c r="B1587" s="149" t="str">
        <f>IFERROR(VLOOKUP(Proc[[#This Row],[App]],Table2[],3,0),"open")</f>
        <v>ok</v>
      </c>
      <c r="C1587" s="89" t="s">
        <v>369</v>
      </c>
      <c r="D1587" t="s">
        <v>3491</v>
      </c>
      <c r="E1587" t="s">
        <v>3527</v>
      </c>
      <c r="F1587" s="117" t="s">
        <v>3527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LS</v>
      </c>
      <c r="L1587" s="85" t="s">
        <v>2563</v>
      </c>
      <c r="M1587" s="87">
        <v>45801.263680555552</v>
      </c>
      <c r="N1587" s="87"/>
      <c r="O1587" s="87"/>
      <c r="P1587" s="90" t="str">
        <f ca="1">IF(Proc[[#This Row],[DaysAgeing]]&gt;5,"yep","on track")</f>
        <v>yep</v>
      </c>
      <c r="Q1587" s="3">
        <f ca="1">IF(Proc[[#This Row],[DateClosed]]="",ABS(NETWORKDAYS(Proc[[#This Row],[DateOpened]],TODAY()))-1,ABS(NETWORKDAYS(Proc[[#This Row],[DateOpened]],Proc[[#This Row],[DateClosed]]))-1)</f>
        <v>138</v>
      </c>
      <c r="R1587" s="90" t="s">
        <v>489</v>
      </c>
      <c r="S1587" s="85"/>
    </row>
    <row r="1588" spans="1:19" hidden="1">
      <c r="A1588" s="89" t="s">
        <v>3404</v>
      </c>
      <c r="B1588" s="149" t="str">
        <f>IFERROR(VLOOKUP(Proc[[#This Row],[App]],Table2[],3,0),"open")</f>
        <v>ok</v>
      </c>
      <c r="C1588" s="89" t="s">
        <v>369</v>
      </c>
      <c r="D1588" t="s">
        <v>3492</v>
      </c>
      <c r="E1588" t="s">
        <v>3516</v>
      </c>
      <c r="F1588" s="117" t="s">
        <v>3516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LS</v>
      </c>
      <c r="L1588" s="85" t="s">
        <v>2563</v>
      </c>
      <c r="M1588" s="87">
        <v>45801.263680555552</v>
      </c>
      <c r="N1588" s="87"/>
      <c r="O1588" s="87"/>
      <c r="P1588" s="90" t="str">
        <f ca="1">IF(Proc[[#This Row],[DaysAgeing]]&gt;5,"yep","on track")</f>
        <v>yep</v>
      </c>
      <c r="Q1588" s="3">
        <f ca="1">IF(Proc[[#This Row],[DateClosed]]="",ABS(NETWORKDAYS(Proc[[#This Row],[DateOpened]],TODAY()))-1,ABS(NETWORKDAYS(Proc[[#This Row],[DateOpened]],Proc[[#This Row],[DateClosed]]))-1)</f>
        <v>138</v>
      </c>
      <c r="R1588" s="90" t="s">
        <v>489</v>
      </c>
      <c r="S1588" s="85"/>
    </row>
    <row r="1589" spans="1:19" hidden="1">
      <c r="A1589" s="89" t="s">
        <v>3404</v>
      </c>
      <c r="B1589" s="149" t="str">
        <f>IFERROR(VLOOKUP(Proc[[#This Row],[App]],Table2[],3,0),"open")</f>
        <v>ok</v>
      </c>
      <c r="C1589" s="89" t="s">
        <v>369</v>
      </c>
      <c r="D1589" t="s">
        <v>3493</v>
      </c>
      <c r="E1589" t="s">
        <v>3542</v>
      </c>
      <c r="F1589" s="117" t="s">
        <v>3542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LS</v>
      </c>
      <c r="L1589" s="85" t="s">
        <v>2563</v>
      </c>
      <c r="M1589" s="87">
        <v>45801.263680555552</v>
      </c>
      <c r="N1589" s="87"/>
      <c r="O1589" s="87"/>
      <c r="P1589" s="90" t="str">
        <f ca="1">IF(Proc[[#This Row],[DaysAgeing]]&gt;5,"yep","on track")</f>
        <v>yep</v>
      </c>
      <c r="Q1589" s="3">
        <f ca="1">IF(Proc[[#This Row],[DateClosed]]="",ABS(NETWORKDAYS(Proc[[#This Row],[DateOpened]],TODAY()))-1,ABS(NETWORKDAYS(Proc[[#This Row],[DateOpened]],Proc[[#This Row],[DateClosed]]))-1)</f>
        <v>138</v>
      </c>
      <c r="R1589" s="90" t="s">
        <v>489</v>
      </c>
      <c r="S1589" s="85"/>
    </row>
    <row r="1590" spans="1:19" hidden="1">
      <c r="A1590" s="89" t="s">
        <v>3404</v>
      </c>
      <c r="B1590" s="149" t="str">
        <f>IFERROR(VLOOKUP(Proc[[#This Row],[App]],Table2[],3,0),"open")</f>
        <v>ok</v>
      </c>
      <c r="C1590" s="89" t="s">
        <v>369</v>
      </c>
      <c r="D1590" t="s">
        <v>3494</v>
      </c>
      <c r="E1590" t="s">
        <v>3514</v>
      </c>
      <c r="F1590" s="117" t="s">
        <v>3514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LS</v>
      </c>
      <c r="L1590" s="85" t="s">
        <v>2563</v>
      </c>
      <c r="M1590" s="87">
        <v>45801.263680555552</v>
      </c>
      <c r="N1590" s="87"/>
      <c r="O1590" s="87"/>
      <c r="P1590" s="90" t="str">
        <f ca="1">IF(Proc[[#This Row],[DaysAgeing]]&gt;5,"yep","on track")</f>
        <v>yep</v>
      </c>
      <c r="Q1590" s="3">
        <f ca="1">IF(Proc[[#This Row],[DateClosed]]="",ABS(NETWORKDAYS(Proc[[#This Row],[DateOpened]],TODAY()))-1,ABS(NETWORKDAYS(Proc[[#This Row],[DateOpened]],Proc[[#This Row],[DateClosed]]))-1)</f>
        <v>138</v>
      </c>
      <c r="R1590" s="90" t="s">
        <v>489</v>
      </c>
      <c r="S1590" s="85"/>
    </row>
    <row r="1591" spans="1:19" hidden="1">
      <c r="A1591" s="89" t="s">
        <v>3404</v>
      </c>
      <c r="B1591" s="149" t="str">
        <f>IFERROR(VLOOKUP(Proc[[#This Row],[App]],Table2[],3,0),"open")</f>
        <v>ok</v>
      </c>
      <c r="C1591" s="89" t="s">
        <v>369</v>
      </c>
      <c r="D1591" t="s">
        <v>3495</v>
      </c>
      <c r="E1591" t="s">
        <v>3516</v>
      </c>
      <c r="F1591" s="117" t="s">
        <v>3516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LS</v>
      </c>
      <c r="L1591" s="85" t="s">
        <v>2563</v>
      </c>
      <c r="M1591" s="87">
        <v>45801.263680555552</v>
      </c>
      <c r="N1591" s="87"/>
      <c r="O1591" s="87"/>
      <c r="P1591" s="90" t="str">
        <f ca="1">IF(Proc[[#This Row],[DaysAgeing]]&gt;5,"yep","on track")</f>
        <v>yep</v>
      </c>
      <c r="Q1591" s="3">
        <f ca="1">IF(Proc[[#This Row],[DateClosed]]="",ABS(NETWORKDAYS(Proc[[#This Row],[DateOpened]],TODAY()))-1,ABS(NETWORKDAYS(Proc[[#This Row],[DateOpened]],Proc[[#This Row],[DateClosed]]))-1)</f>
        <v>138</v>
      </c>
      <c r="R1591" s="90" t="s">
        <v>489</v>
      </c>
      <c r="S1591" s="85"/>
    </row>
    <row r="1592" spans="1:19" hidden="1">
      <c r="A1592" s="89" t="s">
        <v>3404</v>
      </c>
      <c r="B1592" s="149" t="str">
        <f>IFERROR(VLOOKUP(Proc[[#This Row],[App]],Table2[],3,0),"open")</f>
        <v>ok</v>
      </c>
      <c r="C1592" s="89" t="s">
        <v>369</v>
      </c>
      <c r="D1592" t="s">
        <v>3496</v>
      </c>
      <c r="E1592" t="s">
        <v>3523</v>
      </c>
      <c r="F1592" s="117" t="s">
        <v>3523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LS</v>
      </c>
      <c r="L1592" s="85" t="s">
        <v>2563</v>
      </c>
      <c r="M1592" s="87">
        <v>45801.263680555552</v>
      </c>
      <c r="N1592" s="87"/>
      <c r="O1592" s="87"/>
      <c r="P1592" s="90" t="str">
        <f ca="1">IF(Proc[[#This Row],[DaysAgeing]]&gt;5,"yep","on track")</f>
        <v>yep</v>
      </c>
      <c r="Q1592" s="3">
        <f ca="1">IF(Proc[[#This Row],[DateClosed]]="",ABS(NETWORKDAYS(Proc[[#This Row],[DateOpened]],TODAY()))-1,ABS(NETWORKDAYS(Proc[[#This Row],[DateOpened]],Proc[[#This Row],[DateClosed]]))-1)</f>
        <v>138</v>
      </c>
      <c r="R1592" s="90" t="s">
        <v>489</v>
      </c>
      <c r="S1592" s="85"/>
    </row>
    <row r="1593" spans="1:19" hidden="1">
      <c r="A1593" s="89" t="s">
        <v>3404</v>
      </c>
      <c r="B1593" s="149" t="str">
        <f>IFERROR(VLOOKUP(Proc[[#This Row],[App]],Table2[],3,0),"open")</f>
        <v>ok</v>
      </c>
      <c r="C1593" s="89" t="s">
        <v>369</v>
      </c>
      <c r="D1593" t="s">
        <v>3497</v>
      </c>
      <c r="E1593" t="s">
        <v>3543</v>
      </c>
      <c r="F1593" s="117" t="s">
        <v>3543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LS</v>
      </c>
      <c r="L1593" s="85" t="s">
        <v>2563</v>
      </c>
      <c r="M1593" s="87">
        <v>45801.263680555552</v>
      </c>
      <c r="N1593" s="87"/>
      <c r="O1593" s="87"/>
      <c r="P1593" s="90" t="str">
        <f ca="1">IF(Proc[[#This Row],[DaysAgeing]]&gt;5,"yep","on track")</f>
        <v>yep</v>
      </c>
      <c r="Q1593" s="3">
        <f ca="1">IF(Proc[[#This Row],[DateClosed]]="",ABS(NETWORKDAYS(Proc[[#This Row],[DateOpened]],TODAY()))-1,ABS(NETWORKDAYS(Proc[[#This Row],[DateOpened]],Proc[[#This Row],[DateClosed]]))-1)</f>
        <v>138</v>
      </c>
      <c r="R1593" s="90" t="s">
        <v>489</v>
      </c>
      <c r="S1593" s="85"/>
    </row>
    <row r="1594" spans="1:19" hidden="1">
      <c r="A1594" s="89" t="s">
        <v>3404</v>
      </c>
      <c r="B1594" s="149" t="str">
        <f>IFERROR(VLOOKUP(Proc[[#This Row],[App]],Table2[],3,0),"open")</f>
        <v>ok</v>
      </c>
      <c r="C1594" s="89" t="s">
        <v>369</v>
      </c>
      <c r="D1594" t="s">
        <v>3498</v>
      </c>
      <c r="E1594" t="s">
        <v>3525</v>
      </c>
      <c r="F1594" s="117" t="s">
        <v>3525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LS</v>
      </c>
      <c r="L1594" s="85" t="s">
        <v>2563</v>
      </c>
      <c r="M1594" s="87">
        <v>45801.263680555552</v>
      </c>
      <c r="N1594" s="87"/>
      <c r="O1594" s="87"/>
      <c r="P1594" s="90" t="str">
        <f ca="1">IF(Proc[[#This Row],[DaysAgeing]]&gt;5,"yep","on track")</f>
        <v>yep</v>
      </c>
      <c r="Q1594" s="3">
        <f ca="1">IF(Proc[[#This Row],[DateClosed]]="",ABS(NETWORKDAYS(Proc[[#This Row],[DateOpened]],TODAY()))-1,ABS(NETWORKDAYS(Proc[[#This Row],[DateOpened]],Proc[[#This Row],[DateClosed]]))-1)</f>
        <v>138</v>
      </c>
      <c r="R1594" s="90" t="s">
        <v>489</v>
      </c>
      <c r="S1594" s="85"/>
    </row>
    <row r="1595" spans="1:19" hidden="1">
      <c r="A1595" s="89" t="s">
        <v>3404</v>
      </c>
      <c r="B1595" s="149" t="str">
        <f>IFERROR(VLOOKUP(Proc[[#This Row],[App]],Table2[],3,0),"open")</f>
        <v>ok</v>
      </c>
      <c r="C1595" s="89" t="s">
        <v>369</v>
      </c>
      <c r="D1595" t="s">
        <v>3499</v>
      </c>
      <c r="E1595" t="s">
        <v>3531</v>
      </c>
      <c r="F1595" s="117" t="s">
        <v>3531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LS</v>
      </c>
      <c r="L1595" s="85" t="s">
        <v>2563</v>
      </c>
      <c r="M1595" s="87">
        <v>45801.263680555552</v>
      </c>
      <c r="N1595" s="87"/>
      <c r="O1595" s="87"/>
      <c r="P1595" s="90" t="str">
        <f ca="1">IF(Proc[[#This Row],[DaysAgeing]]&gt;5,"yep","on track")</f>
        <v>yep</v>
      </c>
      <c r="Q1595" s="3">
        <f ca="1">IF(Proc[[#This Row],[DateClosed]]="",ABS(NETWORKDAYS(Proc[[#This Row],[DateOpened]],TODAY()))-1,ABS(NETWORKDAYS(Proc[[#This Row],[DateOpened]],Proc[[#This Row],[DateClosed]]))-1)</f>
        <v>138</v>
      </c>
      <c r="R1595" s="90" t="s">
        <v>489</v>
      </c>
      <c r="S1595" s="85"/>
    </row>
    <row r="1596" spans="1:19" hidden="1">
      <c r="A1596" s="89" t="s">
        <v>3404</v>
      </c>
      <c r="B1596" s="149" t="str">
        <f>IFERROR(VLOOKUP(Proc[[#This Row],[App]],Table2[],3,0),"open")</f>
        <v>ok</v>
      </c>
      <c r="C1596" s="89" t="s">
        <v>369</v>
      </c>
      <c r="D1596" t="s">
        <v>3500</v>
      </c>
      <c r="E1596" t="s">
        <v>3517</v>
      </c>
      <c r="F1596" s="117" t="s">
        <v>3517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LS</v>
      </c>
      <c r="L1596" s="85" t="s">
        <v>2563</v>
      </c>
      <c r="M1596" s="87">
        <v>45801.263680555552</v>
      </c>
      <c r="N1596" s="87"/>
      <c r="O1596" s="87"/>
      <c r="P1596" s="90" t="str">
        <f ca="1">IF(Proc[[#This Row],[DaysAgeing]]&gt;5,"yep","on track")</f>
        <v>yep</v>
      </c>
      <c r="Q1596" s="3">
        <f ca="1">IF(Proc[[#This Row],[DateClosed]]="",ABS(NETWORKDAYS(Proc[[#This Row],[DateOpened]],TODAY()))-1,ABS(NETWORKDAYS(Proc[[#This Row],[DateOpened]],Proc[[#This Row],[DateClosed]]))-1)</f>
        <v>138</v>
      </c>
      <c r="R1596" s="90" t="s">
        <v>489</v>
      </c>
      <c r="S1596" s="85"/>
    </row>
    <row r="1597" spans="1:19" hidden="1">
      <c r="A1597" s="89" t="s">
        <v>3404</v>
      </c>
      <c r="B1597" s="149" t="str">
        <f>IFERROR(VLOOKUP(Proc[[#This Row],[App]],Table2[],3,0),"open")</f>
        <v>ok</v>
      </c>
      <c r="C1597" s="89" t="s">
        <v>369</v>
      </c>
      <c r="D1597" t="s">
        <v>3501</v>
      </c>
      <c r="E1597" t="s">
        <v>3527</v>
      </c>
      <c r="F1597" s="117" t="s">
        <v>3527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LS</v>
      </c>
      <c r="L1597" s="85" t="s">
        <v>2563</v>
      </c>
      <c r="M1597" s="87">
        <v>45801.263680555552</v>
      </c>
      <c r="N1597" s="87"/>
      <c r="O1597" s="87"/>
      <c r="P1597" s="90" t="str">
        <f ca="1">IF(Proc[[#This Row],[DaysAgeing]]&gt;5,"yep","on track")</f>
        <v>yep</v>
      </c>
      <c r="Q1597" s="3">
        <f ca="1">IF(Proc[[#This Row],[DateClosed]]="",ABS(NETWORKDAYS(Proc[[#This Row],[DateOpened]],TODAY()))-1,ABS(NETWORKDAYS(Proc[[#This Row],[DateOpened]],Proc[[#This Row],[DateClosed]]))-1)</f>
        <v>138</v>
      </c>
      <c r="R1597" s="90" t="s">
        <v>489</v>
      </c>
      <c r="S1597" s="85"/>
    </row>
    <row r="1598" spans="1:19" hidden="1">
      <c r="A1598" s="89" t="s">
        <v>3404</v>
      </c>
      <c r="B1598" s="149" t="str">
        <f>IFERROR(VLOOKUP(Proc[[#This Row],[App]],Table2[],3,0),"open")</f>
        <v>ok</v>
      </c>
      <c r="C1598" s="89" t="s">
        <v>369</v>
      </c>
      <c r="D1598" t="s">
        <v>3502</v>
      </c>
      <c r="E1598" t="s">
        <v>3544</v>
      </c>
      <c r="F1598" s="117" t="s">
        <v>3544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LS</v>
      </c>
      <c r="L1598" s="85" t="s">
        <v>2563</v>
      </c>
      <c r="M1598" s="87">
        <v>45801.263680555552</v>
      </c>
      <c r="N1598" s="87"/>
      <c r="O1598" s="87"/>
      <c r="P1598" s="90" t="str">
        <f ca="1">IF(Proc[[#This Row],[DaysAgeing]]&gt;5,"yep","on track")</f>
        <v>yep</v>
      </c>
      <c r="Q1598" s="3">
        <f ca="1">IF(Proc[[#This Row],[DateClosed]]="",ABS(NETWORKDAYS(Proc[[#This Row],[DateOpened]],TODAY()))-1,ABS(NETWORKDAYS(Proc[[#This Row],[DateOpened]],Proc[[#This Row],[DateClosed]]))-1)</f>
        <v>138</v>
      </c>
      <c r="R1598" s="90" t="s">
        <v>489</v>
      </c>
      <c r="S1598" s="85"/>
    </row>
    <row r="1599" spans="1:19" hidden="1">
      <c r="A1599" s="89" t="s">
        <v>3404</v>
      </c>
      <c r="B1599" s="149" t="str">
        <f>IFERROR(VLOOKUP(Proc[[#This Row],[App]],Table2[],3,0),"open")</f>
        <v>ok</v>
      </c>
      <c r="C1599" s="89" t="s">
        <v>369</v>
      </c>
      <c r="D1599" t="s">
        <v>3503</v>
      </c>
      <c r="E1599" t="s">
        <v>3514</v>
      </c>
      <c r="F1599" s="117" t="s">
        <v>3514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LS</v>
      </c>
      <c r="L1599" s="85" t="s">
        <v>2563</v>
      </c>
      <c r="M1599" s="87">
        <v>45801.263680555552</v>
      </c>
      <c r="N1599" s="87"/>
      <c r="O1599" s="87"/>
      <c r="P1599" s="90" t="str">
        <f ca="1">IF(Proc[[#This Row],[DaysAgeing]]&gt;5,"yep","on track")</f>
        <v>yep</v>
      </c>
      <c r="Q1599" s="3">
        <f ca="1">IF(Proc[[#This Row],[DateClosed]]="",ABS(NETWORKDAYS(Proc[[#This Row],[DateOpened]],TODAY()))-1,ABS(NETWORKDAYS(Proc[[#This Row],[DateOpened]],Proc[[#This Row],[DateClosed]]))-1)</f>
        <v>138</v>
      </c>
      <c r="R1599" s="90" t="s">
        <v>489</v>
      </c>
      <c r="S1599" s="85"/>
    </row>
    <row r="1600" spans="1:19" hidden="1">
      <c r="A1600" s="89" t="s">
        <v>3404</v>
      </c>
      <c r="B1600" s="149" t="str">
        <f>IFERROR(VLOOKUP(Proc[[#This Row],[App]],Table2[],3,0),"open")</f>
        <v>ok</v>
      </c>
      <c r="C1600" s="89" t="s">
        <v>369</v>
      </c>
      <c r="D1600" t="s">
        <v>3504</v>
      </c>
      <c r="E1600" t="s">
        <v>1974</v>
      </c>
      <c r="F1600" s="117" t="s">
        <v>1974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LS</v>
      </c>
      <c r="L1600" s="85" t="s">
        <v>2563</v>
      </c>
      <c r="M1600" s="87">
        <v>45801.263680555552</v>
      </c>
      <c r="N1600" s="87"/>
      <c r="O1600" s="87"/>
      <c r="P1600" s="90" t="str">
        <f ca="1">IF(Proc[[#This Row],[DaysAgeing]]&gt;5,"yep","on track")</f>
        <v>yep</v>
      </c>
      <c r="Q1600" s="3">
        <f ca="1">IF(Proc[[#This Row],[DateClosed]]="",ABS(NETWORKDAYS(Proc[[#This Row],[DateOpened]],TODAY()))-1,ABS(NETWORKDAYS(Proc[[#This Row],[DateOpened]],Proc[[#This Row],[DateClosed]]))-1)</f>
        <v>138</v>
      </c>
      <c r="R1600" s="90" t="s">
        <v>489</v>
      </c>
      <c r="S1600" s="85"/>
    </row>
    <row r="1601" spans="1:19" hidden="1">
      <c r="A1601" s="89" t="s">
        <v>3404</v>
      </c>
      <c r="B1601" s="149" t="str">
        <f>IFERROR(VLOOKUP(Proc[[#This Row],[App]],Table2[],3,0),"open")</f>
        <v>ok</v>
      </c>
      <c r="C1601" s="89" t="s">
        <v>369</v>
      </c>
      <c r="D1601" t="s">
        <v>3505</v>
      </c>
      <c r="E1601" t="s">
        <v>3545</v>
      </c>
      <c r="F1601" s="117" t="s">
        <v>3545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LS</v>
      </c>
      <c r="L1601" s="85" t="s">
        <v>2563</v>
      </c>
      <c r="M1601" s="87">
        <v>45801.263680555552</v>
      </c>
      <c r="N1601" s="87"/>
      <c r="O1601" s="87"/>
      <c r="P1601" s="90" t="str">
        <f ca="1">IF(Proc[[#This Row],[DaysAgeing]]&gt;5,"yep","on track")</f>
        <v>yep</v>
      </c>
      <c r="Q1601" s="3">
        <f ca="1">IF(Proc[[#This Row],[DateClosed]]="",ABS(NETWORKDAYS(Proc[[#This Row],[DateOpened]],TODAY()))-1,ABS(NETWORKDAYS(Proc[[#This Row],[DateOpened]],Proc[[#This Row],[DateClosed]]))-1)</f>
        <v>138</v>
      </c>
      <c r="R1601" s="90" t="s">
        <v>489</v>
      </c>
      <c r="S1601" s="85"/>
    </row>
    <row r="1602" spans="1:19" hidden="1">
      <c r="A1602" s="89" t="s">
        <v>3404</v>
      </c>
      <c r="B1602" s="149" t="str">
        <f>IFERROR(VLOOKUP(Proc[[#This Row],[App]],Table2[],3,0),"open")</f>
        <v>ok</v>
      </c>
      <c r="C1602" s="89" t="s">
        <v>369</v>
      </c>
      <c r="D1602" t="s">
        <v>3506</v>
      </c>
      <c r="E1602" t="s">
        <v>3543</v>
      </c>
      <c r="F1602" s="117" t="s">
        <v>3543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LS</v>
      </c>
      <c r="L1602" s="85" t="s">
        <v>2563</v>
      </c>
      <c r="M1602" s="87">
        <v>45801.263680555552</v>
      </c>
      <c r="N1602" s="87"/>
      <c r="O1602" s="87"/>
      <c r="P1602" s="90" t="str">
        <f ca="1">IF(Proc[[#This Row],[DaysAgeing]]&gt;5,"yep","on track")</f>
        <v>yep</v>
      </c>
      <c r="Q1602" s="3">
        <f ca="1">IF(Proc[[#This Row],[DateClosed]]="",ABS(NETWORKDAYS(Proc[[#This Row],[DateOpened]],TODAY()))-1,ABS(NETWORKDAYS(Proc[[#This Row],[DateOpened]],Proc[[#This Row],[DateClosed]]))-1)</f>
        <v>138</v>
      </c>
      <c r="R1602" s="90" t="s">
        <v>489</v>
      </c>
      <c r="S1602" s="85"/>
    </row>
    <row r="1603" spans="1:19" hidden="1">
      <c r="A1603" s="89" t="s">
        <v>3404</v>
      </c>
      <c r="B1603" s="149" t="str">
        <f>IFERROR(VLOOKUP(Proc[[#This Row],[App]],Table2[],3,0),"open")</f>
        <v>ok</v>
      </c>
      <c r="C1603" s="89" t="s">
        <v>369</v>
      </c>
      <c r="D1603" t="s">
        <v>3507</v>
      </c>
      <c r="E1603" t="s">
        <v>3515</v>
      </c>
      <c r="F1603" s="117" t="s">
        <v>3515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LS</v>
      </c>
      <c r="L1603" s="85" t="s">
        <v>2563</v>
      </c>
      <c r="M1603" s="87">
        <v>45801.263680555552</v>
      </c>
      <c r="N1603" s="87"/>
      <c r="O1603" s="87"/>
      <c r="P1603" s="90" t="str">
        <f ca="1">IF(Proc[[#This Row],[DaysAgeing]]&gt;5,"yep","on track")</f>
        <v>yep</v>
      </c>
      <c r="Q1603" s="3">
        <f ca="1">IF(Proc[[#This Row],[DateClosed]]="",ABS(NETWORKDAYS(Proc[[#This Row],[DateOpened]],TODAY()))-1,ABS(NETWORKDAYS(Proc[[#This Row],[DateOpened]],Proc[[#This Row],[DateClosed]]))-1)</f>
        <v>138</v>
      </c>
      <c r="R1603" s="90" t="s">
        <v>489</v>
      </c>
      <c r="S1603" s="85"/>
    </row>
    <row r="1604" spans="1:19" hidden="1">
      <c r="A1604" s="89" t="s">
        <v>3404</v>
      </c>
      <c r="B1604" s="149" t="str">
        <f>IFERROR(VLOOKUP(Proc[[#This Row],[App]],Table2[],3,0),"open")</f>
        <v>ok</v>
      </c>
      <c r="C1604" s="89" t="s">
        <v>369</v>
      </c>
      <c r="D1604" t="s">
        <v>3508</v>
      </c>
      <c r="E1604" t="s">
        <v>2371</v>
      </c>
      <c r="F1604" s="117" t="s">
        <v>2371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LS</v>
      </c>
      <c r="L1604" s="85" t="s">
        <v>2563</v>
      </c>
      <c r="M1604" s="87">
        <v>45801.263680555552</v>
      </c>
      <c r="N1604" s="87"/>
      <c r="O1604" s="87"/>
      <c r="P1604" s="90" t="str">
        <f ca="1">IF(Proc[[#This Row],[DaysAgeing]]&gt;5,"yep","on track")</f>
        <v>yep</v>
      </c>
      <c r="Q1604" s="3">
        <f ca="1">IF(Proc[[#This Row],[DateClosed]]="",ABS(NETWORKDAYS(Proc[[#This Row],[DateOpened]],TODAY()))-1,ABS(NETWORKDAYS(Proc[[#This Row],[DateOpened]],Proc[[#This Row],[DateClosed]]))-1)</f>
        <v>138</v>
      </c>
      <c r="R1604" s="90" t="s">
        <v>489</v>
      </c>
      <c r="S1604" s="85"/>
    </row>
    <row r="1605" spans="1:19" hidden="1">
      <c r="A1605" s="89" t="s">
        <v>3404</v>
      </c>
      <c r="B1605" s="149" t="str">
        <f>IFERROR(VLOOKUP(Proc[[#This Row],[App]],Table2[],3,0),"open")</f>
        <v>ok</v>
      </c>
      <c r="C1605" s="89" t="s">
        <v>369</v>
      </c>
      <c r="D1605" t="s">
        <v>3509</v>
      </c>
      <c r="E1605" t="s">
        <v>3541</v>
      </c>
      <c r="F1605" s="117" t="s">
        <v>3541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LS</v>
      </c>
      <c r="L1605" s="85" t="s">
        <v>2563</v>
      </c>
      <c r="M1605" s="87">
        <v>45801.263680555552</v>
      </c>
      <c r="N1605" s="87"/>
      <c r="O1605" s="87"/>
      <c r="P1605" s="90" t="str">
        <f ca="1">IF(Proc[[#This Row],[DaysAgeing]]&gt;5,"yep","on track")</f>
        <v>yep</v>
      </c>
      <c r="Q1605" s="3">
        <f ca="1">IF(Proc[[#This Row],[DateClosed]]="",ABS(NETWORKDAYS(Proc[[#This Row],[DateOpened]],TODAY()))-1,ABS(NETWORKDAYS(Proc[[#This Row],[DateOpened]],Proc[[#This Row],[DateClosed]]))-1)</f>
        <v>138</v>
      </c>
      <c r="R1605" s="90" t="s">
        <v>489</v>
      </c>
      <c r="S1605" s="85"/>
    </row>
    <row r="1606" spans="1:19" hidden="1">
      <c r="A1606" s="89" t="s">
        <v>3404</v>
      </c>
      <c r="B1606" s="149" t="str">
        <f>IFERROR(VLOOKUP(Proc[[#This Row],[App]],Table2[],3,0),"open")</f>
        <v>ok</v>
      </c>
      <c r="C1606" s="89" t="s">
        <v>369</v>
      </c>
      <c r="D1606" t="s">
        <v>3510</v>
      </c>
      <c r="E1606" t="s">
        <v>3523</v>
      </c>
      <c r="F1606" s="117" t="s">
        <v>3523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LS</v>
      </c>
      <c r="L1606" s="85" t="s">
        <v>2563</v>
      </c>
      <c r="M1606" s="87">
        <v>45801.263680555552</v>
      </c>
      <c r="N1606" s="87"/>
      <c r="O1606" s="87"/>
      <c r="P1606" s="90" t="str">
        <f ca="1">IF(Proc[[#This Row],[DaysAgeing]]&gt;5,"yep","on track")</f>
        <v>yep</v>
      </c>
      <c r="Q1606" s="3">
        <f ca="1">IF(Proc[[#This Row],[DateClosed]]="",ABS(NETWORKDAYS(Proc[[#This Row],[DateOpened]],TODAY()))-1,ABS(NETWORKDAYS(Proc[[#This Row],[DateOpened]],Proc[[#This Row],[DateClosed]]))-1)</f>
        <v>138</v>
      </c>
      <c r="R1606" s="90" t="s">
        <v>489</v>
      </c>
      <c r="S1606" s="85"/>
    </row>
    <row r="1607" spans="1:19" hidden="1">
      <c r="A1607" s="89" t="s">
        <v>3404</v>
      </c>
      <c r="B1607" s="149" t="str">
        <f>IFERROR(VLOOKUP(Proc[[#This Row],[App]],Table2[],3,0),"open")</f>
        <v>ok</v>
      </c>
      <c r="C1607" s="89" t="s">
        <v>369</v>
      </c>
      <c r="D1607" t="s">
        <v>3511</v>
      </c>
      <c r="E1607" t="s">
        <v>3526</v>
      </c>
      <c r="F1607" s="117" t="s">
        <v>3526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LS</v>
      </c>
      <c r="L1607" s="85" t="s">
        <v>2563</v>
      </c>
      <c r="M1607" s="87">
        <v>45801.263680555552</v>
      </c>
      <c r="N1607" s="87"/>
      <c r="O1607" s="87"/>
      <c r="P1607" s="90" t="str">
        <f ca="1">IF(Proc[[#This Row],[DaysAgeing]]&gt;5,"yep","on track")</f>
        <v>yep</v>
      </c>
      <c r="Q1607" s="3">
        <f ca="1">IF(Proc[[#This Row],[DateClosed]]="",ABS(NETWORKDAYS(Proc[[#This Row],[DateOpened]],TODAY()))-1,ABS(NETWORKDAYS(Proc[[#This Row],[DateOpened]],Proc[[#This Row],[DateClosed]]))-1)</f>
        <v>138</v>
      </c>
      <c r="R1607" s="90" t="s">
        <v>489</v>
      </c>
      <c r="S1607" s="85"/>
    </row>
    <row r="1608" spans="1:19" hidden="1">
      <c r="A1608" s="89" t="s">
        <v>3404</v>
      </c>
      <c r="B1608" s="149" t="str">
        <f>IFERROR(VLOOKUP(Proc[[#This Row],[App]],Table2[],3,0),"open")</f>
        <v>ok</v>
      </c>
      <c r="C1608" s="89" t="s">
        <v>369</v>
      </c>
      <c r="D1608" t="s">
        <v>3512</v>
      </c>
      <c r="E1608" t="s">
        <v>3546</v>
      </c>
      <c r="F1608" s="117" t="s">
        <v>3546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LS</v>
      </c>
      <c r="L1608" s="85" t="s">
        <v>2563</v>
      </c>
      <c r="M1608" s="87">
        <v>45801.263680555552</v>
      </c>
      <c r="N1608" s="87"/>
      <c r="O1608" s="87"/>
      <c r="P1608" s="90" t="str">
        <f ca="1">IF(Proc[[#This Row],[DaysAgeing]]&gt;5,"yep","on track")</f>
        <v>yep</v>
      </c>
      <c r="Q1608" s="3">
        <f ca="1">IF(Proc[[#This Row],[DateClosed]]="",ABS(NETWORKDAYS(Proc[[#This Row],[DateOpened]],TODAY()))-1,ABS(NETWORKDAYS(Proc[[#This Row],[DateOpened]],Proc[[#This Row],[DateClosed]]))-1)</f>
        <v>138</v>
      </c>
      <c r="R1608" s="90" t="s">
        <v>489</v>
      </c>
      <c r="S1608" s="85"/>
    </row>
    <row r="1609" spans="1:19" hidden="1">
      <c r="A1609" s="89" t="s">
        <v>3404</v>
      </c>
      <c r="B1609" s="149" t="str">
        <f>IFERROR(VLOOKUP(Proc[[#This Row],[App]],Table2[],3,0),"open")</f>
        <v>ok</v>
      </c>
      <c r="C1609" s="89" t="s">
        <v>369</v>
      </c>
      <c r="D1609" t="s">
        <v>3513</v>
      </c>
      <c r="E1609" t="s">
        <v>3534</v>
      </c>
      <c r="F1609" s="117" t="s">
        <v>3534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LS</v>
      </c>
      <c r="L1609" s="85" t="s">
        <v>2563</v>
      </c>
      <c r="M1609" s="87">
        <v>45801.263680555552</v>
      </c>
      <c r="N1609" s="87"/>
      <c r="O1609" s="87"/>
      <c r="P1609" s="90" t="str">
        <f ca="1">IF(Proc[[#This Row],[DaysAgeing]]&gt;5,"yep","on track")</f>
        <v>yep</v>
      </c>
      <c r="Q1609" s="3">
        <f ca="1">IF(Proc[[#This Row],[DateClosed]]="",ABS(NETWORKDAYS(Proc[[#This Row],[DateOpened]],TODAY()))-1,ABS(NETWORKDAYS(Proc[[#This Row],[DateOpened]],Proc[[#This Row],[DateClosed]]))-1)</f>
        <v>138</v>
      </c>
      <c r="R1609" s="90" t="s">
        <v>489</v>
      </c>
      <c r="S1609" s="85"/>
    </row>
    <row r="1610" spans="1:19" hidden="1">
      <c r="A1610" t="s">
        <v>3547</v>
      </c>
      <c r="B1610" s="149" t="str">
        <f>IFERROR(VLOOKUP(Proc[[#This Row],[App]],Table2[],3,0),"open")</f>
        <v>ok</v>
      </c>
      <c r="C1610" s="89" t="s">
        <v>369</v>
      </c>
      <c r="D1610" t="s">
        <v>3548</v>
      </c>
      <c r="E1610" t="s">
        <v>3555</v>
      </c>
      <c r="F1610" s="117" t="s">
        <v>3555</v>
      </c>
      <c r="G1610" t="s">
        <v>406</v>
      </c>
      <c r="H1610" s="85" t="str">
        <f>IF(Proc[[#This Row],[type]]="LFF (MDG-F)",MID(Proc[[#This Row],[Obj]],13,10),"")</f>
        <v>DE10639300</v>
      </c>
      <c r="I1610" t="s">
        <v>3558</v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LS</v>
      </c>
      <c r="L1610" s="85" t="s">
        <v>2563</v>
      </c>
      <c r="M1610" s="87">
        <v>45801.283206018517</v>
      </c>
      <c r="N1610" s="87">
        <v>45806</v>
      </c>
      <c r="O1610" s="87">
        <v>45806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3</v>
      </c>
      <c r="R1610" s="90" t="s">
        <v>489</v>
      </c>
      <c r="S1610" s="85"/>
    </row>
    <row r="1611" spans="1:19" hidden="1">
      <c r="A1611" s="89" t="s">
        <v>3547</v>
      </c>
      <c r="B1611" s="149" t="str">
        <f>IFERROR(VLOOKUP(Proc[[#This Row],[App]],Table2[],3,0),"open")</f>
        <v>ok</v>
      </c>
      <c r="C1611" s="89" t="s">
        <v>369</v>
      </c>
      <c r="D1611" t="s">
        <v>3549</v>
      </c>
      <c r="E1611" t="s">
        <v>3556</v>
      </c>
      <c r="F1611" s="117" t="s">
        <v>3556</v>
      </c>
      <c r="G1611" s="89" t="s">
        <v>406</v>
      </c>
      <c r="H1611" s="85" t="str">
        <f>IF(Proc[[#This Row],[type]]="LFF (MDG-F)",MID(Proc[[#This Row],[Obj]],13,10),"")</f>
        <v>DE10650100</v>
      </c>
      <c r="I1611" t="s">
        <v>3558</v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LS</v>
      </c>
      <c r="L1611" s="85" t="s">
        <v>2563</v>
      </c>
      <c r="M1611" s="87">
        <v>45801.283206018517</v>
      </c>
      <c r="N1611" s="87">
        <v>45806</v>
      </c>
      <c r="O1611" s="87">
        <v>45806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3</v>
      </c>
      <c r="R1611" s="90" t="s">
        <v>489</v>
      </c>
      <c r="S1611" s="85"/>
    </row>
    <row r="1612" spans="1:19" hidden="1">
      <c r="A1612" s="89" t="s">
        <v>3547</v>
      </c>
      <c r="B1612" s="149" t="str">
        <f>IFERROR(VLOOKUP(Proc[[#This Row],[App]],Table2[],3,0),"open")</f>
        <v>ok</v>
      </c>
      <c r="C1612" s="89" t="s">
        <v>369</v>
      </c>
      <c r="D1612" t="s">
        <v>3550</v>
      </c>
      <c r="E1612" t="s">
        <v>3556</v>
      </c>
      <c r="F1612" s="117" t="s">
        <v>3556</v>
      </c>
      <c r="G1612" s="89" t="s">
        <v>406</v>
      </c>
      <c r="H1612" s="85" t="str">
        <f>IF(Proc[[#This Row],[type]]="LFF (MDG-F)",MID(Proc[[#This Row],[Obj]],13,10),"")</f>
        <v>DE10OF0005</v>
      </c>
      <c r="I1612" t="s">
        <v>3558</v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LS</v>
      </c>
      <c r="L1612" s="85" t="s">
        <v>2563</v>
      </c>
      <c r="M1612" s="87">
        <v>45801.283206018517</v>
      </c>
      <c r="N1612" s="87">
        <v>45806</v>
      </c>
      <c r="O1612" s="87">
        <v>45806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3</v>
      </c>
      <c r="R1612" s="90" t="s">
        <v>489</v>
      </c>
      <c r="S1612" s="85"/>
    </row>
    <row r="1613" spans="1:19" hidden="1">
      <c r="A1613" s="89" t="s">
        <v>3547</v>
      </c>
      <c r="B1613" s="149" t="str">
        <f>IFERROR(VLOOKUP(Proc[[#This Row],[App]],Table2[],3,0),"open")</f>
        <v>ok</v>
      </c>
      <c r="C1613" s="89" t="s">
        <v>369</v>
      </c>
      <c r="D1613" t="s">
        <v>3551</v>
      </c>
      <c r="E1613" t="s">
        <v>3556</v>
      </c>
      <c r="F1613" s="117" t="s">
        <v>3556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LS</v>
      </c>
      <c r="L1613" s="85" t="s">
        <v>2563</v>
      </c>
      <c r="M1613" s="87">
        <v>45801.283206018517</v>
      </c>
      <c r="N1613" s="87"/>
      <c r="O1613" s="87"/>
      <c r="P1613" s="90" t="str">
        <f ca="1">IF(Proc[[#This Row],[DaysAgeing]]&gt;5,"yep","on track")</f>
        <v>yep</v>
      </c>
      <c r="Q1613" s="3">
        <f ca="1">IF(Proc[[#This Row],[DateClosed]]="",ABS(NETWORKDAYS(Proc[[#This Row],[DateOpened]],TODAY()))-1,ABS(NETWORKDAYS(Proc[[#This Row],[DateOpened]],Proc[[#This Row],[DateClosed]]))-1)</f>
        <v>138</v>
      </c>
      <c r="R1613" s="90" t="s">
        <v>489</v>
      </c>
      <c r="S1613" s="85"/>
    </row>
    <row r="1614" spans="1:19" hidden="1">
      <c r="A1614" s="89" t="s">
        <v>3547</v>
      </c>
      <c r="B1614" s="149" t="str">
        <f>IFERROR(VLOOKUP(Proc[[#This Row],[App]],Table2[],3,0),"open")</f>
        <v>ok</v>
      </c>
      <c r="C1614" s="89" t="s">
        <v>369</v>
      </c>
      <c r="D1614" t="s">
        <v>3552</v>
      </c>
      <c r="E1614" t="s">
        <v>3556</v>
      </c>
      <c r="F1614" s="117" t="s">
        <v>3556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LS</v>
      </c>
      <c r="L1614" s="85" t="s">
        <v>2563</v>
      </c>
      <c r="M1614" s="87">
        <v>45801.283206018517</v>
      </c>
      <c r="N1614" s="87"/>
      <c r="O1614" s="87"/>
      <c r="P1614" s="90" t="str">
        <f ca="1">IF(Proc[[#This Row],[DaysAgeing]]&gt;5,"yep","on track")</f>
        <v>yep</v>
      </c>
      <c r="Q1614" s="3">
        <f ca="1">IF(Proc[[#This Row],[DateClosed]]="",ABS(NETWORKDAYS(Proc[[#This Row],[DateOpened]],TODAY()))-1,ABS(NETWORKDAYS(Proc[[#This Row],[DateOpened]],Proc[[#This Row],[DateClosed]]))-1)</f>
        <v>138</v>
      </c>
      <c r="R1614" s="90" t="s">
        <v>489</v>
      </c>
      <c r="S1614" s="85"/>
    </row>
    <row r="1615" spans="1:19" hidden="1">
      <c r="A1615" s="89" t="s">
        <v>3547</v>
      </c>
      <c r="B1615" s="149" t="str">
        <f>IFERROR(VLOOKUP(Proc[[#This Row],[App]],Table2[],3,0),"open")</f>
        <v>ok</v>
      </c>
      <c r="C1615" s="89" t="s">
        <v>369</v>
      </c>
      <c r="D1615" t="s">
        <v>3553</v>
      </c>
      <c r="E1615" t="s">
        <v>3555</v>
      </c>
      <c r="F1615" s="117" t="s">
        <v>3555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LS</v>
      </c>
      <c r="L1615" s="85" t="s">
        <v>2563</v>
      </c>
      <c r="M1615" s="87">
        <v>45801.283206018517</v>
      </c>
      <c r="N1615" s="87"/>
      <c r="O1615" s="87"/>
      <c r="P1615" s="90" t="str">
        <f ca="1">IF(Proc[[#This Row],[DaysAgeing]]&gt;5,"yep","on track")</f>
        <v>yep</v>
      </c>
      <c r="Q1615" s="3">
        <f ca="1">IF(Proc[[#This Row],[DateClosed]]="",ABS(NETWORKDAYS(Proc[[#This Row],[DateOpened]],TODAY()))-1,ABS(NETWORKDAYS(Proc[[#This Row],[DateOpened]],Proc[[#This Row],[DateClosed]]))-1)</f>
        <v>138</v>
      </c>
      <c r="R1615" s="90" t="s">
        <v>489</v>
      </c>
      <c r="S1615" s="85"/>
    </row>
    <row r="1616" spans="1:19" hidden="1">
      <c r="A1616" s="89" t="s">
        <v>3547</v>
      </c>
      <c r="B1616" s="149" t="str">
        <f>IFERROR(VLOOKUP(Proc[[#This Row],[App]],Table2[],3,0),"open")</f>
        <v>ok</v>
      </c>
      <c r="C1616" s="89" t="s">
        <v>369</v>
      </c>
      <c r="D1616" t="s">
        <v>3554</v>
      </c>
      <c r="E1616" t="s">
        <v>3557</v>
      </c>
      <c r="F1616" s="117" t="s">
        <v>3557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LS</v>
      </c>
      <c r="L1616" s="85" t="s">
        <v>2563</v>
      </c>
      <c r="M1616" s="87">
        <v>45801.283206018517</v>
      </c>
      <c r="N1616" s="87"/>
      <c r="O1616" s="87"/>
      <c r="P1616" s="90" t="str">
        <f ca="1">IF(Proc[[#This Row],[DaysAgeing]]&gt;5,"yep","on track")</f>
        <v>yep</v>
      </c>
      <c r="Q1616" s="3">
        <f ca="1">IF(Proc[[#This Row],[DateClosed]]="",ABS(NETWORKDAYS(Proc[[#This Row],[DateOpened]],TODAY()))-1,ABS(NETWORKDAYS(Proc[[#This Row],[DateOpened]],Proc[[#This Row],[DateClosed]]))-1)</f>
        <v>138</v>
      </c>
      <c r="R1616" s="90" t="s">
        <v>489</v>
      </c>
      <c r="S1616" s="85"/>
    </row>
    <row r="1617" spans="1:19" hidden="1">
      <c r="A1617" t="s">
        <v>3559</v>
      </c>
      <c r="B1617" s="149" t="str">
        <f>IFERROR(VLOOKUP(Proc[[#This Row],[App]],Table2[],3,0),"open")</f>
        <v>ok</v>
      </c>
      <c r="C1617" t="s">
        <v>369</v>
      </c>
      <c r="D1617" t="s">
        <v>3560</v>
      </c>
      <c r="E1617" t="s">
        <v>2161</v>
      </c>
      <c r="F1617" s="117" t="s">
        <v>2161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45803.415173611109</v>
      </c>
      <c r="N1617" s="87">
        <v>45806</v>
      </c>
      <c r="O1617" s="87">
        <v>45806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3</v>
      </c>
      <c r="R1617" s="90" t="s">
        <v>478</v>
      </c>
      <c r="S1617" s="85"/>
    </row>
    <row r="1618" spans="1:19" hidden="1">
      <c r="A1618" s="89" t="s">
        <v>3559</v>
      </c>
      <c r="B1618" s="149" t="str">
        <f>IFERROR(VLOOKUP(Proc[[#This Row],[App]],Table2[],3,0),"open")</f>
        <v>ok</v>
      </c>
      <c r="C1618" s="89" t="s">
        <v>369</v>
      </c>
      <c r="D1618" t="s">
        <v>3561</v>
      </c>
      <c r="E1618" t="s">
        <v>2161</v>
      </c>
      <c r="F1618" s="117" t="s">
        <v>2161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45803.415173611109</v>
      </c>
      <c r="N1618" s="87">
        <v>45806</v>
      </c>
      <c r="O1618" s="87">
        <v>45806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3</v>
      </c>
      <c r="R1618" s="90" t="s">
        <v>478</v>
      </c>
      <c r="S1618" s="85"/>
    </row>
    <row r="1619" spans="1:19" hidden="1">
      <c r="A1619" s="89" t="s">
        <v>3559</v>
      </c>
      <c r="B1619" s="149" t="str">
        <f>IFERROR(VLOOKUP(Proc[[#This Row],[App]],Table2[],3,0),"open")</f>
        <v>ok</v>
      </c>
      <c r="C1619" s="89" t="s">
        <v>369</v>
      </c>
      <c r="D1619" t="s">
        <v>3562</v>
      </c>
      <c r="E1619" t="s">
        <v>2161</v>
      </c>
      <c r="F1619" s="117" t="s">
        <v>2161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45803.415173611109</v>
      </c>
      <c r="N1619" s="87">
        <v>45806</v>
      </c>
      <c r="O1619" s="87">
        <v>45806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3</v>
      </c>
      <c r="R1619" s="90" t="s">
        <v>478</v>
      </c>
      <c r="S1619" s="85"/>
    </row>
    <row r="1620" spans="1:19" hidden="1">
      <c r="A1620" s="89" t="s">
        <v>3559</v>
      </c>
      <c r="B1620" s="149" t="str">
        <f>IFERROR(VLOOKUP(Proc[[#This Row],[App]],Table2[],3,0),"open")</f>
        <v>ok</v>
      </c>
      <c r="C1620" s="89" t="s">
        <v>369</v>
      </c>
      <c r="D1620" t="s">
        <v>3563</v>
      </c>
      <c r="E1620" t="s">
        <v>2161</v>
      </c>
      <c r="F1620" s="117" t="s">
        <v>2161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45803.415173611109</v>
      </c>
      <c r="N1620" s="87">
        <v>45806</v>
      </c>
      <c r="O1620" s="87">
        <v>45806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3</v>
      </c>
      <c r="R1620" s="90" t="s">
        <v>478</v>
      </c>
      <c r="S1620" s="85"/>
    </row>
    <row r="1621" spans="1:19" hidden="1">
      <c r="A1621" s="89" t="s">
        <v>3559</v>
      </c>
      <c r="B1621" s="149" t="str">
        <f>IFERROR(VLOOKUP(Proc[[#This Row],[App]],Table2[],3,0),"open")</f>
        <v>ok</v>
      </c>
      <c r="C1621" s="89" t="s">
        <v>369</v>
      </c>
      <c r="D1621" t="s">
        <v>3564</v>
      </c>
      <c r="E1621" t="s">
        <v>2161</v>
      </c>
      <c r="F1621" s="117" t="s">
        <v>2161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45803.415173611109</v>
      </c>
      <c r="N1621" s="87">
        <v>45806</v>
      </c>
      <c r="O1621" s="87">
        <v>45806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3</v>
      </c>
      <c r="R1621" s="90" t="s">
        <v>478</v>
      </c>
      <c r="S1621" s="85"/>
    </row>
    <row r="1622" spans="1:19" hidden="1">
      <c r="A1622" s="89" t="s">
        <v>3559</v>
      </c>
      <c r="B1622" s="149" t="str">
        <f>IFERROR(VLOOKUP(Proc[[#This Row],[App]],Table2[],3,0),"open")</f>
        <v>ok</v>
      </c>
      <c r="C1622" s="89" t="s">
        <v>369</v>
      </c>
      <c r="D1622" t="s">
        <v>3565</v>
      </c>
      <c r="E1622" t="s">
        <v>2161</v>
      </c>
      <c r="F1622" s="117" t="s">
        <v>2161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45803.415173611109</v>
      </c>
      <c r="N1622" s="87">
        <v>45806</v>
      </c>
      <c r="O1622" s="87">
        <v>45806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3</v>
      </c>
      <c r="R1622" s="90" t="s">
        <v>478</v>
      </c>
      <c r="S1622" s="85"/>
    </row>
    <row r="1623" spans="1:19" hidden="1">
      <c r="A1623" s="89" t="s">
        <v>3559</v>
      </c>
      <c r="B1623" s="149" t="str">
        <f>IFERROR(VLOOKUP(Proc[[#This Row],[App]],Table2[],3,0),"open")</f>
        <v>ok</v>
      </c>
      <c r="C1623" s="89" t="s">
        <v>369</v>
      </c>
      <c r="D1623" t="s">
        <v>3566</v>
      </c>
      <c r="E1623" t="s">
        <v>2161</v>
      </c>
      <c r="F1623" s="117" t="s">
        <v>2161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45803.415173611109</v>
      </c>
      <c r="N1623" s="87">
        <v>45806</v>
      </c>
      <c r="O1623" s="87">
        <v>45806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3</v>
      </c>
      <c r="R1623" s="90" t="s">
        <v>478</v>
      </c>
      <c r="S1623" s="85"/>
    </row>
    <row r="1624" spans="1:19" hidden="1">
      <c r="A1624" s="89" t="s">
        <v>3559</v>
      </c>
      <c r="B1624" s="149" t="str">
        <f>IFERROR(VLOOKUP(Proc[[#This Row],[App]],Table2[],3,0),"open")</f>
        <v>ok</v>
      </c>
      <c r="C1624" s="89" t="s">
        <v>369</v>
      </c>
      <c r="D1624" t="s">
        <v>3567</v>
      </c>
      <c r="E1624" t="s">
        <v>2161</v>
      </c>
      <c r="F1624" s="117" t="s">
        <v>2161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45803.415173611109</v>
      </c>
      <c r="N1624" s="87">
        <v>45806</v>
      </c>
      <c r="O1624" s="87">
        <v>45806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3</v>
      </c>
      <c r="R1624" s="90" t="s">
        <v>478</v>
      </c>
      <c r="S1624" s="85"/>
    </row>
    <row r="1625" spans="1:19" hidden="1">
      <c r="A1625" t="s">
        <v>3568</v>
      </c>
      <c r="B1625" s="149" t="str">
        <f>IFERROR(VLOOKUP(Proc[[#This Row],[App]],Table2[],3,0),"open")</f>
        <v>ok</v>
      </c>
      <c r="C1625" s="89" t="s">
        <v>369</v>
      </c>
      <c r="D1625" t="s">
        <v>3569</v>
      </c>
      <c r="E1625" t="s">
        <v>3570</v>
      </c>
      <c r="F1625" s="117" t="s">
        <v>3570</v>
      </c>
      <c r="G1625" t="s">
        <v>406</v>
      </c>
      <c r="H1625" s="85" t="str">
        <f>IF(Proc[[#This Row],[type]]="LFF (MDG-F)",MID(Proc[[#This Row],[Obj]],13,10),"")</f>
        <v>2102TMCZ91</v>
      </c>
      <c r="I1625" t="s">
        <v>3593</v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LS</v>
      </c>
      <c r="L1625" s="85" t="s">
        <v>2563</v>
      </c>
      <c r="M1625" s="87">
        <v>45803.512962962966</v>
      </c>
      <c r="N1625" s="87">
        <v>45806</v>
      </c>
      <c r="O1625" s="87">
        <v>45806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3</v>
      </c>
      <c r="R1625" s="90" t="s">
        <v>489</v>
      </c>
      <c r="S1625" s="85"/>
    </row>
    <row r="1626" spans="1:19" hidden="1">
      <c r="A1626" s="89" t="s">
        <v>3568</v>
      </c>
      <c r="B1626" s="149" t="str">
        <f>IFERROR(VLOOKUP(Proc[[#This Row],[App]],Table2[],3,0),"open")</f>
        <v>ok</v>
      </c>
      <c r="C1626" s="89" t="s">
        <v>369</v>
      </c>
      <c r="D1626" t="s">
        <v>3571</v>
      </c>
      <c r="E1626" t="s">
        <v>3570</v>
      </c>
      <c r="F1626" s="117" t="s">
        <v>3570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LS</v>
      </c>
      <c r="L1626" s="85" t="s">
        <v>2563</v>
      </c>
      <c r="M1626" s="87">
        <v>45803.512962962966</v>
      </c>
      <c r="N1626" s="87">
        <v>45806</v>
      </c>
      <c r="O1626" s="87">
        <v>45806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3</v>
      </c>
      <c r="R1626" s="90" t="s">
        <v>489</v>
      </c>
      <c r="S1626" s="85"/>
    </row>
    <row r="1627" spans="1:19" hidden="1">
      <c r="A1627" s="89" t="s">
        <v>3568</v>
      </c>
      <c r="B1627" s="149" t="str">
        <f>IFERROR(VLOOKUP(Proc[[#This Row],[App]],Table2[],3,0),"open")</f>
        <v>ok</v>
      </c>
      <c r="C1627" s="89" t="s">
        <v>369</v>
      </c>
      <c r="D1627" t="s">
        <v>3572</v>
      </c>
      <c r="E1627" t="s">
        <v>3570</v>
      </c>
      <c r="F1627" s="117" t="s">
        <v>3570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LS</v>
      </c>
      <c r="L1627" s="85" t="s">
        <v>2563</v>
      </c>
      <c r="M1627" s="87">
        <v>45803.512962962966</v>
      </c>
      <c r="N1627" s="87">
        <v>45806</v>
      </c>
      <c r="O1627" s="87">
        <v>45806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3</v>
      </c>
      <c r="R1627" s="90" t="s">
        <v>489</v>
      </c>
      <c r="S1627" s="85"/>
    </row>
    <row r="1628" spans="1:19" hidden="1">
      <c r="A1628" s="89" t="s">
        <v>3568</v>
      </c>
      <c r="B1628" s="149" t="str">
        <f>IFERROR(VLOOKUP(Proc[[#This Row],[App]],Table2[],3,0),"open")</f>
        <v>ok</v>
      </c>
      <c r="C1628" s="89" t="s">
        <v>369</v>
      </c>
      <c r="D1628" t="s">
        <v>3573</v>
      </c>
      <c r="E1628" t="s">
        <v>3570</v>
      </c>
      <c r="F1628" s="117" t="s">
        <v>3570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LS</v>
      </c>
      <c r="L1628" s="85" t="s">
        <v>2563</v>
      </c>
      <c r="M1628" s="87">
        <v>45803.512962962966</v>
      </c>
      <c r="N1628" s="87">
        <v>45806</v>
      </c>
      <c r="O1628" s="87">
        <v>45806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3</v>
      </c>
      <c r="R1628" s="90" t="s">
        <v>489</v>
      </c>
      <c r="S1628" s="85"/>
    </row>
    <row r="1629" spans="1:19" hidden="1">
      <c r="A1629" s="89" t="s">
        <v>3568</v>
      </c>
      <c r="B1629" s="149" t="str">
        <f>IFERROR(VLOOKUP(Proc[[#This Row],[App]],Table2[],3,0),"open")</f>
        <v>ok</v>
      </c>
      <c r="C1629" s="89" t="s">
        <v>369</v>
      </c>
      <c r="D1629" t="s">
        <v>3574</v>
      </c>
      <c r="E1629" t="s">
        <v>3570</v>
      </c>
      <c r="F1629" s="117" t="s">
        <v>3570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LS</v>
      </c>
      <c r="L1629" s="85" t="s">
        <v>2563</v>
      </c>
      <c r="M1629" s="87">
        <v>45803.512962962966</v>
      </c>
      <c r="N1629" s="87">
        <v>45806</v>
      </c>
      <c r="O1629" s="87">
        <v>45806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3</v>
      </c>
      <c r="R1629" s="90" t="s">
        <v>489</v>
      </c>
      <c r="S1629" s="85"/>
    </row>
    <row r="1630" spans="1:19" hidden="1">
      <c r="A1630" t="s">
        <v>3575</v>
      </c>
      <c r="B1630" s="149" t="str">
        <f>IFERROR(VLOOKUP(Proc[[#This Row],[App]],Table2[],3,0),"open")</f>
        <v>ok</v>
      </c>
      <c r="C1630" s="89" t="s">
        <v>369</v>
      </c>
      <c r="D1630" t="s">
        <v>3576</v>
      </c>
      <c r="E1630" t="s">
        <v>3577</v>
      </c>
      <c r="F1630" s="117" t="s">
        <v>3577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MGF</v>
      </c>
      <c r="L1630" s="85" t="s">
        <v>2563</v>
      </c>
      <c r="M1630" s="87">
        <v>45803.669652777775</v>
      </c>
      <c r="N1630" s="87">
        <v>45806</v>
      </c>
      <c r="O1630" s="87">
        <v>45806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3</v>
      </c>
      <c r="R1630" s="90" t="s">
        <v>1076</v>
      </c>
      <c r="S1630" s="85"/>
    </row>
    <row r="1631" spans="1:19" hidden="1">
      <c r="A1631" s="89" t="s">
        <v>3575</v>
      </c>
      <c r="B1631" s="149" t="str">
        <f>IFERROR(VLOOKUP(Proc[[#This Row],[App]],Table2[],3,0),"open")</f>
        <v>ok</v>
      </c>
      <c r="C1631" s="89" t="s">
        <v>369</v>
      </c>
      <c r="D1631" t="s">
        <v>3578</v>
      </c>
      <c r="E1631" t="s">
        <v>2018</v>
      </c>
      <c r="F1631" s="117" t="s">
        <v>2018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MGF</v>
      </c>
      <c r="L1631" s="85" t="s">
        <v>2563</v>
      </c>
      <c r="M1631" s="87">
        <v>45803.669652777775</v>
      </c>
      <c r="N1631" s="87">
        <v>45806</v>
      </c>
      <c r="O1631" s="87">
        <v>45806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3</v>
      </c>
      <c r="R1631" s="90" t="s">
        <v>1076</v>
      </c>
      <c r="S1631" s="85"/>
    </row>
    <row r="1632" spans="1:19" hidden="1">
      <c r="A1632" s="89" t="s">
        <v>3575</v>
      </c>
      <c r="B1632" s="149" t="str">
        <f>IFERROR(VLOOKUP(Proc[[#This Row],[App]],Table2[],3,0),"open")</f>
        <v>ok</v>
      </c>
      <c r="C1632" s="89" t="s">
        <v>369</v>
      </c>
      <c r="D1632" t="s">
        <v>3579</v>
      </c>
      <c r="E1632" t="s">
        <v>2016</v>
      </c>
      <c r="F1632" s="117" t="s">
        <v>2016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MGF</v>
      </c>
      <c r="L1632" s="85" t="s">
        <v>2563</v>
      </c>
      <c r="M1632" s="87">
        <v>45803.669652777775</v>
      </c>
      <c r="N1632" s="87">
        <v>45806</v>
      </c>
      <c r="O1632" s="87">
        <v>45806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3</v>
      </c>
      <c r="R1632" s="90" t="s">
        <v>1076</v>
      </c>
      <c r="S1632" s="85"/>
    </row>
    <row r="1633" spans="1:19" hidden="1">
      <c r="A1633" s="89" t="s">
        <v>3575</v>
      </c>
      <c r="B1633" s="149" t="str">
        <f>IFERROR(VLOOKUP(Proc[[#This Row],[App]],Table2[],3,0),"open")</f>
        <v>ok</v>
      </c>
      <c r="C1633" s="89" t="s">
        <v>369</v>
      </c>
      <c r="D1633" t="s">
        <v>3580</v>
      </c>
      <c r="E1633" t="s">
        <v>2016</v>
      </c>
      <c r="F1633" s="117" t="s">
        <v>2016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MGF</v>
      </c>
      <c r="L1633" s="85" t="s">
        <v>2563</v>
      </c>
      <c r="M1633" s="87">
        <v>45803.669652777775</v>
      </c>
      <c r="N1633" s="87">
        <v>45806</v>
      </c>
      <c r="O1633" s="87">
        <v>45806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3</v>
      </c>
      <c r="R1633" s="90" t="s">
        <v>1076</v>
      </c>
      <c r="S1633" s="85"/>
    </row>
    <row r="1634" spans="1:19" hidden="1">
      <c r="A1634" s="89" t="s">
        <v>3575</v>
      </c>
      <c r="B1634" s="149" t="str">
        <f>IFERROR(VLOOKUP(Proc[[#This Row],[App]],Table2[],3,0),"open")</f>
        <v>ok</v>
      </c>
      <c r="C1634" s="89" t="s">
        <v>369</v>
      </c>
      <c r="D1634" t="s">
        <v>3581</v>
      </c>
      <c r="E1634" t="s">
        <v>2016</v>
      </c>
      <c r="F1634" s="117" t="s">
        <v>2016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MGF</v>
      </c>
      <c r="L1634" s="85" t="s">
        <v>2563</v>
      </c>
      <c r="M1634" s="87">
        <v>45803.669652777775</v>
      </c>
      <c r="N1634" s="87">
        <v>45806</v>
      </c>
      <c r="O1634" s="87">
        <v>45806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3</v>
      </c>
      <c r="R1634" s="90" t="s">
        <v>1076</v>
      </c>
      <c r="S1634" s="85"/>
    </row>
    <row r="1635" spans="1:19" hidden="1">
      <c r="A1635" s="89" t="s">
        <v>3575</v>
      </c>
      <c r="B1635" s="149" t="str">
        <f>IFERROR(VLOOKUP(Proc[[#This Row],[App]],Table2[],3,0),"open")</f>
        <v>ok</v>
      </c>
      <c r="C1635" s="89" t="s">
        <v>369</v>
      </c>
      <c r="D1635" t="s">
        <v>3582</v>
      </c>
      <c r="E1635" t="s">
        <v>2016</v>
      </c>
      <c r="F1635" s="117" t="s">
        <v>2016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MGF</v>
      </c>
      <c r="L1635" s="85" t="s">
        <v>2563</v>
      </c>
      <c r="M1635" s="87">
        <v>45803.669652777775</v>
      </c>
      <c r="N1635" s="87">
        <v>45806</v>
      </c>
      <c r="O1635" s="87">
        <v>45806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3</v>
      </c>
      <c r="R1635" s="90" t="s">
        <v>1076</v>
      </c>
      <c r="S1635" s="85"/>
    </row>
    <row r="1636" spans="1:19" hidden="1">
      <c r="A1636" s="89" t="s">
        <v>3575</v>
      </c>
      <c r="B1636" s="149" t="str">
        <f>IFERROR(VLOOKUP(Proc[[#This Row],[App]],Table2[],3,0),"open")</f>
        <v>ok</v>
      </c>
      <c r="C1636" s="89" t="s">
        <v>369</v>
      </c>
      <c r="D1636" t="s">
        <v>3583</v>
      </c>
      <c r="E1636" t="s">
        <v>2016</v>
      </c>
      <c r="F1636" s="117" t="s">
        <v>2016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MGF</v>
      </c>
      <c r="L1636" s="85" t="s">
        <v>2563</v>
      </c>
      <c r="M1636" s="87">
        <v>45803.669652777775</v>
      </c>
      <c r="N1636" s="87">
        <v>45806</v>
      </c>
      <c r="O1636" s="87">
        <v>45806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3</v>
      </c>
      <c r="R1636" s="90" t="s">
        <v>1076</v>
      </c>
      <c r="S1636" s="85"/>
    </row>
    <row r="1637" spans="1:19" hidden="1">
      <c r="A1637" s="89" t="s">
        <v>3575</v>
      </c>
      <c r="B1637" s="149" t="str">
        <f>IFERROR(VLOOKUP(Proc[[#This Row],[App]],Table2[],3,0),"open")</f>
        <v>ok</v>
      </c>
      <c r="C1637" s="89" t="s">
        <v>369</v>
      </c>
      <c r="D1637" t="s">
        <v>3584</v>
      </c>
      <c r="E1637" t="s">
        <v>2016</v>
      </c>
      <c r="F1637" s="117" t="s">
        <v>2016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MGF</v>
      </c>
      <c r="L1637" s="85" t="s">
        <v>2563</v>
      </c>
      <c r="M1637" s="87">
        <v>45803.669652777775</v>
      </c>
      <c r="N1637" s="87">
        <v>45806</v>
      </c>
      <c r="O1637" s="87">
        <v>45806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3</v>
      </c>
      <c r="R1637" s="90" t="s">
        <v>1076</v>
      </c>
      <c r="S1637" s="85"/>
    </row>
    <row r="1638" spans="1:19" hidden="1">
      <c r="A1638" s="89" t="s">
        <v>3575</v>
      </c>
      <c r="B1638" s="149" t="str">
        <f>IFERROR(VLOOKUP(Proc[[#This Row],[App]],Table2[],3,0),"open")</f>
        <v>ok</v>
      </c>
      <c r="C1638" s="89" t="s">
        <v>369</v>
      </c>
      <c r="D1638" t="s">
        <v>3585</v>
      </c>
      <c r="E1638" t="s">
        <v>3586</v>
      </c>
      <c r="F1638" s="117" t="s">
        <v>3586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MGF</v>
      </c>
      <c r="L1638" s="85" t="s">
        <v>2563</v>
      </c>
      <c r="M1638" s="87">
        <v>45803.669652777775</v>
      </c>
      <c r="N1638" s="87">
        <v>45806</v>
      </c>
      <c r="O1638" s="87">
        <v>45806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3</v>
      </c>
      <c r="R1638" s="90" t="s">
        <v>1076</v>
      </c>
      <c r="S1638" s="85"/>
    </row>
    <row r="1639" spans="1:19" hidden="1">
      <c r="A1639" s="89" t="s">
        <v>3575</v>
      </c>
      <c r="B1639" s="149" t="str">
        <f>IFERROR(VLOOKUP(Proc[[#This Row],[App]],Table2[],3,0),"open")</f>
        <v>ok</v>
      </c>
      <c r="C1639" s="89" t="s">
        <v>369</v>
      </c>
      <c r="D1639" t="s">
        <v>3587</v>
      </c>
      <c r="E1639" t="s">
        <v>1214</v>
      </c>
      <c r="F1639" s="117" t="s">
        <v>1214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MGF</v>
      </c>
      <c r="L1639" s="85" t="s">
        <v>2563</v>
      </c>
      <c r="M1639" s="87">
        <v>45803.669652777775</v>
      </c>
      <c r="N1639" s="87">
        <v>45806</v>
      </c>
      <c r="O1639" s="87">
        <v>45806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3</v>
      </c>
      <c r="R1639" s="90" t="s">
        <v>1076</v>
      </c>
      <c r="S1639" s="85"/>
    </row>
    <row r="1640" spans="1:19" hidden="1">
      <c r="A1640" s="89" t="s">
        <v>3575</v>
      </c>
      <c r="B1640" s="149" t="str">
        <f>IFERROR(VLOOKUP(Proc[[#This Row],[App]],Table2[],3,0),"open")</f>
        <v>ok</v>
      </c>
      <c r="C1640" s="89" t="s">
        <v>369</v>
      </c>
      <c r="D1640" t="s">
        <v>3588</v>
      </c>
      <c r="E1640" t="s">
        <v>3589</v>
      </c>
      <c r="F1640" s="117" t="s">
        <v>3589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MGF</v>
      </c>
      <c r="L1640" s="85" t="s">
        <v>2563</v>
      </c>
      <c r="M1640" s="87">
        <v>45803.669652777775</v>
      </c>
      <c r="N1640" s="87">
        <v>45806</v>
      </c>
      <c r="O1640" s="87">
        <v>45806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3</v>
      </c>
      <c r="R1640" s="90" t="s">
        <v>1076</v>
      </c>
      <c r="S1640" s="85"/>
    </row>
    <row r="1641" spans="1:19" hidden="1">
      <c r="A1641" s="89" t="s">
        <v>3575</v>
      </c>
      <c r="B1641" s="149" t="str">
        <f>IFERROR(VLOOKUP(Proc[[#This Row],[App]],Table2[],3,0),"open")</f>
        <v>ok</v>
      </c>
      <c r="C1641" s="89" t="s">
        <v>369</v>
      </c>
      <c r="D1641" t="s">
        <v>3590</v>
      </c>
      <c r="E1641" t="s">
        <v>419</v>
      </c>
      <c r="F1641" s="117" t="s">
        <v>419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MGF</v>
      </c>
      <c r="L1641" s="85" t="s">
        <v>2563</v>
      </c>
      <c r="M1641" s="87">
        <v>45803.669652777775</v>
      </c>
      <c r="N1641" s="87">
        <v>45806</v>
      </c>
      <c r="O1641" s="87">
        <v>45806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3</v>
      </c>
      <c r="R1641" s="90" t="s">
        <v>1076</v>
      </c>
      <c r="S1641" s="85"/>
    </row>
    <row r="1642" spans="1:19" hidden="1">
      <c r="A1642" s="89" t="s">
        <v>3575</v>
      </c>
      <c r="B1642" s="149" t="str">
        <f>IFERROR(VLOOKUP(Proc[[#This Row],[App]],Table2[],3,0),"open")</f>
        <v>ok</v>
      </c>
      <c r="C1642" s="89" t="s">
        <v>369</v>
      </c>
      <c r="D1642" t="s">
        <v>3591</v>
      </c>
      <c r="E1642" t="s">
        <v>419</v>
      </c>
      <c r="F1642" s="117" t="s">
        <v>419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MGF</v>
      </c>
      <c r="L1642" s="85" t="s">
        <v>2563</v>
      </c>
      <c r="M1642" s="87">
        <v>45803.669652777775</v>
      </c>
      <c r="N1642" s="87">
        <v>45806</v>
      </c>
      <c r="O1642" s="87">
        <v>45806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3</v>
      </c>
      <c r="R1642" s="90" t="s">
        <v>1076</v>
      </c>
      <c r="S1642" s="85"/>
    </row>
    <row r="1643" spans="1:19" hidden="1">
      <c r="A1643" s="89" t="s">
        <v>3575</v>
      </c>
      <c r="B1643" s="149" t="str">
        <f>IFERROR(VLOOKUP(Proc[[#This Row],[App]],Table2[],3,0),"open")</f>
        <v>ok</v>
      </c>
      <c r="C1643" s="89" t="s">
        <v>369</v>
      </c>
      <c r="D1643" t="s">
        <v>3592</v>
      </c>
      <c r="E1643" t="s">
        <v>419</v>
      </c>
      <c r="F1643" s="117" t="s">
        <v>419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45803.669652777775</v>
      </c>
      <c r="N1643" s="87">
        <v>45806</v>
      </c>
      <c r="O1643" s="87">
        <v>45806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3</v>
      </c>
      <c r="R1643" s="90" t="s">
        <v>1076</v>
      </c>
      <c r="S1643" s="85"/>
    </row>
    <row r="1644" spans="1:19" hidden="1">
      <c r="A1644" t="s">
        <v>3599</v>
      </c>
      <c r="B1644" s="149" t="str">
        <f>IFERROR(VLOOKUP(Proc[[#This Row],[App]],Table2[],3,0),"open")</f>
        <v>ok</v>
      </c>
      <c r="C1644" s="89" t="s">
        <v>369</v>
      </c>
      <c r="D1644" t="s">
        <v>3594</v>
      </c>
      <c r="E1644" t="s">
        <v>3597</v>
      </c>
      <c r="F1644" s="117" t="s">
        <v>3597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HC</v>
      </c>
      <c r="L1644" s="85" t="s">
        <v>2563</v>
      </c>
      <c r="M1644" s="87">
        <v>45805.839305555557</v>
      </c>
      <c r="N1644" s="87">
        <v>45807</v>
      </c>
      <c r="O1644" s="87">
        <v>45807</v>
      </c>
      <c r="P1644" s="90" t="str">
        <f ca="1">IF(Proc[[#This Row],[DaysAgeing]]&gt;5,"yep","on track")</f>
        <v>on track</v>
      </c>
      <c r="Q1644" s="3">
        <f ca="1">IF(Proc[[#This Row],[DateClosed]]="",ABS(NETWORKDAYS(Proc[[#This Row],[DateOpened]],TODAY()))-1,ABS(NETWORKDAYS(Proc[[#This Row],[DateOpened]],Proc[[#This Row],[DateClosed]]))-1)</f>
        <v>2</v>
      </c>
      <c r="R1644" s="90" t="s">
        <v>1013</v>
      </c>
      <c r="S1644" s="85"/>
    </row>
    <row r="1645" spans="1:19" hidden="1">
      <c r="A1645" s="89" t="s">
        <v>3599</v>
      </c>
      <c r="B1645" s="149" t="str">
        <f>IFERROR(VLOOKUP(Proc[[#This Row],[App]],Table2[],3,0),"open")</f>
        <v>ok</v>
      </c>
      <c r="C1645" s="89" t="s">
        <v>369</v>
      </c>
      <c r="D1645" t="s">
        <v>3595</v>
      </c>
      <c r="E1645" t="s">
        <v>3598</v>
      </c>
      <c r="F1645" s="117" t="s">
        <v>3598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HC</v>
      </c>
      <c r="L1645" s="85" t="s">
        <v>2563</v>
      </c>
      <c r="M1645" s="87">
        <v>45805.839305555557</v>
      </c>
      <c r="N1645" s="87">
        <v>45807</v>
      </c>
      <c r="O1645" s="87">
        <v>45807</v>
      </c>
      <c r="P1645" s="90" t="str">
        <f ca="1">IF(Proc[[#This Row],[DaysAgeing]]&gt;5,"yep","on track")</f>
        <v>on track</v>
      </c>
      <c r="Q1645" s="3">
        <f ca="1">IF(Proc[[#This Row],[DateClosed]]="",ABS(NETWORKDAYS(Proc[[#This Row],[DateOpened]],TODAY()))-1,ABS(NETWORKDAYS(Proc[[#This Row],[DateOpened]],Proc[[#This Row],[DateClosed]]))-1)</f>
        <v>2</v>
      </c>
      <c r="R1645" s="90" t="s">
        <v>1013</v>
      </c>
      <c r="S1645" s="85"/>
    </row>
    <row r="1646" spans="1:19" hidden="1">
      <c r="A1646" s="89" t="s">
        <v>3599</v>
      </c>
      <c r="B1646" s="149" t="str">
        <f>IFERROR(VLOOKUP(Proc[[#This Row],[App]],Table2[],3,0),"open")</f>
        <v>ok</v>
      </c>
      <c r="C1646" s="89" t="s">
        <v>369</v>
      </c>
      <c r="D1646" t="s">
        <v>3596</v>
      </c>
      <c r="E1646" t="s">
        <v>3598</v>
      </c>
      <c r="F1646" s="117" t="s">
        <v>3598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HC</v>
      </c>
      <c r="L1646" s="85" t="s">
        <v>2563</v>
      </c>
      <c r="M1646" s="87">
        <v>45805.839305555557</v>
      </c>
      <c r="N1646" s="87">
        <v>45807</v>
      </c>
      <c r="O1646" s="87">
        <v>45807</v>
      </c>
      <c r="P1646" s="90" t="str">
        <f ca="1">IF(Proc[[#This Row],[DaysAgeing]]&gt;5,"yep","on track")</f>
        <v>on track</v>
      </c>
      <c r="Q1646" s="3">
        <f ca="1">IF(Proc[[#This Row],[DateClosed]]="",ABS(NETWORKDAYS(Proc[[#This Row],[DateOpened]],TODAY()))-1,ABS(NETWORKDAYS(Proc[[#This Row],[DateOpened]],Proc[[#This Row],[DateClosed]]))-1)</f>
        <v>2</v>
      </c>
      <c r="R1646" s="90" t="s">
        <v>1013</v>
      </c>
      <c r="S1646" s="85"/>
    </row>
    <row r="1647" spans="1:19" hidden="1">
      <c r="A1647" t="s">
        <v>3600</v>
      </c>
      <c r="B1647" s="149" t="str">
        <f>IFERROR(VLOOKUP(Proc[[#This Row],[App]],Table2[],3,0),"open")</f>
        <v>ok</v>
      </c>
      <c r="C1647" t="s">
        <v>369</v>
      </c>
      <c r="D1647" t="s">
        <v>3601</v>
      </c>
      <c r="E1647" t="s">
        <v>3602</v>
      </c>
      <c r="F1647" s="117" t="s">
        <v>3602</v>
      </c>
      <c r="G1647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HC</v>
      </c>
      <c r="L1647" s="85" t="s">
        <v>2563</v>
      </c>
      <c r="M1647" s="87">
        <v>45806.431597222225</v>
      </c>
      <c r="N1647" s="87">
        <v>45810</v>
      </c>
      <c r="O1647" s="87">
        <v>45810</v>
      </c>
      <c r="P1647" s="90" t="str">
        <f ca="1">IF(Proc[[#This Row],[DaysAgeing]]&gt;5,"yep","on track")</f>
        <v>on track</v>
      </c>
      <c r="Q1647" s="3">
        <f ca="1">IF(Proc[[#This Row],[DateClosed]]="",ABS(NETWORKDAYS(Proc[[#This Row],[DateOpened]],TODAY()))-1,ABS(NETWORKDAYS(Proc[[#This Row],[DateOpened]],Proc[[#This Row],[DateClosed]]))-1)</f>
        <v>2</v>
      </c>
      <c r="R1647" s="90" t="s">
        <v>478</v>
      </c>
      <c r="S1647" s="85"/>
    </row>
    <row r="1648" spans="1:19" hidden="1">
      <c r="A1648" s="89" t="s">
        <v>3600</v>
      </c>
      <c r="B1648" s="149" t="str">
        <f>IFERROR(VLOOKUP(Proc[[#This Row],[App]],Table2[],3,0),"open")</f>
        <v>ok</v>
      </c>
      <c r="C1648" s="89" t="s">
        <v>369</v>
      </c>
      <c r="D1648" t="s">
        <v>3603</v>
      </c>
      <c r="E1648" t="s">
        <v>3602</v>
      </c>
      <c r="F1648" s="117" t="s">
        <v>3602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HC</v>
      </c>
      <c r="L1648" s="125" t="s">
        <v>2563</v>
      </c>
      <c r="M1648" s="87">
        <v>45806.431597222225</v>
      </c>
      <c r="N1648" s="87">
        <v>45810</v>
      </c>
      <c r="O1648" s="87">
        <v>45810</v>
      </c>
      <c r="P1648" s="90" t="str">
        <f ca="1">IF(Proc[[#This Row],[DaysAgeing]]&gt;5,"yep","on track")</f>
        <v>on track</v>
      </c>
      <c r="Q1648" s="3">
        <f ca="1">IF(Proc[[#This Row],[DateClosed]]="",ABS(NETWORKDAYS(Proc[[#This Row],[DateOpened]],TODAY()))-1,ABS(NETWORKDAYS(Proc[[#This Row],[DateOpened]],Proc[[#This Row],[DateClosed]]))-1)</f>
        <v>2</v>
      </c>
      <c r="R1648" s="90" t="s">
        <v>478</v>
      </c>
      <c r="S1648" s="85"/>
    </row>
    <row r="1649" spans="1:19" hidden="1">
      <c r="A1649" s="89" t="s">
        <v>3600</v>
      </c>
      <c r="B1649" s="149" t="str">
        <f>IFERROR(VLOOKUP(Proc[[#This Row],[App]],Table2[],3,0),"open")</f>
        <v>ok</v>
      </c>
      <c r="C1649" s="89" t="s">
        <v>369</v>
      </c>
      <c r="D1649" t="s">
        <v>3604</v>
      </c>
      <c r="E1649" t="s">
        <v>3602</v>
      </c>
      <c r="F1649" s="117" t="s">
        <v>3602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HC</v>
      </c>
      <c r="L1649" s="125" t="s">
        <v>2563</v>
      </c>
      <c r="M1649" s="87">
        <v>45806.431597222225</v>
      </c>
      <c r="N1649" s="87">
        <v>45810</v>
      </c>
      <c r="O1649" s="87">
        <v>45810</v>
      </c>
      <c r="P1649" s="90" t="str">
        <f ca="1">IF(Proc[[#This Row],[DaysAgeing]]&gt;5,"yep","on track")</f>
        <v>on track</v>
      </c>
      <c r="Q1649" s="3">
        <f ca="1">IF(Proc[[#This Row],[DateClosed]]="",ABS(NETWORKDAYS(Proc[[#This Row],[DateOpened]],TODAY()))-1,ABS(NETWORKDAYS(Proc[[#This Row],[DateOpened]],Proc[[#This Row],[DateClosed]]))-1)</f>
        <v>2</v>
      </c>
      <c r="R1649" s="90" t="s">
        <v>478</v>
      </c>
      <c r="S1649" s="85"/>
    </row>
    <row r="1650" spans="1:19" hidden="1">
      <c r="A1650" s="89" t="s">
        <v>3600</v>
      </c>
      <c r="B1650" s="149" t="str">
        <f>IFERROR(VLOOKUP(Proc[[#This Row],[App]],Table2[],3,0),"open")</f>
        <v>ok</v>
      </c>
      <c r="C1650" s="89" t="s">
        <v>369</v>
      </c>
      <c r="D1650" t="s">
        <v>3605</v>
      </c>
      <c r="E1650" t="s">
        <v>3602</v>
      </c>
      <c r="F1650" s="117" t="s">
        <v>3602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HC</v>
      </c>
      <c r="L1650" s="125" t="s">
        <v>2563</v>
      </c>
      <c r="M1650" s="87">
        <v>45806.431597222225</v>
      </c>
      <c r="N1650" s="87">
        <v>45810</v>
      </c>
      <c r="O1650" s="87">
        <v>45810</v>
      </c>
      <c r="P1650" s="90" t="str">
        <f ca="1">IF(Proc[[#This Row],[DaysAgeing]]&gt;5,"yep","on track")</f>
        <v>on track</v>
      </c>
      <c r="Q1650" s="3">
        <f ca="1">IF(Proc[[#This Row],[DateClosed]]="",ABS(NETWORKDAYS(Proc[[#This Row],[DateOpened]],TODAY()))-1,ABS(NETWORKDAYS(Proc[[#This Row],[DateOpened]],Proc[[#This Row],[DateClosed]]))-1)</f>
        <v>2</v>
      </c>
      <c r="R1650" s="90" t="s">
        <v>478</v>
      </c>
      <c r="S1650" s="85"/>
    </row>
    <row r="1651" spans="1:19" hidden="1">
      <c r="A1651" s="89" t="s">
        <v>3600</v>
      </c>
      <c r="B1651" s="149" t="str">
        <f>IFERROR(VLOOKUP(Proc[[#This Row],[App]],Table2[],3,0),"open")</f>
        <v>ok</v>
      </c>
      <c r="C1651" s="89" t="s">
        <v>369</v>
      </c>
      <c r="D1651" t="s">
        <v>3606</v>
      </c>
      <c r="E1651" t="s">
        <v>3602</v>
      </c>
      <c r="F1651" s="117" t="s">
        <v>3602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HC</v>
      </c>
      <c r="L1651" s="125" t="s">
        <v>2563</v>
      </c>
      <c r="M1651" s="87">
        <v>45806.431597222225</v>
      </c>
      <c r="N1651" s="87">
        <v>45810</v>
      </c>
      <c r="O1651" s="87">
        <v>45810</v>
      </c>
      <c r="P1651" s="90" t="str">
        <f ca="1">IF(Proc[[#This Row],[DaysAgeing]]&gt;5,"yep","on track")</f>
        <v>on track</v>
      </c>
      <c r="Q1651" s="3">
        <f ca="1">IF(Proc[[#This Row],[DateClosed]]="",ABS(NETWORKDAYS(Proc[[#This Row],[DateOpened]],TODAY()))-1,ABS(NETWORKDAYS(Proc[[#This Row],[DateOpened]],Proc[[#This Row],[DateClosed]]))-1)</f>
        <v>2</v>
      </c>
      <c r="R1651" s="90" t="s">
        <v>478</v>
      </c>
      <c r="S1651" s="85"/>
    </row>
    <row r="1652" spans="1:19" hidden="1">
      <c r="A1652" s="89" t="s">
        <v>3600</v>
      </c>
      <c r="B1652" s="149" t="str">
        <f>IFERROR(VLOOKUP(Proc[[#This Row],[App]],Table2[],3,0),"open")</f>
        <v>ok</v>
      </c>
      <c r="C1652" s="89" t="s">
        <v>369</v>
      </c>
      <c r="D1652" t="s">
        <v>3607</v>
      </c>
      <c r="E1652" t="s">
        <v>3602</v>
      </c>
      <c r="F1652" s="117" t="s">
        <v>3602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HC</v>
      </c>
      <c r="L1652" s="125" t="s">
        <v>2563</v>
      </c>
      <c r="M1652" s="87">
        <v>45806.431597222225</v>
      </c>
      <c r="N1652" s="87">
        <v>45810</v>
      </c>
      <c r="O1652" s="87">
        <v>45810</v>
      </c>
      <c r="P1652" s="90" t="str">
        <f ca="1">IF(Proc[[#This Row],[DaysAgeing]]&gt;5,"yep","on track")</f>
        <v>on track</v>
      </c>
      <c r="Q1652" s="3">
        <f ca="1">IF(Proc[[#This Row],[DateClosed]]="",ABS(NETWORKDAYS(Proc[[#This Row],[DateOpened]],TODAY()))-1,ABS(NETWORKDAYS(Proc[[#This Row],[DateOpened]],Proc[[#This Row],[DateClosed]]))-1)</f>
        <v>2</v>
      </c>
      <c r="R1652" s="90" t="s">
        <v>478</v>
      </c>
      <c r="S1652" s="85"/>
    </row>
    <row r="1653" spans="1:19" hidden="1">
      <c r="A1653" t="s">
        <v>3608</v>
      </c>
      <c r="B1653" s="149" t="str">
        <f>IFERROR(VLOOKUP(Proc[[#This Row],[App]],Table2[],3,0),"open")</f>
        <v>ok</v>
      </c>
      <c r="C1653" s="89" t="s">
        <v>369</v>
      </c>
      <c r="D1653" t="s">
        <v>3609</v>
      </c>
      <c r="E1653" t="s">
        <v>3614</v>
      </c>
      <c r="F1653" s="117" t="s">
        <v>3614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125" t="s">
        <v>2563</v>
      </c>
      <c r="M1653" s="87">
        <v>45806.445231481484</v>
      </c>
      <c r="N1653" s="87">
        <v>45810</v>
      </c>
      <c r="O1653" s="87">
        <v>45810</v>
      </c>
      <c r="P1653" s="90" t="str">
        <f ca="1">IF(Proc[[#This Row],[DaysAgeing]]&gt;5,"yep","on track")</f>
        <v>on track</v>
      </c>
      <c r="Q1653" s="3">
        <f ca="1">IF(Proc[[#This Row],[DateClosed]]="",ABS(NETWORKDAYS(Proc[[#This Row],[DateOpened]],TODAY()))-1,ABS(NETWORKDAYS(Proc[[#This Row],[DateOpened]],Proc[[#This Row],[DateClosed]]))-1)</f>
        <v>2</v>
      </c>
      <c r="R1653" s="90" t="s">
        <v>972</v>
      </c>
      <c r="S1653" s="85"/>
    </row>
    <row r="1654" spans="1:19" hidden="1">
      <c r="A1654" s="89" t="s">
        <v>3608</v>
      </c>
      <c r="B1654" s="149" t="str">
        <f>IFERROR(VLOOKUP(Proc[[#This Row],[App]],Table2[],3,0),"open")</f>
        <v>ok</v>
      </c>
      <c r="C1654" s="89" t="s">
        <v>369</v>
      </c>
      <c r="D1654" t="s">
        <v>3610</v>
      </c>
      <c r="E1654" t="s">
        <v>3615</v>
      </c>
      <c r="F1654" s="117" t="s">
        <v>3615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125" t="s">
        <v>2563</v>
      </c>
      <c r="M1654" s="87">
        <v>45806.445231481484</v>
      </c>
      <c r="N1654" s="87">
        <v>45810</v>
      </c>
      <c r="O1654" s="87">
        <v>45810</v>
      </c>
      <c r="P1654" s="90" t="str">
        <f ca="1">IF(Proc[[#This Row],[DaysAgeing]]&gt;5,"yep","on track")</f>
        <v>on track</v>
      </c>
      <c r="Q1654" s="3">
        <f ca="1">IF(Proc[[#This Row],[DateClosed]]="",ABS(NETWORKDAYS(Proc[[#This Row],[DateOpened]],TODAY()))-1,ABS(NETWORKDAYS(Proc[[#This Row],[DateOpened]],Proc[[#This Row],[DateClosed]]))-1)</f>
        <v>2</v>
      </c>
      <c r="R1654" s="90" t="s">
        <v>972</v>
      </c>
      <c r="S1654" s="85"/>
    </row>
    <row r="1655" spans="1:19" hidden="1">
      <c r="A1655" s="89" t="s">
        <v>3608</v>
      </c>
      <c r="B1655" s="149" t="str">
        <f>IFERROR(VLOOKUP(Proc[[#This Row],[App]],Table2[],3,0),"open")</f>
        <v>ok</v>
      </c>
      <c r="C1655" s="89" t="s">
        <v>369</v>
      </c>
      <c r="D1655" t="s">
        <v>3611</v>
      </c>
      <c r="E1655" t="s">
        <v>3616</v>
      </c>
      <c r="F1655" s="117" t="s">
        <v>3616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125" t="s">
        <v>2563</v>
      </c>
      <c r="M1655" s="87">
        <v>45806.445231481484</v>
      </c>
      <c r="N1655" s="87">
        <v>45810</v>
      </c>
      <c r="O1655" s="87">
        <v>45810</v>
      </c>
      <c r="P1655" s="90" t="str">
        <f ca="1">IF(Proc[[#This Row],[DaysAgeing]]&gt;5,"yep","on track")</f>
        <v>on track</v>
      </c>
      <c r="Q1655" s="3">
        <f ca="1">IF(Proc[[#This Row],[DateClosed]]="",ABS(NETWORKDAYS(Proc[[#This Row],[DateOpened]],TODAY()))-1,ABS(NETWORKDAYS(Proc[[#This Row],[DateOpened]],Proc[[#This Row],[DateClosed]]))-1)</f>
        <v>2</v>
      </c>
      <c r="R1655" s="90" t="s">
        <v>972</v>
      </c>
      <c r="S1655" s="85"/>
    </row>
    <row r="1656" spans="1:19" hidden="1">
      <c r="A1656" s="89" t="s">
        <v>3608</v>
      </c>
      <c r="B1656" s="149" t="str">
        <f>IFERROR(VLOOKUP(Proc[[#This Row],[App]],Table2[],3,0),"open")</f>
        <v>ok</v>
      </c>
      <c r="C1656" s="89" t="s">
        <v>369</v>
      </c>
      <c r="D1656" t="s">
        <v>3612</v>
      </c>
      <c r="E1656" t="s">
        <v>2206</v>
      </c>
      <c r="F1656" s="117" t="s">
        <v>2206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125" t="s">
        <v>2563</v>
      </c>
      <c r="M1656" s="87">
        <v>45806.445231481484</v>
      </c>
      <c r="N1656" s="87">
        <v>45810</v>
      </c>
      <c r="O1656" s="87">
        <v>45810</v>
      </c>
      <c r="P1656" s="90" t="str">
        <f ca="1">IF(Proc[[#This Row],[DaysAgeing]]&gt;5,"yep","on track")</f>
        <v>on track</v>
      </c>
      <c r="Q1656" s="3">
        <f ca="1">IF(Proc[[#This Row],[DateClosed]]="",ABS(NETWORKDAYS(Proc[[#This Row],[DateOpened]],TODAY()))-1,ABS(NETWORKDAYS(Proc[[#This Row],[DateOpened]],Proc[[#This Row],[DateClosed]]))-1)</f>
        <v>2</v>
      </c>
      <c r="R1656" s="90" t="s">
        <v>972</v>
      </c>
      <c r="S1656" s="85"/>
    </row>
    <row r="1657" spans="1:19" hidden="1">
      <c r="A1657" s="89" t="s">
        <v>3608</v>
      </c>
      <c r="B1657" s="149" t="str">
        <f>IFERROR(VLOOKUP(Proc[[#This Row],[App]],Table2[],3,0),"open")</f>
        <v>ok</v>
      </c>
      <c r="C1657" s="89" t="s">
        <v>369</v>
      </c>
      <c r="D1657" t="s">
        <v>3613</v>
      </c>
      <c r="E1657" t="s">
        <v>1716</v>
      </c>
      <c r="F1657" s="117" t="s">
        <v>1716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125" t="s">
        <v>2563</v>
      </c>
      <c r="M1657" s="87">
        <v>45806.445231481484</v>
      </c>
      <c r="N1657" s="87">
        <v>45810</v>
      </c>
      <c r="O1657" s="87">
        <v>45810</v>
      </c>
      <c r="P1657" s="90" t="str">
        <f ca="1">IF(Proc[[#This Row],[DaysAgeing]]&gt;5,"yep","on track")</f>
        <v>on track</v>
      </c>
      <c r="Q1657" s="3">
        <f ca="1">IF(Proc[[#This Row],[DateClosed]]="",ABS(NETWORKDAYS(Proc[[#This Row],[DateOpened]],TODAY()))-1,ABS(NETWORKDAYS(Proc[[#This Row],[DateOpened]],Proc[[#This Row],[DateClosed]]))-1)</f>
        <v>2</v>
      </c>
      <c r="R1657" s="90" t="s">
        <v>972</v>
      </c>
      <c r="S1657" s="85"/>
    </row>
    <row r="1658" spans="1:19" hidden="1">
      <c r="A1658" t="s">
        <v>3619</v>
      </c>
      <c r="B1658" s="149" t="str">
        <f>IFERROR(VLOOKUP(Proc[[#This Row],[App]],Table2[],3,0),"open")</f>
        <v>ok</v>
      </c>
      <c r="C1658" s="89" t="s">
        <v>369</v>
      </c>
      <c r="D1658" t="s">
        <v>3617</v>
      </c>
      <c r="E1658" t="s">
        <v>3618</v>
      </c>
      <c r="F1658" s="117" t="s">
        <v>3618</v>
      </c>
      <c r="G1658" s="89" t="s">
        <v>406</v>
      </c>
      <c r="H1658" s="85" t="str">
        <f>IF(Proc[[#This Row],[type]]="LFF (MDG-F)",MID(Proc[[#This Row],[Obj]],13,10),"")</f>
        <v>DE10B45000</v>
      </c>
      <c r="I1658" t="s">
        <v>3623</v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125" t="s">
        <v>2563</v>
      </c>
      <c r="M1658" s="87">
        <v>45806.678356481483</v>
      </c>
      <c r="N1658" s="87">
        <v>45810</v>
      </c>
      <c r="O1658" s="87">
        <v>45810</v>
      </c>
      <c r="P1658" s="90" t="str">
        <f ca="1">IF(Proc[[#This Row],[DaysAgeing]]&gt;5,"yep","on track")</f>
        <v>on track</v>
      </c>
      <c r="Q1658" s="3">
        <f ca="1">IF(Proc[[#This Row],[DateClosed]]="",ABS(NETWORKDAYS(Proc[[#This Row],[DateOpened]],TODAY()))-1,ABS(NETWORKDAYS(Proc[[#This Row],[DateOpened]],Proc[[#This Row],[DateClosed]]))-1)</f>
        <v>2</v>
      </c>
      <c r="R1658" s="90" t="s">
        <v>489</v>
      </c>
      <c r="S1658" s="85"/>
    </row>
    <row r="1659" spans="1:19" hidden="1">
      <c r="A1659" t="s">
        <v>3620</v>
      </c>
      <c r="B1659" s="149" t="str">
        <f>IFERROR(VLOOKUP(Proc[[#This Row],[App]],Table2[],3,0),"open")</f>
        <v>ok</v>
      </c>
      <c r="C1659" s="89" t="s">
        <v>369</v>
      </c>
      <c r="D1659" t="s">
        <v>3621</v>
      </c>
      <c r="E1659" t="s">
        <v>3622</v>
      </c>
      <c r="F1659" s="117" t="s">
        <v>3622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125" t="s">
        <v>2563</v>
      </c>
      <c r="M1659" s="87">
        <v>45805.495625000003</v>
      </c>
      <c r="N1659" s="87">
        <v>45810</v>
      </c>
      <c r="O1659" s="87">
        <v>45810</v>
      </c>
      <c r="P1659" s="90" t="str">
        <f ca="1">IF(Proc[[#This Row],[DaysAgeing]]&gt;5,"yep","on track")</f>
        <v>on track</v>
      </c>
      <c r="Q1659" s="3">
        <f ca="1">IF(Proc[[#This Row],[DateClosed]]="",ABS(NETWORKDAYS(Proc[[#This Row],[DateOpened]],TODAY()))-1,ABS(NETWORKDAYS(Proc[[#This Row],[DateOpened]],Proc[[#This Row],[DateClosed]]))-1)</f>
        <v>3</v>
      </c>
      <c r="R1659" s="90" t="s">
        <v>1262</v>
      </c>
      <c r="S1659" s="85"/>
    </row>
    <row r="1660" spans="1:19" hidden="1">
      <c r="A1660" t="s">
        <v>3624</v>
      </c>
      <c r="B1660" s="149" t="str">
        <f>IFERROR(VLOOKUP(Proc[[#This Row],[App]],Table2[],3,0),"open")</f>
        <v>ok</v>
      </c>
      <c r="C1660" t="s">
        <v>369</v>
      </c>
      <c r="D1660" t="s">
        <v>3626</v>
      </c>
      <c r="E1660" t="s">
        <v>3625</v>
      </c>
      <c r="F1660" s="117" t="s">
        <v>3625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HC</v>
      </c>
      <c r="L1660" s="125" t="s">
        <v>2563</v>
      </c>
      <c r="M1660" s="90">
        <v>45806.678356481483</v>
      </c>
      <c r="N1660" s="91">
        <v>45810</v>
      </c>
      <c r="O1660" s="91">
        <v>45810</v>
      </c>
      <c r="P1660" s="90" t="str">
        <f ca="1">IF(Proc[[#This Row],[DaysAgeing]]&gt;5,"yep","on track")</f>
        <v>on track</v>
      </c>
      <c r="Q1660" s="3">
        <f ca="1">IF(Proc[[#This Row],[DateClosed]]="",ABS(NETWORKDAYS(Proc[[#This Row],[DateOpened]],TODAY()))-1,ABS(NETWORKDAYS(Proc[[#This Row],[DateOpened]],Proc[[#This Row],[DateClosed]]))-1)</f>
        <v>2</v>
      </c>
      <c r="R1660" s="90" t="s">
        <v>478</v>
      </c>
      <c r="S1660" s="85"/>
    </row>
    <row r="1661" spans="1:19" hidden="1">
      <c r="A1661" t="s">
        <v>3627</v>
      </c>
      <c r="B1661" s="149" t="str">
        <f>IFERROR(VLOOKUP(Proc[[#This Row],[App]],Table2[],3,0),"open")</f>
        <v>ok</v>
      </c>
      <c r="C1661" s="93" t="s">
        <v>369</v>
      </c>
      <c r="D1661" s="92" t="s">
        <v>3630</v>
      </c>
      <c r="E1661" t="s">
        <v>2105</v>
      </c>
      <c r="F1661" s="117" t="s">
        <v>2105</v>
      </c>
      <c r="G1661" s="92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HC</v>
      </c>
      <c r="L1661" s="125" t="s">
        <v>2563</v>
      </c>
      <c r="M1661" s="90">
        <v>45807.678356481483</v>
      </c>
      <c r="N1661" s="91">
        <v>45810</v>
      </c>
      <c r="O1661" s="91">
        <v>45810</v>
      </c>
      <c r="P1661" s="90" t="str">
        <f ca="1">IF(Proc[[#This Row],[DaysAgeing]]&gt;5,"yep","on track")</f>
        <v>on track</v>
      </c>
      <c r="Q1661" s="3">
        <f ca="1">IF(Proc[[#This Row],[DateClosed]]="",ABS(NETWORKDAYS(Proc[[#This Row],[DateOpened]],TODAY()))-1,ABS(NETWORKDAYS(Proc[[#This Row],[DateOpened]],Proc[[#This Row],[DateClosed]]))-1)</f>
        <v>1</v>
      </c>
      <c r="R1661" s="90" t="s">
        <v>738</v>
      </c>
      <c r="S1661" s="85"/>
    </row>
    <row r="1662" spans="1:19" hidden="1">
      <c r="A1662" s="92" t="s">
        <v>3627</v>
      </c>
      <c r="B1662" s="149" t="str">
        <f>IFERROR(VLOOKUP(Proc[[#This Row],[App]],Table2[],3,0),"open")</f>
        <v>ok</v>
      </c>
      <c r="C1662" s="93" t="s">
        <v>369</v>
      </c>
      <c r="D1662" s="92" t="s">
        <v>3631</v>
      </c>
      <c r="E1662" t="s">
        <v>3628</v>
      </c>
      <c r="F1662" s="117" t="s">
        <v>3628</v>
      </c>
      <c r="G1662" s="92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HC</v>
      </c>
      <c r="L1662" s="125" t="s">
        <v>2563</v>
      </c>
      <c r="M1662" s="90">
        <v>45807.678356481483</v>
      </c>
      <c r="N1662" s="91">
        <v>45810</v>
      </c>
      <c r="O1662" s="91">
        <v>45810</v>
      </c>
      <c r="P1662" s="90" t="str">
        <f ca="1">IF(Proc[[#This Row],[DaysAgeing]]&gt;5,"yep","on track")</f>
        <v>on track</v>
      </c>
      <c r="Q1662" s="3">
        <f ca="1">IF(Proc[[#This Row],[DateClosed]]="",ABS(NETWORKDAYS(Proc[[#This Row],[DateOpened]],TODAY()))-1,ABS(NETWORKDAYS(Proc[[#This Row],[DateOpened]],Proc[[#This Row],[DateClosed]]))-1)</f>
        <v>1</v>
      </c>
      <c r="R1662" s="90" t="s">
        <v>738</v>
      </c>
      <c r="S1662" s="85"/>
    </row>
    <row r="1663" spans="1:19" hidden="1">
      <c r="A1663" s="92" t="s">
        <v>3627</v>
      </c>
      <c r="B1663" s="149" t="str">
        <f>IFERROR(VLOOKUP(Proc[[#This Row],[App]],Table2[],3,0),"open")</f>
        <v>ok</v>
      </c>
      <c r="C1663" s="93" t="s">
        <v>369</v>
      </c>
      <c r="D1663" s="92" t="s">
        <v>3632</v>
      </c>
      <c r="E1663" t="s">
        <v>3628</v>
      </c>
      <c r="F1663" s="117" t="s">
        <v>3628</v>
      </c>
      <c r="G1663" s="92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HC</v>
      </c>
      <c r="L1663" s="125" t="s">
        <v>2563</v>
      </c>
      <c r="M1663" s="90">
        <v>45807.678356481483</v>
      </c>
      <c r="N1663" s="91">
        <v>45810</v>
      </c>
      <c r="O1663" s="91">
        <v>45810</v>
      </c>
      <c r="P1663" s="90" t="str">
        <f ca="1">IF(Proc[[#This Row],[DaysAgeing]]&gt;5,"yep","on track")</f>
        <v>on track</v>
      </c>
      <c r="Q1663" s="3">
        <f ca="1">IF(Proc[[#This Row],[DateClosed]]="",ABS(NETWORKDAYS(Proc[[#This Row],[DateOpened]],TODAY()))-1,ABS(NETWORKDAYS(Proc[[#This Row],[DateOpened]],Proc[[#This Row],[DateClosed]]))-1)</f>
        <v>1</v>
      </c>
      <c r="R1663" s="90" t="s">
        <v>738</v>
      </c>
      <c r="S1663" s="85"/>
    </row>
    <row r="1664" spans="1:19" hidden="1">
      <c r="A1664" s="92" t="s">
        <v>3627</v>
      </c>
      <c r="B1664" s="149" t="str">
        <f>IFERROR(VLOOKUP(Proc[[#This Row],[App]],Table2[],3,0),"open")</f>
        <v>ok</v>
      </c>
      <c r="C1664" s="93" t="s">
        <v>369</v>
      </c>
      <c r="D1664" s="92" t="s">
        <v>3633</v>
      </c>
      <c r="E1664" s="92" t="s">
        <v>3628</v>
      </c>
      <c r="F1664" s="117" t="s">
        <v>3628</v>
      </c>
      <c r="G1664" s="92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HC</v>
      </c>
      <c r="L1664" s="125" t="s">
        <v>2563</v>
      </c>
      <c r="M1664" s="90">
        <v>45807.678356481483</v>
      </c>
      <c r="N1664" s="91">
        <v>45810</v>
      </c>
      <c r="O1664" s="91">
        <v>45810</v>
      </c>
      <c r="P1664" s="90" t="str">
        <f ca="1">IF(Proc[[#This Row],[DaysAgeing]]&gt;5,"yep","on track")</f>
        <v>on track</v>
      </c>
      <c r="Q1664" s="3">
        <f ca="1">IF(Proc[[#This Row],[DateClosed]]="",ABS(NETWORKDAYS(Proc[[#This Row],[DateOpened]],TODAY()))-1,ABS(NETWORKDAYS(Proc[[#This Row],[DateOpened]],Proc[[#This Row],[DateClosed]]))-1)</f>
        <v>1</v>
      </c>
      <c r="R1664" s="90" t="s">
        <v>738</v>
      </c>
      <c r="S1664" s="85"/>
    </row>
    <row r="1665" spans="1:19" hidden="1">
      <c r="A1665" s="92" t="s">
        <v>3627</v>
      </c>
      <c r="B1665" s="149" t="str">
        <f>IFERROR(VLOOKUP(Proc[[#This Row],[App]],Table2[],3,0),"open")</f>
        <v>ok</v>
      </c>
      <c r="C1665" s="93" t="s">
        <v>369</v>
      </c>
      <c r="D1665" s="92" t="s">
        <v>3634</v>
      </c>
      <c r="E1665" t="s">
        <v>2159</v>
      </c>
      <c r="F1665" s="117" t="s">
        <v>2159</v>
      </c>
      <c r="G1665" s="92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HC</v>
      </c>
      <c r="L1665" s="125" t="s">
        <v>2563</v>
      </c>
      <c r="M1665" s="90">
        <v>45807.678356481483</v>
      </c>
      <c r="N1665" s="91">
        <v>45810</v>
      </c>
      <c r="O1665" s="91">
        <v>45810</v>
      </c>
      <c r="P1665" s="90" t="str">
        <f ca="1">IF(Proc[[#This Row],[DaysAgeing]]&gt;5,"yep","on track")</f>
        <v>on track</v>
      </c>
      <c r="Q1665" s="3">
        <f ca="1">IF(Proc[[#This Row],[DateClosed]]="",ABS(NETWORKDAYS(Proc[[#This Row],[DateOpened]],TODAY()))-1,ABS(NETWORKDAYS(Proc[[#This Row],[DateOpened]],Proc[[#This Row],[DateClosed]]))-1)</f>
        <v>1</v>
      </c>
      <c r="R1665" s="90" t="s">
        <v>738</v>
      </c>
      <c r="S1665" s="85"/>
    </row>
    <row r="1666" spans="1:19" hidden="1">
      <c r="A1666" s="92" t="s">
        <v>3627</v>
      </c>
      <c r="B1666" s="149" t="str">
        <f>IFERROR(VLOOKUP(Proc[[#This Row],[App]],Table2[],3,0),"open")</f>
        <v>ok</v>
      </c>
      <c r="C1666" s="93" t="s">
        <v>369</v>
      </c>
      <c r="D1666" s="92" t="s">
        <v>3635</v>
      </c>
      <c r="E1666" t="s">
        <v>3629</v>
      </c>
      <c r="F1666" s="117" t="s">
        <v>3629</v>
      </c>
      <c r="G1666" s="92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HC</v>
      </c>
      <c r="L1666" s="125" t="s">
        <v>2563</v>
      </c>
      <c r="M1666" s="90">
        <v>45807.678356481483</v>
      </c>
      <c r="N1666" s="91">
        <v>45810</v>
      </c>
      <c r="O1666" s="91">
        <v>45810</v>
      </c>
      <c r="P1666" s="90" t="str">
        <f ca="1">IF(Proc[[#This Row],[DaysAgeing]]&gt;5,"yep","on track")</f>
        <v>on track</v>
      </c>
      <c r="Q1666" s="3">
        <f ca="1">IF(Proc[[#This Row],[DateClosed]]="",ABS(NETWORKDAYS(Proc[[#This Row],[DateOpened]],TODAY()))-1,ABS(NETWORKDAYS(Proc[[#This Row],[DateOpened]],Proc[[#This Row],[DateClosed]]))-1)</f>
        <v>1</v>
      </c>
      <c r="R1666" s="90" t="s">
        <v>738</v>
      </c>
      <c r="S1666" s="85"/>
    </row>
    <row r="1667" spans="1:19" hidden="1">
      <c r="A1667" t="s">
        <v>3638</v>
      </c>
      <c r="B1667" s="149" t="str">
        <f>IFERROR(VLOOKUP(Proc[[#This Row],[App]],Table2[],3,0),"open")</f>
        <v>ok</v>
      </c>
      <c r="C1667" s="93" t="s">
        <v>369</v>
      </c>
      <c r="D1667" s="93" t="s">
        <v>3636</v>
      </c>
      <c r="E1667" t="s">
        <v>3637</v>
      </c>
      <c r="F1667" s="117" t="s">
        <v>3637</v>
      </c>
      <c r="G1667" s="93" t="s">
        <v>400</v>
      </c>
      <c r="H1667" s="94" t="str">
        <f>IF(Proc[[#This Row],[type]]="LFF (MDG-F)",MID(Proc[[#This Row],[Obj]],13,10),"")</f>
        <v/>
      </c>
      <c r="J1667" s="94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HC</v>
      </c>
      <c r="L1667" s="125" t="s">
        <v>2563</v>
      </c>
      <c r="M1667" s="90">
        <v>45807.678356481483</v>
      </c>
      <c r="N1667" s="91">
        <v>45810</v>
      </c>
      <c r="O1667" s="91">
        <v>45810</v>
      </c>
      <c r="P1667" s="90" t="str">
        <f ca="1">IF(Proc[[#This Row],[DaysAgeing]]&gt;5,"yep","on track")</f>
        <v>on track</v>
      </c>
      <c r="Q1667" s="3">
        <f ca="1">IF(Proc[[#This Row],[DateClosed]]="",ABS(NETWORKDAYS(Proc[[#This Row],[DateOpened]],TODAY()))-1,ABS(NETWORKDAYS(Proc[[#This Row],[DateOpened]],Proc[[#This Row],[DateClosed]]))-1)</f>
        <v>1</v>
      </c>
      <c r="R1667" s="90" t="s">
        <v>3639</v>
      </c>
      <c r="S1667" s="94"/>
    </row>
    <row r="1668" spans="1:19" hidden="1">
      <c r="A1668" t="s">
        <v>3640</v>
      </c>
      <c r="B1668" s="149" t="str">
        <f>IFERROR(VLOOKUP(Proc[[#This Row],[App]],Table2[],3,0),"open")</f>
        <v>ok</v>
      </c>
      <c r="C1668" s="93" t="s">
        <v>369</v>
      </c>
      <c r="D1668" t="s">
        <v>3641</v>
      </c>
      <c r="E1668" t="s">
        <v>3739</v>
      </c>
      <c r="F1668" s="117" t="s">
        <v>3739</v>
      </c>
      <c r="G1668" s="93" t="s">
        <v>400</v>
      </c>
      <c r="H1668" s="94" t="str">
        <f>IF(Proc[[#This Row],[type]]="LFF (MDG-F)",MID(Proc[[#This Row],[Obj]],13,10),"")</f>
        <v/>
      </c>
      <c r="J1668" s="94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HC</v>
      </c>
      <c r="L1668" s="125" t="s">
        <v>2563</v>
      </c>
      <c r="M1668" s="90">
        <v>45807.678356481483</v>
      </c>
      <c r="N1668" s="91">
        <v>45810</v>
      </c>
      <c r="O1668" s="91">
        <v>45810</v>
      </c>
      <c r="P1668" s="90" t="str">
        <f ca="1">IF(Proc[[#This Row],[DaysAgeing]]&gt;5,"yep","on track")</f>
        <v>on track</v>
      </c>
      <c r="Q1668" s="3">
        <f ca="1">IF(Proc[[#This Row],[DateClosed]]="",ABS(NETWORKDAYS(Proc[[#This Row],[DateOpened]],TODAY()))-1,ABS(NETWORKDAYS(Proc[[#This Row],[DateOpened]],Proc[[#This Row],[DateClosed]]))-1)</f>
        <v>1</v>
      </c>
      <c r="R1668" s="90" t="s">
        <v>1013</v>
      </c>
      <c r="S1668" s="94"/>
    </row>
    <row r="1669" spans="1:19" hidden="1">
      <c r="A1669" s="93" t="s">
        <v>3640</v>
      </c>
      <c r="B1669" s="149" t="str">
        <f>IFERROR(VLOOKUP(Proc[[#This Row],[App]],Table2[],3,0),"open")</f>
        <v>ok</v>
      </c>
      <c r="C1669" s="93" t="s">
        <v>369</v>
      </c>
      <c r="D1669" t="s">
        <v>3642</v>
      </c>
      <c r="E1669" t="s">
        <v>3006</v>
      </c>
      <c r="F1669" s="117" t="s">
        <v>3006</v>
      </c>
      <c r="G1669" s="93" t="s">
        <v>400</v>
      </c>
      <c r="H1669" s="94" t="str">
        <f>IF(Proc[[#This Row],[type]]="LFF (MDG-F)",MID(Proc[[#This Row],[Obj]],13,10),"")</f>
        <v/>
      </c>
      <c r="J1669" s="94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HC</v>
      </c>
      <c r="L1669" s="125" t="s">
        <v>2563</v>
      </c>
      <c r="M1669" s="90">
        <v>45807.678356481483</v>
      </c>
      <c r="N1669" s="91">
        <v>45810</v>
      </c>
      <c r="O1669" s="91">
        <v>45810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1</v>
      </c>
      <c r="R1669" s="90" t="s">
        <v>1013</v>
      </c>
      <c r="S1669" s="94"/>
    </row>
    <row r="1670" spans="1:19" hidden="1">
      <c r="A1670" s="93" t="s">
        <v>3640</v>
      </c>
      <c r="B1670" s="149" t="str">
        <f>IFERROR(VLOOKUP(Proc[[#This Row],[App]],Table2[],3,0),"open")</f>
        <v>ok</v>
      </c>
      <c r="C1670" s="93" t="s">
        <v>369</v>
      </c>
      <c r="D1670" t="s">
        <v>3643</v>
      </c>
      <c r="E1670" t="s">
        <v>3006</v>
      </c>
      <c r="F1670" s="117" t="s">
        <v>3006</v>
      </c>
      <c r="G1670" s="93" t="s">
        <v>400</v>
      </c>
      <c r="H1670" s="94" t="str">
        <f>IF(Proc[[#This Row],[type]]="LFF (MDG-F)",MID(Proc[[#This Row],[Obj]],13,10),"")</f>
        <v/>
      </c>
      <c r="J1670" s="94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HC</v>
      </c>
      <c r="L1670" s="125" t="s">
        <v>2563</v>
      </c>
      <c r="M1670" s="90">
        <v>45807.678356481483</v>
      </c>
      <c r="N1670" s="91">
        <v>45810</v>
      </c>
      <c r="O1670" s="91">
        <v>45810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1</v>
      </c>
      <c r="R1670" s="90" t="s">
        <v>1013</v>
      </c>
      <c r="S1670" s="94"/>
    </row>
    <row r="1671" spans="1:19" hidden="1">
      <c r="A1671" s="93" t="s">
        <v>3640</v>
      </c>
      <c r="B1671" s="149" t="str">
        <f>IFERROR(VLOOKUP(Proc[[#This Row],[App]],Table2[],3,0),"open")</f>
        <v>ok</v>
      </c>
      <c r="C1671" s="93" t="s">
        <v>369</v>
      </c>
      <c r="D1671" t="s">
        <v>3644</v>
      </c>
      <c r="E1671" t="s">
        <v>3006</v>
      </c>
      <c r="F1671" s="117" t="s">
        <v>3006</v>
      </c>
      <c r="G1671" s="93" t="s">
        <v>400</v>
      </c>
      <c r="H1671" s="94" t="str">
        <f>IF(Proc[[#This Row],[type]]="LFF (MDG-F)",MID(Proc[[#This Row],[Obj]],13,10),"")</f>
        <v/>
      </c>
      <c r="J1671" s="94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HC</v>
      </c>
      <c r="L1671" s="125" t="s">
        <v>2563</v>
      </c>
      <c r="M1671" s="90">
        <v>45807.678356481483</v>
      </c>
      <c r="N1671" s="91">
        <v>45810</v>
      </c>
      <c r="O1671" s="91">
        <v>45810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1</v>
      </c>
      <c r="R1671" s="90" t="s">
        <v>1013</v>
      </c>
      <c r="S1671" s="94"/>
    </row>
    <row r="1672" spans="1:19" hidden="1">
      <c r="A1672" s="93" t="s">
        <v>3640</v>
      </c>
      <c r="B1672" s="149" t="str">
        <f>IFERROR(VLOOKUP(Proc[[#This Row],[App]],Table2[],3,0),"open")</f>
        <v>ok</v>
      </c>
      <c r="C1672" s="93" t="s">
        <v>369</v>
      </c>
      <c r="D1672" t="s">
        <v>3645</v>
      </c>
      <c r="E1672" t="s">
        <v>3006</v>
      </c>
      <c r="F1672" s="117" t="s">
        <v>3006</v>
      </c>
      <c r="G1672" s="93" t="s">
        <v>400</v>
      </c>
      <c r="H1672" s="94" t="str">
        <f>IF(Proc[[#This Row],[type]]="LFF (MDG-F)",MID(Proc[[#This Row],[Obj]],13,10),"")</f>
        <v/>
      </c>
      <c r="J1672" s="94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HC</v>
      </c>
      <c r="L1672" s="125" t="s">
        <v>2563</v>
      </c>
      <c r="M1672" s="90">
        <v>45807.678356481483</v>
      </c>
      <c r="N1672" s="91">
        <v>45810</v>
      </c>
      <c r="O1672" s="91">
        <v>45810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1</v>
      </c>
      <c r="R1672" s="90" t="s">
        <v>1013</v>
      </c>
      <c r="S1672" s="94"/>
    </row>
    <row r="1673" spans="1:19" hidden="1">
      <c r="A1673" s="93" t="s">
        <v>3640</v>
      </c>
      <c r="B1673" s="149" t="str">
        <f>IFERROR(VLOOKUP(Proc[[#This Row],[App]],Table2[],3,0),"open")</f>
        <v>ok</v>
      </c>
      <c r="C1673" s="93" t="s">
        <v>369</v>
      </c>
      <c r="D1673" t="s">
        <v>3646</v>
      </c>
      <c r="E1673" t="s">
        <v>3006</v>
      </c>
      <c r="F1673" s="117" t="s">
        <v>3006</v>
      </c>
      <c r="G1673" s="93" t="s">
        <v>400</v>
      </c>
      <c r="H1673" s="94" t="str">
        <f>IF(Proc[[#This Row],[type]]="LFF (MDG-F)",MID(Proc[[#This Row],[Obj]],13,10),"")</f>
        <v/>
      </c>
      <c r="J1673" s="94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HC</v>
      </c>
      <c r="L1673" s="125" t="s">
        <v>2563</v>
      </c>
      <c r="M1673" s="90">
        <v>45807.678356481483</v>
      </c>
      <c r="N1673" s="91">
        <v>45810</v>
      </c>
      <c r="O1673" s="91">
        <v>45810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1</v>
      </c>
      <c r="R1673" s="90" t="s">
        <v>1013</v>
      </c>
      <c r="S1673" s="94"/>
    </row>
    <row r="1674" spans="1:19" hidden="1">
      <c r="A1674" s="93" t="s">
        <v>3640</v>
      </c>
      <c r="B1674" s="149" t="str">
        <f>IFERROR(VLOOKUP(Proc[[#This Row],[App]],Table2[],3,0),"open")</f>
        <v>ok</v>
      </c>
      <c r="C1674" s="93" t="s">
        <v>369</v>
      </c>
      <c r="D1674" t="s">
        <v>3647</v>
      </c>
      <c r="E1674" t="s">
        <v>3006</v>
      </c>
      <c r="F1674" s="117" t="s">
        <v>3006</v>
      </c>
      <c r="G1674" s="93" t="s">
        <v>400</v>
      </c>
      <c r="H1674" s="94" t="str">
        <f>IF(Proc[[#This Row],[type]]="LFF (MDG-F)",MID(Proc[[#This Row],[Obj]],13,10),"")</f>
        <v/>
      </c>
      <c r="J1674" s="94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HC</v>
      </c>
      <c r="L1674" s="125" t="s">
        <v>2563</v>
      </c>
      <c r="M1674" s="90">
        <v>45807.678356481483</v>
      </c>
      <c r="N1674" s="91">
        <v>45810</v>
      </c>
      <c r="O1674" s="91">
        <v>45810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1</v>
      </c>
      <c r="R1674" s="90" t="s">
        <v>1013</v>
      </c>
      <c r="S1674" s="94"/>
    </row>
    <row r="1675" spans="1:19" hidden="1">
      <c r="A1675" s="93" t="s">
        <v>3640</v>
      </c>
      <c r="B1675" s="149" t="str">
        <f>IFERROR(VLOOKUP(Proc[[#This Row],[App]],Table2[],3,0),"open")</f>
        <v>ok</v>
      </c>
      <c r="C1675" s="93" t="s">
        <v>369</v>
      </c>
      <c r="D1675" t="s">
        <v>3648</v>
      </c>
      <c r="E1675" t="s">
        <v>3006</v>
      </c>
      <c r="F1675" s="117" t="s">
        <v>3006</v>
      </c>
      <c r="G1675" s="93" t="s">
        <v>400</v>
      </c>
      <c r="H1675" s="94" t="str">
        <f>IF(Proc[[#This Row],[type]]="LFF (MDG-F)",MID(Proc[[#This Row],[Obj]],13,10),"")</f>
        <v/>
      </c>
      <c r="J1675" s="94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HC</v>
      </c>
      <c r="L1675" s="125" t="s">
        <v>2563</v>
      </c>
      <c r="M1675" s="90">
        <v>45807.678356481483</v>
      </c>
      <c r="N1675" s="91">
        <v>45810</v>
      </c>
      <c r="O1675" s="91">
        <v>45810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1</v>
      </c>
      <c r="R1675" s="90" t="s">
        <v>1013</v>
      </c>
      <c r="S1675" s="94"/>
    </row>
    <row r="1676" spans="1:19" hidden="1">
      <c r="A1676" s="93" t="s">
        <v>3640</v>
      </c>
      <c r="B1676" s="149" t="str">
        <f>IFERROR(VLOOKUP(Proc[[#This Row],[App]],Table2[],3,0),"open")</f>
        <v>ok</v>
      </c>
      <c r="C1676" s="93" t="s">
        <v>369</v>
      </c>
      <c r="D1676" t="s">
        <v>3649</v>
      </c>
      <c r="E1676" t="s">
        <v>3006</v>
      </c>
      <c r="F1676" s="117" t="s">
        <v>3006</v>
      </c>
      <c r="G1676" s="93" t="s">
        <v>400</v>
      </c>
      <c r="H1676" s="94" t="str">
        <f>IF(Proc[[#This Row],[type]]="LFF (MDG-F)",MID(Proc[[#This Row],[Obj]],13,10),"")</f>
        <v/>
      </c>
      <c r="J1676" s="94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HC</v>
      </c>
      <c r="L1676" s="125" t="s">
        <v>2563</v>
      </c>
      <c r="M1676" s="90">
        <v>45807.678356481483</v>
      </c>
      <c r="N1676" s="91">
        <v>45810</v>
      </c>
      <c r="O1676" s="91">
        <v>45810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1</v>
      </c>
      <c r="R1676" s="90" t="s">
        <v>1013</v>
      </c>
      <c r="S1676" s="94"/>
    </row>
    <row r="1677" spans="1:19" hidden="1">
      <c r="A1677" s="93" t="s">
        <v>3640</v>
      </c>
      <c r="B1677" s="149" t="str">
        <f>IFERROR(VLOOKUP(Proc[[#This Row],[App]],Table2[],3,0),"open")</f>
        <v>ok</v>
      </c>
      <c r="C1677" s="93" t="s">
        <v>369</v>
      </c>
      <c r="D1677" t="s">
        <v>3650</v>
      </c>
      <c r="E1677" t="s">
        <v>3006</v>
      </c>
      <c r="F1677" s="117" t="s">
        <v>3006</v>
      </c>
      <c r="G1677" s="93" t="s">
        <v>400</v>
      </c>
      <c r="H1677" s="94" t="str">
        <f>IF(Proc[[#This Row],[type]]="LFF (MDG-F)",MID(Proc[[#This Row],[Obj]],13,10),"")</f>
        <v/>
      </c>
      <c r="J1677" s="94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HC</v>
      </c>
      <c r="L1677" s="125" t="s">
        <v>2563</v>
      </c>
      <c r="M1677" s="90">
        <v>45807.678356481483</v>
      </c>
      <c r="N1677" s="91">
        <v>45810</v>
      </c>
      <c r="O1677" s="91">
        <v>45810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1</v>
      </c>
      <c r="R1677" s="90" t="s">
        <v>1013</v>
      </c>
      <c r="S1677" s="94"/>
    </row>
    <row r="1678" spans="1:19" hidden="1">
      <c r="A1678" s="93" t="s">
        <v>3640</v>
      </c>
      <c r="B1678" s="149" t="str">
        <f>IFERROR(VLOOKUP(Proc[[#This Row],[App]],Table2[],3,0),"open")</f>
        <v>ok</v>
      </c>
      <c r="C1678" s="93" t="s">
        <v>369</v>
      </c>
      <c r="D1678" t="s">
        <v>3651</v>
      </c>
      <c r="E1678" t="s">
        <v>3740</v>
      </c>
      <c r="F1678" s="117" t="s">
        <v>3740</v>
      </c>
      <c r="G1678" s="93" t="s">
        <v>400</v>
      </c>
      <c r="H1678" s="94" t="str">
        <f>IF(Proc[[#This Row],[type]]="LFF (MDG-F)",MID(Proc[[#This Row],[Obj]],13,10),"")</f>
        <v/>
      </c>
      <c r="J1678" s="94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HC</v>
      </c>
      <c r="L1678" s="125" t="s">
        <v>2563</v>
      </c>
      <c r="M1678" s="90">
        <v>45807.678356481483</v>
      </c>
      <c r="N1678" s="91">
        <v>45810</v>
      </c>
      <c r="O1678" s="91">
        <v>45810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1</v>
      </c>
      <c r="R1678" s="90" t="s">
        <v>1013</v>
      </c>
      <c r="S1678" s="94"/>
    </row>
    <row r="1679" spans="1:19" hidden="1">
      <c r="A1679" s="93" t="s">
        <v>3640</v>
      </c>
      <c r="B1679" s="149" t="str">
        <f>IFERROR(VLOOKUP(Proc[[#This Row],[App]],Table2[],3,0),"open")</f>
        <v>ok</v>
      </c>
      <c r="C1679" s="93" t="s">
        <v>369</v>
      </c>
      <c r="D1679" t="s">
        <v>3652</v>
      </c>
      <c r="E1679" t="s">
        <v>3003</v>
      </c>
      <c r="F1679" s="117" t="s">
        <v>3003</v>
      </c>
      <c r="G1679" s="93" t="s">
        <v>400</v>
      </c>
      <c r="H1679" s="94" t="str">
        <f>IF(Proc[[#This Row],[type]]="LFF (MDG-F)",MID(Proc[[#This Row],[Obj]],13,10),"")</f>
        <v/>
      </c>
      <c r="J1679" s="94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HC</v>
      </c>
      <c r="L1679" s="125" t="s">
        <v>2563</v>
      </c>
      <c r="M1679" s="90">
        <v>45807.678356481483</v>
      </c>
      <c r="N1679" s="91">
        <v>45810</v>
      </c>
      <c r="O1679" s="91">
        <v>45810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1</v>
      </c>
      <c r="R1679" s="90" t="s">
        <v>1013</v>
      </c>
      <c r="S1679" s="94"/>
    </row>
    <row r="1680" spans="1:19" hidden="1">
      <c r="A1680" s="93" t="s">
        <v>3640</v>
      </c>
      <c r="B1680" s="149" t="str">
        <f>IFERROR(VLOOKUP(Proc[[#This Row],[App]],Table2[],3,0),"open")</f>
        <v>ok</v>
      </c>
      <c r="C1680" s="93" t="s">
        <v>369</v>
      </c>
      <c r="D1680" t="s">
        <v>3653</v>
      </c>
      <c r="E1680" t="s">
        <v>3004</v>
      </c>
      <c r="F1680" s="117" t="s">
        <v>3004</v>
      </c>
      <c r="G1680" s="93" t="s">
        <v>400</v>
      </c>
      <c r="H1680" s="94" t="str">
        <f>IF(Proc[[#This Row],[type]]="LFF (MDG-F)",MID(Proc[[#This Row],[Obj]],13,10),"")</f>
        <v/>
      </c>
      <c r="J1680" s="94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HC</v>
      </c>
      <c r="L1680" s="125" t="s">
        <v>2563</v>
      </c>
      <c r="M1680" s="90">
        <v>45807.678356481483</v>
      </c>
      <c r="N1680" s="91">
        <v>45810</v>
      </c>
      <c r="O1680" s="91">
        <v>45810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1</v>
      </c>
      <c r="R1680" s="90" t="s">
        <v>1013</v>
      </c>
      <c r="S1680" s="94"/>
    </row>
    <row r="1681" spans="1:19" hidden="1">
      <c r="A1681" s="93" t="s">
        <v>3640</v>
      </c>
      <c r="B1681" s="149" t="str">
        <f>IFERROR(VLOOKUP(Proc[[#This Row],[App]],Table2[],3,0),"open")</f>
        <v>ok</v>
      </c>
      <c r="C1681" s="93" t="s">
        <v>369</v>
      </c>
      <c r="D1681" t="s">
        <v>3654</v>
      </c>
      <c r="E1681" t="s">
        <v>3006</v>
      </c>
      <c r="F1681" s="117" t="s">
        <v>3006</v>
      </c>
      <c r="G1681" s="93" t="s">
        <v>400</v>
      </c>
      <c r="H1681" s="94" t="str">
        <f>IF(Proc[[#This Row],[type]]="LFF (MDG-F)",MID(Proc[[#This Row],[Obj]],13,10),"")</f>
        <v/>
      </c>
      <c r="J1681" s="94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HC</v>
      </c>
      <c r="L1681" s="125" t="s">
        <v>2563</v>
      </c>
      <c r="M1681" s="90">
        <v>45807.678356481483</v>
      </c>
      <c r="N1681" s="91">
        <v>45810</v>
      </c>
      <c r="O1681" s="91">
        <v>45810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1</v>
      </c>
      <c r="R1681" s="90" t="s">
        <v>1013</v>
      </c>
      <c r="S1681" s="94"/>
    </row>
    <row r="1682" spans="1:19" hidden="1">
      <c r="A1682" s="93" t="s">
        <v>3640</v>
      </c>
      <c r="B1682" s="149" t="str">
        <f>IFERROR(VLOOKUP(Proc[[#This Row],[App]],Table2[],3,0),"open")</f>
        <v>ok</v>
      </c>
      <c r="C1682" s="93" t="s">
        <v>369</v>
      </c>
      <c r="D1682" t="s">
        <v>3655</v>
      </c>
      <c r="E1682" t="s">
        <v>3006</v>
      </c>
      <c r="F1682" s="117" t="s">
        <v>3006</v>
      </c>
      <c r="G1682" s="93" t="s">
        <v>400</v>
      </c>
      <c r="H1682" s="94" t="str">
        <f>IF(Proc[[#This Row],[type]]="LFF (MDG-F)",MID(Proc[[#This Row],[Obj]],13,10),"")</f>
        <v/>
      </c>
      <c r="J1682" s="94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HC</v>
      </c>
      <c r="L1682" s="125" t="s">
        <v>2563</v>
      </c>
      <c r="M1682" s="90">
        <v>45807.678356481483</v>
      </c>
      <c r="N1682" s="91">
        <v>45810</v>
      </c>
      <c r="O1682" s="91">
        <v>45810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1</v>
      </c>
      <c r="R1682" s="90" t="s">
        <v>1013</v>
      </c>
      <c r="S1682" s="94"/>
    </row>
    <row r="1683" spans="1:19" hidden="1">
      <c r="A1683" s="93" t="s">
        <v>3640</v>
      </c>
      <c r="B1683" s="149" t="str">
        <f>IFERROR(VLOOKUP(Proc[[#This Row],[App]],Table2[],3,0),"open")</f>
        <v>ok</v>
      </c>
      <c r="C1683" s="93" t="s">
        <v>369</v>
      </c>
      <c r="D1683" t="s">
        <v>3656</v>
      </c>
      <c r="E1683" t="s">
        <v>3004</v>
      </c>
      <c r="F1683" s="117" t="s">
        <v>3004</v>
      </c>
      <c r="G1683" s="93" t="s">
        <v>400</v>
      </c>
      <c r="H1683" s="94" t="str">
        <f>IF(Proc[[#This Row],[type]]="LFF (MDG-F)",MID(Proc[[#This Row],[Obj]],13,10),"")</f>
        <v/>
      </c>
      <c r="J1683" s="94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HC</v>
      </c>
      <c r="L1683" s="125" t="s">
        <v>2563</v>
      </c>
      <c r="M1683" s="90">
        <v>45807.678356481483</v>
      </c>
      <c r="N1683" s="91">
        <v>45810</v>
      </c>
      <c r="O1683" s="91">
        <v>45810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1</v>
      </c>
      <c r="R1683" s="90" t="s">
        <v>1013</v>
      </c>
      <c r="S1683" s="94"/>
    </row>
    <row r="1684" spans="1:19" hidden="1">
      <c r="A1684" s="93" t="s">
        <v>3640</v>
      </c>
      <c r="B1684" s="149" t="str">
        <f>IFERROR(VLOOKUP(Proc[[#This Row],[App]],Table2[],3,0),"open")</f>
        <v>ok</v>
      </c>
      <c r="C1684" s="93" t="s">
        <v>369</v>
      </c>
      <c r="D1684" t="s">
        <v>3657</v>
      </c>
      <c r="E1684" t="s">
        <v>3004</v>
      </c>
      <c r="F1684" s="117" t="s">
        <v>3004</v>
      </c>
      <c r="G1684" s="93" t="s">
        <v>400</v>
      </c>
      <c r="H1684" s="94" t="str">
        <f>IF(Proc[[#This Row],[type]]="LFF (MDG-F)",MID(Proc[[#This Row],[Obj]],13,10),"")</f>
        <v/>
      </c>
      <c r="J1684" s="94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HC</v>
      </c>
      <c r="L1684" s="125" t="s">
        <v>2563</v>
      </c>
      <c r="M1684" s="90">
        <v>45807.678356481483</v>
      </c>
      <c r="N1684" s="91">
        <v>45810</v>
      </c>
      <c r="O1684" s="91">
        <v>45810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1</v>
      </c>
      <c r="R1684" s="90" t="s">
        <v>1013</v>
      </c>
      <c r="S1684" s="94"/>
    </row>
    <row r="1685" spans="1:19" hidden="1">
      <c r="A1685" s="93" t="s">
        <v>3640</v>
      </c>
      <c r="B1685" s="149" t="str">
        <f>IFERROR(VLOOKUP(Proc[[#This Row],[App]],Table2[],3,0),"open")</f>
        <v>ok</v>
      </c>
      <c r="C1685" s="93" t="s">
        <v>369</v>
      </c>
      <c r="D1685" t="s">
        <v>3658</v>
      </c>
      <c r="E1685" t="s">
        <v>3003</v>
      </c>
      <c r="F1685" s="117" t="s">
        <v>3003</v>
      </c>
      <c r="G1685" s="93" t="s">
        <v>400</v>
      </c>
      <c r="H1685" s="94" t="str">
        <f>IF(Proc[[#This Row],[type]]="LFF (MDG-F)",MID(Proc[[#This Row],[Obj]],13,10),"")</f>
        <v/>
      </c>
      <c r="J1685" s="94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HC</v>
      </c>
      <c r="L1685" s="125" t="s">
        <v>2563</v>
      </c>
      <c r="M1685" s="90">
        <v>45807.678356481483</v>
      </c>
      <c r="N1685" s="91">
        <v>45810</v>
      </c>
      <c r="O1685" s="91">
        <v>45810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1</v>
      </c>
      <c r="R1685" s="90" t="s">
        <v>1013</v>
      </c>
      <c r="S1685" s="94"/>
    </row>
    <row r="1686" spans="1:19" hidden="1">
      <c r="A1686" s="93" t="s">
        <v>3640</v>
      </c>
      <c r="B1686" s="149" t="str">
        <f>IFERROR(VLOOKUP(Proc[[#This Row],[App]],Table2[],3,0),"open")</f>
        <v>ok</v>
      </c>
      <c r="C1686" s="93" t="s">
        <v>369</v>
      </c>
      <c r="D1686" t="s">
        <v>3659</v>
      </c>
      <c r="E1686" t="s">
        <v>3003</v>
      </c>
      <c r="F1686" s="117" t="s">
        <v>3003</v>
      </c>
      <c r="G1686" s="93" t="s">
        <v>400</v>
      </c>
      <c r="H1686" s="94" t="str">
        <f>IF(Proc[[#This Row],[type]]="LFF (MDG-F)",MID(Proc[[#This Row],[Obj]],13,10),"")</f>
        <v/>
      </c>
      <c r="J1686" s="94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HC</v>
      </c>
      <c r="L1686" s="125" t="s">
        <v>2563</v>
      </c>
      <c r="M1686" s="90">
        <v>45807.678356481483</v>
      </c>
      <c r="N1686" s="91">
        <v>45810</v>
      </c>
      <c r="O1686" s="91">
        <v>45810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1</v>
      </c>
      <c r="R1686" s="90" t="s">
        <v>1013</v>
      </c>
      <c r="S1686" s="94"/>
    </row>
    <row r="1687" spans="1:19" hidden="1">
      <c r="A1687" s="93" t="s">
        <v>3640</v>
      </c>
      <c r="B1687" s="149" t="str">
        <f>IFERROR(VLOOKUP(Proc[[#This Row],[App]],Table2[],3,0),"open")</f>
        <v>ok</v>
      </c>
      <c r="C1687" s="93" t="s">
        <v>369</v>
      </c>
      <c r="D1687" t="s">
        <v>3660</v>
      </c>
      <c r="E1687" t="s">
        <v>3003</v>
      </c>
      <c r="F1687" s="117" t="s">
        <v>3003</v>
      </c>
      <c r="G1687" s="93" t="s">
        <v>400</v>
      </c>
      <c r="H1687" s="94" t="str">
        <f>IF(Proc[[#This Row],[type]]="LFF (MDG-F)",MID(Proc[[#This Row],[Obj]],13,10),"")</f>
        <v/>
      </c>
      <c r="J1687" s="94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HC</v>
      </c>
      <c r="L1687" s="125" t="s">
        <v>2563</v>
      </c>
      <c r="M1687" s="90">
        <v>45807.678356481483</v>
      </c>
      <c r="N1687" s="91">
        <v>45810</v>
      </c>
      <c r="O1687" s="91">
        <v>45810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1</v>
      </c>
      <c r="R1687" s="90" t="s">
        <v>1013</v>
      </c>
      <c r="S1687" s="94"/>
    </row>
    <row r="1688" spans="1:19" hidden="1">
      <c r="A1688" s="93" t="s">
        <v>3640</v>
      </c>
      <c r="B1688" s="149" t="str">
        <f>IFERROR(VLOOKUP(Proc[[#This Row],[App]],Table2[],3,0),"open")</f>
        <v>ok</v>
      </c>
      <c r="C1688" s="93" t="s">
        <v>369</v>
      </c>
      <c r="D1688" t="s">
        <v>3661</v>
      </c>
      <c r="E1688" t="s">
        <v>3005</v>
      </c>
      <c r="F1688" s="117" t="s">
        <v>3005</v>
      </c>
      <c r="G1688" s="93" t="s">
        <v>400</v>
      </c>
      <c r="H1688" s="94" t="str">
        <f>IF(Proc[[#This Row],[type]]="LFF (MDG-F)",MID(Proc[[#This Row],[Obj]],13,10),"")</f>
        <v/>
      </c>
      <c r="J1688" s="94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HC</v>
      </c>
      <c r="L1688" s="125" t="s">
        <v>2563</v>
      </c>
      <c r="M1688" s="90">
        <v>45807.678356481483</v>
      </c>
      <c r="N1688" s="91">
        <v>45810</v>
      </c>
      <c r="O1688" s="91">
        <v>45810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1</v>
      </c>
      <c r="R1688" s="90" t="s">
        <v>1013</v>
      </c>
      <c r="S1688" s="94"/>
    </row>
    <row r="1689" spans="1:19" hidden="1">
      <c r="A1689" s="93" t="s">
        <v>3640</v>
      </c>
      <c r="B1689" s="149" t="str">
        <f>IFERROR(VLOOKUP(Proc[[#This Row],[App]],Table2[],3,0),"open")</f>
        <v>ok</v>
      </c>
      <c r="C1689" s="93" t="s">
        <v>369</v>
      </c>
      <c r="D1689" t="s">
        <v>3662</v>
      </c>
      <c r="E1689" t="s">
        <v>3005</v>
      </c>
      <c r="F1689" s="117" t="s">
        <v>3005</v>
      </c>
      <c r="G1689" s="93" t="s">
        <v>400</v>
      </c>
      <c r="H1689" s="94" t="str">
        <f>IF(Proc[[#This Row],[type]]="LFF (MDG-F)",MID(Proc[[#This Row],[Obj]],13,10),"")</f>
        <v/>
      </c>
      <c r="J1689" s="94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HC</v>
      </c>
      <c r="L1689" s="125" t="s">
        <v>2563</v>
      </c>
      <c r="M1689" s="90">
        <v>45807.678356481483</v>
      </c>
      <c r="N1689" s="91">
        <v>45810</v>
      </c>
      <c r="O1689" s="91">
        <v>45810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1</v>
      </c>
      <c r="R1689" s="90" t="s">
        <v>1013</v>
      </c>
      <c r="S1689" s="94"/>
    </row>
    <row r="1690" spans="1:19" hidden="1">
      <c r="A1690" s="93" t="s">
        <v>3640</v>
      </c>
      <c r="B1690" s="149" t="str">
        <f>IFERROR(VLOOKUP(Proc[[#This Row],[App]],Table2[],3,0),"open")</f>
        <v>ok</v>
      </c>
      <c r="C1690" s="93" t="s">
        <v>369</v>
      </c>
      <c r="D1690" t="s">
        <v>3663</v>
      </c>
      <c r="E1690" t="s">
        <v>3005</v>
      </c>
      <c r="F1690" s="117" t="s">
        <v>3005</v>
      </c>
      <c r="G1690" s="93" t="s">
        <v>400</v>
      </c>
      <c r="H1690" s="94" t="str">
        <f>IF(Proc[[#This Row],[type]]="LFF (MDG-F)",MID(Proc[[#This Row],[Obj]],13,10),"")</f>
        <v/>
      </c>
      <c r="J1690" s="94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HC</v>
      </c>
      <c r="L1690" s="125" t="s">
        <v>2563</v>
      </c>
      <c r="M1690" s="90">
        <v>45807.678356481483</v>
      </c>
      <c r="N1690" s="91">
        <v>45810</v>
      </c>
      <c r="O1690" s="91">
        <v>45810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1</v>
      </c>
      <c r="R1690" s="90" t="s">
        <v>1013</v>
      </c>
      <c r="S1690" s="94"/>
    </row>
    <row r="1691" spans="1:19" hidden="1">
      <c r="A1691" s="93" t="s">
        <v>3640</v>
      </c>
      <c r="B1691" s="149" t="str">
        <f>IFERROR(VLOOKUP(Proc[[#This Row],[App]],Table2[],3,0),"open")</f>
        <v>ok</v>
      </c>
      <c r="C1691" s="93" t="s">
        <v>369</v>
      </c>
      <c r="D1691" t="s">
        <v>3664</v>
      </c>
      <c r="E1691" t="s">
        <v>3004</v>
      </c>
      <c r="F1691" s="117" t="s">
        <v>3004</v>
      </c>
      <c r="G1691" s="93" t="s">
        <v>400</v>
      </c>
      <c r="H1691" s="94" t="str">
        <f>IF(Proc[[#This Row],[type]]="LFF (MDG-F)",MID(Proc[[#This Row],[Obj]],13,10),"")</f>
        <v/>
      </c>
      <c r="J1691" s="94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HC</v>
      </c>
      <c r="L1691" s="125" t="s">
        <v>2563</v>
      </c>
      <c r="M1691" s="90">
        <v>45807.678356481483</v>
      </c>
      <c r="N1691" s="91">
        <v>45810</v>
      </c>
      <c r="O1691" s="91">
        <v>45810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1</v>
      </c>
      <c r="R1691" s="90" t="s">
        <v>1013</v>
      </c>
      <c r="S1691" s="94"/>
    </row>
    <row r="1692" spans="1:19" hidden="1">
      <c r="A1692" s="93" t="s">
        <v>3640</v>
      </c>
      <c r="B1692" s="149" t="str">
        <f>IFERROR(VLOOKUP(Proc[[#This Row],[App]],Table2[],3,0),"open")</f>
        <v>ok</v>
      </c>
      <c r="C1692" s="93" t="s">
        <v>369</v>
      </c>
      <c r="D1692" t="s">
        <v>3665</v>
      </c>
      <c r="E1692" t="s">
        <v>3003</v>
      </c>
      <c r="F1692" s="117" t="s">
        <v>3003</v>
      </c>
      <c r="G1692" s="93" t="s">
        <v>400</v>
      </c>
      <c r="H1692" s="94" t="str">
        <f>IF(Proc[[#This Row],[type]]="LFF (MDG-F)",MID(Proc[[#This Row],[Obj]],13,10),"")</f>
        <v/>
      </c>
      <c r="J1692" s="94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HC</v>
      </c>
      <c r="L1692" s="125" t="s">
        <v>2563</v>
      </c>
      <c r="M1692" s="90">
        <v>45807.678356481483</v>
      </c>
      <c r="N1692" s="91">
        <v>45810</v>
      </c>
      <c r="O1692" s="91">
        <v>45810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1</v>
      </c>
      <c r="R1692" s="90" t="s">
        <v>1013</v>
      </c>
      <c r="S1692" s="94"/>
    </row>
    <row r="1693" spans="1:19" hidden="1">
      <c r="A1693" s="93" t="s">
        <v>3640</v>
      </c>
      <c r="B1693" s="149" t="str">
        <f>IFERROR(VLOOKUP(Proc[[#This Row],[App]],Table2[],3,0),"open")</f>
        <v>ok</v>
      </c>
      <c r="C1693" s="93" t="s">
        <v>369</v>
      </c>
      <c r="D1693" t="s">
        <v>3666</v>
      </c>
      <c r="E1693" t="s">
        <v>3003</v>
      </c>
      <c r="F1693" s="117" t="s">
        <v>3003</v>
      </c>
      <c r="G1693" s="93" t="s">
        <v>400</v>
      </c>
      <c r="H1693" s="94" t="str">
        <f>IF(Proc[[#This Row],[type]]="LFF (MDG-F)",MID(Proc[[#This Row],[Obj]],13,10),"")</f>
        <v/>
      </c>
      <c r="J1693" s="94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HC</v>
      </c>
      <c r="L1693" s="125" t="s">
        <v>2563</v>
      </c>
      <c r="M1693" s="90">
        <v>45807.678356481483</v>
      </c>
      <c r="N1693" s="91">
        <v>45810</v>
      </c>
      <c r="O1693" s="91">
        <v>45810</v>
      </c>
      <c r="P1693" s="90" t="str">
        <f ca="1">IF(Proc[[#This Row],[DaysAgeing]]&gt;5,"yep","on track")</f>
        <v>on track</v>
      </c>
      <c r="Q1693" s="3">
        <f ca="1">IF(Proc[[#This Row],[DateClosed]]="",ABS(NETWORKDAYS(Proc[[#This Row],[DateOpened]],TODAY()))-1,ABS(NETWORKDAYS(Proc[[#This Row],[DateOpened]],Proc[[#This Row],[DateClosed]]))-1)</f>
        <v>1</v>
      </c>
      <c r="R1693" s="90" t="s">
        <v>1013</v>
      </c>
      <c r="S1693" s="94"/>
    </row>
    <row r="1694" spans="1:19" hidden="1">
      <c r="A1694" s="93" t="s">
        <v>3640</v>
      </c>
      <c r="B1694" s="149" t="str">
        <f>IFERROR(VLOOKUP(Proc[[#This Row],[App]],Table2[],3,0),"open")</f>
        <v>ok</v>
      </c>
      <c r="C1694" s="93" t="s">
        <v>369</v>
      </c>
      <c r="D1694" t="s">
        <v>3667</v>
      </c>
      <c r="E1694" t="s">
        <v>3003</v>
      </c>
      <c r="F1694" s="117" t="s">
        <v>3003</v>
      </c>
      <c r="G1694" s="93" t="s">
        <v>400</v>
      </c>
      <c r="H1694" s="94" t="str">
        <f>IF(Proc[[#This Row],[type]]="LFF (MDG-F)",MID(Proc[[#This Row],[Obj]],13,10),"")</f>
        <v/>
      </c>
      <c r="J1694" s="94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HC</v>
      </c>
      <c r="L1694" s="125" t="s">
        <v>2563</v>
      </c>
      <c r="M1694" s="90">
        <v>45807.678356481483</v>
      </c>
      <c r="N1694" s="91">
        <v>45810</v>
      </c>
      <c r="O1694" s="91">
        <v>45810</v>
      </c>
      <c r="P1694" s="90" t="str">
        <f ca="1">IF(Proc[[#This Row],[DaysAgeing]]&gt;5,"yep","on track")</f>
        <v>on track</v>
      </c>
      <c r="Q1694" s="3">
        <f ca="1">IF(Proc[[#This Row],[DateClosed]]="",ABS(NETWORKDAYS(Proc[[#This Row],[DateOpened]],TODAY()))-1,ABS(NETWORKDAYS(Proc[[#This Row],[DateOpened]],Proc[[#This Row],[DateClosed]]))-1)</f>
        <v>1</v>
      </c>
      <c r="R1694" s="90" t="s">
        <v>1013</v>
      </c>
      <c r="S1694" s="94"/>
    </row>
    <row r="1695" spans="1:19" hidden="1">
      <c r="A1695" s="93" t="s">
        <v>3640</v>
      </c>
      <c r="B1695" s="149" t="str">
        <f>IFERROR(VLOOKUP(Proc[[#This Row],[App]],Table2[],3,0),"open")</f>
        <v>ok</v>
      </c>
      <c r="C1695" s="93" t="s">
        <v>369</v>
      </c>
      <c r="D1695" t="s">
        <v>3668</v>
      </c>
      <c r="E1695" t="s">
        <v>3740</v>
      </c>
      <c r="F1695" s="117" t="s">
        <v>3740</v>
      </c>
      <c r="G1695" s="93" t="s">
        <v>400</v>
      </c>
      <c r="H1695" s="94" t="str">
        <f>IF(Proc[[#This Row],[type]]="LFF (MDG-F)",MID(Proc[[#This Row],[Obj]],13,10),"")</f>
        <v/>
      </c>
      <c r="J1695" s="94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HC</v>
      </c>
      <c r="L1695" s="125" t="s">
        <v>2563</v>
      </c>
      <c r="M1695" s="90">
        <v>45807.678356481483</v>
      </c>
      <c r="N1695" s="91">
        <v>45810</v>
      </c>
      <c r="O1695" s="91">
        <v>45810</v>
      </c>
      <c r="P1695" s="90" t="str">
        <f ca="1">IF(Proc[[#This Row],[DaysAgeing]]&gt;5,"yep","on track")</f>
        <v>on track</v>
      </c>
      <c r="Q1695" s="3">
        <f ca="1">IF(Proc[[#This Row],[DateClosed]]="",ABS(NETWORKDAYS(Proc[[#This Row],[DateOpened]],TODAY()))-1,ABS(NETWORKDAYS(Proc[[#This Row],[DateOpened]],Proc[[#This Row],[DateClosed]]))-1)</f>
        <v>1</v>
      </c>
      <c r="R1695" s="90" t="s">
        <v>1013</v>
      </c>
      <c r="S1695" s="94"/>
    </row>
    <row r="1696" spans="1:19" hidden="1">
      <c r="A1696" s="93" t="s">
        <v>3640</v>
      </c>
      <c r="B1696" s="149" t="str">
        <f>IFERROR(VLOOKUP(Proc[[#This Row],[App]],Table2[],3,0),"open")</f>
        <v>ok</v>
      </c>
      <c r="C1696" s="93" t="s">
        <v>369</v>
      </c>
      <c r="D1696" t="s">
        <v>3669</v>
      </c>
      <c r="E1696" t="s">
        <v>3003</v>
      </c>
      <c r="F1696" s="117" t="s">
        <v>3003</v>
      </c>
      <c r="G1696" s="93" t="s">
        <v>400</v>
      </c>
      <c r="H1696" s="94" t="str">
        <f>IF(Proc[[#This Row],[type]]="LFF (MDG-F)",MID(Proc[[#This Row],[Obj]],13,10),"")</f>
        <v/>
      </c>
      <c r="J1696" s="94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HC</v>
      </c>
      <c r="L1696" s="125" t="s">
        <v>2563</v>
      </c>
      <c r="M1696" s="90">
        <v>45807.678356481483</v>
      </c>
      <c r="N1696" s="91">
        <v>45810</v>
      </c>
      <c r="O1696" s="91">
        <v>45810</v>
      </c>
      <c r="P1696" s="90" t="str">
        <f ca="1">IF(Proc[[#This Row],[DaysAgeing]]&gt;5,"yep","on track")</f>
        <v>on track</v>
      </c>
      <c r="Q1696" s="3">
        <f ca="1">IF(Proc[[#This Row],[DateClosed]]="",ABS(NETWORKDAYS(Proc[[#This Row],[DateOpened]],TODAY()))-1,ABS(NETWORKDAYS(Proc[[#This Row],[DateOpened]],Proc[[#This Row],[DateClosed]]))-1)</f>
        <v>1</v>
      </c>
      <c r="R1696" s="90" t="s">
        <v>1013</v>
      </c>
      <c r="S1696" s="94"/>
    </row>
    <row r="1697" spans="1:19" hidden="1">
      <c r="A1697" s="93" t="s">
        <v>3640</v>
      </c>
      <c r="B1697" s="149" t="str">
        <f>IFERROR(VLOOKUP(Proc[[#This Row],[App]],Table2[],3,0),"open")</f>
        <v>ok</v>
      </c>
      <c r="C1697" s="93" t="s">
        <v>369</v>
      </c>
      <c r="D1697" t="s">
        <v>3670</v>
      </c>
      <c r="E1697" t="s">
        <v>3003</v>
      </c>
      <c r="F1697" s="117" t="s">
        <v>3003</v>
      </c>
      <c r="G1697" s="93" t="s">
        <v>400</v>
      </c>
      <c r="H1697" s="94" t="str">
        <f>IF(Proc[[#This Row],[type]]="LFF (MDG-F)",MID(Proc[[#This Row],[Obj]],13,10),"")</f>
        <v/>
      </c>
      <c r="J1697" s="94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HC</v>
      </c>
      <c r="L1697" s="125" t="s">
        <v>2563</v>
      </c>
      <c r="M1697" s="90">
        <v>45807.678356481483</v>
      </c>
      <c r="N1697" s="91">
        <v>45810</v>
      </c>
      <c r="O1697" s="91">
        <v>45810</v>
      </c>
      <c r="P1697" s="90" t="str">
        <f ca="1">IF(Proc[[#This Row],[DaysAgeing]]&gt;5,"yep","on track")</f>
        <v>on track</v>
      </c>
      <c r="Q1697" s="3">
        <f ca="1">IF(Proc[[#This Row],[DateClosed]]="",ABS(NETWORKDAYS(Proc[[#This Row],[DateOpened]],TODAY()))-1,ABS(NETWORKDAYS(Proc[[#This Row],[DateOpened]],Proc[[#This Row],[DateClosed]]))-1)</f>
        <v>1</v>
      </c>
      <c r="R1697" s="90" t="s">
        <v>1013</v>
      </c>
      <c r="S1697" s="94"/>
    </row>
    <row r="1698" spans="1:19" hidden="1">
      <c r="A1698" s="93" t="s">
        <v>3640</v>
      </c>
      <c r="B1698" s="149" t="str">
        <f>IFERROR(VLOOKUP(Proc[[#This Row],[App]],Table2[],3,0),"open")</f>
        <v>ok</v>
      </c>
      <c r="C1698" s="93" t="s">
        <v>369</v>
      </c>
      <c r="D1698" t="s">
        <v>3671</v>
      </c>
      <c r="E1698" t="s">
        <v>3003</v>
      </c>
      <c r="F1698" s="117" t="s">
        <v>3003</v>
      </c>
      <c r="G1698" s="93" t="s">
        <v>400</v>
      </c>
      <c r="H1698" s="94" t="str">
        <f>IF(Proc[[#This Row],[type]]="LFF (MDG-F)",MID(Proc[[#This Row],[Obj]],13,10),"")</f>
        <v/>
      </c>
      <c r="J1698" s="94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HC</v>
      </c>
      <c r="L1698" s="125" t="s">
        <v>2563</v>
      </c>
      <c r="M1698" s="90">
        <v>45807.678356481483</v>
      </c>
      <c r="N1698" s="91">
        <v>45810</v>
      </c>
      <c r="O1698" s="91">
        <v>45810</v>
      </c>
      <c r="P1698" s="90" t="str">
        <f ca="1">IF(Proc[[#This Row],[DaysAgeing]]&gt;5,"yep","on track")</f>
        <v>on track</v>
      </c>
      <c r="Q1698" s="3">
        <f ca="1">IF(Proc[[#This Row],[DateClosed]]="",ABS(NETWORKDAYS(Proc[[#This Row],[DateOpened]],TODAY()))-1,ABS(NETWORKDAYS(Proc[[#This Row],[DateOpened]],Proc[[#This Row],[DateClosed]]))-1)</f>
        <v>1</v>
      </c>
      <c r="R1698" s="90" t="s">
        <v>1013</v>
      </c>
      <c r="S1698" s="94"/>
    </row>
    <row r="1699" spans="1:19" hidden="1">
      <c r="A1699" s="93" t="s">
        <v>3640</v>
      </c>
      <c r="B1699" s="149" t="str">
        <f>IFERROR(VLOOKUP(Proc[[#This Row],[App]],Table2[],3,0),"open")</f>
        <v>ok</v>
      </c>
      <c r="C1699" s="93" t="s">
        <v>369</v>
      </c>
      <c r="D1699" t="s">
        <v>3672</v>
      </c>
      <c r="E1699" t="s">
        <v>3005</v>
      </c>
      <c r="F1699" s="117" t="s">
        <v>3005</v>
      </c>
      <c r="G1699" s="93" t="s">
        <v>400</v>
      </c>
      <c r="H1699" s="94" t="str">
        <f>IF(Proc[[#This Row],[type]]="LFF (MDG-F)",MID(Proc[[#This Row],[Obj]],13,10),"")</f>
        <v/>
      </c>
      <c r="J1699" s="94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HC</v>
      </c>
      <c r="L1699" s="125" t="s">
        <v>2563</v>
      </c>
      <c r="M1699" s="90">
        <v>45807.678356481483</v>
      </c>
      <c r="N1699" s="91">
        <v>45810</v>
      </c>
      <c r="O1699" s="91">
        <v>45810</v>
      </c>
      <c r="P1699" s="90" t="str">
        <f ca="1">IF(Proc[[#This Row],[DaysAgeing]]&gt;5,"yep","on track")</f>
        <v>on track</v>
      </c>
      <c r="Q1699" s="3">
        <f ca="1">IF(Proc[[#This Row],[DateClosed]]="",ABS(NETWORKDAYS(Proc[[#This Row],[DateOpened]],TODAY()))-1,ABS(NETWORKDAYS(Proc[[#This Row],[DateOpened]],Proc[[#This Row],[DateClosed]]))-1)</f>
        <v>1</v>
      </c>
      <c r="R1699" s="90" t="s">
        <v>1013</v>
      </c>
      <c r="S1699" s="94"/>
    </row>
    <row r="1700" spans="1:19" hidden="1">
      <c r="A1700" s="93" t="s">
        <v>3640</v>
      </c>
      <c r="B1700" s="149" t="str">
        <f>IFERROR(VLOOKUP(Proc[[#This Row],[App]],Table2[],3,0),"open")</f>
        <v>ok</v>
      </c>
      <c r="C1700" s="93" t="s">
        <v>369</v>
      </c>
      <c r="D1700" t="s">
        <v>3673</v>
      </c>
      <c r="E1700" t="s">
        <v>3005</v>
      </c>
      <c r="F1700" s="117" t="s">
        <v>3005</v>
      </c>
      <c r="G1700" s="93" t="s">
        <v>400</v>
      </c>
      <c r="H1700" s="94" t="str">
        <f>IF(Proc[[#This Row],[type]]="LFF (MDG-F)",MID(Proc[[#This Row],[Obj]],13,10),"")</f>
        <v/>
      </c>
      <c r="J1700" s="94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HC</v>
      </c>
      <c r="L1700" s="125" t="s">
        <v>2563</v>
      </c>
      <c r="M1700" s="90">
        <v>45807.678356481483</v>
      </c>
      <c r="N1700" s="91">
        <v>45810</v>
      </c>
      <c r="O1700" s="91">
        <v>45810</v>
      </c>
      <c r="P1700" s="90" t="str">
        <f ca="1">IF(Proc[[#This Row],[DaysAgeing]]&gt;5,"yep","on track")</f>
        <v>on track</v>
      </c>
      <c r="Q1700" s="3">
        <f ca="1">IF(Proc[[#This Row],[DateClosed]]="",ABS(NETWORKDAYS(Proc[[#This Row],[DateOpened]],TODAY()))-1,ABS(NETWORKDAYS(Proc[[#This Row],[DateOpened]],Proc[[#This Row],[DateClosed]]))-1)</f>
        <v>1</v>
      </c>
      <c r="R1700" s="90" t="s">
        <v>1013</v>
      </c>
      <c r="S1700" s="94"/>
    </row>
    <row r="1701" spans="1:19" hidden="1">
      <c r="A1701" s="93" t="s">
        <v>3640</v>
      </c>
      <c r="B1701" s="149" t="str">
        <f>IFERROR(VLOOKUP(Proc[[#This Row],[App]],Table2[],3,0),"open")</f>
        <v>ok</v>
      </c>
      <c r="C1701" s="93" t="s">
        <v>369</v>
      </c>
      <c r="D1701" t="s">
        <v>3674</v>
      </c>
      <c r="E1701" t="s">
        <v>3005</v>
      </c>
      <c r="F1701" s="117" t="s">
        <v>3005</v>
      </c>
      <c r="G1701" s="93" t="s">
        <v>400</v>
      </c>
      <c r="H1701" s="94" t="str">
        <f>IF(Proc[[#This Row],[type]]="LFF (MDG-F)",MID(Proc[[#This Row],[Obj]],13,10),"")</f>
        <v/>
      </c>
      <c r="J1701" s="94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HC</v>
      </c>
      <c r="L1701" s="125" t="s">
        <v>2563</v>
      </c>
      <c r="M1701" s="90">
        <v>45807.678356481483</v>
      </c>
      <c r="N1701" s="91">
        <v>45810</v>
      </c>
      <c r="O1701" s="91">
        <v>45810</v>
      </c>
      <c r="P1701" s="90" t="str">
        <f ca="1">IF(Proc[[#This Row],[DaysAgeing]]&gt;5,"yep","on track")</f>
        <v>on track</v>
      </c>
      <c r="Q1701" s="3">
        <f ca="1">IF(Proc[[#This Row],[DateClosed]]="",ABS(NETWORKDAYS(Proc[[#This Row],[DateOpened]],TODAY()))-1,ABS(NETWORKDAYS(Proc[[#This Row],[DateOpened]],Proc[[#This Row],[DateClosed]]))-1)</f>
        <v>1</v>
      </c>
      <c r="R1701" s="90" t="s">
        <v>1013</v>
      </c>
      <c r="S1701" s="94"/>
    </row>
    <row r="1702" spans="1:19" hidden="1">
      <c r="A1702" s="93" t="s">
        <v>3640</v>
      </c>
      <c r="B1702" s="149" t="str">
        <f>IFERROR(VLOOKUP(Proc[[#This Row],[App]],Table2[],3,0),"open")</f>
        <v>ok</v>
      </c>
      <c r="C1702" s="93" t="s">
        <v>369</v>
      </c>
      <c r="D1702" t="s">
        <v>3675</v>
      </c>
      <c r="E1702" t="s">
        <v>3003</v>
      </c>
      <c r="F1702" s="117" t="s">
        <v>3003</v>
      </c>
      <c r="G1702" s="93" t="s">
        <v>400</v>
      </c>
      <c r="H1702" s="94" t="str">
        <f>IF(Proc[[#This Row],[type]]="LFF (MDG-F)",MID(Proc[[#This Row],[Obj]],13,10),"")</f>
        <v/>
      </c>
      <c r="J1702" s="94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HC</v>
      </c>
      <c r="L1702" s="125" t="s">
        <v>2563</v>
      </c>
      <c r="M1702" s="90">
        <v>45807.678356481483</v>
      </c>
      <c r="N1702" s="91">
        <v>45810</v>
      </c>
      <c r="O1702" s="91">
        <v>45810</v>
      </c>
      <c r="P1702" s="90" t="str">
        <f ca="1">IF(Proc[[#This Row],[DaysAgeing]]&gt;5,"yep","on track")</f>
        <v>on track</v>
      </c>
      <c r="Q1702" s="3">
        <f ca="1">IF(Proc[[#This Row],[DateClosed]]="",ABS(NETWORKDAYS(Proc[[#This Row],[DateOpened]],TODAY()))-1,ABS(NETWORKDAYS(Proc[[#This Row],[DateOpened]],Proc[[#This Row],[DateClosed]]))-1)</f>
        <v>1</v>
      </c>
      <c r="R1702" s="90" t="s">
        <v>1013</v>
      </c>
      <c r="S1702" s="94"/>
    </row>
    <row r="1703" spans="1:19" hidden="1">
      <c r="A1703" s="93" t="s">
        <v>3640</v>
      </c>
      <c r="B1703" s="149" t="str">
        <f>IFERROR(VLOOKUP(Proc[[#This Row],[App]],Table2[],3,0),"open")</f>
        <v>ok</v>
      </c>
      <c r="C1703" s="93" t="s">
        <v>369</v>
      </c>
      <c r="D1703" t="s">
        <v>3676</v>
      </c>
      <c r="E1703" t="s">
        <v>3003</v>
      </c>
      <c r="F1703" s="117" t="s">
        <v>3003</v>
      </c>
      <c r="G1703" s="93" t="s">
        <v>400</v>
      </c>
      <c r="H1703" s="94" t="str">
        <f>IF(Proc[[#This Row],[type]]="LFF (MDG-F)",MID(Proc[[#This Row],[Obj]],13,10),"")</f>
        <v/>
      </c>
      <c r="J1703" s="94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HC</v>
      </c>
      <c r="L1703" s="125" t="s">
        <v>2563</v>
      </c>
      <c r="M1703" s="90">
        <v>45807.678356481483</v>
      </c>
      <c r="N1703" s="91">
        <v>45810</v>
      </c>
      <c r="O1703" s="91">
        <v>45810</v>
      </c>
      <c r="P1703" s="90" t="str">
        <f ca="1">IF(Proc[[#This Row],[DaysAgeing]]&gt;5,"yep","on track")</f>
        <v>on track</v>
      </c>
      <c r="Q1703" s="3">
        <f ca="1">IF(Proc[[#This Row],[DateClosed]]="",ABS(NETWORKDAYS(Proc[[#This Row],[DateOpened]],TODAY()))-1,ABS(NETWORKDAYS(Proc[[#This Row],[DateOpened]],Proc[[#This Row],[DateClosed]]))-1)</f>
        <v>1</v>
      </c>
      <c r="R1703" s="90" t="s">
        <v>1013</v>
      </c>
      <c r="S1703" s="94"/>
    </row>
    <row r="1704" spans="1:19" hidden="1">
      <c r="A1704" s="93" t="s">
        <v>3640</v>
      </c>
      <c r="B1704" s="149" t="str">
        <f>IFERROR(VLOOKUP(Proc[[#This Row],[App]],Table2[],3,0),"open")</f>
        <v>ok</v>
      </c>
      <c r="C1704" s="93" t="s">
        <v>369</v>
      </c>
      <c r="D1704" t="s">
        <v>3677</v>
      </c>
      <c r="E1704" t="s">
        <v>3003</v>
      </c>
      <c r="F1704" s="117" t="s">
        <v>3003</v>
      </c>
      <c r="G1704" s="93" t="s">
        <v>400</v>
      </c>
      <c r="H1704" s="94" t="str">
        <f>IF(Proc[[#This Row],[type]]="LFF (MDG-F)",MID(Proc[[#This Row],[Obj]],13,10),"")</f>
        <v/>
      </c>
      <c r="J1704" s="94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HC</v>
      </c>
      <c r="L1704" s="125" t="s">
        <v>2563</v>
      </c>
      <c r="M1704" s="90">
        <v>45807.678356481483</v>
      </c>
      <c r="N1704" s="91">
        <v>45810</v>
      </c>
      <c r="O1704" s="91">
        <v>45810</v>
      </c>
      <c r="P1704" s="90" t="str">
        <f ca="1">IF(Proc[[#This Row],[DaysAgeing]]&gt;5,"yep","on track")</f>
        <v>on track</v>
      </c>
      <c r="Q1704" s="3">
        <f ca="1">IF(Proc[[#This Row],[DateClosed]]="",ABS(NETWORKDAYS(Proc[[#This Row],[DateOpened]],TODAY()))-1,ABS(NETWORKDAYS(Proc[[#This Row],[DateOpened]],Proc[[#This Row],[DateClosed]]))-1)</f>
        <v>1</v>
      </c>
      <c r="R1704" s="90" t="s">
        <v>1013</v>
      </c>
      <c r="S1704" s="94"/>
    </row>
    <row r="1705" spans="1:19" hidden="1">
      <c r="A1705" s="93" t="s">
        <v>3640</v>
      </c>
      <c r="B1705" s="149" t="str">
        <f>IFERROR(VLOOKUP(Proc[[#This Row],[App]],Table2[],3,0),"open")</f>
        <v>ok</v>
      </c>
      <c r="C1705" s="93" t="s">
        <v>369</v>
      </c>
      <c r="D1705" t="s">
        <v>3678</v>
      </c>
      <c r="E1705" t="s">
        <v>3003</v>
      </c>
      <c r="F1705" s="117" t="s">
        <v>3003</v>
      </c>
      <c r="G1705" s="93" t="s">
        <v>400</v>
      </c>
      <c r="H1705" s="94" t="str">
        <f>IF(Proc[[#This Row],[type]]="LFF (MDG-F)",MID(Proc[[#This Row],[Obj]],13,10),"")</f>
        <v/>
      </c>
      <c r="J1705" s="94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HC</v>
      </c>
      <c r="L1705" s="125" t="s">
        <v>2563</v>
      </c>
      <c r="M1705" s="90">
        <v>45807.678356481483</v>
      </c>
      <c r="N1705" s="91">
        <v>45810</v>
      </c>
      <c r="O1705" s="91">
        <v>45810</v>
      </c>
      <c r="P1705" s="90" t="str">
        <f ca="1">IF(Proc[[#This Row],[DaysAgeing]]&gt;5,"yep","on track")</f>
        <v>on track</v>
      </c>
      <c r="Q1705" s="3">
        <f ca="1">IF(Proc[[#This Row],[DateClosed]]="",ABS(NETWORKDAYS(Proc[[#This Row],[DateOpened]],TODAY()))-1,ABS(NETWORKDAYS(Proc[[#This Row],[DateOpened]],Proc[[#This Row],[DateClosed]]))-1)</f>
        <v>1</v>
      </c>
      <c r="R1705" s="90" t="s">
        <v>1013</v>
      </c>
      <c r="S1705" s="94"/>
    </row>
    <row r="1706" spans="1:19" hidden="1">
      <c r="A1706" s="93" t="s">
        <v>3640</v>
      </c>
      <c r="B1706" s="149" t="str">
        <f>IFERROR(VLOOKUP(Proc[[#This Row],[App]],Table2[],3,0),"open")</f>
        <v>ok</v>
      </c>
      <c r="C1706" s="93" t="s">
        <v>369</v>
      </c>
      <c r="D1706" t="s">
        <v>3679</v>
      </c>
      <c r="E1706" t="s">
        <v>3003</v>
      </c>
      <c r="F1706" s="117" t="s">
        <v>3003</v>
      </c>
      <c r="G1706" s="93" t="s">
        <v>400</v>
      </c>
      <c r="H1706" s="94" t="str">
        <f>IF(Proc[[#This Row],[type]]="LFF (MDG-F)",MID(Proc[[#This Row],[Obj]],13,10),"")</f>
        <v/>
      </c>
      <c r="J1706" s="94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HC</v>
      </c>
      <c r="L1706" s="125" t="s">
        <v>2563</v>
      </c>
      <c r="M1706" s="90">
        <v>45807.678356481483</v>
      </c>
      <c r="N1706" s="91">
        <v>45810</v>
      </c>
      <c r="O1706" s="91">
        <v>45810</v>
      </c>
      <c r="P1706" s="90" t="str">
        <f ca="1">IF(Proc[[#This Row],[DaysAgeing]]&gt;5,"yep","on track")</f>
        <v>on track</v>
      </c>
      <c r="Q1706" s="3">
        <f ca="1">IF(Proc[[#This Row],[DateClosed]]="",ABS(NETWORKDAYS(Proc[[#This Row],[DateOpened]],TODAY()))-1,ABS(NETWORKDAYS(Proc[[#This Row],[DateOpened]],Proc[[#This Row],[DateClosed]]))-1)</f>
        <v>1</v>
      </c>
      <c r="R1706" s="90" t="s">
        <v>1013</v>
      </c>
      <c r="S1706" s="94"/>
    </row>
    <row r="1707" spans="1:19" hidden="1">
      <c r="A1707" s="93" t="s">
        <v>3640</v>
      </c>
      <c r="B1707" s="149" t="str">
        <f>IFERROR(VLOOKUP(Proc[[#This Row],[App]],Table2[],3,0),"open")</f>
        <v>ok</v>
      </c>
      <c r="C1707" s="93" t="s">
        <v>369</v>
      </c>
      <c r="D1707" t="s">
        <v>3680</v>
      </c>
      <c r="E1707" t="s">
        <v>3004</v>
      </c>
      <c r="F1707" s="117" t="s">
        <v>3004</v>
      </c>
      <c r="G1707" s="93" t="s">
        <v>400</v>
      </c>
      <c r="H1707" s="94" t="str">
        <f>IF(Proc[[#This Row],[type]]="LFF (MDG-F)",MID(Proc[[#This Row],[Obj]],13,10),"")</f>
        <v/>
      </c>
      <c r="J1707" s="94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HC</v>
      </c>
      <c r="L1707" s="125" t="s">
        <v>2563</v>
      </c>
      <c r="M1707" s="90">
        <v>45807.678356481483</v>
      </c>
      <c r="N1707" s="91">
        <v>45810</v>
      </c>
      <c r="O1707" s="91">
        <v>45810</v>
      </c>
      <c r="P1707" s="90" t="str">
        <f ca="1">IF(Proc[[#This Row],[DaysAgeing]]&gt;5,"yep","on track")</f>
        <v>on track</v>
      </c>
      <c r="Q1707" s="3">
        <f ca="1">IF(Proc[[#This Row],[DateClosed]]="",ABS(NETWORKDAYS(Proc[[#This Row],[DateOpened]],TODAY()))-1,ABS(NETWORKDAYS(Proc[[#This Row],[DateOpened]],Proc[[#This Row],[DateClosed]]))-1)</f>
        <v>1</v>
      </c>
      <c r="R1707" s="90" t="s">
        <v>1013</v>
      </c>
      <c r="S1707" s="94"/>
    </row>
    <row r="1708" spans="1:19" hidden="1">
      <c r="A1708" s="93" t="s">
        <v>3640</v>
      </c>
      <c r="B1708" s="149" t="str">
        <f>IFERROR(VLOOKUP(Proc[[#This Row],[App]],Table2[],3,0),"open")</f>
        <v>ok</v>
      </c>
      <c r="C1708" s="93" t="s">
        <v>369</v>
      </c>
      <c r="D1708" t="s">
        <v>3681</v>
      </c>
      <c r="E1708" t="s">
        <v>3003</v>
      </c>
      <c r="F1708" s="117" t="s">
        <v>3003</v>
      </c>
      <c r="G1708" s="93" t="s">
        <v>400</v>
      </c>
      <c r="H1708" s="94" t="str">
        <f>IF(Proc[[#This Row],[type]]="LFF (MDG-F)",MID(Proc[[#This Row],[Obj]],13,10),"")</f>
        <v/>
      </c>
      <c r="J1708" s="94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HC</v>
      </c>
      <c r="L1708" s="125" t="s">
        <v>2563</v>
      </c>
      <c r="M1708" s="90">
        <v>45807.678356481483</v>
      </c>
      <c r="N1708" s="91">
        <v>45810</v>
      </c>
      <c r="O1708" s="91">
        <v>45810</v>
      </c>
      <c r="P1708" s="90" t="str">
        <f ca="1">IF(Proc[[#This Row],[DaysAgeing]]&gt;5,"yep","on track")</f>
        <v>on track</v>
      </c>
      <c r="Q1708" s="3">
        <f ca="1">IF(Proc[[#This Row],[DateClosed]]="",ABS(NETWORKDAYS(Proc[[#This Row],[DateOpened]],TODAY()))-1,ABS(NETWORKDAYS(Proc[[#This Row],[DateOpened]],Proc[[#This Row],[DateClosed]]))-1)</f>
        <v>1</v>
      </c>
      <c r="R1708" s="90" t="s">
        <v>1013</v>
      </c>
      <c r="S1708" s="94"/>
    </row>
    <row r="1709" spans="1:19" hidden="1">
      <c r="A1709" s="93" t="s">
        <v>3640</v>
      </c>
      <c r="B1709" s="149" t="str">
        <f>IFERROR(VLOOKUP(Proc[[#This Row],[App]],Table2[],3,0),"open")</f>
        <v>ok</v>
      </c>
      <c r="C1709" s="93" t="s">
        <v>369</v>
      </c>
      <c r="D1709" t="s">
        <v>3682</v>
      </c>
      <c r="E1709" t="s">
        <v>3003</v>
      </c>
      <c r="F1709" s="117" t="s">
        <v>3003</v>
      </c>
      <c r="G1709" s="93" t="s">
        <v>400</v>
      </c>
      <c r="H1709" s="94" t="str">
        <f>IF(Proc[[#This Row],[type]]="LFF (MDG-F)",MID(Proc[[#This Row],[Obj]],13,10),"")</f>
        <v/>
      </c>
      <c r="J1709" s="94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HC</v>
      </c>
      <c r="L1709" s="125" t="s">
        <v>2563</v>
      </c>
      <c r="M1709" s="90">
        <v>45807.678356481483</v>
      </c>
      <c r="N1709" s="91">
        <v>45810</v>
      </c>
      <c r="O1709" s="91">
        <v>45810</v>
      </c>
      <c r="P1709" s="90" t="str">
        <f ca="1">IF(Proc[[#This Row],[DaysAgeing]]&gt;5,"yep","on track")</f>
        <v>on track</v>
      </c>
      <c r="Q1709" s="3">
        <f ca="1">IF(Proc[[#This Row],[DateClosed]]="",ABS(NETWORKDAYS(Proc[[#This Row],[DateOpened]],TODAY()))-1,ABS(NETWORKDAYS(Proc[[#This Row],[DateOpened]],Proc[[#This Row],[DateClosed]]))-1)</f>
        <v>1</v>
      </c>
      <c r="R1709" s="90" t="s">
        <v>1013</v>
      </c>
      <c r="S1709" s="94"/>
    </row>
    <row r="1710" spans="1:19" hidden="1">
      <c r="A1710" s="93" t="s">
        <v>3640</v>
      </c>
      <c r="B1710" s="149" t="str">
        <f>IFERROR(VLOOKUP(Proc[[#This Row],[App]],Table2[],3,0),"open")</f>
        <v>ok</v>
      </c>
      <c r="C1710" s="93" t="s">
        <v>369</v>
      </c>
      <c r="D1710" t="s">
        <v>3683</v>
      </c>
      <c r="E1710" t="s">
        <v>3003</v>
      </c>
      <c r="F1710" s="117" t="s">
        <v>3003</v>
      </c>
      <c r="G1710" s="93" t="s">
        <v>400</v>
      </c>
      <c r="H1710" s="94" t="str">
        <f>IF(Proc[[#This Row],[type]]="LFF (MDG-F)",MID(Proc[[#This Row],[Obj]],13,10),"")</f>
        <v/>
      </c>
      <c r="J1710" s="94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HC</v>
      </c>
      <c r="L1710" s="125" t="s">
        <v>2563</v>
      </c>
      <c r="M1710" s="90">
        <v>45807.678356481483</v>
      </c>
      <c r="N1710" s="91">
        <v>45810</v>
      </c>
      <c r="O1710" s="91">
        <v>45810</v>
      </c>
      <c r="P1710" s="90" t="str">
        <f ca="1">IF(Proc[[#This Row],[DaysAgeing]]&gt;5,"yep","on track")</f>
        <v>on track</v>
      </c>
      <c r="Q1710" s="3">
        <f ca="1">IF(Proc[[#This Row],[DateClosed]]="",ABS(NETWORKDAYS(Proc[[#This Row],[DateOpened]],TODAY()))-1,ABS(NETWORKDAYS(Proc[[#This Row],[DateOpened]],Proc[[#This Row],[DateClosed]]))-1)</f>
        <v>1</v>
      </c>
      <c r="R1710" s="90" t="s">
        <v>1013</v>
      </c>
      <c r="S1710" s="94"/>
    </row>
    <row r="1711" spans="1:19" hidden="1">
      <c r="A1711" s="93" t="s">
        <v>3640</v>
      </c>
      <c r="B1711" s="149" t="str">
        <f>IFERROR(VLOOKUP(Proc[[#This Row],[App]],Table2[],3,0),"open")</f>
        <v>ok</v>
      </c>
      <c r="C1711" s="93" t="s">
        <v>369</v>
      </c>
      <c r="D1711" t="s">
        <v>3684</v>
      </c>
      <c r="E1711" t="s">
        <v>3003</v>
      </c>
      <c r="F1711" s="117" t="s">
        <v>3003</v>
      </c>
      <c r="G1711" s="93" t="s">
        <v>400</v>
      </c>
      <c r="H1711" s="94" t="str">
        <f>IF(Proc[[#This Row],[type]]="LFF (MDG-F)",MID(Proc[[#This Row],[Obj]],13,10),"")</f>
        <v/>
      </c>
      <c r="J1711" s="94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HC</v>
      </c>
      <c r="L1711" s="125" t="s">
        <v>2563</v>
      </c>
      <c r="M1711" s="90">
        <v>45807.678356481483</v>
      </c>
      <c r="N1711" s="91">
        <v>45810</v>
      </c>
      <c r="O1711" s="91">
        <v>45810</v>
      </c>
      <c r="P1711" s="90" t="str">
        <f ca="1">IF(Proc[[#This Row],[DaysAgeing]]&gt;5,"yep","on track")</f>
        <v>on track</v>
      </c>
      <c r="Q1711" s="3">
        <f ca="1">IF(Proc[[#This Row],[DateClosed]]="",ABS(NETWORKDAYS(Proc[[#This Row],[DateOpened]],TODAY()))-1,ABS(NETWORKDAYS(Proc[[#This Row],[DateOpened]],Proc[[#This Row],[DateClosed]]))-1)</f>
        <v>1</v>
      </c>
      <c r="R1711" s="90" t="s">
        <v>1013</v>
      </c>
      <c r="S1711" s="94"/>
    </row>
    <row r="1712" spans="1:19" hidden="1">
      <c r="A1712" s="93" t="s">
        <v>3640</v>
      </c>
      <c r="B1712" s="149" t="str">
        <f>IFERROR(VLOOKUP(Proc[[#This Row],[App]],Table2[],3,0),"open")</f>
        <v>ok</v>
      </c>
      <c r="C1712" s="93" t="s">
        <v>369</v>
      </c>
      <c r="D1712" t="s">
        <v>3685</v>
      </c>
      <c r="E1712" t="s">
        <v>3003</v>
      </c>
      <c r="F1712" s="117" t="s">
        <v>3003</v>
      </c>
      <c r="G1712" s="93" t="s">
        <v>400</v>
      </c>
      <c r="H1712" s="94" t="str">
        <f>IF(Proc[[#This Row],[type]]="LFF (MDG-F)",MID(Proc[[#This Row],[Obj]],13,10),"")</f>
        <v/>
      </c>
      <c r="J1712" s="94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HC</v>
      </c>
      <c r="L1712" s="125" t="s">
        <v>2563</v>
      </c>
      <c r="M1712" s="90">
        <v>45807.678356481483</v>
      </c>
      <c r="N1712" s="91">
        <v>45810</v>
      </c>
      <c r="O1712" s="91">
        <v>45810</v>
      </c>
      <c r="P1712" s="90" t="str">
        <f ca="1">IF(Proc[[#This Row],[DaysAgeing]]&gt;5,"yep","on track")</f>
        <v>on track</v>
      </c>
      <c r="Q1712" s="3">
        <f ca="1">IF(Proc[[#This Row],[DateClosed]]="",ABS(NETWORKDAYS(Proc[[#This Row],[DateOpened]],TODAY()))-1,ABS(NETWORKDAYS(Proc[[#This Row],[DateOpened]],Proc[[#This Row],[DateClosed]]))-1)</f>
        <v>1</v>
      </c>
      <c r="R1712" s="90" t="s">
        <v>1013</v>
      </c>
      <c r="S1712" s="94"/>
    </row>
    <row r="1713" spans="1:19" hidden="1">
      <c r="A1713" s="93" t="s">
        <v>3640</v>
      </c>
      <c r="B1713" s="149" t="str">
        <f>IFERROR(VLOOKUP(Proc[[#This Row],[App]],Table2[],3,0),"open")</f>
        <v>ok</v>
      </c>
      <c r="C1713" s="93" t="s">
        <v>369</v>
      </c>
      <c r="D1713" t="s">
        <v>3686</v>
      </c>
      <c r="E1713" t="s">
        <v>3005</v>
      </c>
      <c r="F1713" s="117" t="s">
        <v>3005</v>
      </c>
      <c r="G1713" s="93" t="s">
        <v>400</v>
      </c>
      <c r="H1713" s="94" t="str">
        <f>IF(Proc[[#This Row],[type]]="LFF (MDG-F)",MID(Proc[[#This Row],[Obj]],13,10),"")</f>
        <v/>
      </c>
      <c r="J1713" s="94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HC</v>
      </c>
      <c r="L1713" s="125" t="s">
        <v>2563</v>
      </c>
      <c r="M1713" s="90">
        <v>45807.678356481483</v>
      </c>
      <c r="N1713" s="91">
        <v>45810</v>
      </c>
      <c r="O1713" s="91">
        <v>45810</v>
      </c>
      <c r="P1713" s="90" t="str">
        <f ca="1">IF(Proc[[#This Row],[DaysAgeing]]&gt;5,"yep","on track")</f>
        <v>on track</v>
      </c>
      <c r="Q1713" s="3">
        <f ca="1">IF(Proc[[#This Row],[DateClosed]]="",ABS(NETWORKDAYS(Proc[[#This Row],[DateOpened]],TODAY()))-1,ABS(NETWORKDAYS(Proc[[#This Row],[DateOpened]],Proc[[#This Row],[DateClosed]]))-1)</f>
        <v>1</v>
      </c>
      <c r="R1713" s="90" t="s">
        <v>1013</v>
      </c>
      <c r="S1713" s="94"/>
    </row>
    <row r="1714" spans="1:19" hidden="1">
      <c r="A1714" s="93" t="s">
        <v>3640</v>
      </c>
      <c r="B1714" s="149" t="str">
        <f>IFERROR(VLOOKUP(Proc[[#This Row],[App]],Table2[],3,0),"open")</f>
        <v>ok</v>
      </c>
      <c r="C1714" s="93" t="s">
        <v>369</v>
      </c>
      <c r="D1714" t="s">
        <v>3687</v>
      </c>
      <c r="E1714" t="s">
        <v>3005</v>
      </c>
      <c r="F1714" s="117" t="s">
        <v>3005</v>
      </c>
      <c r="G1714" s="93" t="s">
        <v>400</v>
      </c>
      <c r="H1714" s="94" t="str">
        <f>IF(Proc[[#This Row],[type]]="LFF (MDG-F)",MID(Proc[[#This Row],[Obj]],13,10),"")</f>
        <v/>
      </c>
      <c r="J1714" s="94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HC</v>
      </c>
      <c r="L1714" s="125" t="s">
        <v>2563</v>
      </c>
      <c r="M1714" s="90">
        <v>45807.678356481483</v>
      </c>
      <c r="N1714" s="91">
        <v>45810</v>
      </c>
      <c r="O1714" s="91">
        <v>45810</v>
      </c>
      <c r="P1714" s="90" t="str">
        <f ca="1">IF(Proc[[#This Row],[DaysAgeing]]&gt;5,"yep","on track")</f>
        <v>on track</v>
      </c>
      <c r="Q1714" s="3">
        <f ca="1">IF(Proc[[#This Row],[DateClosed]]="",ABS(NETWORKDAYS(Proc[[#This Row],[DateOpened]],TODAY()))-1,ABS(NETWORKDAYS(Proc[[#This Row],[DateOpened]],Proc[[#This Row],[DateClosed]]))-1)</f>
        <v>1</v>
      </c>
      <c r="R1714" s="90" t="s">
        <v>1013</v>
      </c>
      <c r="S1714" s="94"/>
    </row>
    <row r="1715" spans="1:19" hidden="1">
      <c r="A1715" s="93" t="s">
        <v>3640</v>
      </c>
      <c r="B1715" s="149" t="str">
        <f>IFERROR(VLOOKUP(Proc[[#This Row],[App]],Table2[],3,0),"open")</f>
        <v>ok</v>
      </c>
      <c r="C1715" s="93" t="s">
        <v>369</v>
      </c>
      <c r="D1715" t="s">
        <v>3688</v>
      </c>
      <c r="E1715" t="s">
        <v>3005</v>
      </c>
      <c r="F1715" s="117" t="s">
        <v>3005</v>
      </c>
      <c r="G1715" s="93" t="s">
        <v>400</v>
      </c>
      <c r="H1715" s="94" t="str">
        <f>IF(Proc[[#This Row],[type]]="LFF (MDG-F)",MID(Proc[[#This Row],[Obj]],13,10),"")</f>
        <v/>
      </c>
      <c r="J1715" s="94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HC</v>
      </c>
      <c r="L1715" s="125" t="s">
        <v>2563</v>
      </c>
      <c r="M1715" s="90">
        <v>45807.678356481483</v>
      </c>
      <c r="N1715" s="91">
        <v>45810</v>
      </c>
      <c r="O1715" s="91">
        <v>45810</v>
      </c>
      <c r="P1715" s="90" t="str">
        <f ca="1">IF(Proc[[#This Row],[DaysAgeing]]&gt;5,"yep","on track")</f>
        <v>on track</v>
      </c>
      <c r="Q1715" s="3">
        <f ca="1">IF(Proc[[#This Row],[DateClosed]]="",ABS(NETWORKDAYS(Proc[[#This Row],[DateOpened]],TODAY()))-1,ABS(NETWORKDAYS(Proc[[#This Row],[DateOpened]],Proc[[#This Row],[DateClosed]]))-1)</f>
        <v>1</v>
      </c>
      <c r="R1715" s="90" t="s">
        <v>1013</v>
      </c>
      <c r="S1715" s="94"/>
    </row>
    <row r="1716" spans="1:19" hidden="1">
      <c r="A1716" s="93" t="s">
        <v>3640</v>
      </c>
      <c r="B1716" s="149" t="str">
        <f>IFERROR(VLOOKUP(Proc[[#This Row],[App]],Table2[],3,0),"open")</f>
        <v>ok</v>
      </c>
      <c r="C1716" s="93" t="s">
        <v>369</v>
      </c>
      <c r="D1716" t="s">
        <v>3689</v>
      </c>
      <c r="E1716" t="s">
        <v>3003</v>
      </c>
      <c r="F1716" s="117" t="s">
        <v>3003</v>
      </c>
      <c r="G1716" s="93" t="s">
        <v>400</v>
      </c>
      <c r="H1716" s="94" t="str">
        <f>IF(Proc[[#This Row],[type]]="LFF (MDG-F)",MID(Proc[[#This Row],[Obj]],13,10),"")</f>
        <v/>
      </c>
      <c r="J1716" s="94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HC</v>
      </c>
      <c r="L1716" s="125" t="s">
        <v>2563</v>
      </c>
      <c r="M1716" s="90">
        <v>45807.678356481483</v>
      </c>
      <c r="N1716" s="91">
        <v>45810</v>
      </c>
      <c r="O1716" s="91">
        <v>45810</v>
      </c>
      <c r="P1716" s="90" t="str">
        <f ca="1">IF(Proc[[#This Row],[DaysAgeing]]&gt;5,"yep","on track")</f>
        <v>on track</v>
      </c>
      <c r="Q1716" s="3">
        <f ca="1">IF(Proc[[#This Row],[DateClosed]]="",ABS(NETWORKDAYS(Proc[[#This Row],[DateOpened]],TODAY()))-1,ABS(NETWORKDAYS(Proc[[#This Row],[DateOpened]],Proc[[#This Row],[DateClosed]]))-1)</f>
        <v>1</v>
      </c>
      <c r="R1716" s="90" t="s">
        <v>1013</v>
      </c>
      <c r="S1716" s="94"/>
    </row>
    <row r="1717" spans="1:19" hidden="1">
      <c r="A1717" s="93" t="s">
        <v>3640</v>
      </c>
      <c r="B1717" s="149" t="str">
        <f>IFERROR(VLOOKUP(Proc[[#This Row],[App]],Table2[],3,0),"open")</f>
        <v>ok</v>
      </c>
      <c r="C1717" s="93" t="s">
        <v>369</v>
      </c>
      <c r="D1717" t="s">
        <v>3690</v>
      </c>
      <c r="E1717" t="s">
        <v>3740</v>
      </c>
      <c r="F1717" s="117" t="s">
        <v>3740</v>
      </c>
      <c r="G1717" s="93" t="s">
        <v>400</v>
      </c>
      <c r="H1717" s="94" t="str">
        <f>IF(Proc[[#This Row],[type]]="LFF (MDG-F)",MID(Proc[[#This Row],[Obj]],13,10),"")</f>
        <v/>
      </c>
      <c r="J1717" s="94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HC</v>
      </c>
      <c r="L1717" s="125" t="s">
        <v>2563</v>
      </c>
      <c r="M1717" s="90">
        <v>45807.678356481483</v>
      </c>
      <c r="N1717" s="91">
        <v>45810</v>
      </c>
      <c r="O1717" s="91">
        <v>45810</v>
      </c>
      <c r="P1717" s="90" t="str">
        <f ca="1">IF(Proc[[#This Row],[DaysAgeing]]&gt;5,"yep","on track")</f>
        <v>on track</v>
      </c>
      <c r="Q1717" s="3">
        <f ca="1">IF(Proc[[#This Row],[DateClosed]]="",ABS(NETWORKDAYS(Proc[[#This Row],[DateOpened]],TODAY()))-1,ABS(NETWORKDAYS(Proc[[#This Row],[DateOpened]],Proc[[#This Row],[DateClosed]]))-1)</f>
        <v>1</v>
      </c>
      <c r="R1717" s="90" t="s">
        <v>1013</v>
      </c>
      <c r="S1717" s="94"/>
    </row>
    <row r="1718" spans="1:19" hidden="1">
      <c r="A1718" s="93" t="s">
        <v>3640</v>
      </c>
      <c r="B1718" s="149" t="str">
        <f>IFERROR(VLOOKUP(Proc[[#This Row],[App]],Table2[],3,0),"open")</f>
        <v>ok</v>
      </c>
      <c r="C1718" s="93" t="s">
        <v>369</v>
      </c>
      <c r="D1718" t="s">
        <v>3691</v>
      </c>
      <c r="E1718" t="s">
        <v>3741</v>
      </c>
      <c r="F1718" s="117" t="s">
        <v>3741</v>
      </c>
      <c r="G1718" s="93" t="s">
        <v>400</v>
      </c>
      <c r="H1718" s="94" t="str">
        <f>IF(Proc[[#This Row],[type]]="LFF (MDG-F)",MID(Proc[[#This Row],[Obj]],13,10),"")</f>
        <v/>
      </c>
      <c r="J1718" s="94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HC</v>
      </c>
      <c r="L1718" s="125" t="s">
        <v>2563</v>
      </c>
      <c r="M1718" s="90">
        <v>45807.678356481483</v>
      </c>
      <c r="N1718" s="91">
        <v>45810</v>
      </c>
      <c r="O1718" s="91">
        <v>45810</v>
      </c>
      <c r="P1718" s="90" t="str">
        <f ca="1">IF(Proc[[#This Row],[DaysAgeing]]&gt;5,"yep","on track")</f>
        <v>on track</v>
      </c>
      <c r="Q1718" s="3">
        <f ca="1">IF(Proc[[#This Row],[DateClosed]]="",ABS(NETWORKDAYS(Proc[[#This Row],[DateOpened]],TODAY()))-1,ABS(NETWORKDAYS(Proc[[#This Row],[DateOpened]],Proc[[#This Row],[DateClosed]]))-1)</f>
        <v>1</v>
      </c>
      <c r="R1718" s="90" t="s">
        <v>1013</v>
      </c>
      <c r="S1718" s="94"/>
    </row>
    <row r="1719" spans="1:19" hidden="1">
      <c r="A1719" s="93" t="s">
        <v>3640</v>
      </c>
      <c r="B1719" s="149" t="str">
        <f>IFERROR(VLOOKUP(Proc[[#This Row],[App]],Table2[],3,0),"open")</f>
        <v>ok</v>
      </c>
      <c r="C1719" s="93" t="s">
        <v>369</v>
      </c>
      <c r="D1719" t="s">
        <v>3692</v>
      </c>
      <c r="E1719" t="s">
        <v>3743</v>
      </c>
      <c r="F1719" s="117" t="s">
        <v>3743</v>
      </c>
      <c r="G1719" s="93" t="s">
        <v>400</v>
      </c>
      <c r="H1719" s="94" t="str">
        <f>IF(Proc[[#This Row],[type]]="LFF (MDG-F)",MID(Proc[[#This Row],[Obj]],13,10),"")</f>
        <v/>
      </c>
      <c r="J1719" s="94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HC</v>
      </c>
      <c r="L1719" s="125" t="s">
        <v>2563</v>
      </c>
      <c r="M1719" s="90">
        <v>45807.678356481483</v>
      </c>
      <c r="N1719" s="91">
        <v>45810</v>
      </c>
      <c r="O1719" s="91">
        <v>45810</v>
      </c>
      <c r="P1719" s="90" t="str">
        <f ca="1">IF(Proc[[#This Row],[DaysAgeing]]&gt;5,"yep","on track")</f>
        <v>on track</v>
      </c>
      <c r="Q1719" s="3">
        <f ca="1">IF(Proc[[#This Row],[DateClosed]]="",ABS(NETWORKDAYS(Proc[[#This Row],[DateOpened]],TODAY()))-1,ABS(NETWORKDAYS(Proc[[#This Row],[DateOpened]],Proc[[#This Row],[DateClosed]]))-1)</f>
        <v>1</v>
      </c>
      <c r="R1719" s="90" t="s">
        <v>1013</v>
      </c>
      <c r="S1719" s="94"/>
    </row>
    <row r="1720" spans="1:19" hidden="1">
      <c r="A1720" s="93" t="s">
        <v>3640</v>
      </c>
      <c r="B1720" s="149" t="str">
        <f>IFERROR(VLOOKUP(Proc[[#This Row],[App]],Table2[],3,0),"open")</f>
        <v>ok</v>
      </c>
      <c r="C1720" s="93" t="s">
        <v>369</v>
      </c>
      <c r="D1720" t="s">
        <v>3693</v>
      </c>
      <c r="E1720" t="s">
        <v>3745</v>
      </c>
      <c r="F1720" s="117" t="s">
        <v>3745</v>
      </c>
      <c r="G1720" s="93" t="s">
        <v>400</v>
      </c>
      <c r="H1720" s="94" t="str">
        <f>IF(Proc[[#This Row],[type]]="LFF (MDG-F)",MID(Proc[[#This Row],[Obj]],13,10),"")</f>
        <v/>
      </c>
      <c r="J1720" s="94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HC</v>
      </c>
      <c r="L1720" s="125" t="s">
        <v>2563</v>
      </c>
      <c r="M1720" s="90">
        <v>45807.678356481483</v>
      </c>
      <c r="N1720" s="91">
        <v>45810</v>
      </c>
      <c r="O1720" s="91">
        <v>45810</v>
      </c>
      <c r="P1720" s="90" t="str">
        <f ca="1">IF(Proc[[#This Row],[DaysAgeing]]&gt;5,"yep","on track")</f>
        <v>on track</v>
      </c>
      <c r="Q1720" s="3">
        <f ca="1">IF(Proc[[#This Row],[DateClosed]]="",ABS(NETWORKDAYS(Proc[[#This Row],[DateOpened]],TODAY()))-1,ABS(NETWORKDAYS(Proc[[#This Row],[DateOpened]],Proc[[#This Row],[DateClosed]]))-1)</f>
        <v>1</v>
      </c>
      <c r="R1720" s="90" t="s">
        <v>1013</v>
      </c>
      <c r="S1720" s="94"/>
    </row>
    <row r="1721" spans="1:19" hidden="1">
      <c r="A1721" s="93" t="s">
        <v>3640</v>
      </c>
      <c r="B1721" s="149" t="str">
        <f>IFERROR(VLOOKUP(Proc[[#This Row],[App]],Table2[],3,0),"open")</f>
        <v>ok</v>
      </c>
      <c r="C1721" s="93" t="s">
        <v>369</v>
      </c>
      <c r="D1721" t="s">
        <v>3694</v>
      </c>
      <c r="E1721" t="s">
        <v>3741</v>
      </c>
      <c r="F1721" s="117" t="s">
        <v>3741</v>
      </c>
      <c r="G1721" s="93" t="s">
        <v>400</v>
      </c>
      <c r="H1721" s="94" t="str">
        <f>IF(Proc[[#This Row],[type]]="LFF (MDG-F)",MID(Proc[[#This Row],[Obj]],13,10),"")</f>
        <v/>
      </c>
      <c r="J1721" s="94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HC</v>
      </c>
      <c r="L1721" s="125" t="s">
        <v>2563</v>
      </c>
      <c r="M1721" s="90">
        <v>45807.678356481483</v>
      </c>
      <c r="N1721" s="91">
        <v>45810</v>
      </c>
      <c r="O1721" s="91">
        <v>45810</v>
      </c>
      <c r="P1721" s="90" t="str">
        <f ca="1">IF(Proc[[#This Row],[DaysAgeing]]&gt;5,"yep","on track")</f>
        <v>on track</v>
      </c>
      <c r="Q1721" s="3">
        <f ca="1">IF(Proc[[#This Row],[DateClosed]]="",ABS(NETWORKDAYS(Proc[[#This Row],[DateOpened]],TODAY()))-1,ABS(NETWORKDAYS(Proc[[#This Row],[DateOpened]],Proc[[#This Row],[DateClosed]]))-1)</f>
        <v>1</v>
      </c>
      <c r="R1721" s="90" t="s">
        <v>1013</v>
      </c>
      <c r="S1721" s="94"/>
    </row>
    <row r="1722" spans="1:19" hidden="1">
      <c r="A1722" s="93" t="s">
        <v>3640</v>
      </c>
      <c r="B1722" s="149" t="str">
        <f>IFERROR(VLOOKUP(Proc[[#This Row],[App]],Table2[],3,0),"open")</f>
        <v>ok</v>
      </c>
      <c r="C1722" s="93" t="s">
        <v>369</v>
      </c>
      <c r="D1722" t="s">
        <v>3695</v>
      </c>
      <c r="E1722" s="93" t="s">
        <v>3743</v>
      </c>
      <c r="F1722" s="117" t="s">
        <v>3743</v>
      </c>
      <c r="G1722" s="93" t="s">
        <v>400</v>
      </c>
      <c r="H1722" s="94" t="str">
        <f>IF(Proc[[#This Row],[type]]="LFF (MDG-F)",MID(Proc[[#This Row],[Obj]],13,10),"")</f>
        <v/>
      </c>
      <c r="J1722" s="94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HC</v>
      </c>
      <c r="L1722" s="125" t="s">
        <v>2563</v>
      </c>
      <c r="M1722" s="90">
        <v>45807.678356481483</v>
      </c>
      <c r="N1722" s="91">
        <v>45810</v>
      </c>
      <c r="O1722" s="91">
        <v>45810</v>
      </c>
      <c r="P1722" s="90" t="str">
        <f ca="1">IF(Proc[[#This Row],[DaysAgeing]]&gt;5,"yep","on track")</f>
        <v>on track</v>
      </c>
      <c r="Q1722" s="3">
        <f ca="1">IF(Proc[[#This Row],[DateClosed]]="",ABS(NETWORKDAYS(Proc[[#This Row],[DateOpened]],TODAY()))-1,ABS(NETWORKDAYS(Proc[[#This Row],[DateOpened]],Proc[[#This Row],[DateClosed]]))-1)</f>
        <v>1</v>
      </c>
      <c r="R1722" s="90" t="s">
        <v>1013</v>
      </c>
      <c r="S1722" s="94"/>
    </row>
    <row r="1723" spans="1:19" hidden="1">
      <c r="A1723" s="93" t="s">
        <v>3640</v>
      </c>
      <c r="B1723" s="149" t="str">
        <f>IFERROR(VLOOKUP(Proc[[#This Row],[App]],Table2[],3,0),"open")</f>
        <v>ok</v>
      </c>
      <c r="C1723" s="93" t="s">
        <v>369</v>
      </c>
      <c r="D1723" t="s">
        <v>3696</v>
      </c>
      <c r="E1723" t="s">
        <v>3743</v>
      </c>
      <c r="F1723" s="117" t="s">
        <v>3743</v>
      </c>
      <c r="G1723" s="93" t="s">
        <v>400</v>
      </c>
      <c r="H1723" s="94" t="str">
        <f>IF(Proc[[#This Row],[type]]="LFF (MDG-F)",MID(Proc[[#This Row],[Obj]],13,10),"")</f>
        <v/>
      </c>
      <c r="J1723" s="94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HC</v>
      </c>
      <c r="L1723" s="125" t="s">
        <v>2563</v>
      </c>
      <c r="M1723" s="90">
        <v>45807.678356481483</v>
      </c>
      <c r="N1723" s="91">
        <v>45810</v>
      </c>
      <c r="O1723" s="91">
        <v>45810</v>
      </c>
      <c r="P1723" s="90" t="str">
        <f ca="1">IF(Proc[[#This Row],[DaysAgeing]]&gt;5,"yep","on track")</f>
        <v>on track</v>
      </c>
      <c r="Q1723" s="3">
        <f ca="1">IF(Proc[[#This Row],[DateClosed]]="",ABS(NETWORKDAYS(Proc[[#This Row],[DateOpened]],TODAY()))-1,ABS(NETWORKDAYS(Proc[[#This Row],[DateOpened]],Proc[[#This Row],[DateClosed]]))-1)</f>
        <v>1</v>
      </c>
      <c r="R1723" s="90" t="s">
        <v>1013</v>
      </c>
      <c r="S1723" s="94"/>
    </row>
    <row r="1724" spans="1:19" hidden="1">
      <c r="A1724" s="93" t="s">
        <v>3640</v>
      </c>
      <c r="B1724" s="149" t="str">
        <f>IFERROR(VLOOKUP(Proc[[#This Row],[App]],Table2[],3,0),"open")</f>
        <v>ok</v>
      </c>
      <c r="C1724" s="93" t="s">
        <v>369</v>
      </c>
      <c r="D1724" t="s">
        <v>3697</v>
      </c>
      <c r="E1724" t="s">
        <v>3746</v>
      </c>
      <c r="F1724" s="117" t="s">
        <v>3746</v>
      </c>
      <c r="G1724" s="93" t="s">
        <v>400</v>
      </c>
      <c r="H1724" s="94" t="str">
        <f>IF(Proc[[#This Row],[type]]="LFF (MDG-F)",MID(Proc[[#This Row],[Obj]],13,10),"")</f>
        <v/>
      </c>
      <c r="J1724" s="94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HC</v>
      </c>
      <c r="L1724" s="125" t="s">
        <v>2563</v>
      </c>
      <c r="M1724" s="90">
        <v>45807.678356481483</v>
      </c>
      <c r="N1724" s="91">
        <v>45810</v>
      </c>
      <c r="O1724" s="91">
        <v>45810</v>
      </c>
      <c r="P1724" s="90" t="str">
        <f ca="1">IF(Proc[[#This Row],[DaysAgeing]]&gt;5,"yep","on track")</f>
        <v>on track</v>
      </c>
      <c r="Q1724" s="3">
        <f ca="1">IF(Proc[[#This Row],[DateClosed]]="",ABS(NETWORKDAYS(Proc[[#This Row],[DateOpened]],TODAY()))-1,ABS(NETWORKDAYS(Proc[[#This Row],[DateOpened]],Proc[[#This Row],[DateClosed]]))-1)</f>
        <v>1</v>
      </c>
      <c r="R1724" s="90" t="s">
        <v>1013</v>
      </c>
      <c r="S1724" s="94"/>
    </row>
    <row r="1725" spans="1:19" hidden="1">
      <c r="A1725" s="93" t="s">
        <v>3640</v>
      </c>
      <c r="B1725" s="149" t="str">
        <f>IFERROR(VLOOKUP(Proc[[#This Row],[App]],Table2[],3,0),"open")</f>
        <v>ok</v>
      </c>
      <c r="C1725" s="93" t="s">
        <v>369</v>
      </c>
      <c r="D1725" t="s">
        <v>3698</v>
      </c>
      <c r="E1725" t="s">
        <v>3745</v>
      </c>
      <c r="F1725" s="117" t="s">
        <v>3745</v>
      </c>
      <c r="G1725" s="93" t="s">
        <v>400</v>
      </c>
      <c r="H1725" s="94" t="str">
        <f>IF(Proc[[#This Row],[type]]="LFF (MDG-F)",MID(Proc[[#This Row],[Obj]],13,10),"")</f>
        <v/>
      </c>
      <c r="J1725" s="94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HC</v>
      </c>
      <c r="L1725" s="125" t="s">
        <v>2563</v>
      </c>
      <c r="M1725" s="90">
        <v>45807.678356481483</v>
      </c>
      <c r="N1725" s="91">
        <v>45810</v>
      </c>
      <c r="O1725" s="91">
        <v>45810</v>
      </c>
      <c r="P1725" s="90" t="str">
        <f ca="1">IF(Proc[[#This Row],[DaysAgeing]]&gt;5,"yep","on track")</f>
        <v>on track</v>
      </c>
      <c r="Q1725" s="3">
        <f ca="1">IF(Proc[[#This Row],[DateClosed]]="",ABS(NETWORKDAYS(Proc[[#This Row],[DateOpened]],TODAY()))-1,ABS(NETWORKDAYS(Proc[[#This Row],[DateOpened]],Proc[[#This Row],[DateClosed]]))-1)</f>
        <v>1</v>
      </c>
      <c r="R1725" s="90" t="s">
        <v>1013</v>
      </c>
      <c r="S1725" s="94"/>
    </row>
    <row r="1726" spans="1:19" hidden="1">
      <c r="A1726" s="93" t="s">
        <v>3640</v>
      </c>
      <c r="B1726" s="149" t="str">
        <f>IFERROR(VLOOKUP(Proc[[#This Row],[App]],Table2[],3,0),"open")</f>
        <v>ok</v>
      </c>
      <c r="C1726" s="93" t="s">
        <v>369</v>
      </c>
      <c r="D1726" t="s">
        <v>3699</v>
      </c>
      <c r="E1726" t="s">
        <v>3744</v>
      </c>
      <c r="F1726" s="117" t="s">
        <v>3744</v>
      </c>
      <c r="G1726" s="93" t="s">
        <v>400</v>
      </c>
      <c r="H1726" s="94" t="str">
        <f>IF(Proc[[#This Row],[type]]="LFF (MDG-F)",MID(Proc[[#This Row],[Obj]],13,10),"")</f>
        <v/>
      </c>
      <c r="J1726" s="94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HC</v>
      </c>
      <c r="L1726" s="125" t="s">
        <v>2563</v>
      </c>
      <c r="M1726" s="90">
        <v>45807.678356481483</v>
      </c>
      <c r="N1726" s="91">
        <v>45810</v>
      </c>
      <c r="O1726" s="91">
        <v>45810</v>
      </c>
      <c r="P1726" s="90" t="str">
        <f ca="1">IF(Proc[[#This Row],[DaysAgeing]]&gt;5,"yep","on track")</f>
        <v>on track</v>
      </c>
      <c r="Q1726" s="3">
        <f ca="1">IF(Proc[[#This Row],[DateClosed]]="",ABS(NETWORKDAYS(Proc[[#This Row],[DateOpened]],TODAY()))-1,ABS(NETWORKDAYS(Proc[[#This Row],[DateOpened]],Proc[[#This Row],[DateClosed]]))-1)</f>
        <v>1</v>
      </c>
      <c r="R1726" s="90" t="s">
        <v>1013</v>
      </c>
      <c r="S1726" s="94"/>
    </row>
    <row r="1727" spans="1:19" hidden="1">
      <c r="A1727" s="93" t="s">
        <v>3640</v>
      </c>
      <c r="B1727" s="149" t="str">
        <f>IFERROR(VLOOKUP(Proc[[#This Row],[App]],Table2[],3,0),"open")</f>
        <v>ok</v>
      </c>
      <c r="C1727" s="93" t="s">
        <v>369</v>
      </c>
      <c r="D1727" t="s">
        <v>3700</v>
      </c>
      <c r="E1727" t="s">
        <v>3743</v>
      </c>
      <c r="F1727" s="117" t="s">
        <v>3743</v>
      </c>
      <c r="G1727" s="93" t="s">
        <v>400</v>
      </c>
      <c r="H1727" s="94" t="str">
        <f>IF(Proc[[#This Row],[type]]="LFF (MDG-F)",MID(Proc[[#This Row],[Obj]],13,10),"")</f>
        <v/>
      </c>
      <c r="J1727" s="94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HC</v>
      </c>
      <c r="L1727" s="125" t="s">
        <v>2563</v>
      </c>
      <c r="M1727" s="90">
        <v>45807.678356481483</v>
      </c>
      <c r="N1727" s="91">
        <v>45810</v>
      </c>
      <c r="O1727" s="91">
        <v>45810</v>
      </c>
      <c r="P1727" s="90" t="str">
        <f ca="1">IF(Proc[[#This Row],[DaysAgeing]]&gt;5,"yep","on track")</f>
        <v>on track</v>
      </c>
      <c r="Q1727" s="3">
        <f ca="1">IF(Proc[[#This Row],[DateClosed]]="",ABS(NETWORKDAYS(Proc[[#This Row],[DateOpened]],TODAY()))-1,ABS(NETWORKDAYS(Proc[[#This Row],[DateOpened]],Proc[[#This Row],[DateClosed]]))-1)</f>
        <v>1</v>
      </c>
      <c r="R1727" s="90" t="s">
        <v>1013</v>
      </c>
      <c r="S1727" s="94"/>
    </row>
    <row r="1728" spans="1:19" hidden="1">
      <c r="A1728" s="93" t="s">
        <v>3640</v>
      </c>
      <c r="B1728" s="149" t="str">
        <f>IFERROR(VLOOKUP(Proc[[#This Row],[App]],Table2[],3,0),"open")</f>
        <v>ok</v>
      </c>
      <c r="C1728" s="93" t="s">
        <v>377</v>
      </c>
      <c r="D1728" t="s">
        <v>3701</v>
      </c>
      <c r="E1728" t="s">
        <v>3742</v>
      </c>
      <c r="F1728" s="103" t="s">
        <v>3742</v>
      </c>
      <c r="G1728" s="93" t="s">
        <v>400</v>
      </c>
      <c r="H1728" s="94" t="str">
        <f>IF(Proc[[#This Row],[type]]="LFF (MDG-F)",MID(Proc[[#This Row],[Obj]],13,10),"")</f>
        <v/>
      </c>
      <c r="I1728" t="s">
        <v>4070</v>
      </c>
      <c r="J1728" s="94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HC</v>
      </c>
      <c r="L1728" s="125" t="s">
        <v>2563</v>
      </c>
      <c r="M1728" s="90">
        <v>45807.678356481483</v>
      </c>
      <c r="N1728" s="91"/>
      <c r="O1728" s="91">
        <v>45810</v>
      </c>
      <c r="P1728" s="90" t="str">
        <f ca="1">IF(Proc[[#This Row],[DaysAgeing]]&gt;5,"yep","on track")</f>
        <v>on track</v>
      </c>
      <c r="Q1728" s="3">
        <f ca="1">IF(Proc[[#This Row],[DateClosed]]="",ABS(NETWORKDAYS(Proc[[#This Row],[DateOpened]],TODAY()))-1,ABS(NETWORKDAYS(Proc[[#This Row],[DateOpened]],Proc[[#This Row],[DateClosed]]))-1)</f>
        <v>1</v>
      </c>
      <c r="R1728" s="90" t="s">
        <v>1013</v>
      </c>
      <c r="S1728" s="94" t="e">
        <f>VLOOKUP(Proc[[#This Row],[Obj]],#REF!,2,0)</f>
        <v>#REF!</v>
      </c>
    </row>
    <row r="1729" spans="1:19" hidden="1">
      <c r="A1729" s="93" t="s">
        <v>3640</v>
      </c>
      <c r="B1729" s="149" t="str">
        <f>IFERROR(VLOOKUP(Proc[[#This Row],[App]],Table2[],3,0),"open")</f>
        <v>ok</v>
      </c>
      <c r="C1729" s="93" t="s">
        <v>369</v>
      </c>
      <c r="D1729" t="s">
        <v>3702</v>
      </c>
      <c r="E1729" t="s">
        <v>3401</v>
      </c>
      <c r="F1729" s="117" t="s">
        <v>3401</v>
      </c>
      <c r="G1729" s="93" t="s">
        <v>400</v>
      </c>
      <c r="H1729" s="94" t="str">
        <f>IF(Proc[[#This Row],[type]]="LFF (MDG-F)",MID(Proc[[#This Row],[Obj]],13,10),"")</f>
        <v/>
      </c>
      <c r="J1729" s="94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HC</v>
      </c>
      <c r="L1729" s="125" t="s">
        <v>2563</v>
      </c>
      <c r="M1729" s="90">
        <v>45807.678356481483</v>
      </c>
      <c r="N1729" s="91">
        <v>45810</v>
      </c>
      <c r="O1729" s="91">
        <v>45810</v>
      </c>
      <c r="P1729" s="90" t="str">
        <f ca="1">IF(Proc[[#This Row],[DaysAgeing]]&gt;5,"yep","on track")</f>
        <v>on track</v>
      </c>
      <c r="Q1729" s="3">
        <f ca="1">IF(Proc[[#This Row],[DateClosed]]="",ABS(NETWORKDAYS(Proc[[#This Row],[DateOpened]],TODAY()))-1,ABS(NETWORKDAYS(Proc[[#This Row],[DateOpened]],Proc[[#This Row],[DateClosed]]))-1)</f>
        <v>1</v>
      </c>
      <c r="R1729" s="90" t="s">
        <v>1013</v>
      </c>
      <c r="S1729" s="94"/>
    </row>
    <row r="1730" spans="1:19" hidden="1">
      <c r="A1730" s="93" t="s">
        <v>3640</v>
      </c>
      <c r="B1730" s="149" t="str">
        <f>IFERROR(VLOOKUP(Proc[[#This Row],[App]],Table2[],3,0),"open")</f>
        <v>ok</v>
      </c>
      <c r="C1730" s="93" t="s">
        <v>369</v>
      </c>
      <c r="D1730" t="s">
        <v>3703</v>
      </c>
      <c r="E1730" s="93" t="s">
        <v>3401</v>
      </c>
      <c r="F1730" s="117" t="s">
        <v>3401</v>
      </c>
      <c r="G1730" s="93" t="s">
        <v>400</v>
      </c>
      <c r="H1730" s="94" t="str">
        <f>IF(Proc[[#This Row],[type]]="LFF (MDG-F)",MID(Proc[[#This Row],[Obj]],13,10),"")</f>
        <v/>
      </c>
      <c r="J1730" s="94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HC</v>
      </c>
      <c r="L1730" s="125" t="s">
        <v>2563</v>
      </c>
      <c r="M1730" s="90">
        <v>45807.678356481483</v>
      </c>
      <c r="N1730" s="91">
        <v>45810</v>
      </c>
      <c r="O1730" s="91">
        <v>45810</v>
      </c>
      <c r="P1730" s="90" t="str">
        <f ca="1">IF(Proc[[#This Row],[DaysAgeing]]&gt;5,"yep","on track")</f>
        <v>on track</v>
      </c>
      <c r="Q1730" s="3">
        <f ca="1">IF(Proc[[#This Row],[DateClosed]]="",ABS(NETWORKDAYS(Proc[[#This Row],[DateOpened]],TODAY()))-1,ABS(NETWORKDAYS(Proc[[#This Row],[DateOpened]],Proc[[#This Row],[DateClosed]]))-1)</f>
        <v>1</v>
      </c>
      <c r="R1730" s="90" t="s">
        <v>1013</v>
      </c>
      <c r="S1730" s="94"/>
    </row>
    <row r="1731" spans="1:19" hidden="1">
      <c r="A1731" s="93" t="s">
        <v>3640</v>
      </c>
      <c r="B1731" s="149" t="str">
        <f>IFERROR(VLOOKUP(Proc[[#This Row],[App]],Table2[],3,0),"open")</f>
        <v>ok</v>
      </c>
      <c r="C1731" s="93" t="s">
        <v>369</v>
      </c>
      <c r="D1731" t="s">
        <v>3704</v>
      </c>
      <c r="E1731" s="93" t="s">
        <v>3401</v>
      </c>
      <c r="F1731" s="117" t="s">
        <v>3401</v>
      </c>
      <c r="G1731" s="93" t="s">
        <v>400</v>
      </c>
      <c r="H1731" s="94" t="str">
        <f>IF(Proc[[#This Row],[type]]="LFF (MDG-F)",MID(Proc[[#This Row],[Obj]],13,10),"")</f>
        <v/>
      </c>
      <c r="J1731" s="94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HC</v>
      </c>
      <c r="L1731" s="125" t="s">
        <v>2563</v>
      </c>
      <c r="M1731" s="90">
        <v>45807.678356481483</v>
      </c>
      <c r="N1731" s="91">
        <v>45810</v>
      </c>
      <c r="O1731" s="91">
        <v>45810</v>
      </c>
      <c r="P1731" s="90" t="str">
        <f ca="1">IF(Proc[[#This Row],[DaysAgeing]]&gt;5,"yep","on track")</f>
        <v>on track</v>
      </c>
      <c r="Q1731" s="3">
        <f ca="1">IF(Proc[[#This Row],[DateClosed]]="",ABS(NETWORKDAYS(Proc[[#This Row],[DateOpened]],TODAY()))-1,ABS(NETWORKDAYS(Proc[[#This Row],[DateOpened]],Proc[[#This Row],[DateClosed]]))-1)</f>
        <v>1</v>
      </c>
      <c r="R1731" s="90" t="s">
        <v>1013</v>
      </c>
      <c r="S1731" s="94"/>
    </row>
    <row r="1732" spans="1:19" hidden="1">
      <c r="A1732" s="93" t="s">
        <v>3640</v>
      </c>
      <c r="B1732" s="149" t="str">
        <f>IFERROR(VLOOKUP(Proc[[#This Row],[App]],Table2[],3,0),"open")</f>
        <v>ok</v>
      </c>
      <c r="C1732" s="93" t="s">
        <v>369</v>
      </c>
      <c r="D1732" t="s">
        <v>3705</v>
      </c>
      <c r="E1732" s="93" t="s">
        <v>3401</v>
      </c>
      <c r="F1732" s="117" t="s">
        <v>3401</v>
      </c>
      <c r="G1732" s="93" t="s">
        <v>400</v>
      </c>
      <c r="H1732" s="94" t="str">
        <f>IF(Proc[[#This Row],[type]]="LFF (MDG-F)",MID(Proc[[#This Row],[Obj]],13,10),"")</f>
        <v/>
      </c>
      <c r="J1732" s="94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HC</v>
      </c>
      <c r="L1732" s="125" t="s">
        <v>2563</v>
      </c>
      <c r="M1732" s="90">
        <v>45807.678356481483</v>
      </c>
      <c r="N1732" s="91">
        <v>45810</v>
      </c>
      <c r="O1732" s="91">
        <v>45810</v>
      </c>
      <c r="P1732" s="90" t="str">
        <f ca="1">IF(Proc[[#This Row],[DaysAgeing]]&gt;5,"yep","on track")</f>
        <v>on track</v>
      </c>
      <c r="Q1732" s="3">
        <f ca="1">IF(Proc[[#This Row],[DateClosed]]="",ABS(NETWORKDAYS(Proc[[#This Row],[DateOpened]],TODAY()))-1,ABS(NETWORKDAYS(Proc[[#This Row],[DateOpened]],Proc[[#This Row],[DateClosed]]))-1)</f>
        <v>1</v>
      </c>
      <c r="R1732" s="90" t="s">
        <v>1013</v>
      </c>
      <c r="S1732" s="94"/>
    </row>
    <row r="1733" spans="1:19" hidden="1">
      <c r="A1733" s="93" t="s">
        <v>3640</v>
      </c>
      <c r="B1733" s="149" t="str">
        <f>IFERROR(VLOOKUP(Proc[[#This Row],[App]],Table2[],3,0),"open")</f>
        <v>ok</v>
      </c>
      <c r="C1733" s="93" t="s">
        <v>369</v>
      </c>
      <c r="D1733" t="s">
        <v>3706</v>
      </c>
      <c r="E1733" s="93" t="s">
        <v>3401</v>
      </c>
      <c r="F1733" s="117" t="s">
        <v>3401</v>
      </c>
      <c r="G1733" s="93" t="s">
        <v>400</v>
      </c>
      <c r="H1733" s="94" t="str">
        <f>IF(Proc[[#This Row],[type]]="LFF (MDG-F)",MID(Proc[[#This Row],[Obj]],13,10),"")</f>
        <v/>
      </c>
      <c r="J1733" s="94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HC</v>
      </c>
      <c r="L1733" s="125" t="s">
        <v>2563</v>
      </c>
      <c r="M1733" s="90">
        <v>45807.678356481483</v>
      </c>
      <c r="N1733" s="91">
        <v>45810</v>
      </c>
      <c r="O1733" s="91">
        <v>45810</v>
      </c>
      <c r="P1733" s="90" t="str">
        <f ca="1">IF(Proc[[#This Row],[DaysAgeing]]&gt;5,"yep","on track")</f>
        <v>on track</v>
      </c>
      <c r="Q1733" s="3">
        <f ca="1">IF(Proc[[#This Row],[DateClosed]]="",ABS(NETWORKDAYS(Proc[[#This Row],[DateOpened]],TODAY()))-1,ABS(NETWORKDAYS(Proc[[#This Row],[DateOpened]],Proc[[#This Row],[DateClosed]]))-1)</f>
        <v>1</v>
      </c>
      <c r="R1733" s="90" t="s">
        <v>1013</v>
      </c>
      <c r="S1733" s="94"/>
    </row>
    <row r="1734" spans="1:19" hidden="1">
      <c r="A1734" s="93" t="s">
        <v>3640</v>
      </c>
      <c r="B1734" s="149" t="str">
        <f>IFERROR(VLOOKUP(Proc[[#This Row],[App]],Table2[],3,0),"open")</f>
        <v>ok</v>
      </c>
      <c r="C1734" s="93" t="s">
        <v>369</v>
      </c>
      <c r="D1734" t="s">
        <v>3707</v>
      </c>
      <c r="E1734" s="93" t="s">
        <v>3401</v>
      </c>
      <c r="F1734" s="117" t="s">
        <v>3401</v>
      </c>
      <c r="G1734" s="93" t="s">
        <v>400</v>
      </c>
      <c r="H1734" s="94" t="str">
        <f>IF(Proc[[#This Row],[type]]="LFF (MDG-F)",MID(Proc[[#This Row],[Obj]],13,10),"")</f>
        <v/>
      </c>
      <c r="J1734" s="94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HC</v>
      </c>
      <c r="L1734" s="125" t="s">
        <v>2563</v>
      </c>
      <c r="M1734" s="90">
        <v>45807.678356481483</v>
      </c>
      <c r="N1734" s="91">
        <v>45810</v>
      </c>
      <c r="O1734" s="91">
        <v>45810</v>
      </c>
      <c r="P1734" s="90" t="str">
        <f ca="1">IF(Proc[[#This Row],[DaysAgeing]]&gt;5,"yep","on track")</f>
        <v>on track</v>
      </c>
      <c r="Q1734" s="3">
        <f ca="1">IF(Proc[[#This Row],[DateClosed]]="",ABS(NETWORKDAYS(Proc[[#This Row],[DateOpened]],TODAY()))-1,ABS(NETWORKDAYS(Proc[[#This Row],[DateOpened]],Proc[[#This Row],[DateClosed]]))-1)</f>
        <v>1</v>
      </c>
      <c r="R1734" s="90" t="s">
        <v>1013</v>
      </c>
      <c r="S1734" s="94"/>
    </row>
    <row r="1735" spans="1:19" hidden="1">
      <c r="A1735" s="93" t="s">
        <v>3640</v>
      </c>
      <c r="B1735" s="149" t="str">
        <f>IFERROR(VLOOKUP(Proc[[#This Row],[App]],Table2[],3,0),"open")</f>
        <v>ok</v>
      </c>
      <c r="C1735" s="93" t="s">
        <v>369</v>
      </c>
      <c r="D1735" t="s">
        <v>3708</v>
      </c>
      <c r="E1735" s="93" t="s">
        <v>3401</v>
      </c>
      <c r="F1735" s="117" t="s">
        <v>3401</v>
      </c>
      <c r="G1735" s="93" t="s">
        <v>400</v>
      </c>
      <c r="H1735" s="94" t="str">
        <f>IF(Proc[[#This Row],[type]]="LFF (MDG-F)",MID(Proc[[#This Row],[Obj]],13,10),"")</f>
        <v/>
      </c>
      <c r="J1735" s="94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HC</v>
      </c>
      <c r="L1735" s="125" t="s">
        <v>2563</v>
      </c>
      <c r="M1735" s="90">
        <v>45807.678356481483</v>
      </c>
      <c r="N1735" s="91">
        <v>45810</v>
      </c>
      <c r="O1735" s="91">
        <v>45810</v>
      </c>
      <c r="P1735" s="90" t="str">
        <f ca="1">IF(Proc[[#This Row],[DaysAgeing]]&gt;5,"yep","on track")</f>
        <v>on track</v>
      </c>
      <c r="Q1735" s="3">
        <f ca="1">IF(Proc[[#This Row],[DateClosed]]="",ABS(NETWORKDAYS(Proc[[#This Row],[DateOpened]],TODAY()))-1,ABS(NETWORKDAYS(Proc[[#This Row],[DateOpened]],Proc[[#This Row],[DateClosed]]))-1)</f>
        <v>1</v>
      </c>
      <c r="R1735" s="90" t="s">
        <v>1013</v>
      </c>
      <c r="S1735" s="94"/>
    </row>
    <row r="1736" spans="1:19" hidden="1">
      <c r="A1736" s="93" t="s">
        <v>3640</v>
      </c>
      <c r="B1736" s="149" t="str">
        <f>IFERROR(VLOOKUP(Proc[[#This Row],[App]],Table2[],3,0),"open")</f>
        <v>ok</v>
      </c>
      <c r="C1736" s="93" t="s">
        <v>369</v>
      </c>
      <c r="D1736" t="s">
        <v>3709</v>
      </c>
      <c r="E1736" s="93" t="s">
        <v>3401</v>
      </c>
      <c r="F1736" s="117" t="s">
        <v>3401</v>
      </c>
      <c r="G1736" s="93" t="s">
        <v>400</v>
      </c>
      <c r="H1736" s="94" t="str">
        <f>IF(Proc[[#This Row],[type]]="LFF (MDG-F)",MID(Proc[[#This Row],[Obj]],13,10),"")</f>
        <v/>
      </c>
      <c r="J1736" s="94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HC</v>
      </c>
      <c r="L1736" s="125" t="s">
        <v>2563</v>
      </c>
      <c r="M1736" s="90">
        <v>45807.678356481483</v>
      </c>
      <c r="N1736" s="91">
        <v>45810</v>
      </c>
      <c r="O1736" s="91">
        <v>45810</v>
      </c>
      <c r="P1736" s="90" t="str">
        <f ca="1">IF(Proc[[#This Row],[DaysAgeing]]&gt;5,"yep","on track")</f>
        <v>on track</v>
      </c>
      <c r="Q1736" s="3">
        <f ca="1">IF(Proc[[#This Row],[DateClosed]]="",ABS(NETWORKDAYS(Proc[[#This Row],[DateOpened]],TODAY()))-1,ABS(NETWORKDAYS(Proc[[#This Row],[DateOpened]],Proc[[#This Row],[DateClosed]]))-1)</f>
        <v>1</v>
      </c>
      <c r="R1736" s="90" t="s">
        <v>1013</v>
      </c>
      <c r="S1736" s="94"/>
    </row>
    <row r="1737" spans="1:19" hidden="1">
      <c r="A1737" s="93" t="s">
        <v>3640</v>
      </c>
      <c r="B1737" s="149" t="str">
        <f>IFERROR(VLOOKUP(Proc[[#This Row],[App]],Table2[],3,0),"open")</f>
        <v>ok</v>
      </c>
      <c r="C1737" s="93" t="s">
        <v>369</v>
      </c>
      <c r="D1737" t="s">
        <v>3710</v>
      </c>
      <c r="E1737" s="93" t="s">
        <v>3401</v>
      </c>
      <c r="F1737" s="117" t="s">
        <v>3401</v>
      </c>
      <c r="G1737" s="93" t="s">
        <v>400</v>
      </c>
      <c r="H1737" s="94" t="str">
        <f>IF(Proc[[#This Row],[type]]="LFF (MDG-F)",MID(Proc[[#This Row],[Obj]],13,10),"")</f>
        <v/>
      </c>
      <c r="J1737" s="94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HC</v>
      </c>
      <c r="L1737" s="125" t="s">
        <v>2563</v>
      </c>
      <c r="M1737" s="90">
        <v>45807.678356481483</v>
      </c>
      <c r="N1737" s="91">
        <v>45810</v>
      </c>
      <c r="O1737" s="91">
        <v>45810</v>
      </c>
      <c r="P1737" s="90" t="str">
        <f ca="1">IF(Proc[[#This Row],[DaysAgeing]]&gt;5,"yep","on track")</f>
        <v>on track</v>
      </c>
      <c r="Q1737" s="3">
        <f ca="1">IF(Proc[[#This Row],[DateClosed]]="",ABS(NETWORKDAYS(Proc[[#This Row],[DateOpened]],TODAY()))-1,ABS(NETWORKDAYS(Proc[[#This Row],[DateOpened]],Proc[[#This Row],[DateClosed]]))-1)</f>
        <v>1</v>
      </c>
      <c r="R1737" s="90" t="s">
        <v>1013</v>
      </c>
      <c r="S1737" s="94"/>
    </row>
    <row r="1738" spans="1:19" hidden="1">
      <c r="A1738" s="93" t="s">
        <v>3640</v>
      </c>
      <c r="B1738" s="149" t="str">
        <f>IFERROR(VLOOKUP(Proc[[#This Row],[App]],Table2[],3,0),"open")</f>
        <v>ok</v>
      </c>
      <c r="C1738" s="93" t="s">
        <v>369</v>
      </c>
      <c r="D1738" t="s">
        <v>3711</v>
      </c>
      <c r="E1738" s="93" t="s">
        <v>3401</v>
      </c>
      <c r="F1738" s="117" t="s">
        <v>3401</v>
      </c>
      <c r="G1738" s="93" t="s">
        <v>400</v>
      </c>
      <c r="H1738" s="94" t="str">
        <f>IF(Proc[[#This Row],[type]]="LFF (MDG-F)",MID(Proc[[#This Row],[Obj]],13,10),"")</f>
        <v/>
      </c>
      <c r="J1738" s="94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HC</v>
      </c>
      <c r="L1738" s="125" t="s">
        <v>2563</v>
      </c>
      <c r="M1738" s="90">
        <v>45807.678356481483</v>
      </c>
      <c r="N1738" s="91">
        <v>45810</v>
      </c>
      <c r="O1738" s="91">
        <v>45810</v>
      </c>
      <c r="P1738" s="90" t="str">
        <f ca="1">IF(Proc[[#This Row],[DaysAgeing]]&gt;5,"yep","on track")</f>
        <v>on track</v>
      </c>
      <c r="Q1738" s="3">
        <f ca="1">IF(Proc[[#This Row],[DateClosed]]="",ABS(NETWORKDAYS(Proc[[#This Row],[DateOpened]],TODAY()))-1,ABS(NETWORKDAYS(Proc[[#This Row],[DateOpened]],Proc[[#This Row],[DateClosed]]))-1)</f>
        <v>1</v>
      </c>
      <c r="R1738" s="90" t="s">
        <v>1013</v>
      </c>
      <c r="S1738" s="94"/>
    </row>
    <row r="1739" spans="1:19" hidden="1">
      <c r="A1739" s="93" t="s">
        <v>3640</v>
      </c>
      <c r="B1739" s="149" t="str">
        <f>IFERROR(VLOOKUP(Proc[[#This Row],[App]],Table2[],3,0),"open")</f>
        <v>ok</v>
      </c>
      <c r="C1739" s="93" t="s">
        <v>369</v>
      </c>
      <c r="D1739" t="s">
        <v>3712</v>
      </c>
      <c r="E1739" s="93" t="s">
        <v>3401</v>
      </c>
      <c r="F1739" s="117" t="s">
        <v>3401</v>
      </c>
      <c r="G1739" s="93" t="s">
        <v>400</v>
      </c>
      <c r="H1739" s="94" t="str">
        <f>IF(Proc[[#This Row],[type]]="LFF (MDG-F)",MID(Proc[[#This Row],[Obj]],13,10),"")</f>
        <v/>
      </c>
      <c r="J1739" s="94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HC</v>
      </c>
      <c r="L1739" s="125" t="s">
        <v>2563</v>
      </c>
      <c r="M1739" s="90">
        <v>45807.678356481483</v>
      </c>
      <c r="N1739" s="91">
        <v>45810</v>
      </c>
      <c r="O1739" s="91">
        <v>45810</v>
      </c>
      <c r="P1739" s="90" t="str">
        <f ca="1">IF(Proc[[#This Row],[DaysAgeing]]&gt;5,"yep","on track")</f>
        <v>on track</v>
      </c>
      <c r="Q1739" s="3">
        <f ca="1">IF(Proc[[#This Row],[DateClosed]]="",ABS(NETWORKDAYS(Proc[[#This Row],[DateOpened]],TODAY()))-1,ABS(NETWORKDAYS(Proc[[#This Row],[DateOpened]],Proc[[#This Row],[DateClosed]]))-1)</f>
        <v>1</v>
      </c>
      <c r="R1739" s="90" t="s">
        <v>1013</v>
      </c>
      <c r="S1739" s="94"/>
    </row>
    <row r="1740" spans="1:19" hidden="1">
      <c r="A1740" s="93" t="s">
        <v>3640</v>
      </c>
      <c r="B1740" s="149" t="str">
        <f>IFERROR(VLOOKUP(Proc[[#This Row],[App]],Table2[],3,0),"open")</f>
        <v>ok</v>
      </c>
      <c r="C1740" s="93" t="s">
        <v>369</v>
      </c>
      <c r="D1740" t="s">
        <v>3713</v>
      </c>
      <c r="E1740" s="93" t="s">
        <v>3401</v>
      </c>
      <c r="F1740" s="117" t="s">
        <v>3401</v>
      </c>
      <c r="G1740" s="93" t="s">
        <v>400</v>
      </c>
      <c r="H1740" s="94" t="str">
        <f>IF(Proc[[#This Row],[type]]="LFF (MDG-F)",MID(Proc[[#This Row],[Obj]],13,10),"")</f>
        <v/>
      </c>
      <c r="J1740" s="94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HC</v>
      </c>
      <c r="L1740" s="125" t="s">
        <v>2563</v>
      </c>
      <c r="M1740" s="90">
        <v>45807.678356481483</v>
      </c>
      <c r="N1740" s="91">
        <v>45810</v>
      </c>
      <c r="O1740" s="91">
        <v>45810</v>
      </c>
      <c r="P1740" s="90" t="str">
        <f ca="1">IF(Proc[[#This Row],[DaysAgeing]]&gt;5,"yep","on track")</f>
        <v>on track</v>
      </c>
      <c r="Q1740" s="3">
        <f ca="1">IF(Proc[[#This Row],[DateClosed]]="",ABS(NETWORKDAYS(Proc[[#This Row],[DateOpened]],TODAY()))-1,ABS(NETWORKDAYS(Proc[[#This Row],[DateOpened]],Proc[[#This Row],[DateClosed]]))-1)</f>
        <v>1</v>
      </c>
      <c r="R1740" s="90" t="s">
        <v>1013</v>
      </c>
      <c r="S1740" s="94"/>
    </row>
    <row r="1741" spans="1:19" hidden="1">
      <c r="A1741" s="93" t="s">
        <v>3640</v>
      </c>
      <c r="B1741" s="149" t="str">
        <f>IFERROR(VLOOKUP(Proc[[#This Row],[App]],Table2[],3,0),"open")</f>
        <v>ok</v>
      </c>
      <c r="C1741" s="93" t="s">
        <v>369</v>
      </c>
      <c r="D1741" t="s">
        <v>3714</v>
      </c>
      <c r="E1741" s="93" t="s">
        <v>3401</v>
      </c>
      <c r="F1741" s="117" t="s">
        <v>3401</v>
      </c>
      <c r="G1741" s="93" t="s">
        <v>400</v>
      </c>
      <c r="H1741" s="94" t="str">
        <f>IF(Proc[[#This Row],[type]]="LFF (MDG-F)",MID(Proc[[#This Row],[Obj]],13,10),"")</f>
        <v/>
      </c>
      <c r="J1741" s="94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HC</v>
      </c>
      <c r="L1741" s="125" t="s">
        <v>2563</v>
      </c>
      <c r="M1741" s="90">
        <v>45807.678356481483</v>
      </c>
      <c r="N1741" s="91">
        <v>45810</v>
      </c>
      <c r="O1741" s="91">
        <v>45810</v>
      </c>
      <c r="P1741" s="90" t="str">
        <f ca="1">IF(Proc[[#This Row],[DaysAgeing]]&gt;5,"yep","on track")</f>
        <v>on track</v>
      </c>
      <c r="Q1741" s="3">
        <f ca="1">IF(Proc[[#This Row],[DateClosed]]="",ABS(NETWORKDAYS(Proc[[#This Row],[DateOpened]],TODAY()))-1,ABS(NETWORKDAYS(Proc[[#This Row],[DateOpened]],Proc[[#This Row],[DateClosed]]))-1)</f>
        <v>1</v>
      </c>
      <c r="R1741" s="90" t="s">
        <v>1013</v>
      </c>
      <c r="S1741" s="94"/>
    </row>
    <row r="1742" spans="1:19" hidden="1">
      <c r="A1742" s="93" t="s">
        <v>3640</v>
      </c>
      <c r="B1742" s="149" t="str">
        <f>IFERROR(VLOOKUP(Proc[[#This Row],[App]],Table2[],3,0),"open")</f>
        <v>ok</v>
      </c>
      <c r="C1742" s="93" t="s">
        <v>369</v>
      </c>
      <c r="D1742" t="s">
        <v>3715</v>
      </c>
      <c r="E1742" s="93" t="s">
        <v>3401</v>
      </c>
      <c r="F1742" s="117" t="s">
        <v>3401</v>
      </c>
      <c r="G1742" s="93" t="s">
        <v>400</v>
      </c>
      <c r="H1742" s="94" t="str">
        <f>IF(Proc[[#This Row],[type]]="LFF (MDG-F)",MID(Proc[[#This Row],[Obj]],13,10),"")</f>
        <v/>
      </c>
      <c r="J1742" s="94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HC</v>
      </c>
      <c r="L1742" s="125" t="s">
        <v>2563</v>
      </c>
      <c r="M1742" s="90">
        <v>45807.678356481483</v>
      </c>
      <c r="N1742" s="91">
        <v>45810</v>
      </c>
      <c r="O1742" s="91">
        <v>45810</v>
      </c>
      <c r="P1742" s="90" t="str">
        <f ca="1">IF(Proc[[#This Row],[DaysAgeing]]&gt;5,"yep","on track")</f>
        <v>on track</v>
      </c>
      <c r="Q1742" s="3">
        <f ca="1">IF(Proc[[#This Row],[DateClosed]]="",ABS(NETWORKDAYS(Proc[[#This Row],[DateOpened]],TODAY()))-1,ABS(NETWORKDAYS(Proc[[#This Row],[DateOpened]],Proc[[#This Row],[DateClosed]]))-1)</f>
        <v>1</v>
      </c>
      <c r="R1742" s="90" t="s">
        <v>1013</v>
      </c>
      <c r="S1742" s="94"/>
    </row>
    <row r="1743" spans="1:19" hidden="1">
      <c r="A1743" s="93" t="s">
        <v>3640</v>
      </c>
      <c r="B1743" s="149" t="str">
        <f>IFERROR(VLOOKUP(Proc[[#This Row],[App]],Table2[],3,0),"open")</f>
        <v>ok</v>
      </c>
      <c r="C1743" s="93" t="s">
        <v>369</v>
      </c>
      <c r="D1743" t="s">
        <v>3716</v>
      </c>
      <c r="E1743" s="93" t="s">
        <v>3401</v>
      </c>
      <c r="F1743" s="117" t="s">
        <v>3401</v>
      </c>
      <c r="G1743" s="93" t="s">
        <v>400</v>
      </c>
      <c r="H1743" s="94" t="str">
        <f>IF(Proc[[#This Row],[type]]="LFF (MDG-F)",MID(Proc[[#This Row],[Obj]],13,10),"")</f>
        <v/>
      </c>
      <c r="J1743" s="94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HC</v>
      </c>
      <c r="L1743" s="125" t="s">
        <v>2563</v>
      </c>
      <c r="M1743" s="90">
        <v>45807.678356481483</v>
      </c>
      <c r="N1743" s="91">
        <v>45810</v>
      </c>
      <c r="O1743" s="91">
        <v>45810</v>
      </c>
      <c r="P1743" s="90" t="str">
        <f ca="1">IF(Proc[[#This Row],[DaysAgeing]]&gt;5,"yep","on track")</f>
        <v>on track</v>
      </c>
      <c r="Q1743" s="3">
        <f ca="1">IF(Proc[[#This Row],[DateClosed]]="",ABS(NETWORKDAYS(Proc[[#This Row],[DateOpened]],TODAY()))-1,ABS(NETWORKDAYS(Proc[[#This Row],[DateOpened]],Proc[[#This Row],[DateClosed]]))-1)</f>
        <v>1</v>
      </c>
      <c r="R1743" s="90" t="s">
        <v>1013</v>
      </c>
      <c r="S1743" s="94"/>
    </row>
    <row r="1744" spans="1:19" hidden="1">
      <c r="A1744" s="93" t="s">
        <v>3640</v>
      </c>
      <c r="B1744" s="149" t="str">
        <f>IFERROR(VLOOKUP(Proc[[#This Row],[App]],Table2[],3,0),"open")</f>
        <v>ok</v>
      </c>
      <c r="C1744" s="93" t="s">
        <v>369</v>
      </c>
      <c r="D1744" t="s">
        <v>3717</v>
      </c>
      <c r="E1744" s="93" t="s">
        <v>3401</v>
      </c>
      <c r="F1744" s="117" t="s">
        <v>3401</v>
      </c>
      <c r="G1744" s="93" t="s">
        <v>400</v>
      </c>
      <c r="H1744" s="94" t="str">
        <f>IF(Proc[[#This Row],[type]]="LFF (MDG-F)",MID(Proc[[#This Row],[Obj]],13,10),"")</f>
        <v/>
      </c>
      <c r="J1744" s="94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HC</v>
      </c>
      <c r="L1744" s="125" t="s">
        <v>2563</v>
      </c>
      <c r="M1744" s="90">
        <v>45807.678356481483</v>
      </c>
      <c r="N1744" s="91">
        <v>45810</v>
      </c>
      <c r="O1744" s="91">
        <v>45810</v>
      </c>
      <c r="P1744" s="90" t="str">
        <f ca="1">IF(Proc[[#This Row],[DaysAgeing]]&gt;5,"yep","on track")</f>
        <v>on track</v>
      </c>
      <c r="Q1744" s="3">
        <f ca="1">IF(Proc[[#This Row],[DateClosed]]="",ABS(NETWORKDAYS(Proc[[#This Row],[DateOpened]],TODAY()))-1,ABS(NETWORKDAYS(Proc[[#This Row],[DateOpened]],Proc[[#This Row],[DateClosed]]))-1)</f>
        <v>1</v>
      </c>
      <c r="R1744" s="90" t="s">
        <v>1013</v>
      </c>
      <c r="S1744" s="94"/>
    </row>
    <row r="1745" spans="1:19" hidden="1">
      <c r="A1745" s="93" t="s">
        <v>3640</v>
      </c>
      <c r="B1745" s="149" t="str">
        <f>IFERROR(VLOOKUP(Proc[[#This Row],[App]],Table2[],3,0),"open")</f>
        <v>ok</v>
      </c>
      <c r="C1745" s="93" t="s">
        <v>369</v>
      </c>
      <c r="D1745" t="s">
        <v>3718</v>
      </c>
      <c r="E1745" s="93" t="s">
        <v>3401</v>
      </c>
      <c r="F1745" s="117" t="s">
        <v>3401</v>
      </c>
      <c r="G1745" s="93" t="s">
        <v>400</v>
      </c>
      <c r="H1745" s="94" t="str">
        <f>IF(Proc[[#This Row],[type]]="LFF (MDG-F)",MID(Proc[[#This Row],[Obj]],13,10),"")</f>
        <v/>
      </c>
      <c r="J1745" s="94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HC</v>
      </c>
      <c r="L1745" s="125" t="s">
        <v>2563</v>
      </c>
      <c r="M1745" s="90">
        <v>45807.678356481483</v>
      </c>
      <c r="N1745" s="91">
        <v>45810</v>
      </c>
      <c r="O1745" s="91">
        <v>45810</v>
      </c>
      <c r="P1745" s="90" t="str">
        <f ca="1">IF(Proc[[#This Row],[DaysAgeing]]&gt;5,"yep","on track")</f>
        <v>on track</v>
      </c>
      <c r="Q1745" s="3">
        <f ca="1">IF(Proc[[#This Row],[DateClosed]]="",ABS(NETWORKDAYS(Proc[[#This Row],[DateOpened]],TODAY()))-1,ABS(NETWORKDAYS(Proc[[#This Row],[DateOpened]],Proc[[#This Row],[DateClosed]]))-1)</f>
        <v>1</v>
      </c>
      <c r="R1745" s="90" t="s">
        <v>1013</v>
      </c>
      <c r="S1745" s="94"/>
    </row>
    <row r="1746" spans="1:19" hidden="1">
      <c r="A1746" s="93" t="s">
        <v>3640</v>
      </c>
      <c r="B1746" s="149" t="str">
        <f>IFERROR(VLOOKUP(Proc[[#This Row],[App]],Table2[],3,0),"open")</f>
        <v>ok</v>
      </c>
      <c r="C1746" s="93" t="s">
        <v>369</v>
      </c>
      <c r="D1746" t="s">
        <v>3719</v>
      </c>
      <c r="E1746" s="93" t="s">
        <v>3401</v>
      </c>
      <c r="F1746" s="117" t="s">
        <v>3401</v>
      </c>
      <c r="G1746" s="93" t="s">
        <v>400</v>
      </c>
      <c r="H1746" s="94" t="str">
        <f>IF(Proc[[#This Row],[type]]="LFF (MDG-F)",MID(Proc[[#This Row],[Obj]],13,10),"")</f>
        <v/>
      </c>
      <c r="J1746" s="94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HC</v>
      </c>
      <c r="L1746" s="125" t="s">
        <v>2563</v>
      </c>
      <c r="M1746" s="90">
        <v>45807.678356481483</v>
      </c>
      <c r="N1746" s="91">
        <v>45810</v>
      </c>
      <c r="O1746" s="91">
        <v>45810</v>
      </c>
      <c r="P1746" s="90" t="str">
        <f ca="1">IF(Proc[[#This Row],[DaysAgeing]]&gt;5,"yep","on track")</f>
        <v>on track</v>
      </c>
      <c r="Q1746" s="3">
        <f ca="1">IF(Proc[[#This Row],[DateClosed]]="",ABS(NETWORKDAYS(Proc[[#This Row],[DateOpened]],TODAY()))-1,ABS(NETWORKDAYS(Proc[[#This Row],[DateOpened]],Proc[[#This Row],[DateClosed]]))-1)</f>
        <v>1</v>
      </c>
      <c r="R1746" s="90" t="s">
        <v>1013</v>
      </c>
      <c r="S1746" s="94"/>
    </row>
    <row r="1747" spans="1:19" hidden="1">
      <c r="A1747" s="93" t="s">
        <v>3640</v>
      </c>
      <c r="B1747" s="149" t="str">
        <f>IFERROR(VLOOKUP(Proc[[#This Row],[App]],Table2[],3,0),"open")</f>
        <v>ok</v>
      </c>
      <c r="C1747" s="93" t="s">
        <v>369</v>
      </c>
      <c r="D1747" t="s">
        <v>3720</v>
      </c>
      <c r="E1747" s="93" t="s">
        <v>3401</v>
      </c>
      <c r="F1747" s="117" t="s">
        <v>3401</v>
      </c>
      <c r="G1747" s="93" t="s">
        <v>400</v>
      </c>
      <c r="H1747" s="94" t="str">
        <f>IF(Proc[[#This Row],[type]]="LFF (MDG-F)",MID(Proc[[#This Row],[Obj]],13,10),"")</f>
        <v/>
      </c>
      <c r="J1747" s="94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HC</v>
      </c>
      <c r="L1747" s="125" t="s">
        <v>2563</v>
      </c>
      <c r="M1747" s="90">
        <v>45807.678356481483</v>
      </c>
      <c r="N1747" s="91">
        <v>45810</v>
      </c>
      <c r="O1747" s="91">
        <v>45810</v>
      </c>
      <c r="P1747" s="90" t="str">
        <f ca="1">IF(Proc[[#This Row],[DaysAgeing]]&gt;5,"yep","on track")</f>
        <v>on track</v>
      </c>
      <c r="Q1747" s="3">
        <f ca="1">IF(Proc[[#This Row],[DateClosed]]="",ABS(NETWORKDAYS(Proc[[#This Row],[DateOpened]],TODAY()))-1,ABS(NETWORKDAYS(Proc[[#This Row],[DateOpened]],Proc[[#This Row],[DateClosed]]))-1)</f>
        <v>1</v>
      </c>
      <c r="R1747" s="90" t="s">
        <v>1013</v>
      </c>
      <c r="S1747" s="94"/>
    </row>
    <row r="1748" spans="1:19" hidden="1">
      <c r="A1748" s="93" t="s">
        <v>3640</v>
      </c>
      <c r="B1748" s="149" t="str">
        <f>IFERROR(VLOOKUP(Proc[[#This Row],[App]],Table2[],3,0),"open")</f>
        <v>ok</v>
      </c>
      <c r="C1748" s="93" t="s">
        <v>369</v>
      </c>
      <c r="D1748" t="s">
        <v>3721</v>
      </c>
      <c r="E1748" s="93" t="s">
        <v>3401</v>
      </c>
      <c r="F1748" s="117" t="s">
        <v>3401</v>
      </c>
      <c r="G1748" s="93" t="s">
        <v>400</v>
      </c>
      <c r="H1748" s="94" t="str">
        <f>IF(Proc[[#This Row],[type]]="LFF (MDG-F)",MID(Proc[[#This Row],[Obj]],13,10),"")</f>
        <v/>
      </c>
      <c r="J1748" s="94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HC</v>
      </c>
      <c r="L1748" s="125" t="s">
        <v>2563</v>
      </c>
      <c r="M1748" s="90">
        <v>45807.678356481483</v>
      </c>
      <c r="N1748" s="91">
        <v>45810</v>
      </c>
      <c r="O1748" s="91">
        <v>45810</v>
      </c>
      <c r="P1748" s="90" t="str">
        <f ca="1">IF(Proc[[#This Row],[DaysAgeing]]&gt;5,"yep","on track")</f>
        <v>on track</v>
      </c>
      <c r="Q1748" s="3">
        <f ca="1">IF(Proc[[#This Row],[DateClosed]]="",ABS(NETWORKDAYS(Proc[[#This Row],[DateOpened]],TODAY()))-1,ABS(NETWORKDAYS(Proc[[#This Row],[DateOpened]],Proc[[#This Row],[DateClosed]]))-1)</f>
        <v>1</v>
      </c>
      <c r="R1748" s="90" t="s">
        <v>1013</v>
      </c>
      <c r="S1748" s="94"/>
    </row>
    <row r="1749" spans="1:19" hidden="1">
      <c r="A1749" s="93" t="s">
        <v>3640</v>
      </c>
      <c r="B1749" s="149" t="str">
        <f>IFERROR(VLOOKUP(Proc[[#This Row],[App]],Table2[],3,0),"open")</f>
        <v>ok</v>
      </c>
      <c r="C1749" s="93" t="s">
        <v>369</v>
      </c>
      <c r="D1749" t="s">
        <v>3722</v>
      </c>
      <c r="E1749" s="93" t="s">
        <v>3401</v>
      </c>
      <c r="F1749" s="117" t="s">
        <v>3401</v>
      </c>
      <c r="G1749" s="93" t="s">
        <v>400</v>
      </c>
      <c r="H1749" s="94" t="str">
        <f>IF(Proc[[#This Row],[type]]="LFF (MDG-F)",MID(Proc[[#This Row],[Obj]],13,10),"")</f>
        <v/>
      </c>
      <c r="J1749" s="94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HC</v>
      </c>
      <c r="L1749" s="125" t="s">
        <v>2563</v>
      </c>
      <c r="M1749" s="90">
        <v>45807.678356481483</v>
      </c>
      <c r="N1749" s="91">
        <v>45810</v>
      </c>
      <c r="O1749" s="91">
        <v>45810</v>
      </c>
      <c r="P1749" s="90" t="str">
        <f ca="1">IF(Proc[[#This Row],[DaysAgeing]]&gt;5,"yep","on track")</f>
        <v>on track</v>
      </c>
      <c r="Q1749" s="3">
        <f ca="1">IF(Proc[[#This Row],[DateClosed]]="",ABS(NETWORKDAYS(Proc[[#This Row],[DateOpened]],TODAY()))-1,ABS(NETWORKDAYS(Proc[[#This Row],[DateOpened]],Proc[[#This Row],[DateClosed]]))-1)</f>
        <v>1</v>
      </c>
      <c r="R1749" s="90" t="s">
        <v>1013</v>
      </c>
      <c r="S1749" s="94"/>
    </row>
    <row r="1750" spans="1:19" hidden="1">
      <c r="A1750" s="93" t="s">
        <v>3640</v>
      </c>
      <c r="B1750" s="149" t="str">
        <f>IFERROR(VLOOKUP(Proc[[#This Row],[App]],Table2[],3,0),"open")</f>
        <v>ok</v>
      </c>
      <c r="C1750" s="93" t="s">
        <v>369</v>
      </c>
      <c r="D1750" t="s">
        <v>3723</v>
      </c>
      <c r="E1750" s="93" t="s">
        <v>3401</v>
      </c>
      <c r="F1750" s="117" t="s">
        <v>3401</v>
      </c>
      <c r="G1750" s="93" t="s">
        <v>400</v>
      </c>
      <c r="H1750" s="94" t="str">
        <f>IF(Proc[[#This Row],[type]]="LFF (MDG-F)",MID(Proc[[#This Row],[Obj]],13,10),"")</f>
        <v/>
      </c>
      <c r="J1750" s="94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HC</v>
      </c>
      <c r="L1750" s="125" t="s">
        <v>2563</v>
      </c>
      <c r="M1750" s="90">
        <v>45807.678356481483</v>
      </c>
      <c r="N1750" s="91">
        <v>45810</v>
      </c>
      <c r="O1750" s="91">
        <v>45810</v>
      </c>
      <c r="P1750" s="90" t="str">
        <f ca="1">IF(Proc[[#This Row],[DaysAgeing]]&gt;5,"yep","on track")</f>
        <v>on track</v>
      </c>
      <c r="Q1750" s="3">
        <f ca="1">IF(Proc[[#This Row],[DateClosed]]="",ABS(NETWORKDAYS(Proc[[#This Row],[DateOpened]],TODAY()))-1,ABS(NETWORKDAYS(Proc[[#This Row],[DateOpened]],Proc[[#This Row],[DateClosed]]))-1)</f>
        <v>1</v>
      </c>
      <c r="R1750" s="90" t="s">
        <v>1013</v>
      </c>
      <c r="S1750" s="94"/>
    </row>
    <row r="1751" spans="1:19" hidden="1">
      <c r="A1751" s="93" t="s">
        <v>3640</v>
      </c>
      <c r="B1751" s="149" t="str">
        <f>IFERROR(VLOOKUP(Proc[[#This Row],[App]],Table2[],3,0),"open")</f>
        <v>ok</v>
      </c>
      <c r="C1751" s="93" t="s">
        <v>369</v>
      </c>
      <c r="D1751" t="s">
        <v>3724</v>
      </c>
      <c r="E1751" s="93" t="s">
        <v>3401</v>
      </c>
      <c r="F1751" s="117" t="s">
        <v>3401</v>
      </c>
      <c r="G1751" s="93" t="s">
        <v>400</v>
      </c>
      <c r="H1751" s="94" t="str">
        <f>IF(Proc[[#This Row],[type]]="LFF (MDG-F)",MID(Proc[[#This Row],[Obj]],13,10),"")</f>
        <v/>
      </c>
      <c r="J1751" s="94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HC</v>
      </c>
      <c r="L1751" s="125" t="s">
        <v>2563</v>
      </c>
      <c r="M1751" s="90">
        <v>45807.678356481483</v>
      </c>
      <c r="N1751" s="91">
        <v>45810</v>
      </c>
      <c r="O1751" s="91">
        <v>45810</v>
      </c>
      <c r="P1751" s="90" t="str">
        <f ca="1">IF(Proc[[#This Row],[DaysAgeing]]&gt;5,"yep","on track")</f>
        <v>on track</v>
      </c>
      <c r="Q1751" s="3">
        <f ca="1">IF(Proc[[#This Row],[DateClosed]]="",ABS(NETWORKDAYS(Proc[[#This Row],[DateOpened]],TODAY()))-1,ABS(NETWORKDAYS(Proc[[#This Row],[DateOpened]],Proc[[#This Row],[DateClosed]]))-1)</f>
        <v>1</v>
      </c>
      <c r="R1751" s="90" t="s">
        <v>1013</v>
      </c>
      <c r="S1751" s="94"/>
    </row>
    <row r="1752" spans="1:19" hidden="1">
      <c r="A1752" s="93" t="s">
        <v>3640</v>
      </c>
      <c r="B1752" s="149" t="str">
        <f>IFERROR(VLOOKUP(Proc[[#This Row],[App]],Table2[],3,0),"open")</f>
        <v>ok</v>
      </c>
      <c r="C1752" s="93" t="s">
        <v>369</v>
      </c>
      <c r="D1752" t="s">
        <v>3725</v>
      </c>
      <c r="E1752" s="93" t="s">
        <v>3401</v>
      </c>
      <c r="F1752" s="117" t="s">
        <v>3401</v>
      </c>
      <c r="G1752" s="93" t="s">
        <v>400</v>
      </c>
      <c r="H1752" s="94" t="str">
        <f>IF(Proc[[#This Row],[type]]="LFF (MDG-F)",MID(Proc[[#This Row],[Obj]],13,10),"")</f>
        <v/>
      </c>
      <c r="J1752" s="94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HC</v>
      </c>
      <c r="L1752" s="125" t="s">
        <v>2563</v>
      </c>
      <c r="M1752" s="90">
        <v>45807.678356481483</v>
      </c>
      <c r="N1752" s="91">
        <v>45810</v>
      </c>
      <c r="O1752" s="91">
        <v>45810</v>
      </c>
      <c r="P1752" s="90" t="str">
        <f ca="1">IF(Proc[[#This Row],[DaysAgeing]]&gt;5,"yep","on track")</f>
        <v>on track</v>
      </c>
      <c r="Q1752" s="3">
        <f ca="1">IF(Proc[[#This Row],[DateClosed]]="",ABS(NETWORKDAYS(Proc[[#This Row],[DateOpened]],TODAY()))-1,ABS(NETWORKDAYS(Proc[[#This Row],[DateOpened]],Proc[[#This Row],[DateClosed]]))-1)</f>
        <v>1</v>
      </c>
      <c r="R1752" s="90" t="s">
        <v>1013</v>
      </c>
      <c r="S1752" s="94"/>
    </row>
    <row r="1753" spans="1:19" hidden="1">
      <c r="A1753" s="93" t="s">
        <v>3640</v>
      </c>
      <c r="B1753" s="149" t="str">
        <f>IFERROR(VLOOKUP(Proc[[#This Row],[App]],Table2[],3,0),"open")</f>
        <v>ok</v>
      </c>
      <c r="C1753" s="93" t="s">
        <v>369</v>
      </c>
      <c r="D1753" t="s">
        <v>3726</v>
      </c>
      <c r="E1753" s="93" t="s">
        <v>3401</v>
      </c>
      <c r="F1753" s="117" t="s">
        <v>3401</v>
      </c>
      <c r="G1753" s="93" t="s">
        <v>400</v>
      </c>
      <c r="H1753" s="94" t="str">
        <f>IF(Proc[[#This Row],[type]]="LFF (MDG-F)",MID(Proc[[#This Row],[Obj]],13,10),"")</f>
        <v/>
      </c>
      <c r="J1753" s="94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HC</v>
      </c>
      <c r="L1753" s="125" t="s">
        <v>2563</v>
      </c>
      <c r="M1753" s="90">
        <v>45807.678356481483</v>
      </c>
      <c r="N1753" s="91">
        <v>45810</v>
      </c>
      <c r="O1753" s="91">
        <v>45810</v>
      </c>
      <c r="P1753" s="90" t="str">
        <f ca="1">IF(Proc[[#This Row],[DaysAgeing]]&gt;5,"yep","on track")</f>
        <v>on track</v>
      </c>
      <c r="Q1753" s="3">
        <f ca="1">IF(Proc[[#This Row],[DateClosed]]="",ABS(NETWORKDAYS(Proc[[#This Row],[DateOpened]],TODAY()))-1,ABS(NETWORKDAYS(Proc[[#This Row],[DateOpened]],Proc[[#This Row],[DateClosed]]))-1)</f>
        <v>1</v>
      </c>
      <c r="R1753" s="90" t="s">
        <v>1013</v>
      </c>
      <c r="S1753" s="94"/>
    </row>
    <row r="1754" spans="1:19" hidden="1">
      <c r="A1754" s="93" t="s">
        <v>3640</v>
      </c>
      <c r="B1754" s="149" t="str">
        <f>IFERROR(VLOOKUP(Proc[[#This Row],[App]],Table2[],3,0),"open")</f>
        <v>ok</v>
      </c>
      <c r="C1754" s="93" t="s">
        <v>369</v>
      </c>
      <c r="D1754" t="s">
        <v>3727</v>
      </c>
      <c r="E1754" s="93" t="s">
        <v>3401</v>
      </c>
      <c r="F1754" s="117" t="s">
        <v>3401</v>
      </c>
      <c r="G1754" s="93" t="s">
        <v>400</v>
      </c>
      <c r="H1754" s="94" t="str">
        <f>IF(Proc[[#This Row],[type]]="LFF (MDG-F)",MID(Proc[[#This Row],[Obj]],13,10),"")</f>
        <v/>
      </c>
      <c r="J1754" s="94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HC</v>
      </c>
      <c r="L1754" s="125" t="s">
        <v>2563</v>
      </c>
      <c r="M1754" s="90">
        <v>45807.678356481483</v>
      </c>
      <c r="N1754" s="91">
        <v>45810</v>
      </c>
      <c r="O1754" s="91">
        <v>45810</v>
      </c>
      <c r="P1754" s="90" t="str">
        <f ca="1">IF(Proc[[#This Row],[DaysAgeing]]&gt;5,"yep","on track")</f>
        <v>on track</v>
      </c>
      <c r="Q1754" s="3">
        <f ca="1">IF(Proc[[#This Row],[DateClosed]]="",ABS(NETWORKDAYS(Proc[[#This Row],[DateOpened]],TODAY()))-1,ABS(NETWORKDAYS(Proc[[#This Row],[DateOpened]],Proc[[#This Row],[DateClosed]]))-1)</f>
        <v>1</v>
      </c>
      <c r="R1754" s="90" t="s">
        <v>1013</v>
      </c>
      <c r="S1754" s="94"/>
    </row>
    <row r="1755" spans="1:19" hidden="1">
      <c r="A1755" s="93" t="s">
        <v>3640</v>
      </c>
      <c r="B1755" s="149" t="str">
        <f>IFERROR(VLOOKUP(Proc[[#This Row],[App]],Table2[],3,0),"open")</f>
        <v>ok</v>
      </c>
      <c r="C1755" s="93" t="s">
        <v>369</v>
      </c>
      <c r="D1755" t="s">
        <v>3728</v>
      </c>
      <c r="E1755" s="93" t="s">
        <v>3401</v>
      </c>
      <c r="F1755" s="117" t="s">
        <v>3401</v>
      </c>
      <c r="G1755" s="93" t="s">
        <v>400</v>
      </c>
      <c r="H1755" s="94" t="str">
        <f>IF(Proc[[#This Row],[type]]="LFF (MDG-F)",MID(Proc[[#This Row],[Obj]],13,10),"")</f>
        <v/>
      </c>
      <c r="J1755" s="94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HC</v>
      </c>
      <c r="L1755" s="125" t="s">
        <v>2563</v>
      </c>
      <c r="M1755" s="90">
        <v>45807.678356481483</v>
      </c>
      <c r="N1755" s="91">
        <v>45810</v>
      </c>
      <c r="O1755" s="91">
        <v>45810</v>
      </c>
      <c r="P1755" s="90" t="str">
        <f ca="1">IF(Proc[[#This Row],[DaysAgeing]]&gt;5,"yep","on track")</f>
        <v>on track</v>
      </c>
      <c r="Q1755" s="3">
        <f ca="1">IF(Proc[[#This Row],[DateClosed]]="",ABS(NETWORKDAYS(Proc[[#This Row],[DateOpened]],TODAY()))-1,ABS(NETWORKDAYS(Proc[[#This Row],[DateOpened]],Proc[[#This Row],[DateClosed]]))-1)</f>
        <v>1</v>
      </c>
      <c r="R1755" s="90" t="s">
        <v>1013</v>
      </c>
      <c r="S1755" s="94"/>
    </row>
    <row r="1756" spans="1:19" hidden="1">
      <c r="A1756" s="93" t="s">
        <v>3640</v>
      </c>
      <c r="B1756" s="149" t="str">
        <f>IFERROR(VLOOKUP(Proc[[#This Row],[App]],Table2[],3,0),"open")</f>
        <v>ok</v>
      </c>
      <c r="C1756" s="93" t="s">
        <v>369</v>
      </c>
      <c r="D1756" t="s">
        <v>3729</v>
      </c>
      <c r="E1756" s="93" t="s">
        <v>3401</v>
      </c>
      <c r="F1756" s="117" t="s">
        <v>3401</v>
      </c>
      <c r="G1756" s="93" t="s">
        <v>400</v>
      </c>
      <c r="H1756" s="94" t="str">
        <f>IF(Proc[[#This Row],[type]]="LFF (MDG-F)",MID(Proc[[#This Row],[Obj]],13,10),"")</f>
        <v/>
      </c>
      <c r="J1756" s="94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HC</v>
      </c>
      <c r="L1756" s="125" t="s">
        <v>2563</v>
      </c>
      <c r="M1756" s="90">
        <v>45807.678356481483</v>
      </c>
      <c r="N1756" s="91">
        <v>45810</v>
      </c>
      <c r="O1756" s="91">
        <v>45810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1</v>
      </c>
      <c r="R1756" s="90" t="s">
        <v>1013</v>
      </c>
      <c r="S1756" s="94"/>
    </row>
    <row r="1757" spans="1:19" hidden="1">
      <c r="A1757" s="93" t="s">
        <v>3640</v>
      </c>
      <c r="B1757" s="149" t="str">
        <f>IFERROR(VLOOKUP(Proc[[#This Row],[App]],Table2[],3,0),"open")</f>
        <v>ok</v>
      </c>
      <c r="C1757" s="93" t="s">
        <v>369</v>
      </c>
      <c r="D1757" t="s">
        <v>3730</v>
      </c>
      <c r="E1757" s="93" t="s">
        <v>3401</v>
      </c>
      <c r="F1757" s="117" t="s">
        <v>3401</v>
      </c>
      <c r="G1757" s="93" t="s">
        <v>400</v>
      </c>
      <c r="H1757" s="94" t="str">
        <f>IF(Proc[[#This Row],[type]]="LFF (MDG-F)",MID(Proc[[#This Row],[Obj]],13,10),"")</f>
        <v/>
      </c>
      <c r="J1757" s="94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HC</v>
      </c>
      <c r="L1757" s="125" t="s">
        <v>2563</v>
      </c>
      <c r="M1757" s="90">
        <v>45807.678356481483</v>
      </c>
      <c r="N1757" s="91">
        <v>45810</v>
      </c>
      <c r="O1757" s="91">
        <v>45810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1</v>
      </c>
      <c r="R1757" s="90" t="s">
        <v>1013</v>
      </c>
      <c r="S1757" s="94"/>
    </row>
    <row r="1758" spans="1:19" hidden="1">
      <c r="A1758" s="93" t="s">
        <v>3640</v>
      </c>
      <c r="B1758" s="149" t="str">
        <f>IFERROR(VLOOKUP(Proc[[#This Row],[App]],Table2[],3,0),"open")</f>
        <v>ok</v>
      </c>
      <c r="C1758" s="93" t="s">
        <v>369</v>
      </c>
      <c r="D1758" t="s">
        <v>3731</v>
      </c>
      <c r="E1758" s="93" t="s">
        <v>3401</v>
      </c>
      <c r="F1758" s="117" t="s">
        <v>3401</v>
      </c>
      <c r="G1758" s="93" t="s">
        <v>400</v>
      </c>
      <c r="H1758" s="94" t="str">
        <f>IF(Proc[[#This Row],[type]]="LFF (MDG-F)",MID(Proc[[#This Row],[Obj]],13,10),"")</f>
        <v/>
      </c>
      <c r="J1758" s="94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HC</v>
      </c>
      <c r="L1758" s="125" t="s">
        <v>2563</v>
      </c>
      <c r="M1758" s="90">
        <v>45807.678356481483</v>
      </c>
      <c r="N1758" s="91">
        <v>45810</v>
      </c>
      <c r="O1758" s="91">
        <v>45810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1</v>
      </c>
      <c r="R1758" s="90" t="s">
        <v>1013</v>
      </c>
      <c r="S1758" s="94"/>
    </row>
    <row r="1759" spans="1:19" hidden="1">
      <c r="A1759" s="93" t="s">
        <v>3640</v>
      </c>
      <c r="B1759" s="149" t="str">
        <f>IFERROR(VLOOKUP(Proc[[#This Row],[App]],Table2[],3,0),"open")</f>
        <v>ok</v>
      </c>
      <c r="C1759" s="93" t="s">
        <v>369</v>
      </c>
      <c r="D1759" t="s">
        <v>3732</v>
      </c>
      <c r="E1759" s="93" t="s">
        <v>3401</v>
      </c>
      <c r="F1759" s="117" t="s">
        <v>3401</v>
      </c>
      <c r="G1759" s="93" t="s">
        <v>400</v>
      </c>
      <c r="H1759" s="94" t="str">
        <f>IF(Proc[[#This Row],[type]]="LFF (MDG-F)",MID(Proc[[#This Row],[Obj]],13,10),"")</f>
        <v/>
      </c>
      <c r="J1759" s="94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HC</v>
      </c>
      <c r="L1759" s="125" t="s">
        <v>2563</v>
      </c>
      <c r="M1759" s="90">
        <v>45807.678356481483</v>
      </c>
      <c r="N1759" s="91">
        <v>45810</v>
      </c>
      <c r="O1759" s="91">
        <v>45810</v>
      </c>
      <c r="P1759" s="90" t="str">
        <f ca="1">IF(Proc[[#This Row],[DaysAgeing]]&gt;5,"yep","on track")</f>
        <v>on track</v>
      </c>
      <c r="Q1759" s="3">
        <f ca="1">IF(Proc[[#This Row],[DateClosed]]="",ABS(NETWORKDAYS(Proc[[#This Row],[DateOpened]],TODAY()))-1,ABS(NETWORKDAYS(Proc[[#This Row],[DateOpened]],Proc[[#This Row],[DateClosed]]))-1)</f>
        <v>1</v>
      </c>
      <c r="R1759" s="90" t="s">
        <v>1013</v>
      </c>
      <c r="S1759" s="94"/>
    </row>
    <row r="1760" spans="1:19" hidden="1">
      <c r="A1760" s="93" t="s">
        <v>3640</v>
      </c>
      <c r="B1760" s="149" t="str">
        <f>IFERROR(VLOOKUP(Proc[[#This Row],[App]],Table2[],3,0),"open")</f>
        <v>ok</v>
      </c>
      <c r="C1760" s="93" t="s">
        <v>369</v>
      </c>
      <c r="D1760" t="s">
        <v>3733</v>
      </c>
      <c r="E1760" s="93" t="s">
        <v>3401</v>
      </c>
      <c r="F1760" s="117" t="s">
        <v>3401</v>
      </c>
      <c r="G1760" s="93" t="s">
        <v>400</v>
      </c>
      <c r="H1760" s="94" t="str">
        <f>IF(Proc[[#This Row],[type]]="LFF (MDG-F)",MID(Proc[[#This Row],[Obj]],13,10),"")</f>
        <v/>
      </c>
      <c r="J1760" s="94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HC</v>
      </c>
      <c r="L1760" s="125" t="s">
        <v>2563</v>
      </c>
      <c r="M1760" s="90">
        <v>45807.678356481483</v>
      </c>
      <c r="N1760" s="91">
        <v>45810</v>
      </c>
      <c r="O1760" s="91">
        <v>45810</v>
      </c>
      <c r="P1760" s="90" t="str">
        <f ca="1">IF(Proc[[#This Row],[DaysAgeing]]&gt;5,"yep","on track")</f>
        <v>on track</v>
      </c>
      <c r="Q1760" s="3">
        <f ca="1">IF(Proc[[#This Row],[DateClosed]]="",ABS(NETWORKDAYS(Proc[[#This Row],[DateOpened]],TODAY()))-1,ABS(NETWORKDAYS(Proc[[#This Row],[DateOpened]],Proc[[#This Row],[DateClosed]]))-1)</f>
        <v>1</v>
      </c>
      <c r="R1760" s="90" t="s">
        <v>1013</v>
      </c>
      <c r="S1760" s="94"/>
    </row>
    <row r="1761" spans="1:19" hidden="1">
      <c r="A1761" s="93" t="s">
        <v>3640</v>
      </c>
      <c r="B1761" s="149" t="str">
        <f>IFERROR(VLOOKUP(Proc[[#This Row],[App]],Table2[],3,0),"open")</f>
        <v>ok</v>
      </c>
      <c r="C1761" s="93" t="s">
        <v>369</v>
      </c>
      <c r="D1761" t="s">
        <v>3734</v>
      </c>
      <c r="E1761" s="93" t="s">
        <v>3401</v>
      </c>
      <c r="F1761" s="117" t="s">
        <v>3401</v>
      </c>
      <c r="G1761" s="93" t="s">
        <v>400</v>
      </c>
      <c r="H1761" s="94" t="str">
        <f>IF(Proc[[#This Row],[type]]="LFF (MDG-F)",MID(Proc[[#This Row],[Obj]],13,10),"")</f>
        <v/>
      </c>
      <c r="J1761" s="94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HC</v>
      </c>
      <c r="L1761" s="125" t="s">
        <v>2563</v>
      </c>
      <c r="M1761" s="90">
        <v>45807.678356481483</v>
      </c>
      <c r="N1761" s="91">
        <v>45810</v>
      </c>
      <c r="O1761" s="91">
        <v>45810</v>
      </c>
      <c r="P1761" s="90" t="str">
        <f ca="1">IF(Proc[[#This Row],[DaysAgeing]]&gt;5,"yep","on track")</f>
        <v>on track</v>
      </c>
      <c r="Q1761" s="3">
        <f ca="1">IF(Proc[[#This Row],[DateClosed]]="",ABS(NETWORKDAYS(Proc[[#This Row],[DateOpened]],TODAY()))-1,ABS(NETWORKDAYS(Proc[[#This Row],[DateOpened]],Proc[[#This Row],[DateClosed]]))-1)</f>
        <v>1</v>
      </c>
      <c r="R1761" s="90" t="s">
        <v>1013</v>
      </c>
      <c r="S1761" s="94"/>
    </row>
    <row r="1762" spans="1:19" hidden="1">
      <c r="A1762" s="93" t="s">
        <v>3640</v>
      </c>
      <c r="B1762" s="149" t="str">
        <f>IFERROR(VLOOKUP(Proc[[#This Row],[App]],Table2[],3,0),"open")</f>
        <v>ok</v>
      </c>
      <c r="C1762" s="93" t="s">
        <v>369</v>
      </c>
      <c r="D1762" t="s">
        <v>3735</v>
      </c>
      <c r="E1762" s="93" t="s">
        <v>3401</v>
      </c>
      <c r="F1762" s="117" t="s">
        <v>3401</v>
      </c>
      <c r="G1762" s="93" t="s">
        <v>400</v>
      </c>
      <c r="H1762" s="94" t="str">
        <f>IF(Proc[[#This Row],[type]]="LFF (MDG-F)",MID(Proc[[#This Row],[Obj]],13,10),"")</f>
        <v/>
      </c>
      <c r="J1762" s="94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HC</v>
      </c>
      <c r="L1762" s="125" t="s">
        <v>2563</v>
      </c>
      <c r="M1762" s="90">
        <v>45807.678356481483</v>
      </c>
      <c r="N1762" s="91">
        <v>45810</v>
      </c>
      <c r="O1762" s="91">
        <v>45810</v>
      </c>
      <c r="P1762" s="90" t="str">
        <f ca="1">IF(Proc[[#This Row],[DaysAgeing]]&gt;5,"yep","on track")</f>
        <v>on track</v>
      </c>
      <c r="Q1762" s="3">
        <f ca="1">IF(Proc[[#This Row],[DateClosed]]="",ABS(NETWORKDAYS(Proc[[#This Row],[DateOpened]],TODAY()))-1,ABS(NETWORKDAYS(Proc[[#This Row],[DateOpened]],Proc[[#This Row],[DateClosed]]))-1)</f>
        <v>1</v>
      </c>
      <c r="R1762" s="90" t="s">
        <v>1013</v>
      </c>
      <c r="S1762" s="94"/>
    </row>
    <row r="1763" spans="1:19" hidden="1">
      <c r="A1763" s="93" t="s">
        <v>3640</v>
      </c>
      <c r="B1763" s="149" t="str">
        <f>IFERROR(VLOOKUP(Proc[[#This Row],[App]],Table2[],3,0),"open")</f>
        <v>ok</v>
      </c>
      <c r="C1763" s="93" t="s">
        <v>369</v>
      </c>
      <c r="D1763" t="s">
        <v>3736</v>
      </c>
      <c r="E1763" s="93" t="s">
        <v>3401</v>
      </c>
      <c r="F1763" s="117" t="s">
        <v>3401</v>
      </c>
      <c r="G1763" s="93" t="s">
        <v>400</v>
      </c>
      <c r="H1763" s="94" t="str">
        <f>IF(Proc[[#This Row],[type]]="LFF (MDG-F)",MID(Proc[[#This Row],[Obj]],13,10),"")</f>
        <v/>
      </c>
      <c r="J1763" s="94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125" t="s">
        <v>2563</v>
      </c>
      <c r="M1763" s="90">
        <v>45807.678356481483</v>
      </c>
      <c r="N1763" s="91">
        <v>45810</v>
      </c>
      <c r="O1763" s="91">
        <v>45810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1</v>
      </c>
      <c r="R1763" s="90" t="s">
        <v>1013</v>
      </c>
      <c r="S1763" s="94"/>
    </row>
    <row r="1764" spans="1:19" hidden="1">
      <c r="A1764" s="93" t="s">
        <v>3640</v>
      </c>
      <c r="B1764" s="149" t="str">
        <f>IFERROR(VLOOKUP(Proc[[#This Row],[App]],Table2[],3,0),"open")</f>
        <v>ok</v>
      </c>
      <c r="C1764" s="93" t="s">
        <v>369</v>
      </c>
      <c r="D1764" t="s">
        <v>3737</v>
      </c>
      <c r="E1764" s="93" t="s">
        <v>3401</v>
      </c>
      <c r="F1764" s="117" t="s">
        <v>3401</v>
      </c>
      <c r="G1764" s="93" t="s">
        <v>400</v>
      </c>
      <c r="H1764" s="94" t="str">
        <f>IF(Proc[[#This Row],[type]]="LFF (MDG-F)",MID(Proc[[#This Row],[Obj]],13,10),"")</f>
        <v/>
      </c>
      <c r="J1764" s="94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125" t="s">
        <v>2563</v>
      </c>
      <c r="M1764" s="90">
        <v>45807.678356481483</v>
      </c>
      <c r="N1764" s="91">
        <v>45810</v>
      </c>
      <c r="O1764" s="91">
        <v>45810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1</v>
      </c>
      <c r="R1764" s="90" t="s">
        <v>1013</v>
      </c>
      <c r="S1764" s="94"/>
    </row>
    <row r="1765" spans="1:19" hidden="1">
      <c r="A1765" s="93" t="s">
        <v>3640</v>
      </c>
      <c r="B1765" s="149" t="str">
        <f>IFERROR(VLOOKUP(Proc[[#This Row],[App]],Table2[],3,0),"open")</f>
        <v>ok</v>
      </c>
      <c r="C1765" s="93" t="s">
        <v>369</v>
      </c>
      <c r="D1765" t="s">
        <v>3738</v>
      </c>
      <c r="E1765" s="93" t="s">
        <v>3401</v>
      </c>
      <c r="F1765" s="117" t="s">
        <v>3401</v>
      </c>
      <c r="G1765" s="93" t="s">
        <v>400</v>
      </c>
      <c r="H1765" s="94" t="str">
        <f>IF(Proc[[#This Row],[type]]="LFF (MDG-F)",MID(Proc[[#This Row],[Obj]],13,10),"")</f>
        <v/>
      </c>
      <c r="J1765" s="94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125" t="s">
        <v>2563</v>
      </c>
      <c r="M1765" s="90">
        <v>45807.678356481483</v>
      </c>
      <c r="N1765" s="91">
        <v>45810</v>
      </c>
      <c r="O1765" s="91">
        <v>45810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1</v>
      </c>
      <c r="R1765" s="90" t="s">
        <v>1013</v>
      </c>
      <c r="S1765" s="94"/>
    </row>
    <row r="1766" spans="1:19" hidden="1">
      <c r="A1766" t="s">
        <v>3747</v>
      </c>
      <c r="B1766" s="149" t="str">
        <f>IFERROR(VLOOKUP(Proc[[#This Row],[App]],Table2[],3,0),"open")</f>
        <v>ok</v>
      </c>
      <c r="C1766" s="93" t="s">
        <v>377</v>
      </c>
      <c r="D1766" t="s">
        <v>4071</v>
      </c>
      <c r="E1766" t="s">
        <v>4066</v>
      </c>
      <c r="F1766" s="103" t="s">
        <v>4066</v>
      </c>
      <c r="G1766" s="93" t="s">
        <v>400</v>
      </c>
      <c r="H1766" s="94" t="str">
        <f>IF(Proc[[#This Row],[type]]="LFF (MDG-F)",MID(Proc[[#This Row],[Obj]],13,10),"")</f>
        <v/>
      </c>
      <c r="I1766" t="s">
        <v>4073</v>
      </c>
      <c r="J1766" s="94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125" t="s">
        <v>2563</v>
      </c>
      <c r="M1766" s="90">
        <v>45807.678356481483</v>
      </c>
      <c r="N1766" s="91"/>
      <c r="O1766" s="91">
        <v>45810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1</v>
      </c>
      <c r="R1766" s="90" t="s">
        <v>1013</v>
      </c>
      <c r="S1766" s="94" t="e">
        <f>VLOOKUP(Proc[[#This Row],[Obj]],#REF!,2,0)</f>
        <v>#REF!</v>
      </c>
    </row>
    <row r="1767" spans="1:19" hidden="1">
      <c r="A1767" s="93" t="s">
        <v>3747</v>
      </c>
      <c r="B1767" s="149" t="str">
        <f>IFERROR(VLOOKUP(Proc[[#This Row],[App]],Table2[],3,0),"open")</f>
        <v>ok</v>
      </c>
      <c r="C1767" s="93" t="s">
        <v>369</v>
      </c>
      <c r="D1767" t="s">
        <v>3748</v>
      </c>
      <c r="E1767" t="s">
        <v>4067</v>
      </c>
      <c r="F1767" s="117" t="s">
        <v>4067</v>
      </c>
      <c r="G1767" s="93" t="s">
        <v>400</v>
      </c>
      <c r="H1767" s="94" t="str">
        <f>IF(Proc[[#This Row],[type]]="LFF (MDG-F)",MID(Proc[[#This Row],[Obj]],13,10),"")</f>
        <v/>
      </c>
      <c r="J1767" s="94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125" t="s">
        <v>2563</v>
      </c>
      <c r="M1767" s="90">
        <v>45807.678356481483</v>
      </c>
      <c r="N1767" s="91">
        <v>45810</v>
      </c>
      <c r="O1767" s="91">
        <v>45810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1</v>
      </c>
      <c r="R1767" s="90" t="s">
        <v>1013</v>
      </c>
      <c r="S1767" s="94"/>
    </row>
    <row r="1768" spans="1:19" hidden="1">
      <c r="A1768" s="93" t="s">
        <v>3747</v>
      </c>
      <c r="B1768" s="149" t="str">
        <f>IFERROR(VLOOKUP(Proc[[#This Row],[App]],Table2[],3,0),"open")</f>
        <v>ok</v>
      </c>
      <c r="C1768" s="93" t="s">
        <v>369</v>
      </c>
      <c r="D1768" t="s">
        <v>3749</v>
      </c>
      <c r="E1768" t="s">
        <v>4068</v>
      </c>
      <c r="F1768" s="117" t="s">
        <v>4068</v>
      </c>
      <c r="G1768" s="93" t="s">
        <v>400</v>
      </c>
      <c r="H1768" s="94" t="str">
        <f>IF(Proc[[#This Row],[type]]="LFF (MDG-F)",MID(Proc[[#This Row],[Obj]],13,10),"")</f>
        <v/>
      </c>
      <c r="J1768" s="94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125" t="s">
        <v>2563</v>
      </c>
      <c r="M1768" s="90">
        <v>45807.678356481483</v>
      </c>
      <c r="N1768" s="91">
        <v>45810</v>
      </c>
      <c r="O1768" s="91">
        <v>45810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1</v>
      </c>
      <c r="R1768" s="90" t="s">
        <v>1013</v>
      </c>
      <c r="S1768" s="94"/>
    </row>
    <row r="1769" spans="1:19" hidden="1">
      <c r="A1769" s="93" t="s">
        <v>3747</v>
      </c>
      <c r="B1769" s="149" t="str">
        <f>IFERROR(VLOOKUP(Proc[[#This Row],[App]],Table2[],3,0),"open")</f>
        <v>ok</v>
      </c>
      <c r="C1769" s="93" t="s">
        <v>369</v>
      </c>
      <c r="D1769" t="s">
        <v>3750</v>
      </c>
      <c r="E1769" t="s">
        <v>4068</v>
      </c>
      <c r="F1769" s="117" t="s">
        <v>4068</v>
      </c>
      <c r="G1769" s="93" t="s">
        <v>400</v>
      </c>
      <c r="H1769" s="94" t="str">
        <f>IF(Proc[[#This Row],[type]]="LFF (MDG-F)",MID(Proc[[#This Row],[Obj]],13,10),"")</f>
        <v/>
      </c>
      <c r="J1769" s="94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125" t="s">
        <v>2563</v>
      </c>
      <c r="M1769" s="90">
        <v>45807.678356481483</v>
      </c>
      <c r="N1769" s="91">
        <v>45810</v>
      </c>
      <c r="O1769" s="91">
        <v>45810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1</v>
      </c>
      <c r="R1769" s="90" t="s">
        <v>1013</v>
      </c>
      <c r="S1769" s="94"/>
    </row>
    <row r="1770" spans="1:19" hidden="1">
      <c r="A1770" s="93" t="s">
        <v>3747</v>
      </c>
      <c r="B1770" s="149" t="str">
        <f>IFERROR(VLOOKUP(Proc[[#This Row],[App]],Table2[],3,0),"open")</f>
        <v>ok</v>
      </c>
      <c r="C1770" s="93" t="s">
        <v>369</v>
      </c>
      <c r="D1770" t="s">
        <v>3751</v>
      </c>
      <c r="E1770" t="s">
        <v>4068</v>
      </c>
      <c r="F1770" s="117" t="s">
        <v>4068</v>
      </c>
      <c r="G1770" s="93" t="s">
        <v>400</v>
      </c>
      <c r="H1770" s="94" t="str">
        <f>IF(Proc[[#This Row],[type]]="LFF (MDG-F)",MID(Proc[[#This Row],[Obj]],13,10),"")</f>
        <v/>
      </c>
      <c r="J1770" s="94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125" t="s">
        <v>2563</v>
      </c>
      <c r="M1770" s="90">
        <v>45807.678356481483</v>
      </c>
      <c r="N1770" s="91">
        <v>45810</v>
      </c>
      <c r="O1770" s="91">
        <v>45810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1</v>
      </c>
      <c r="R1770" s="90" t="s">
        <v>1013</v>
      </c>
      <c r="S1770" s="94"/>
    </row>
    <row r="1771" spans="1:19" hidden="1">
      <c r="A1771" s="93" t="s">
        <v>3747</v>
      </c>
      <c r="B1771" s="149" t="str">
        <f>IFERROR(VLOOKUP(Proc[[#This Row],[App]],Table2[],3,0),"open")</f>
        <v>ok</v>
      </c>
      <c r="C1771" s="93" t="s">
        <v>369</v>
      </c>
      <c r="D1771" t="s">
        <v>3752</v>
      </c>
      <c r="E1771" t="s">
        <v>4068</v>
      </c>
      <c r="F1771" s="117" t="s">
        <v>4068</v>
      </c>
      <c r="G1771" s="93" t="s">
        <v>400</v>
      </c>
      <c r="H1771" s="94" t="str">
        <f>IF(Proc[[#This Row],[type]]="LFF (MDG-F)",MID(Proc[[#This Row],[Obj]],13,10),"")</f>
        <v/>
      </c>
      <c r="J1771" s="94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HC</v>
      </c>
      <c r="L1771" s="125" t="s">
        <v>2563</v>
      </c>
      <c r="M1771" s="90">
        <v>45807.678356481483</v>
      </c>
      <c r="N1771" s="91">
        <v>45810</v>
      </c>
      <c r="O1771" s="91">
        <v>45810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1</v>
      </c>
      <c r="R1771" s="90" t="s">
        <v>1013</v>
      </c>
      <c r="S1771" s="94"/>
    </row>
    <row r="1772" spans="1:19" hidden="1">
      <c r="A1772" s="93" t="s">
        <v>3747</v>
      </c>
      <c r="B1772" s="149" t="str">
        <f>IFERROR(VLOOKUP(Proc[[#This Row],[App]],Table2[],3,0),"open")</f>
        <v>ok</v>
      </c>
      <c r="C1772" s="93" t="s">
        <v>369</v>
      </c>
      <c r="D1772" t="s">
        <v>3753</v>
      </c>
      <c r="E1772" t="s">
        <v>4068</v>
      </c>
      <c r="F1772" s="117" t="s">
        <v>4068</v>
      </c>
      <c r="G1772" s="93" t="s">
        <v>400</v>
      </c>
      <c r="H1772" s="94" t="str">
        <f>IF(Proc[[#This Row],[type]]="LFF (MDG-F)",MID(Proc[[#This Row],[Obj]],13,10),"")</f>
        <v/>
      </c>
      <c r="J1772" s="94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HC</v>
      </c>
      <c r="L1772" s="125" t="s">
        <v>2563</v>
      </c>
      <c r="M1772" s="90">
        <v>45807.678356481483</v>
      </c>
      <c r="N1772" s="91">
        <v>45810</v>
      </c>
      <c r="O1772" s="91">
        <v>45810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1</v>
      </c>
      <c r="R1772" s="90" t="s">
        <v>1013</v>
      </c>
      <c r="S1772" s="94"/>
    </row>
    <row r="1773" spans="1:19" hidden="1">
      <c r="A1773" s="93" t="s">
        <v>3747</v>
      </c>
      <c r="B1773" s="149" t="str">
        <f>IFERROR(VLOOKUP(Proc[[#This Row],[App]],Table2[],3,0),"open")</f>
        <v>ok</v>
      </c>
      <c r="C1773" s="93" t="s">
        <v>369</v>
      </c>
      <c r="D1773" t="s">
        <v>3754</v>
      </c>
      <c r="E1773" t="s">
        <v>4068</v>
      </c>
      <c r="F1773" s="117" t="s">
        <v>4068</v>
      </c>
      <c r="G1773" s="93" t="s">
        <v>400</v>
      </c>
      <c r="H1773" s="94" t="str">
        <f>IF(Proc[[#This Row],[type]]="LFF (MDG-F)",MID(Proc[[#This Row],[Obj]],13,10),"")</f>
        <v/>
      </c>
      <c r="J1773" s="94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HC</v>
      </c>
      <c r="L1773" s="125" t="s">
        <v>2563</v>
      </c>
      <c r="M1773" s="90">
        <v>45807.678356481483</v>
      </c>
      <c r="N1773" s="91">
        <v>45810</v>
      </c>
      <c r="O1773" s="91">
        <v>45810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1</v>
      </c>
      <c r="R1773" s="90" t="s">
        <v>1013</v>
      </c>
      <c r="S1773" s="94"/>
    </row>
    <row r="1774" spans="1:19" hidden="1">
      <c r="A1774" s="93" t="s">
        <v>3747</v>
      </c>
      <c r="B1774" s="149" t="str">
        <f>IFERROR(VLOOKUP(Proc[[#This Row],[App]],Table2[],3,0),"open")</f>
        <v>ok</v>
      </c>
      <c r="C1774" s="93" t="s">
        <v>369</v>
      </c>
      <c r="D1774" t="s">
        <v>3755</v>
      </c>
      <c r="E1774" t="s">
        <v>4068</v>
      </c>
      <c r="F1774" s="117" t="s">
        <v>4068</v>
      </c>
      <c r="G1774" s="93" t="s">
        <v>400</v>
      </c>
      <c r="H1774" s="94" t="str">
        <f>IF(Proc[[#This Row],[type]]="LFF (MDG-F)",MID(Proc[[#This Row],[Obj]],13,10),"")</f>
        <v/>
      </c>
      <c r="J1774" s="94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HC</v>
      </c>
      <c r="L1774" s="125" t="s">
        <v>2563</v>
      </c>
      <c r="M1774" s="90">
        <v>45807.678356481483</v>
      </c>
      <c r="N1774" s="91">
        <v>45810</v>
      </c>
      <c r="O1774" s="91">
        <v>45810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1</v>
      </c>
      <c r="R1774" s="90" t="s">
        <v>1013</v>
      </c>
      <c r="S1774" s="94"/>
    </row>
    <row r="1775" spans="1:19" hidden="1">
      <c r="A1775" s="93" t="s">
        <v>3747</v>
      </c>
      <c r="B1775" s="149" t="str">
        <f>IFERROR(VLOOKUP(Proc[[#This Row],[App]],Table2[],3,0),"open")</f>
        <v>ok</v>
      </c>
      <c r="C1775" s="93" t="s">
        <v>369</v>
      </c>
      <c r="D1775" t="s">
        <v>3756</v>
      </c>
      <c r="E1775" t="s">
        <v>4068</v>
      </c>
      <c r="F1775" s="117" t="s">
        <v>4068</v>
      </c>
      <c r="G1775" s="93" t="s">
        <v>400</v>
      </c>
      <c r="H1775" s="94" t="str">
        <f>IF(Proc[[#This Row],[type]]="LFF (MDG-F)",MID(Proc[[#This Row],[Obj]],13,10),"")</f>
        <v/>
      </c>
      <c r="J1775" s="94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HC</v>
      </c>
      <c r="L1775" s="125" t="s">
        <v>2563</v>
      </c>
      <c r="M1775" s="90">
        <v>45807.678356481483</v>
      </c>
      <c r="N1775" s="91">
        <v>45810</v>
      </c>
      <c r="O1775" s="91">
        <v>45810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1</v>
      </c>
      <c r="R1775" s="90" t="s">
        <v>1013</v>
      </c>
      <c r="S1775" s="94"/>
    </row>
    <row r="1776" spans="1:19" hidden="1">
      <c r="A1776" s="93" t="s">
        <v>3747</v>
      </c>
      <c r="B1776" s="149" t="str">
        <f>IFERROR(VLOOKUP(Proc[[#This Row],[App]],Table2[],3,0),"open")</f>
        <v>ok</v>
      </c>
      <c r="C1776" s="93" t="s">
        <v>369</v>
      </c>
      <c r="D1776" t="s">
        <v>3757</v>
      </c>
      <c r="E1776" t="s">
        <v>4068</v>
      </c>
      <c r="F1776" s="117" t="s">
        <v>4068</v>
      </c>
      <c r="G1776" s="93" t="s">
        <v>400</v>
      </c>
      <c r="H1776" s="94" t="str">
        <f>IF(Proc[[#This Row],[type]]="LFF (MDG-F)",MID(Proc[[#This Row],[Obj]],13,10),"")</f>
        <v/>
      </c>
      <c r="J1776" s="94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HC</v>
      </c>
      <c r="L1776" s="125" t="s">
        <v>2563</v>
      </c>
      <c r="M1776" s="90">
        <v>45807.678356481483</v>
      </c>
      <c r="N1776" s="91">
        <v>45810</v>
      </c>
      <c r="O1776" s="91">
        <v>45810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1</v>
      </c>
      <c r="R1776" s="90" t="s">
        <v>1013</v>
      </c>
      <c r="S1776" s="94"/>
    </row>
    <row r="1777" spans="1:19" hidden="1">
      <c r="A1777" s="93" t="s">
        <v>3747</v>
      </c>
      <c r="B1777" s="149" t="str">
        <f>IFERROR(VLOOKUP(Proc[[#This Row],[App]],Table2[],3,0),"open")</f>
        <v>ok</v>
      </c>
      <c r="C1777" s="93" t="s">
        <v>369</v>
      </c>
      <c r="D1777" t="s">
        <v>3758</v>
      </c>
      <c r="E1777" t="s">
        <v>4068</v>
      </c>
      <c r="F1777" s="117" t="s">
        <v>4068</v>
      </c>
      <c r="G1777" s="93" t="s">
        <v>400</v>
      </c>
      <c r="H1777" s="94" t="str">
        <f>IF(Proc[[#This Row],[type]]="LFF (MDG-F)",MID(Proc[[#This Row],[Obj]],13,10),"")</f>
        <v/>
      </c>
      <c r="J1777" s="94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HC</v>
      </c>
      <c r="L1777" s="125" t="s">
        <v>2563</v>
      </c>
      <c r="M1777" s="90">
        <v>45807.678356481483</v>
      </c>
      <c r="N1777" s="91">
        <v>45810</v>
      </c>
      <c r="O1777" s="91">
        <v>45810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1</v>
      </c>
      <c r="R1777" s="90" t="s">
        <v>1013</v>
      </c>
      <c r="S1777" s="94"/>
    </row>
    <row r="1778" spans="1:19" hidden="1">
      <c r="A1778" s="93" t="s">
        <v>3747</v>
      </c>
      <c r="B1778" s="149" t="str">
        <f>IFERROR(VLOOKUP(Proc[[#This Row],[App]],Table2[],3,0),"open")</f>
        <v>ok</v>
      </c>
      <c r="C1778" s="93" t="s">
        <v>369</v>
      </c>
      <c r="D1778" t="s">
        <v>3759</v>
      </c>
      <c r="E1778" t="s">
        <v>4068</v>
      </c>
      <c r="F1778" s="117" t="s">
        <v>4068</v>
      </c>
      <c r="G1778" s="93" t="s">
        <v>400</v>
      </c>
      <c r="H1778" s="94" t="str">
        <f>IF(Proc[[#This Row],[type]]="LFF (MDG-F)",MID(Proc[[#This Row],[Obj]],13,10),"")</f>
        <v/>
      </c>
      <c r="J1778" s="94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HC</v>
      </c>
      <c r="L1778" s="125" t="s">
        <v>2563</v>
      </c>
      <c r="M1778" s="90">
        <v>45807.678356481483</v>
      </c>
      <c r="N1778" s="91">
        <v>45810</v>
      </c>
      <c r="O1778" s="91">
        <v>45810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1</v>
      </c>
      <c r="R1778" s="90" t="s">
        <v>1013</v>
      </c>
      <c r="S1778" s="94"/>
    </row>
    <row r="1779" spans="1:19" hidden="1">
      <c r="A1779" s="93" t="s">
        <v>3747</v>
      </c>
      <c r="B1779" s="149" t="str">
        <f>IFERROR(VLOOKUP(Proc[[#This Row],[App]],Table2[],3,0),"open")</f>
        <v>ok</v>
      </c>
      <c r="C1779" s="93" t="s">
        <v>369</v>
      </c>
      <c r="D1779" t="s">
        <v>3760</v>
      </c>
      <c r="E1779" t="s">
        <v>4068</v>
      </c>
      <c r="F1779" s="117" t="s">
        <v>4068</v>
      </c>
      <c r="G1779" s="93" t="s">
        <v>400</v>
      </c>
      <c r="H1779" s="94" t="str">
        <f>IF(Proc[[#This Row],[type]]="LFF (MDG-F)",MID(Proc[[#This Row],[Obj]],13,10),"")</f>
        <v/>
      </c>
      <c r="J1779" s="94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HC</v>
      </c>
      <c r="L1779" s="125" t="s">
        <v>2563</v>
      </c>
      <c r="M1779" s="90">
        <v>45807.678356481483</v>
      </c>
      <c r="N1779" s="91">
        <v>45810</v>
      </c>
      <c r="O1779" s="91">
        <v>45810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1</v>
      </c>
      <c r="R1779" s="90" t="s">
        <v>1013</v>
      </c>
      <c r="S1779" s="94"/>
    </row>
    <row r="1780" spans="1:19" hidden="1">
      <c r="A1780" s="93" t="s">
        <v>3747</v>
      </c>
      <c r="B1780" s="149" t="str">
        <f>IFERROR(VLOOKUP(Proc[[#This Row],[App]],Table2[],3,0),"open")</f>
        <v>ok</v>
      </c>
      <c r="C1780" s="93" t="s">
        <v>369</v>
      </c>
      <c r="D1780" t="s">
        <v>3761</v>
      </c>
      <c r="E1780" t="s">
        <v>4068</v>
      </c>
      <c r="F1780" s="117" t="s">
        <v>4068</v>
      </c>
      <c r="G1780" s="93" t="s">
        <v>400</v>
      </c>
      <c r="H1780" s="94" t="str">
        <f>IF(Proc[[#This Row],[type]]="LFF (MDG-F)",MID(Proc[[#This Row],[Obj]],13,10),"")</f>
        <v/>
      </c>
      <c r="J1780" s="94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HC</v>
      </c>
      <c r="L1780" s="125" t="s">
        <v>2563</v>
      </c>
      <c r="M1780" s="90">
        <v>45807.678356481483</v>
      </c>
      <c r="N1780" s="91">
        <v>45810</v>
      </c>
      <c r="O1780" s="91">
        <v>45810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1</v>
      </c>
      <c r="R1780" s="90" t="s">
        <v>1013</v>
      </c>
      <c r="S1780" s="94"/>
    </row>
    <row r="1781" spans="1:19" hidden="1">
      <c r="A1781" s="93" t="s">
        <v>3747</v>
      </c>
      <c r="B1781" s="149" t="str">
        <f>IFERROR(VLOOKUP(Proc[[#This Row],[App]],Table2[],3,0),"open")</f>
        <v>ok</v>
      </c>
      <c r="C1781" s="93" t="s">
        <v>369</v>
      </c>
      <c r="D1781" t="s">
        <v>3762</v>
      </c>
      <c r="E1781" t="s">
        <v>4068</v>
      </c>
      <c r="F1781" s="117" t="s">
        <v>4068</v>
      </c>
      <c r="G1781" s="93" t="s">
        <v>400</v>
      </c>
      <c r="H1781" s="94" t="str">
        <f>IF(Proc[[#This Row],[type]]="LFF (MDG-F)",MID(Proc[[#This Row],[Obj]],13,10),"")</f>
        <v/>
      </c>
      <c r="J1781" s="94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HC</v>
      </c>
      <c r="L1781" s="125" t="s">
        <v>2563</v>
      </c>
      <c r="M1781" s="90">
        <v>45807.678356481483</v>
      </c>
      <c r="N1781" s="91">
        <v>45810</v>
      </c>
      <c r="O1781" s="91">
        <v>45810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1</v>
      </c>
      <c r="R1781" s="90" t="s">
        <v>1013</v>
      </c>
      <c r="S1781" s="94"/>
    </row>
    <row r="1782" spans="1:19" hidden="1">
      <c r="A1782" s="93" t="s">
        <v>3747</v>
      </c>
      <c r="B1782" s="149" t="str">
        <f>IFERROR(VLOOKUP(Proc[[#This Row],[App]],Table2[],3,0),"open")</f>
        <v>ok</v>
      </c>
      <c r="C1782" s="93" t="s">
        <v>369</v>
      </c>
      <c r="D1782" t="s">
        <v>3763</v>
      </c>
      <c r="E1782" t="s">
        <v>4068</v>
      </c>
      <c r="F1782" s="117" t="s">
        <v>4068</v>
      </c>
      <c r="G1782" s="93" t="s">
        <v>400</v>
      </c>
      <c r="H1782" s="94" t="str">
        <f>IF(Proc[[#This Row],[type]]="LFF (MDG-F)",MID(Proc[[#This Row],[Obj]],13,10),"")</f>
        <v/>
      </c>
      <c r="J1782" s="94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HC</v>
      </c>
      <c r="L1782" s="125" t="s">
        <v>2563</v>
      </c>
      <c r="M1782" s="90">
        <v>45807.678356481483</v>
      </c>
      <c r="N1782" s="91">
        <v>45810</v>
      </c>
      <c r="O1782" s="91">
        <v>45810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1</v>
      </c>
      <c r="R1782" s="90" t="s">
        <v>1013</v>
      </c>
      <c r="S1782" s="94"/>
    </row>
    <row r="1783" spans="1:19" hidden="1">
      <c r="A1783" s="93" t="s">
        <v>3747</v>
      </c>
      <c r="B1783" s="149" t="str">
        <f>IFERROR(VLOOKUP(Proc[[#This Row],[App]],Table2[],3,0),"open")</f>
        <v>ok</v>
      </c>
      <c r="C1783" s="93" t="s">
        <v>369</v>
      </c>
      <c r="D1783" t="s">
        <v>3764</v>
      </c>
      <c r="E1783" t="s">
        <v>4068</v>
      </c>
      <c r="F1783" s="117" t="s">
        <v>4068</v>
      </c>
      <c r="G1783" s="93" t="s">
        <v>400</v>
      </c>
      <c r="H1783" s="94" t="str">
        <f>IF(Proc[[#This Row],[type]]="LFF (MDG-F)",MID(Proc[[#This Row],[Obj]],13,10),"")</f>
        <v/>
      </c>
      <c r="J1783" s="94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HC</v>
      </c>
      <c r="L1783" s="125" t="s">
        <v>2563</v>
      </c>
      <c r="M1783" s="90">
        <v>45807.678356481483</v>
      </c>
      <c r="N1783" s="91">
        <v>45810</v>
      </c>
      <c r="O1783" s="91">
        <v>45810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1</v>
      </c>
      <c r="R1783" s="90" t="s">
        <v>1013</v>
      </c>
      <c r="S1783" s="94"/>
    </row>
    <row r="1784" spans="1:19" hidden="1">
      <c r="A1784" s="93" t="s">
        <v>3747</v>
      </c>
      <c r="B1784" s="149" t="str">
        <f>IFERROR(VLOOKUP(Proc[[#This Row],[App]],Table2[],3,0),"open")</f>
        <v>ok</v>
      </c>
      <c r="C1784" s="93" t="s">
        <v>369</v>
      </c>
      <c r="D1784" t="s">
        <v>3765</v>
      </c>
      <c r="E1784" t="s">
        <v>4068</v>
      </c>
      <c r="F1784" s="117" t="s">
        <v>4068</v>
      </c>
      <c r="G1784" s="93" t="s">
        <v>400</v>
      </c>
      <c r="H1784" s="94" t="str">
        <f>IF(Proc[[#This Row],[type]]="LFF (MDG-F)",MID(Proc[[#This Row],[Obj]],13,10),"")</f>
        <v/>
      </c>
      <c r="J1784" s="94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HC</v>
      </c>
      <c r="L1784" s="125" t="s">
        <v>2563</v>
      </c>
      <c r="M1784" s="90">
        <v>45807.678356481483</v>
      </c>
      <c r="N1784" s="91">
        <v>45810</v>
      </c>
      <c r="O1784" s="91">
        <v>45810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1</v>
      </c>
      <c r="R1784" s="90" t="s">
        <v>1013</v>
      </c>
      <c r="S1784" s="94"/>
    </row>
    <row r="1785" spans="1:19" hidden="1">
      <c r="A1785" s="93" t="s">
        <v>3747</v>
      </c>
      <c r="B1785" s="149" t="str">
        <f>IFERROR(VLOOKUP(Proc[[#This Row],[App]],Table2[],3,0),"open")</f>
        <v>ok</v>
      </c>
      <c r="C1785" s="93" t="s">
        <v>369</v>
      </c>
      <c r="D1785" t="s">
        <v>3766</v>
      </c>
      <c r="E1785" t="s">
        <v>4068</v>
      </c>
      <c r="F1785" s="117" t="s">
        <v>4068</v>
      </c>
      <c r="G1785" s="93" t="s">
        <v>400</v>
      </c>
      <c r="H1785" s="94" t="str">
        <f>IF(Proc[[#This Row],[type]]="LFF (MDG-F)",MID(Proc[[#This Row],[Obj]],13,10),"")</f>
        <v/>
      </c>
      <c r="J1785" s="94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HC</v>
      </c>
      <c r="L1785" s="125" t="s">
        <v>2563</v>
      </c>
      <c r="M1785" s="90">
        <v>45807.678356481483</v>
      </c>
      <c r="N1785" s="91">
        <v>45810</v>
      </c>
      <c r="O1785" s="91">
        <v>45810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1</v>
      </c>
      <c r="R1785" s="90" t="s">
        <v>1013</v>
      </c>
      <c r="S1785" s="94"/>
    </row>
    <row r="1786" spans="1:19" hidden="1">
      <c r="A1786" s="93" t="s">
        <v>3747</v>
      </c>
      <c r="B1786" s="149" t="str">
        <f>IFERROR(VLOOKUP(Proc[[#This Row],[App]],Table2[],3,0),"open")</f>
        <v>ok</v>
      </c>
      <c r="C1786" s="93" t="s">
        <v>369</v>
      </c>
      <c r="D1786" t="s">
        <v>3767</v>
      </c>
      <c r="E1786" t="s">
        <v>4068</v>
      </c>
      <c r="F1786" s="117" t="s">
        <v>4068</v>
      </c>
      <c r="G1786" s="93" t="s">
        <v>400</v>
      </c>
      <c r="H1786" s="94" t="str">
        <f>IF(Proc[[#This Row],[type]]="LFF (MDG-F)",MID(Proc[[#This Row],[Obj]],13,10),"")</f>
        <v/>
      </c>
      <c r="J1786" s="94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HC</v>
      </c>
      <c r="L1786" s="125" t="s">
        <v>2563</v>
      </c>
      <c r="M1786" s="90">
        <v>45807.678356481483</v>
      </c>
      <c r="N1786" s="91">
        <v>45810</v>
      </c>
      <c r="O1786" s="91">
        <v>45810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1</v>
      </c>
      <c r="R1786" s="90" t="s">
        <v>1013</v>
      </c>
      <c r="S1786" s="94"/>
    </row>
    <row r="1787" spans="1:19" hidden="1">
      <c r="A1787" s="93" t="s">
        <v>3747</v>
      </c>
      <c r="B1787" s="149" t="str">
        <f>IFERROR(VLOOKUP(Proc[[#This Row],[App]],Table2[],3,0),"open")</f>
        <v>ok</v>
      </c>
      <c r="C1787" s="93" t="s">
        <v>369</v>
      </c>
      <c r="D1787" t="s">
        <v>3768</v>
      </c>
      <c r="E1787" t="s">
        <v>4068</v>
      </c>
      <c r="F1787" s="117" t="s">
        <v>4068</v>
      </c>
      <c r="G1787" s="93" t="s">
        <v>400</v>
      </c>
      <c r="H1787" s="94" t="str">
        <f>IF(Proc[[#This Row],[type]]="LFF (MDG-F)",MID(Proc[[#This Row],[Obj]],13,10),"")</f>
        <v/>
      </c>
      <c r="J1787" s="94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HC</v>
      </c>
      <c r="L1787" s="125" t="s">
        <v>2563</v>
      </c>
      <c r="M1787" s="90">
        <v>45807.678356481483</v>
      </c>
      <c r="N1787" s="91">
        <v>45810</v>
      </c>
      <c r="O1787" s="91">
        <v>45810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1</v>
      </c>
      <c r="R1787" s="90" t="s">
        <v>1013</v>
      </c>
      <c r="S1787" s="94"/>
    </row>
    <row r="1788" spans="1:19" hidden="1">
      <c r="A1788" s="93" t="s">
        <v>3747</v>
      </c>
      <c r="B1788" s="149" t="str">
        <f>IFERROR(VLOOKUP(Proc[[#This Row],[App]],Table2[],3,0),"open")</f>
        <v>ok</v>
      </c>
      <c r="C1788" s="93" t="s">
        <v>369</v>
      </c>
      <c r="D1788" t="s">
        <v>3769</v>
      </c>
      <c r="E1788" t="s">
        <v>4068</v>
      </c>
      <c r="F1788" s="117" t="s">
        <v>4068</v>
      </c>
      <c r="G1788" s="93" t="s">
        <v>400</v>
      </c>
      <c r="H1788" s="94" t="str">
        <f>IF(Proc[[#This Row],[type]]="LFF (MDG-F)",MID(Proc[[#This Row],[Obj]],13,10),"")</f>
        <v/>
      </c>
      <c r="J1788" s="94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HC</v>
      </c>
      <c r="L1788" s="125" t="s">
        <v>2563</v>
      </c>
      <c r="M1788" s="90">
        <v>45807.678356481483</v>
      </c>
      <c r="N1788" s="91">
        <v>45810</v>
      </c>
      <c r="O1788" s="91">
        <v>45810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1</v>
      </c>
      <c r="R1788" s="90" t="s">
        <v>1013</v>
      </c>
      <c r="S1788" s="94"/>
    </row>
    <row r="1789" spans="1:19" hidden="1">
      <c r="A1789" s="93" t="s">
        <v>3747</v>
      </c>
      <c r="B1789" s="149" t="str">
        <f>IFERROR(VLOOKUP(Proc[[#This Row],[App]],Table2[],3,0),"open")</f>
        <v>ok</v>
      </c>
      <c r="C1789" s="93" t="s">
        <v>369</v>
      </c>
      <c r="D1789" t="s">
        <v>3770</v>
      </c>
      <c r="E1789" t="s">
        <v>4068</v>
      </c>
      <c r="F1789" s="117" t="s">
        <v>4068</v>
      </c>
      <c r="G1789" s="93" t="s">
        <v>400</v>
      </c>
      <c r="H1789" s="94" t="str">
        <f>IF(Proc[[#This Row],[type]]="LFF (MDG-F)",MID(Proc[[#This Row],[Obj]],13,10),"")</f>
        <v/>
      </c>
      <c r="J1789" s="94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HC</v>
      </c>
      <c r="L1789" s="125" t="s">
        <v>2563</v>
      </c>
      <c r="M1789" s="90">
        <v>45807.678356481483</v>
      </c>
      <c r="N1789" s="91">
        <v>45810</v>
      </c>
      <c r="O1789" s="91">
        <v>45810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1</v>
      </c>
      <c r="R1789" s="90" t="s">
        <v>1013</v>
      </c>
      <c r="S1789" s="94"/>
    </row>
    <row r="1790" spans="1:19" hidden="1">
      <c r="A1790" s="93" t="s">
        <v>3747</v>
      </c>
      <c r="B1790" s="149" t="str">
        <f>IFERROR(VLOOKUP(Proc[[#This Row],[App]],Table2[],3,0),"open")</f>
        <v>ok</v>
      </c>
      <c r="C1790" s="93" t="s">
        <v>369</v>
      </c>
      <c r="D1790" t="s">
        <v>3771</v>
      </c>
      <c r="E1790" t="s">
        <v>4068</v>
      </c>
      <c r="F1790" s="117" t="s">
        <v>4068</v>
      </c>
      <c r="G1790" s="93" t="s">
        <v>400</v>
      </c>
      <c r="H1790" s="94" t="str">
        <f>IF(Proc[[#This Row],[type]]="LFF (MDG-F)",MID(Proc[[#This Row],[Obj]],13,10),"")</f>
        <v/>
      </c>
      <c r="J1790" s="94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125" t="s">
        <v>2563</v>
      </c>
      <c r="M1790" s="90">
        <v>45807.678356481483</v>
      </c>
      <c r="N1790" s="91">
        <v>45810</v>
      </c>
      <c r="O1790" s="91">
        <v>45810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1</v>
      </c>
      <c r="R1790" s="90" t="s">
        <v>1013</v>
      </c>
      <c r="S1790" s="94"/>
    </row>
    <row r="1791" spans="1:19" hidden="1">
      <c r="A1791" s="93" t="s">
        <v>3747</v>
      </c>
      <c r="B1791" s="149" t="str">
        <f>IFERROR(VLOOKUP(Proc[[#This Row],[App]],Table2[],3,0),"open")</f>
        <v>ok</v>
      </c>
      <c r="C1791" s="93" t="s">
        <v>369</v>
      </c>
      <c r="D1791" t="s">
        <v>3772</v>
      </c>
      <c r="E1791" t="s">
        <v>4068</v>
      </c>
      <c r="F1791" s="117" t="s">
        <v>4068</v>
      </c>
      <c r="G1791" s="93" t="s">
        <v>400</v>
      </c>
      <c r="H1791" s="94" t="str">
        <f>IF(Proc[[#This Row],[type]]="LFF (MDG-F)",MID(Proc[[#This Row],[Obj]],13,10),"")</f>
        <v/>
      </c>
      <c r="J1791" s="94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125" t="s">
        <v>2563</v>
      </c>
      <c r="M1791" s="90">
        <v>45807.678356481483</v>
      </c>
      <c r="N1791" s="91">
        <v>45810</v>
      </c>
      <c r="O1791" s="91">
        <v>45810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1</v>
      </c>
      <c r="R1791" s="90" t="s">
        <v>1013</v>
      </c>
      <c r="S1791" s="94"/>
    </row>
    <row r="1792" spans="1:19" hidden="1">
      <c r="A1792" s="93" t="s">
        <v>3747</v>
      </c>
      <c r="B1792" s="149" t="str">
        <f>IFERROR(VLOOKUP(Proc[[#This Row],[App]],Table2[],3,0),"open")</f>
        <v>ok</v>
      </c>
      <c r="C1792" s="93" t="s">
        <v>369</v>
      </c>
      <c r="D1792" t="s">
        <v>3773</v>
      </c>
      <c r="E1792" t="s">
        <v>4068</v>
      </c>
      <c r="F1792" s="117" t="s">
        <v>4068</v>
      </c>
      <c r="G1792" s="93" t="s">
        <v>400</v>
      </c>
      <c r="H1792" s="94" t="str">
        <f>IF(Proc[[#This Row],[type]]="LFF (MDG-F)",MID(Proc[[#This Row],[Obj]],13,10),"")</f>
        <v/>
      </c>
      <c r="J1792" s="94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125" t="s">
        <v>2563</v>
      </c>
      <c r="M1792" s="90">
        <v>45807.678356481483</v>
      </c>
      <c r="N1792" s="91">
        <v>45810</v>
      </c>
      <c r="O1792" s="91">
        <v>45810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1</v>
      </c>
      <c r="R1792" s="90" t="s">
        <v>1013</v>
      </c>
      <c r="S1792" s="94"/>
    </row>
    <row r="1793" spans="1:19" hidden="1">
      <c r="A1793" s="93" t="s">
        <v>3747</v>
      </c>
      <c r="B1793" s="149" t="str">
        <f>IFERROR(VLOOKUP(Proc[[#This Row],[App]],Table2[],3,0),"open")</f>
        <v>ok</v>
      </c>
      <c r="C1793" s="93" t="s">
        <v>369</v>
      </c>
      <c r="D1793" t="s">
        <v>3774</v>
      </c>
      <c r="E1793" t="s">
        <v>4068</v>
      </c>
      <c r="F1793" s="117" t="s">
        <v>4068</v>
      </c>
      <c r="G1793" s="93" t="s">
        <v>400</v>
      </c>
      <c r="H1793" s="94" t="str">
        <f>IF(Proc[[#This Row],[type]]="LFF (MDG-F)",MID(Proc[[#This Row],[Obj]],13,10),"")</f>
        <v/>
      </c>
      <c r="J1793" s="94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125" t="s">
        <v>2563</v>
      </c>
      <c r="M1793" s="90">
        <v>45807.678356481483</v>
      </c>
      <c r="N1793" s="91">
        <v>45810</v>
      </c>
      <c r="O1793" s="91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1</v>
      </c>
      <c r="R1793" s="90" t="s">
        <v>1013</v>
      </c>
      <c r="S1793" s="94"/>
    </row>
    <row r="1794" spans="1:19" hidden="1">
      <c r="A1794" s="93" t="s">
        <v>3747</v>
      </c>
      <c r="B1794" s="149" t="str">
        <f>IFERROR(VLOOKUP(Proc[[#This Row],[App]],Table2[],3,0),"open")</f>
        <v>ok</v>
      </c>
      <c r="C1794" s="93" t="s">
        <v>369</v>
      </c>
      <c r="D1794" t="s">
        <v>3775</v>
      </c>
      <c r="E1794" t="s">
        <v>4068</v>
      </c>
      <c r="F1794" s="117" t="s">
        <v>4068</v>
      </c>
      <c r="G1794" s="93" t="s">
        <v>400</v>
      </c>
      <c r="H1794" s="94" t="str">
        <f>IF(Proc[[#This Row],[type]]="LFF (MDG-F)",MID(Proc[[#This Row],[Obj]],13,10),"")</f>
        <v/>
      </c>
      <c r="J1794" s="94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90">
        <v>45807.678356481483</v>
      </c>
      <c r="N1794" s="91">
        <v>45810</v>
      </c>
      <c r="O1794" s="91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1</v>
      </c>
      <c r="R1794" s="90" t="s">
        <v>1013</v>
      </c>
      <c r="S1794" s="94"/>
    </row>
    <row r="1795" spans="1:19" hidden="1">
      <c r="A1795" s="93" t="s">
        <v>3747</v>
      </c>
      <c r="B1795" s="149" t="str">
        <f>IFERROR(VLOOKUP(Proc[[#This Row],[App]],Table2[],3,0),"open")</f>
        <v>ok</v>
      </c>
      <c r="C1795" s="93" t="s">
        <v>369</v>
      </c>
      <c r="D1795" t="s">
        <v>3776</v>
      </c>
      <c r="E1795" t="s">
        <v>4068</v>
      </c>
      <c r="F1795" s="117" t="s">
        <v>4068</v>
      </c>
      <c r="G1795" s="93" t="s">
        <v>400</v>
      </c>
      <c r="H1795" s="94" t="str">
        <f>IF(Proc[[#This Row],[type]]="LFF (MDG-F)",MID(Proc[[#This Row],[Obj]],13,10),"")</f>
        <v/>
      </c>
      <c r="J1795" s="94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90">
        <v>45807.678356481483</v>
      </c>
      <c r="N1795" s="91">
        <v>45810</v>
      </c>
      <c r="O1795" s="91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1</v>
      </c>
      <c r="R1795" s="90" t="s">
        <v>1013</v>
      </c>
      <c r="S1795" s="94"/>
    </row>
    <row r="1796" spans="1:19" hidden="1">
      <c r="A1796" s="93" t="s">
        <v>3747</v>
      </c>
      <c r="B1796" s="149" t="str">
        <f>IFERROR(VLOOKUP(Proc[[#This Row],[App]],Table2[],3,0),"open")</f>
        <v>ok</v>
      </c>
      <c r="C1796" s="93" t="s">
        <v>369</v>
      </c>
      <c r="D1796" t="s">
        <v>3777</v>
      </c>
      <c r="E1796" t="s">
        <v>4068</v>
      </c>
      <c r="F1796" s="117" t="s">
        <v>4068</v>
      </c>
      <c r="G1796" s="93" t="s">
        <v>400</v>
      </c>
      <c r="H1796" s="94" t="str">
        <f>IF(Proc[[#This Row],[type]]="LFF (MDG-F)",MID(Proc[[#This Row],[Obj]],13,10),"")</f>
        <v/>
      </c>
      <c r="J1796" s="94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90">
        <v>45807.678356481483</v>
      </c>
      <c r="N1796" s="91">
        <v>45810</v>
      </c>
      <c r="O1796" s="91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1</v>
      </c>
      <c r="R1796" s="90" t="s">
        <v>1013</v>
      </c>
      <c r="S1796" s="94"/>
    </row>
    <row r="1797" spans="1:19" hidden="1">
      <c r="A1797" s="93" t="s">
        <v>3747</v>
      </c>
      <c r="B1797" s="149" t="str">
        <f>IFERROR(VLOOKUP(Proc[[#This Row],[App]],Table2[],3,0),"open")</f>
        <v>ok</v>
      </c>
      <c r="C1797" s="93" t="s">
        <v>369</v>
      </c>
      <c r="D1797" t="s">
        <v>3778</v>
      </c>
      <c r="E1797" t="s">
        <v>4068</v>
      </c>
      <c r="F1797" s="117" t="s">
        <v>4068</v>
      </c>
      <c r="G1797" s="93" t="s">
        <v>400</v>
      </c>
      <c r="H1797" s="94" t="str">
        <f>IF(Proc[[#This Row],[type]]="LFF (MDG-F)",MID(Proc[[#This Row],[Obj]],13,10),"")</f>
        <v/>
      </c>
      <c r="J1797" s="94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90">
        <v>45807.678356481483</v>
      </c>
      <c r="N1797" s="91">
        <v>45810</v>
      </c>
      <c r="O1797" s="91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1</v>
      </c>
      <c r="R1797" s="90" t="s">
        <v>1013</v>
      </c>
      <c r="S1797" s="94"/>
    </row>
    <row r="1798" spans="1:19" hidden="1">
      <c r="A1798" s="93" t="s">
        <v>3747</v>
      </c>
      <c r="B1798" s="149" t="str">
        <f>IFERROR(VLOOKUP(Proc[[#This Row],[App]],Table2[],3,0),"open")</f>
        <v>ok</v>
      </c>
      <c r="C1798" s="93" t="s">
        <v>369</v>
      </c>
      <c r="D1798" t="s">
        <v>3779</v>
      </c>
      <c r="E1798" t="s">
        <v>4068</v>
      </c>
      <c r="F1798" s="117" t="s">
        <v>4068</v>
      </c>
      <c r="G1798" s="93" t="s">
        <v>400</v>
      </c>
      <c r="H1798" s="94" t="str">
        <f>IF(Proc[[#This Row],[type]]="LFF (MDG-F)",MID(Proc[[#This Row],[Obj]],13,10),"")</f>
        <v/>
      </c>
      <c r="J1798" s="94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90">
        <v>45807.678356481483</v>
      </c>
      <c r="N1798" s="91">
        <v>45810</v>
      </c>
      <c r="O1798" s="91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1</v>
      </c>
      <c r="R1798" s="90" t="s">
        <v>1013</v>
      </c>
      <c r="S1798" s="94"/>
    </row>
    <row r="1799" spans="1:19" hidden="1">
      <c r="A1799" s="93" t="s">
        <v>3747</v>
      </c>
      <c r="B1799" s="149" t="str">
        <f>IFERROR(VLOOKUP(Proc[[#This Row],[App]],Table2[],3,0),"open")</f>
        <v>ok</v>
      </c>
      <c r="C1799" s="93" t="s">
        <v>369</v>
      </c>
      <c r="D1799" t="s">
        <v>3780</v>
      </c>
      <c r="E1799" t="s">
        <v>4068</v>
      </c>
      <c r="F1799" s="117" t="s">
        <v>4068</v>
      </c>
      <c r="G1799" s="93" t="s">
        <v>400</v>
      </c>
      <c r="H1799" s="94" t="str">
        <f>IF(Proc[[#This Row],[type]]="LFF (MDG-F)",MID(Proc[[#This Row],[Obj]],13,10),"")</f>
        <v/>
      </c>
      <c r="J1799" s="94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HC</v>
      </c>
      <c r="L1799" s="125" t="s">
        <v>2563</v>
      </c>
      <c r="M1799" s="90">
        <v>45807.678356481483</v>
      </c>
      <c r="N1799" s="91">
        <v>45810</v>
      </c>
      <c r="O1799" s="91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1</v>
      </c>
      <c r="R1799" s="90" t="s">
        <v>1013</v>
      </c>
      <c r="S1799" s="94"/>
    </row>
    <row r="1800" spans="1:19" hidden="1">
      <c r="A1800" s="93" t="s">
        <v>3747</v>
      </c>
      <c r="B1800" s="149" t="str">
        <f>IFERROR(VLOOKUP(Proc[[#This Row],[App]],Table2[],3,0),"open")</f>
        <v>ok</v>
      </c>
      <c r="C1800" s="93" t="s">
        <v>369</v>
      </c>
      <c r="D1800" t="s">
        <v>3781</v>
      </c>
      <c r="E1800" t="s">
        <v>4068</v>
      </c>
      <c r="F1800" s="117" t="s">
        <v>4068</v>
      </c>
      <c r="G1800" s="93" t="s">
        <v>400</v>
      </c>
      <c r="H1800" s="94" t="str">
        <f>IF(Proc[[#This Row],[type]]="LFF (MDG-F)",MID(Proc[[#This Row],[Obj]],13,10),"")</f>
        <v/>
      </c>
      <c r="J1800" s="94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HC</v>
      </c>
      <c r="L1800" s="125" t="s">
        <v>2563</v>
      </c>
      <c r="M1800" s="90">
        <v>45807.678356481483</v>
      </c>
      <c r="N1800" s="91">
        <v>45810</v>
      </c>
      <c r="O1800" s="91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1</v>
      </c>
      <c r="R1800" s="90" t="s">
        <v>1013</v>
      </c>
      <c r="S1800" s="94"/>
    </row>
    <row r="1801" spans="1:19" hidden="1">
      <c r="A1801" s="93" t="s">
        <v>3747</v>
      </c>
      <c r="B1801" s="149" t="str">
        <f>IFERROR(VLOOKUP(Proc[[#This Row],[App]],Table2[],3,0),"open")</f>
        <v>ok</v>
      </c>
      <c r="C1801" s="93" t="s">
        <v>369</v>
      </c>
      <c r="D1801" t="s">
        <v>3782</v>
      </c>
      <c r="E1801" t="s">
        <v>4068</v>
      </c>
      <c r="F1801" s="117" t="s">
        <v>4068</v>
      </c>
      <c r="G1801" s="93" t="s">
        <v>400</v>
      </c>
      <c r="H1801" s="94" t="str">
        <f>IF(Proc[[#This Row],[type]]="LFF (MDG-F)",MID(Proc[[#This Row],[Obj]],13,10),"")</f>
        <v/>
      </c>
      <c r="J1801" s="94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HC</v>
      </c>
      <c r="L1801" s="125" t="s">
        <v>2563</v>
      </c>
      <c r="M1801" s="90">
        <v>45807.678356481483</v>
      </c>
      <c r="N1801" s="91">
        <v>45810</v>
      </c>
      <c r="O1801" s="91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1</v>
      </c>
      <c r="R1801" s="90" t="s">
        <v>1013</v>
      </c>
      <c r="S1801" s="94"/>
    </row>
    <row r="1802" spans="1:19" hidden="1">
      <c r="A1802" s="93" t="s">
        <v>3747</v>
      </c>
      <c r="B1802" s="149" t="str">
        <f>IFERROR(VLOOKUP(Proc[[#This Row],[App]],Table2[],3,0),"open")</f>
        <v>ok</v>
      </c>
      <c r="C1802" s="93" t="s">
        <v>369</v>
      </c>
      <c r="D1802" t="s">
        <v>3783</v>
      </c>
      <c r="E1802" t="s">
        <v>4068</v>
      </c>
      <c r="F1802" s="117" t="s">
        <v>4068</v>
      </c>
      <c r="G1802" s="93" t="s">
        <v>400</v>
      </c>
      <c r="H1802" s="94" t="str">
        <f>IF(Proc[[#This Row],[type]]="LFF (MDG-F)",MID(Proc[[#This Row],[Obj]],13,10),"")</f>
        <v/>
      </c>
      <c r="J1802" s="94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HC</v>
      </c>
      <c r="L1802" s="125" t="s">
        <v>2563</v>
      </c>
      <c r="M1802" s="90">
        <v>45807.678356481483</v>
      </c>
      <c r="N1802" s="91">
        <v>45810</v>
      </c>
      <c r="O1802" s="91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1</v>
      </c>
      <c r="R1802" s="90" t="s">
        <v>1013</v>
      </c>
      <c r="S1802" s="94"/>
    </row>
    <row r="1803" spans="1:19" hidden="1">
      <c r="A1803" s="93" t="s">
        <v>3747</v>
      </c>
      <c r="B1803" s="149" t="str">
        <f>IFERROR(VLOOKUP(Proc[[#This Row],[App]],Table2[],3,0),"open")</f>
        <v>ok</v>
      </c>
      <c r="C1803" s="93" t="s">
        <v>369</v>
      </c>
      <c r="D1803" t="s">
        <v>3784</v>
      </c>
      <c r="E1803" t="s">
        <v>4068</v>
      </c>
      <c r="F1803" s="117" t="s">
        <v>4068</v>
      </c>
      <c r="G1803" s="93" t="s">
        <v>400</v>
      </c>
      <c r="H1803" s="94" t="str">
        <f>IF(Proc[[#This Row],[type]]="LFF (MDG-F)",MID(Proc[[#This Row],[Obj]],13,10),"")</f>
        <v/>
      </c>
      <c r="J1803" s="94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HC</v>
      </c>
      <c r="L1803" s="125" t="s">
        <v>2563</v>
      </c>
      <c r="M1803" s="90">
        <v>45807.678356481483</v>
      </c>
      <c r="N1803" s="91">
        <v>45810</v>
      </c>
      <c r="O1803" s="91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1</v>
      </c>
      <c r="R1803" s="90" t="s">
        <v>1013</v>
      </c>
      <c r="S1803" s="94"/>
    </row>
    <row r="1804" spans="1:19" hidden="1">
      <c r="A1804" s="93" t="s">
        <v>3747</v>
      </c>
      <c r="B1804" s="149" t="str">
        <f>IFERROR(VLOOKUP(Proc[[#This Row],[App]],Table2[],3,0),"open")</f>
        <v>ok</v>
      </c>
      <c r="C1804" s="93" t="s">
        <v>369</v>
      </c>
      <c r="D1804" t="s">
        <v>3785</v>
      </c>
      <c r="E1804" t="s">
        <v>4068</v>
      </c>
      <c r="F1804" s="117" t="s">
        <v>4068</v>
      </c>
      <c r="G1804" s="93" t="s">
        <v>400</v>
      </c>
      <c r="H1804" s="94" t="str">
        <f>IF(Proc[[#This Row],[type]]="LFF (MDG-F)",MID(Proc[[#This Row],[Obj]],13,10),"")</f>
        <v/>
      </c>
      <c r="J1804" s="94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HC</v>
      </c>
      <c r="L1804" s="125" t="s">
        <v>2563</v>
      </c>
      <c r="M1804" s="90">
        <v>45807.678356481483</v>
      </c>
      <c r="N1804" s="91">
        <v>45810</v>
      </c>
      <c r="O1804" s="91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1</v>
      </c>
      <c r="R1804" s="90" t="s">
        <v>1013</v>
      </c>
      <c r="S1804" s="94"/>
    </row>
    <row r="1805" spans="1:19" hidden="1">
      <c r="A1805" s="93" t="s">
        <v>3747</v>
      </c>
      <c r="B1805" s="149" t="str">
        <f>IFERROR(VLOOKUP(Proc[[#This Row],[App]],Table2[],3,0),"open")</f>
        <v>ok</v>
      </c>
      <c r="C1805" s="93" t="s">
        <v>369</v>
      </c>
      <c r="D1805" t="s">
        <v>3786</v>
      </c>
      <c r="E1805" t="s">
        <v>4068</v>
      </c>
      <c r="F1805" s="117" t="s">
        <v>4068</v>
      </c>
      <c r="G1805" s="93" t="s">
        <v>400</v>
      </c>
      <c r="H1805" s="94" t="str">
        <f>IF(Proc[[#This Row],[type]]="LFF (MDG-F)",MID(Proc[[#This Row],[Obj]],13,10),"")</f>
        <v/>
      </c>
      <c r="J1805" s="94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HC</v>
      </c>
      <c r="L1805" s="125" t="s">
        <v>2563</v>
      </c>
      <c r="M1805" s="90">
        <v>45807.678356481483</v>
      </c>
      <c r="N1805" s="91">
        <v>45810</v>
      </c>
      <c r="O1805" s="91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1</v>
      </c>
      <c r="R1805" s="90" t="s">
        <v>1013</v>
      </c>
      <c r="S1805" s="94"/>
    </row>
    <row r="1806" spans="1:19" hidden="1">
      <c r="A1806" s="93" t="s">
        <v>3747</v>
      </c>
      <c r="B1806" s="149" t="str">
        <f>IFERROR(VLOOKUP(Proc[[#This Row],[App]],Table2[],3,0),"open")</f>
        <v>ok</v>
      </c>
      <c r="C1806" s="93" t="s">
        <v>369</v>
      </c>
      <c r="D1806" t="s">
        <v>3787</v>
      </c>
      <c r="E1806" t="s">
        <v>4068</v>
      </c>
      <c r="F1806" s="117" t="s">
        <v>4068</v>
      </c>
      <c r="G1806" s="93" t="s">
        <v>400</v>
      </c>
      <c r="H1806" s="94" t="str">
        <f>IF(Proc[[#This Row],[type]]="LFF (MDG-F)",MID(Proc[[#This Row],[Obj]],13,10),"")</f>
        <v/>
      </c>
      <c r="J1806" s="94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45807.678356481483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1</v>
      </c>
      <c r="R1806" s="90" t="s">
        <v>1013</v>
      </c>
      <c r="S1806" s="94"/>
    </row>
    <row r="1807" spans="1:19" hidden="1">
      <c r="A1807" s="93" t="s">
        <v>3747</v>
      </c>
      <c r="B1807" s="149" t="str">
        <f>IFERROR(VLOOKUP(Proc[[#This Row],[App]],Table2[],3,0),"open")</f>
        <v>ok</v>
      </c>
      <c r="C1807" s="93" t="s">
        <v>369</v>
      </c>
      <c r="D1807" t="s">
        <v>3788</v>
      </c>
      <c r="E1807" t="s">
        <v>4068</v>
      </c>
      <c r="F1807" s="117" t="s">
        <v>4068</v>
      </c>
      <c r="G1807" s="93" t="s">
        <v>400</v>
      </c>
      <c r="H1807" s="94" t="str">
        <f>IF(Proc[[#This Row],[type]]="LFF (MDG-F)",MID(Proc[[#This Row],[Obj]],13,10),"")</f>
        <v/>
      </c>
      <c r="J1807" s="94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1013</v>
      </c>
      <c r="S1807" s="94"/>
    </row>
    <row r="1808" spans="1:19" hidden="1">
      <c r="A1808" s="93" t="s">
        <v>3747</v>
      </c>
      <c r="B1808" s="149" t="str">
        <f>IFERROR(VLOOKUP(Proc[[#This Row],[App]],Table2[],3,0),"open")</f>
        <v>ok</v>
      </c>
      <c r="C1808" s="93" t="s">
        <v>369</v>
      </c>
      <c r="D1808" t="s">
        <v>3789</v>
      </c>
      <c r="E1808" t="s">
        <v>4068</v>
      </c>
      <c r="F1808" s="117" t="s">
        <v>4068</v>
      </c>
      <c r="G1808" s="93" t="s">
        <v>400</v>
      </c>
      <c r="H1808" s="94" t="str">
        <f>IF(Proc[[#This Row],[type]]="LFF (MDG-F)",MID(Proc[[#This Row],[Obj]],13,10),"")</f>
        <v/>
      </c>
      <c r="J1808" s="94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1013</v>
      </c>
      <c r="S1808" s="94"/>
    </row>
    <row r="1809" spans="1:19" hidden="1">
      <c r="A1809" s="93" t="s">
        <v>3747</v>
      </c>
      <c r="B1809" s="149" t="str">
        <f>IFERROR(VLOOKUP(Proc[[#This Row],[App]],Table2[],3,0),"open")</f>
        <v>ok</v>
      </c>
      <c r="C1809" s="93" t="s">
        <v>369</v>
      </c>
      <c r="D1809" t="s">
        <v>3790</v>
      </c>
      <c r="E1809" t="s">
        <v>4068</v>
      </c>
      <c r="F1809" s="117" t="s">
        <v>4068</v>
      </c>
      <c r="G1809" s="93" t="s">
        <v>400</v>
      </c>
      <c r="H1809" s="94" t="str">
        <f>IF(Proc[[#This Row],[type]]="LFF (MDG-F)",MID(Proc[[#This Row],[Obj]],13,10),"")</f>
        <v/>
      </c>
      <c r="J1809" s="94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1013</v>
      </c>
      <c r="S1809" s="94"/>
    </row>
    <row r="1810" spans="1:19" hidden="1">
      <c r="A1810" s="93" t="s">
        <v>3747</v>
      </c>
      <c r="B1810" s="149" t="str">
        <f>IFERROR(VLOOKUP(Proc[[#This Row],[App]],Table2[],3,0),"open")</f>
        <v>ok</v>
      </c>
      <c r="C1810" s="93" t="s">
        <v>369</v>
      </c>
      <c r="D1810" t="s">
        <v>3791</v>
      </c>
      <c r="E1810" t="s">
        <v>4068</v>
      </c>
      <c r="F1810" s="117" t="s">
        <v>4068</v>
      </c>
      <c r="G1810" s="93" t="s">
        <v>400</v>
      </c>
      <c r="H1810" s="94" t="str">
        <f>IF(Proc[[#This Row],[type]]="LFF (MDG-F)",MID(Proc[[#This Row],[Obj]],13,10),"")</f>
        <v/>
      </c>
      <c r="J1810" s="94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1013</v>
      </c>
      <c r="S1810" s="94"/>
    </row>
    <row r="1811" spans="1:19" hidden="1">
      <c r="A1811" s="93" t="s">
        <v>3747</v>
      </c>
      <c r="B1811" s="149" t="str">
        <f>IFERROR(VLOOKUP(Proc[[#This Row],[App]],Table2[],3,0),"open")</f>
        <v>ok</v>
      </c>
      <c r="C1811" s="93" t="s">
        <v>369</v>
      </c>
      <c r="D1811" t="s">
        <v>3792</v>
      </c>
      <c r="E1811" t="s">
        <v>4068</v>
      </c>
      <c r="F1811" s="117" t="s">
        <v>4068</v>
      </c>
      <c r="G1811" s="93" t="s">
        <v>400</v>
      </c>
      <c r="H1811" s="94" t="str">
        <f>IF(Proc[[#This Row],[type]]="LFF (MDG-F)",MID(Proc[[#This Row],[Obj]],13,10),"")</f>
        <v/>
      </c>
      <c r="J1811" s="94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1013</v>
      </c>
      <c r="S1811" s="94"/>
    </row>
    <row r="1812" spans="1:19" hidden="1">
      <c r="A1812" s="93" t="s">
        <v>3747</v>
      </c>
      <c r="B1812" s="149" t="str">
        <f>IFERROR(VLOOKUP(Proc[[#This Row],[App]],Table2[],3,0),"open")</f>
        <v>ok</v>
      </c>
      <c r="C1812" s="93" t="s">
        <v>369</v>
      </c>
      <c r="D1812" t="s">
        <v>3793</v>
      </c>
      <c r="E1812" t="s">
        <v>4068</v>
      </c>
      <c r="F1812" s="117" t="s">
        <v>4068</v>
      </c>
      <c r="G1812" s="93" t="s">
        <v>400</v>
      </c>
      <c r="H1812" s="94" t="str">
        <f>IF(Proc[[#This Row],[type]]="LFF (MDG-F)",MID(Proc[[#This Row],[Obj]],13,10),"")</f>
        <v/>
      </c>
      <c r="J1812" s="94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1013</v>
      </c>
      <c r="S1812" s="94"/>
    </row>
    <row r="1813" spans="1:19" hidden="1">
      <c r="A1813" s="93" t="s">
        <v>3747</v>
      </c>
      <c r="B1813" s="149" t="str">
        <f>IFERROR(VLOOKUP(Proc[[#This Row],[App]],Table2[],3,0),"open")</f>
        <v>ok</v>
      </c>
      <c r="C1813" s="93" t="s">
        <v>369</v>
      </c>
      <c r="D1813" t="s">
        <v>3794</v>
      </c>
      <c r="E1813" t="s">
        <v>4068</v>
      </c>
      <c r="F1813" s="117" t="s">
        <v>4068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1013</v>
      </c>
      <c r="S1813" s="94"/>
    </row>
    <row r="1814" spans="1:19" hidden="1">
      <c r="A1814" s="93" t="s">
        <v>3747</v>
      </c>
      <c r="B1814" s="149" t="str">
        <f>IFERROR(VLOOKUP(Proc[[#This Row],[App]],Table2[],3,0),"open")</f>
        <v>ok</v>
      </c>
      <c r="C1814" s="93" t="s">
        <v>369</v>
      </c>
      <c r="D1814" t="s">
        <v>3795</v>
      </c>
      <c r="E1814" t="s">
        <v>4068</v>
      </c>
      <c r="F1814" s="117" t="s">
        <v>4068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3747</v>
      </c>
      <c r="B1815" s="149" t="str">
        <f>IFERROR(VLOOKUP(Proc[[#This Row],[App]],Table2[],3,0),"open")</f>
        <v>ok</v>
      </c>
      <c r="C1815" s="93" t="s">
        <v>369</v>
      </c>
      <c r="D1815" t="s">
        <v>3796</v>
      </c>
      <c r="E1815" t="s">
        <v>4066</v>
      </c>
      <c r="F1815" s="117" t="s">
        <v>4066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3747</v>
      </c>
      <c r="B1816" s="149" t="str">
        <f>IFERROR(VLOOKUP(Proc[[#This Row],[App]],Table2[],3,0),"open")</f>
        <v>ok</v>
      </c>
      <c r="C1816" s="93" t="s">
        <v>369</v>
      </c>
      <c r="D1816" t="s">
        <v>3797</v>
      </c>
      <c r="E1816" t="s">
        <v>4067</v>
      </c>
      <c r="F1816" s="117" t="s">
        <v>4067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3747</v>
      </c>
      <c r="B1817" s="149" t="str">
        <f>IFERROR(VLOOKUP(Proc[[#This Row],[App]],Table2[],3,0),"open")</f>
        <v>ok</v>
      </c>
      <c r="C1817" s="93" t="s">
        <v>369</v>
      </c>
      <c r="D1817" t="s">
        <v>3798</v>
      </c>
      <c r="E1817" t="s">
        <v>4068</v>
      </c>
      <c r="F1817" s="117" t="s">
        <v>4068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3747</v>
      </c>
      <c r="B1818" s="149" t="str">
        <f>IFERROR(VLOOKUP(Proc[[#This Row],[App]],Table2[],3,0),"open")</f>
        <v>ok</v>
      </c>
      <c r="C1818" s="93" t="s">
        <v>369</v>
      </c>
      <c r="D1818" t="s">
        <v>3799</v>
      </c>
      <c r="E1818" t="s">
        <v>4068</v>
      </c>
      <c r="F1818" s="117" t="s">
        <v>4068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3747</v>
      </c>
      <c r="B1819" s="149" t="str">
        <f>IFERROR(VLOOKUP(Proc[[#This Row],[App]],Table2[],3,0),"open")</f>
        <v>ok</v>
      </c>
      <c r="C1819" s="93" t="s">
        <v>369</v>
      </c>
      <c r="D1819" t="s">
        <v>3800</v>
      </c>
      <c r="E1819" t="s">
        <v>4068</v>
      </c>
      <c r="F1819" s="117" t="s">
        <v>4068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3747</v>
      </c>
      <c r="B1820" s="149" t="str">
        <f>IFERROR(VLOOKUP(Proc[[#This Row],[App]],Table2[],3,0),"open")</f>
        <v>ok</v>
      </c>
      <c r="C1820" s="93" t="s">
        <v>369</v>
      </c>
      <c r="D1820" t="s">
        <v>3801</v>
      </c>
      <c r="E1820" t="s">
        <v>4068</v>
      </c>
      <c r="F1820" s="117" t="s">
        <v>4068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3747</v>
      </c>
      <c r="B1821" s="149" t="str">
        <f>IFERROR(VLOOKUP(Proc[[#This Row],[App]],Table2[],3,0),"open")</f>
        <v>ok</v>
      </c>
      <c r="C1821" s="93" t="s">
        <v>369</v>
      </c>
      <c r="D1821" t="s">
        <v>3802</v>
      </c>
      <c r="E1821" t="s">
        <v>4068</v>
      </c>
      <c r="F1821" s="117" t="s">
        <v>4068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3747</v>
      </c>
      <c r="B1822" s="149" t="str">
        <f>IFERROR(VLOOKUP(Proc[[#This Row],[App]],Table2[],3,0),"open")</f>
        <v>ok</v>
      </c>
      <c r="C1822" s="93" t="s">
        <v>369</v>
      </c>
      <c r="D1822" t="s">
        <v>3803</v>
      </c>
      <c r="E1822" t="s">
        <v>4068</v>
      </c>
      <c r="F1822" s="117" t="s">
        <v>4068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3747</v>
      </c>
      <c r="B1823" s="149" t="str">
        <f>IFERROR(VLOOKUP(Proc[[#This Row],[App]],Table2[],3,0),"open")</f>
        <v>ok</v>
      </c>
      <c r="C1823" s="93" t="s">
        <v>369</v>
      </c>
      <c r="D1823" t="s">
        <v>3804</v>
      </c>
      <c r="E1823" t="s">
        <v>4068</v>
      </c>
      <c r="F1823" s="117" t="s">
        <v>4068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3747</v>
      </c>
      <c r="B1824" s="149" t="str">
        <f>IFERROR(VLOOKUP(Proc[[#This Row],[App]],Table2[],3,0),"open")</f>
        <v>ok</v>
      </c>
      <c r="C1824" s="93" t="s">
        <v>369</v>
      </c>
      <c r="D1824" t="s">
        <v>3805</v>
      </c>
      <c r="E1824" t="s">
        <v>4068</v>
      </c>
      <c r="F1824" s="117" t="s">
        <v>4068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3747</v>
      </c>
      <c r="B1825" s="149" t="str">
        <f>IFERROR(VLOOKUP(Proc[[#This Row],[App]],Table2[],3,0),"open")</f>
        <v>ok</v>
      </c>
      <c r="C1825" s="93" t="s">
        <v>369</v>
      </c>
      <c r="D1825" t="s">
        <v>3806</v>
      </c>
      <c r="E1825" t="s">
        <v>4068</v>
      </c>
      <c r="F1825" s="117" t="s">
        <v>4068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3747</v>
      </c>
      <c r="B1826" s="149" t="str">
        <f>IFERROR(VLOOKUP(Proc[[#This Row],[App]],Table2[],3,0),"open")</f>
        <v>ok</v>
      </c>
      <c r="C1826" s="93" t="s">
        <v>369</v>
      </c>
      <c r="D1826" t="s">
        <v>3807</v>
      </c>
      <c r="E1826" t="s">
        <v>4068</v>
      </c>
      <c r="F1826" s="117" t="s">
        <v>4068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3747</v>
      </c>
      <c r="B1827" s="149" t="str">
        <f>IFERROR(VLOOKUP(Proc[[#This Row],[App]],Table2[],3,0),"open")</f>
        <v>ok</v>
      </c>
      <c r="C1827" s="93" t="s">
        <v>369</v>
      </c>
      <c r="D1827" t="s">
        <v>3808</v>
      </c>
      <c r="E1827" t="s">
        <v>4068</v>
      </c>
      <c r="F1827" s="117" t="s">
        <v>4068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3747</v>
      </c>
      <c r="B1828" s="149" t="str">
        <f>IFERROR(VLOOKUP(Proc[[#This Row],[App]],Table2[],3,0),"open")</f>
        <v>ok</v>
      </c>
      <c r="C1828" s="93" t="s">
        <v>369</v>
      </c>
      <c r="D1828" t="s">
        <v>3809</v>
      </c>
      <c r="E1828" t="s">
        <v>4068</v>
      </c>
      <c r="F1828" s="117" t="s">
        <v>4068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3747</v>
      </c>
      <c r="B1829" s="149" t="str">
        <f>IFERROR(VLOOKUP(Proc[[#This Row],[App]],Table2[],3,0),"open")</f>
        <v>ok</v>
      </c>
      <c r="C1829" s="93" t="s">
        <v>369</v>
      </c>
      <c r="D1829" t="s">
        <v>3810</v>
      </c>
      <c r="E1829" t="s">
        <v>4068</v>
      </c>
      <c r="F1829" s="117" t="s">
        <v>4068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3747</v>
      </c>
      <c r="B1830" s="149" t="str">
        <f>IFERROR(VLOOKUP(Proc[[#This Row],[App]],Table2[],3,0),"open")</f>
        <v>ok</v>
      </c>
      <c r="C1830" s="93" t="s">
        <v>369</v>
      </c>
      <c r="D1830" t="s">
        <v>3811</v>
      </c>
      <c r="E1830" t="s">
        <v>4068</v>
      </c>
      <c r="F1830" s="117" t="s">
        <v>4068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3747</v>
      </c>
      <c r="B1831" s="149" t="str">
        <f>IFERROR(VLOOKUP(Proc[[#This Row],[App]],Table2[],3,0),"open")</f>
        <v>ok</v>
      </c>
      <c r="C1831" s="93" t="s">
        <v>369</v>
      </c>
      <c r="D1831" t="s">
        <v>3812</v>
      </c>
      <c r="E1831" t="s">
        <v>4068</v>
      </c>
      <c r="F1831" s="117" t="s">
        <v>4068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3747</v>
      </c>
      <c r="B1832" s="149" t="str">
        <f>IFERROR(VLOOKUP(Proc[[#This Row],[App]],Table2[],3,0),"open")</f>
        <v>ok</v>
      </c>
      <c r="C1832" s="93" t="s">
        <v>369</v>
      </c>
      <c r="D1832" t="s">
        <v>3813</v>
      </c>
      <c r="E1832" t="s">
        <v>4068</v>
      </c>
      <c r="F1832" s="117" t="s">
        <v>4068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3747</v>
      </c>
      <c r="B1833" s="149" t="str">
        <f>IFERROR(VLOOKUP(Proc[[#This Row],[App]],Table2[],3,0),"open")</f>
        <v>ok</v>
      </c>
      <c r="C1833" s="93" t="s">
        <v>369</v>
      </c>
      <c r="D1833" t="s">
        <v>3814</v>
      </c>
      <c r="E1833" t="s">
        <v>4068</v>
      </c>
      <c r="F1833" s="117" t="s">
        <v>4068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3747</v>
      </c>
      <c r="B1834" s="149" t="str">
        <f>IFERROR(VLOOKUP(Proc[[#This Row],[App]],Table2[],3,0),"open")</f>
        <v>ok</v>
      </c>
      <c r="C1834" s="93" t="s">
        <v>369</v>
      </c>
      <c r="D1834" t="s">
        <v>3815</v>
      </c>
      <c r="E1834" t="s">
        <v>4068</v>
      </c>
      <c r="F1834" s="117" t="s">
        <v>4068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3747</v>
      </c>
      <c r="B1835" s="149" t="str">
        <f>IFERROR(VLOOKUP(Proc[[#This Row],[App]],Table2[],3,0),"open")</f>
        <v>ok</v>
      </c>
      <c r="C1835" s="93" t="s">
        <v>369</v>
      </c>
      <c r="D1835" t="s">
        <v>3816</v>
      </c>
      <c r="E1835" t="s">
        <v>4068</v>
      </c>
      <c r="F1835" s="117" t="s">
        <v>4068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3747</v>
      </c>
      <c r="B1836" s="149" t="str">
        <f>IFERROR(VLOOKUP(Proc[[#This Row],[App]],Table2[],3,0),"open")</f>
        <v>ok</v>
      </c>
      <c r="C1836" s="93" t="s">
        <v>369</v>
      </c>
      <c r="D1836" t="s">
        <v>3817</v>
      </c>
      <c r="E1836" t="s">
        <v>4068</v>
      </c>
      <c r="F1836" s="117" t="s">
        <v>4068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3747</v>
      </c>
      <c r="B1837" s="149" t="str">
        <f>IFERROR(VLOOKUP(Proc[[#This Row],[App]],Table2[],3,0),"open")</f>
        <v>ok</v>
      </c>
      <c r="C1837" s="93" t="s">
        <v>369</v>
      </c>
      <c r="D1837" t="s">
        <v>3818</v>
      </c>
      <c r="E1837" t="s">
        <v>4068</v>
      </c>
      <c r="F1837" s="117" t="s">
        <v>4068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3747</v>
      </c>
      <c r="B1838" s="149" t="str">
        <f>IFERROR(VLOOKUP(Proc[[#This Row],[App]],Table2[],3,0),"open")</f>
        <v>ok</v>
      </c>
      <c r="C1838" s="93" t="s">
        <v>369</v>
      </c>
      <c r="D1838" t="s">
        <v>3819</v>
      </c>
      <c r="E1838" t="s">
        <v>4068</v>
      </c>
      <c r="F1838" s="117" t="s">
        <v>4068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3747</v>
      </c>
      <c r="B1839" s="149" t="str">
        <f>IFERROR(VLOOKUP(Proc[[#This Row],[App]],Table2[],3,0),"open")</f>
        <v>ok</v>
      </c>
      <c r="C1839" s="93" t="s">
        <v>369</v>
      </c>
      <c r="D1839" t="s">
        <v>3820</v>
      </c>
      <c r="E1839" t="s">
        <v>4068</v>
      </c>
      <c r="F1839" s="117" t="s">
        <v>4068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3747</v>
      </c>
      <c r="B1840" s="149" t="str">
        <f>IFERROR(VLOOKUP(Proc[[#This Row],[App]],Table2[],3,0),"open")</f>
        <v>ok</v>
      </c>
      <c r="C1840" s="93" t="s">
        <v>369</v>
      </c>
      <c r="D1840" t="s">
        <v>3821</v>
      </c>
      <c r="E1840" t="s">
        <v>4068</v>
      </c>
      <c r="F1840" s="117" t="s">
        <v>4068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3747</v>
      </c>
      <c r="B1841" s="149" t="str">
        <f>IFERROR(VLOOKUP(Proc[[#This Row],[App]],Table2[],3,0),"open")</f>
        <v>ok</v>
      </c>
      <c r="C1841" s="93" t="s">
        <v>369</v>
      </c>
      <c r="D1841" t="s">
        <v>3822</v>
      </c>
      <c r="E1841" t="s">
        <v>4068</v>
      </c>
      <c r="F1841" s="117" t="s">
        <v>4068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3747</v>
      </c>
      <c r="B1842" s="149" t="str">
        <f>IFERROR(VLOOKUP(Proc[[#This Row],[App]],Table2[],3,0),"open")</f>
        <v>ok</v>
      </c>
      <c r="C1842" s="93" t="s">
        <v>369</v>
      </c>
      <c r="D1842" t="s">
        <v>3823</v>
      </c>
      <c r="E1842" t="s">
        <v>4068</v>
      </c>
      <c r="F1842" s="117" t="s">
        <v>4068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3747</v>
      </c>
      <c r="B1843" s="149" t="str">
        <f>IFERROR(VLOOKUP(Proc[[#This Row],[App]],Table2[],3,0),"open")</f>
        <v>ok</v>
      </c>
      <c r="C1843" s="93" t="s">
        <v>369</v>
      </c>
      <c r="D1843" t="s">
        <v>3824</v>
      </c>
      <c r="E1843" t="s">
        <v>4068</v>
      </c>
      <c r="F1843" s="117" t="s">
        <v>4068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3747</v>
      </c>
      <c r="B1844" s="149" t="str">
        <f>IFERROR(VLOOKUP(Proc[[#This Row],[App]],Table2[],3,0),"open")</f>
        <v>ok</v>
      </c>
      <c r="C1844" s="93" t="s">
        <v>369</v>
      </c>
      <c r="D1844" t="s">
        <v>3825</v>
      </c>
      <c r="E1844" t="s">
        <v>4068</v>
      </c>
      <c r="F1844" s="117" t="s">
        <v>4068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3747</v>
      </c>
      <c r="B1845" s="149" t="str">
        <f>IFERROR(VLOOKUP(Proc[[#This Row],[App]],Table2[],3,0),"open")</f>
        <v>ok</v>
      </c>
      <c r="C1845" s="93" t="s">
        <v>369</v>
      </c>
      <c r="D1845" t="s">
        <v>3826</v>
      </c>
      <c r="E1845" t="s">
        <v>4068</v>
      </c>
      <c r="F1845" s="117" t="s">
        <v>4068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3747</v>
      </c>
      <c r="B1846" s="149" t="str">
        <f>IFERROR(VLOOKUP(Proc[[#This Row],[App]],Table2[],3,0),"open")</f>
        <v>ok</v>
      </c>
      <c r="C1846" s="93" t="s">
        <v>369</v>
      </c>
      <c r="D1846" t="s">
        <v>3827</v>
      </c>
      <c r="E1846" t="s">
        <v>4068</v>
      </c>
      <c r="F1846" s="117" t="s">
        <v>4068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3747</v>
      </c>
      <c r="B1847" s="149" t="str">
        <f>IFERROR(VLOOKUP(Proc[[#This Row],[App]],Table2[],3,0),"open")</f>
        <v>ok</v>
      </c>
      <c r="C1847" s="93" t="s">
        <v>369</v>
      </c>
      <c r="D1847" t="s">
        <v>3828</v>
      </c>
      <c r="E1847" t="s">
        <v>4068</v>
      </c>
      <c r="F1847" s="117" t="s">
        <v>4068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3747</v>
      </c>
      <c r="B1848" s="149" t="str">
        <f>IFERROR(VLOOKUP(Proc[[#This Row],[App]],Table2[],3,0),"open")</f>
        <v>ok</v>
      </c>
      <c r="C1848" s="93" t="s">
        <v>369</v>
      </c>
      <c r="D1848" t="s">
        <v>3829</v>
      </c>
      <c r="E1848" t="s">
        <v>4068</v>
      </c>
      <c r="F1848" s="117" t="s">
        <v>4068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3747</v>
      </c>
      <c r="B1849" s="149" t="str">
        <f>IFERROR(VLOOKUP(Proc[[#This Row],[App]],Table2[],3,0),"open")</f>
        <v>ok</v>
      </c>
      <c r="C1849" s="93" t="s">
        <v>369</v>
      </c>
      <c r="D1849" t="s">
        <v>3830</v>
      </c>
      <c r="E1849" t="s">
        <v>2274</v>
      </c>
      <c r="F1849" s="117" t="s">
        <v>2274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3747</v>
      </c>
      <c r="B1850" s="149" t="str">
        <f>IFERROR(VLOOKUP(Proc[[#This Row],[App]],Table2[],3,0),"open")</f>
        <v>ok</v>
      </c>
      <c r="C1850" s="93" t="s">
        <v>369</v>
      </c>
      <c r="D1850" t="s">
        <v>3831</v>
      </c>
      <c r="E1850" t="s">
        <v>2274</v>
      </c>
      <c r="F1850" s="117" t="s">
        <v>2274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3747</v>
      </c>
      <c r="B1851" s="149" t="str">
        <f>IFERROR(VLOOKUP(Proc[[#This Row],[App]],Table2[],3,0),"open")</f>
        <v>ok</v>
      </c>
      <c r="C1851" s="93" t="s">
        <v>369</v>
      </c>
      <c r="D1851" t="s">
        <v>3832</v>
      </c>
      <c r="E1851" t="s">
        <v>2274</v>
      </c>
      <c r="F1851" s="117" t="s">
        <v>2274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3747</v>
      </c>
      <c r="B1852" s="149" t="str">
        <f>IFERROR(VLOOKUP(Proc[[#This Row],[App]],Table2[],3,0),"open")</f>
        <v>ok</v>
      </c>
      <c r="C1852" s="93" t="s">
        <v>369</v>
      </c>
      <c r="D1852" t="s">
        <v>3833</v>
      </c>
      <c r="E1852" t="s">
        <v>4068</v>
      </c>
      <c r="F1852" s="117" t="s">
        <v>4068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3747</v>
      </c>
      <c r="B1853" s="149" t="str">
        <f>IFERROR(VLOOKUP(Proc[[#This Row],[App]],Table2[],3,0),"open")</f>
        <v>ok</v>
      </c>
      <c r="C1853" s="93" t="s">
        <v>369</v>
      </c>
      <c r="D1853" t="s">
        <v>3834</v>
      </c>
      <c r="E1853" t="s">
        <v>4068</v>
      </c>
      <c r="F1853" s="117" t="s">
        <v>4068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3747</v>
      </c>
      <c r="B1854" s="149" t="str">
        <f>IFERROR(VLOOKUP(Proc[[#This Row],[App]],Table2[],3,0),"open")</f>
        <v>ok</v>
      </c>
      <c r="C1854" s="93" t="s">
        <v>369</v>
      </c>
      <c r="D1854" t="s">
        <v>3835</v>
      </c>
      <c r="E1854" t="s">
        <v>4068</v>
      </c>
      <c r="F1854" s="117" t="s">
        <v>4068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3747</v>
      </c>
      <c r="B1855" s="149" t="str">
        <f>IFERROR(VLOOKUP(Proc[[#This Row],[App]],Table2[],3,0),"open")</f>
        <v>ok</v>
      </c>
      <c r="C1855" s="93" t="s">
        <v>369</v>
      </c>
      <c r="D1855" t="s">
        <v>3836</v>
      </c>
      <c r="E1855" t="s">
        <v>4068</v>
      </c>
      <c r="F1855" s="117" t="s">
        <v>4068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3747</v>
      </c>
      <c r="B1856" s="149" t="str">
        <f>IFERROR(VLOOKUP(Proc[[#This Row],[App]],Table2[],3,0),"open")</f>
        <v>ok</v>
      </c>
      <c r="C1856" s="93" t="s">
        <v>369</v>
      </c>
      <c r="D1856" t="s">
        <v>3837</v>
      </c>
      <c r="E1856" t="s">
        <v>4068</v>
      </c>
      <c r="F1856" s="117" t="s">
        <v>4068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3747</v>
      </c>
      <c r="B1857" s="149" t="str">
        <f>IFERROR(VLOOKUP(Proc[[#This Row],[App]],Table2[],3,0),"open")</f>
        <v>ok</v>
      </c>
      <c r="C1857" s="93" t="s">
        <v>369</v>
      </c>
      <c r="D1857" t="s">
        <v>3838</v>
      </c>
      <c r="E1857" t="s">
        <v>4068</v>
      </c>
      <c r="F1857" s="117" t="s">
        <v>4068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3747</v>
      </c>
      <c r="B1858" s="149" t="str">
        <f>IFERROR(VLOOKUP(Proc[[#This Row],[App]],Table2[],3,0),"open")</f>
        <v>ok</v>
      </c>
      <c r="C1858" s="93" t="s">
        <v>369</v>
      </c>
      <c r="D1858" t="s">
        <v>3839</v>
      </c>
      <c r="E1858" t="s">
        <v>2274</v>
      </c>
      <c r="F1858" s="117" t="s">
        <v>2274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3747</v>
      </c>
      <c r="B1859" s="149" t="str">
        <f>IFERROR(VLOOKUP(Proc[[#This Row],[App]],Table2[],3,0),"open")</f>
        <v>ok</v>
      </c>
      <c r="C1859" s="93" t="s">
        <v>369</v>
      </c>
      <c r="D1859" t="s">
        <v>3840</v>
      </c>
      <c r="E1859" t="s">
        <v>4068</v>
      </c>
      <c r="F1859" s="117" t="s">
        <v>4068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3747</v>
      </c>
      <c r="B1860" s="149" t="str">
        <f>IFERROR(VLOOKUP(Proc[[#This Row],[App]],Table2[],3,0),"open")</f>
        <v>ok</v>
      </c>
      <c r="C1860" s="93" t="s">
        <v>369</v>
      </c>
      <c r="D1860" t="s">
        <v>3841</v>
      </c>
      <c r="E1860" t="s">
        <v>4068</v>
      </c>
      <c r="F1860" s="117" t="s">
        <v>4068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3747</v>
      </c>
      <c r="B1861" s="149" t="str">
        <f>IFERROR(VLOOKUP(Proc[[#This Row],[App]],Table2[],3,0),"open")</f>
        <v>ok</v>
      </c>
      <c r="C1861" s="93" t="s">
        <v>369</v>
      </c>
      <c r="D1861" t="s">
        <v>3842</v>
      </c>
      <c r="E1861" t="s">
        <v>4068</v>
      </c>
      <c r="F1861" s="117" t="s">
        <v>4068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3747</v>
      </c>
      <c r="B1862" s="149" t="str">
        <f>IFERROR(VLOOKUP(Proc[[#This Row],[App]],Table2[],3,0),"open")</f>
        <v>ok</v>
      </c>
      <c r="C1862" s="93" t="s">
        <v>369</v>
      </c>
      <c r="D1862" t="s">
        <v>3843</v>
      </c>
      <c r="E1862" t="s">
        <v>4068</v>
      </c>
      <c r="F1862" s="117" t="s">
        <v>4068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3747</v>
      </c>
      <c r="B1863" s="149" t="str">
        <f>IFERROR(VLOOKUP(Proc[[#This Row],[App]],Table2[],3,0),"open")</f>
        <v>ok</v>
      </c>
      <c r="C1863" s="93" t="s">
        <v>369</v>
      </c>
      <c r="D1863" t="s">
        <v>3844</v>
      </c>
      <c r="E1863" t="s">
        <v>4068</v>
      </c>
      <c r="F1863" s="117" t="s">
        <v>4068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3747</v>
      </c>
      <c r="B1864" s="149" t="str">
        <f>IFERROR(VLOOKUP(Proc[[#This Row],[App]],Table2[],3,0),"open")</f>
        <v>ok</v>
      </c>
      <c r="C1864" s="93" t="s">
        <v>369</v>
      </c>
      <c r="D1864" t="s">
        <v>3845</v>
      </c>
      <c r="E1864" t="s">
        <v>4068</v>
      </c>
      <c r="F1864" s="117" t="s">
        <v>4068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3747</v>
      </c>
      <c r="B1865" s="149" t="str">
        <f>IFERROR(VLOOKUP(Proc[[#This Row],[App]],Table2[],3,0),"open")</f>
        <v>ok</v>
      </c>
      <c r="C1865" s="93" t="s">
        <v>369</v>
      </c>
      <c r="D1865" t="s">
        <v>3846</v>
      </c>
      <c r="E1865" t="s">
        <v>4068</v>
      </c>
      <c r="F1865" s="117" t="s">
        <v>4068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3747</v>
      </c>
      <c r="B1866" s="149" t="str">
        <f>IFERROR(VLOOKUP(Proc[[#This Row],[App]],Table2[],3,0),"open")</f>
        <v>ok</v>
      </c>
      <c r="C1866" s="93" t="s">
        <v>369</v>
      </c>
      <c r="D1866" t="s">
        <v>3847</v>
      </c>
      <c r="E1866" t="s">
        <v>4068</v>
      </c>
      <c r="F1866" s="117" t="s">
        <v>4068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3747</v>
      </c>
      <c r="B1867" s="149" t="str">
        <f>IFERROR(VLOOKUP(Proc[[#This Row],[App]],Table2[],3,0),"open")</f>
        <v>ok</v>
      </c>
      <c r="C1867" s="93" t="s">
        <v>369</v>
      </c>
      <c r="D1867" t="s">
        <v>3848</v>
      </c>
      <c r="E1867" t="s">
        <v>4068</v>
      </c>
      <c r="F1867" s="117" t="s">
        <v>4068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3747</v>
      </c>
      <c r="B1868" s="149" t="str">
        <f>IFERROR(VLOOKUP(Proc[[#This Row],[App]],Table2[],3,0),"open")</f>
        <v>ok</v>
      </c>
      <c r="C1868" s="93" t="s">
        <v>369</v>
      </c>
      <c r="D1868" t="s">
        <v>3849</v>
      </c>
      <c r="E1868" t="s">
        <v>4068</v>
      </c>
      <c r="F1868" s="117" t="s">
        <v>4068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3747</v>
      </c>
      <c r="B1869" s="149" t="str">
        <f>IFERROR(VLOOKUP(Proc[[#This Row],[App]],Table2[],3,0),"open")</f>
        <v>ok</v>
      </c>
      <c r="C1869" s="93" t="s">
        <v>369</v>
      </c>
      <c r="D1869" t="s">
        <v>3850</v>
      </c>
      <c r="E1869" t="s">
        <v>4068</v>
      </c>
      <c r="F1869" s="117" t="s">
        <v>4068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3747</v>
      </c>
      <c r="B1870" s="149" t="str">
        <f>IFERROR(VLOOKUP(Proc[[#This Row],[App]],Table2[],3,0),"open")</f>
        <v>ok</v>
      </c>
      <c r="C1870" s="93" t="s">
        <v>369</v>
      </c>
      <c r="D1870" t="s">
        <v>3851</v>
      </c>
      <c r="E1870" t="s">
        <v>2274</v>
      </c>
      <c r="F1870" s="117" t="s">
        <v>2274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3747</v>
      </c>
      <c r="B1871" s="149" t="str">
        <f>IFERROR(VLOOKUP(Proc[[#This Row],[App]],Table2[],3,0),"open")</f>
        <v>ok</v>
      </c>
      <c r="C1871" s="93" t="s">
        <v>369</v>
      </c>
      <c r="D1871" t="s">
        <v>3852</v>
      </c>
      <c r="E1871" t="s">
        <v>4068</v>
      </c>
      <c r="F1871" s="117" t="s">
        <v>4068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3747</v>
      </c>
      <c r="B1872" s="149" t="str">
        <f>IFERROR(VLOOKUP(Proc[[#This Row],[App]],Table2[],3,0),"open")</f>
        <v>ok</v>
      </c>
      <c r="C1872" s="93" t="s">
        <v>369</v>
      </c>
      <c r="D1872" t="s">
        <v>3853</v>
      </c>
      <c r="E1872" t="s">
        <v>2274</v>
      </c>
      <c r="F1872" s="117" t="s">
        <v>2274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3747</v>
      </c>
      <c r="B1873" s="149" t="str">
        <f>IFERROR(VLOOKUP(Proc[[#This Row],[App]],Table2[],3,0),"open")</f>
        <v>ok</v>
      </c>
      <c r="C1873" s="93" t="s">
        <v>369</v>
      </c>
      <c r="D1873" t="s">
        <v>3854</v>
      </c>
      <c r="E1873" t="s">
        <v>4068</v>
      </c>
      <c r="F1873" s="117" t="s">
        <v>4068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3747</v>
      </c>
      <c r="B1874" s="149" t="str">
        <f>IFERROR(VLOOKUP(Proc[[#This Row],[App]],Table2[],3,0),"open")</f>
        <v>ok</v>
      </c>
      <c r="C1874" s="93" t="s">
        <v>369</v>
      </c>
      <c r="D1874" t="s">
        <v>3855</v>
      </c>
      <c r="E1874" t="s">
        <v>4068</v>
      </c>
      <c r="F1874" s="117" t="s">
        <v>4068</v>
      </c>
      <c r="G1874" s="93" t="s">
        <v>400</v>
      </c>
      <c r="H1874" s="94" t="str">
        <f>IF(Proc[[#This Row],[type]]="LFF (MDG-F)",MID(Proc[[#This Row],[Obj]],13,10),"")</f>
        <v/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>
        <v>45810</v>
      </c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/>
    </row>
    <row r="1875" spans="1:19" hidden="1">
      <c r="A1875" s="93" t="s">
        <v>3747</v>
      </c>
      <c r="B1875" s="149" t="str">
        <f>IFERROR(VLOOKUP(Proc[[#This Row],[App]],Table2[],3,0),"open")</f>
        <v>ok</v>
      </c>
      <c r="C1875" s="93" t="s">
        <v>369</v>
      </c>
      <c r="D1875" t="s">
        <v>3856</v>
      </c>
      <c r="E1875" t="s">
        <v>4068</v>
      </c>
      <c r="F1875" s="117" t="s">
        <v>4068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3747</v>
      </c>
      <c r="B1876" s="149" t="str">
        <f>IFERROR(VLOOKUP(Proc[[#This Row],[App]],Table2[],3,0),"open")</f>
        <v>ok</v>
      </c>
      <c r="C1876" s="93" t="s">
        <v>369</v>
      </c>
      <c r="D1876" t="s">
        <v>3857</v>
      </c>
      <c r="E1876" t="s">
        <v>4068</v>
      </c>
      <c r="F1876" s="117" t="s">
        <v>4068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3747</v>
      </c>
      <c r="B1877" s="149" t="str">
        <f>IFERROR(VLOOKUP(Proc[[#This Row],[App]],Table2[],3,0),"open")</f>
        <v>ok</v>
      </c>
      <c r="C1877" s="93" t="s">
        <v>369</v>
      </c>
      <c r="D1877" t="s">
        <v>3858</v>
      </c>
      <c r="E1877" t="s">
        <v>4068</v>
      </c>
      <c r="F1877" s="117" t="s">
        <v>4068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3747</v>
      </c>
      <c r="B1878" s="149" t="str">
        <f>IFERROR(VLOOKUP(Proc[[#This Row],[App]],Table2[],3,0),"open")</f>
        <v>ok</v>
      </c>
      <c r="C1878" s="93" t="s">
        <v>369</v>
      </c>
      <c r="D1878" t="s">
        <v>3859</v>
      </c>
      <c r="E1878" t="s">
        <v>4068</v>
      </c>
      <c r="F1878" s="117" t="s">
        <v>4068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3747</v>
      </c>
      <c r="B1879" s="149" t="str">
        <f>IFERROR(VLOOKUP(Proc[[#This Row],[App]],Table2[],3,0),"open")</f>
        <v>ok</v>
      </c>
      <c r="C1879" s="93" t="s">
        <v>369</v>
      </c>
      <c r="D1879" t="s">
        <v>3860</v>
      </c>
      <c r="E1879" t="s">
        <v>4068</v>
      </c>
      <c r="F1879" s="117" t="s">
        <v>4068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3747</v>
      </c>
      <c r="B1880" s="149" t="str">
        <f>IFERROR(VLOOKUP(Proc[[#This Row],[App]],Table2[],3,0),"open")</f>
        <v>ok</v>
      </c>
      <c r="C1880" s="93" t="s">
        <v>369</v>
      </c>
      <c r="D1880" t="s">
        <v>3861</v>
      </c>
      <c r="E1880" t="s">
        <v>4068</v>
      </c>
      <c r="F1880" s="117" t="s">
        <v>4068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3747</v>
      </c>
      <c r="B1881" s="149" t="str">
        <f>IFERROR(VLOOKUP(Proc[[#This Row],[App]],Table2[],3,0),"open")</f>
        <v>ok</v>
      </c>
      <c r="C1881" s="93" t="s">
        <v>369</v>
      </c>
      <c r="D1881" t="s">
        <v>3862</v>
      </c>
      <c r="E1881" t="s">
        <v>4068</v>
      </c>
      <c r="F1881" s="117" t="s">
        <v>4068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3747</v>
      </c>
      <c r="B1882" s="149" t="str">
        <f>IFERROR(VLOOKUP(Proc[[#This Row],[App]],Table2[],3,0),"open")</f>
        <v>ok</v>
      </c>
      <c r="C1882" s="93" t="s">
        <v>369</v>
      </c>
      <c r="D1882" t="s">
        <v>3863</v>
      </c>
      <c r="E1882" t="s">
        <v>4068</v>
      </c>
      <c r="F1882" s="117" t="s">
        <v>4068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3747</v>
      </c>
      <c r="B1883" s="149" t="str">
        <f>IFERROR(VLOOKUP(Proc[[#This Row],[App]],Table2[],3,0),"open")</f>
        <v>ok</v>
      </c>
      <c r="C1883" s="93" t="s">
        <v>369</v>
      </c>
      <c r="D1883" t="s">
        <v>3864</v>
      </c>
      <c r="E1883" t="s">
        <v>4068</v>
      </c>
      <c r="F1883" s="117" t="s">
        <v>4068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3747</v>
      </c>
      <c r="B1884" s="149" t="str">
        <f>IFERROR(VLOOKUP(Proc[[#This Row],[App]],Table2[],3,0),"open")</f>
        <v>ok</v>
      </c>
      <c r="C1884" s="93" t="s">
        <v>369</v>
      </c>
      <c r="D1884" t="s">
        <v>3865</v>
      </c>
      <c r="E1884" t="s">
        <v>4068</v>
      </c>
      <c r="F1884" s="117" t="s">
        <v>4068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3747</v>
      </c>
      <c r="B1885" s="149" t="str">
        <f>IFERROR(VLOOKUP(Proc[[#This Row],[App]],Table2[],3,0),"open")</f>
        <v>ok</v>
      </c>
      <c r="C1885" s="93" t="s">
        <v>369</v>
      </c>
      <c r="D1885" t="s">
        <v>3866</v>
      </c>
      <c r="E1885" t="s">
        <v>4068</v>
      </c>
      <c r="F1885" s="117" t="s">
        <v>4068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3747</v>
      </c>
      <c r="B1886" s="149" t="str">
        <f>IFERROR(VLOOKUP(Proc[[#This Row],[App]],Table2[],3,0),"open")</f>
        <v>ok</v>
      </c>
      <c r="C1886" s="93" t="s">
        <v>369</v>
      </c>
      <c r="D1886" t="s">
        <v>3867</v>
      </c>
      <c r="E1886" t="s">
        <v>4068</v>
      </c>
      <c r="F1886" s="117" t="s">
        <v>4068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3747</v>
      </c>
      <c r="B1887" s="149" t="str">
        <f>IFERROR(VLOOKUP(Proc[[#This Row],[App]],Table2[],3,0),"open")</f>
        <v>ok</v>
      </c>
      <c r="C1887" s="93" t="s">
        <v>369</v>
      </c>
      <c r="D1887" t="s">
        <v>3868</v>
      </c>
      <c r="E1887" t="s">
        <v>4068</v>
      </c>
      <c r="F1887" s="117" t="s">
        <v>4068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3747</v>
      </c>
      <c r="B1888" s="149" t="str">
        <f>IFERROR(VLOOKUP(Proc[[#This Row],[App]],Table2[],3,0),"open")</f>
        <v>ok</v>
      </c>
      <c r="C1888" s="93" t="s">
        <v>369</v>
      </c>
      <c r="D1888" t="s">
        <v>3869</v>
      </c>
      <c r="E1888" t="s">
        <v>4068</v>
      </c>
      <c r="F1888" s="117" t="s">
        <v>4068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3747</v>
      </c>
      <c r="B1889" s="149" t="str">
        <f>IFERROR(VLOOKUP(Proc[[#This Row],[App]],Table2[],3,0),"open")</f>
        <v>ok</v>
      </c>
      <c r="C1889" s="93" t="s">
        <v>369</v>
      </c>
      <c r="D1889" t="s">
        <v>3870</v>
      </c>
      <c r="E1889" t="s">
        <v>4068</v>
      </c>
      <c r="F1889" s="117" t="s">
        <v>4068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3747</v>
      </c>
      <c r="B1890" s="149" t="str">
        <f>IFERROR(VLOOKUP(Proc[[#This Row],[App]],Table2[],3,0),"open")</f>
        <v>ok</v>
      </c>
      <c r="C1890" s="93" t="s">
        <v>369</v>
      </c>
      <c r="D1890" t="s">
        <v>3871</v>
      </c>
      <c r="E1890" t="s">
        <v>4068</v>
      </c>
      <c r="F1890" s="117" t="s">
        <v>4068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3747</v>
      </c>
      <c r="B1891" s="149" t="str">
        <f>IFERROR(VLOOKUP(Proc[[#This Row],[App]],Table2[],3,0),"open")</f>
        <v>ok</v>
      </c>
      <c r="C1891" s="93" t="s">
        <v>369</v>
      </c>
      <c r="D1891" t="s">
        <v>3872</v>
      </c>
      <c r="E1891" t="s">
        <v>4068</v>
      </c>
      <c r="F1891" s="117" t="s">
        <v>4068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3747</v>
      </c>
      <c r="B1892" s="149" t="str">
        <f>IFERROR(VLOOKUP(Proc[[#This Row],[App]],Table2[],3,0),"open")</f>
        <v>ok</v>
      </c>
      <c r="C1892" s="93" t="s">
        <v>369</v>
      </c>
      <c r="D1892" t="s">
        <v>3873</v>
      </c>
      <c r="E1892" t="s">
        <v>4068</v>
      </c>
      <c r="F1892" s="117" t="s">
        <v>4068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3747</v>
      </c>
      <c r="B1893" s="149" t="str">
        <f>IFERROR(VLOOKUP(Proc[[#This Row],[App]],Table2[],3,0),"open")</f>
        <v>ok</v>
      </c>
      <c r="C1893" s="93" t="s">
        <v>369</v>
      </c>
      <c r="D1893" t="s">
        <v>3874</v>
      </c>
      <c r="E1893" t="s">
        <v>4068</v>
      </c>
      <c r="F1893" s="117" t="s">
        <v>4068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3747</v>
      </c>
      <c r="B1894" s="149" t="str">
        <f>IFERROR(VLOOKUP(Proc[[#This Row],[App]],Table2[],3,0),"open")</f>
        <v>ok</v>
      </c>
      <c r="C1894" s="93" t="s">
        <v>369</v>
      </c>
      <c r="D1894" t="s">
        <v>3875</v>
      </c>
      <c r="E1894" t="s">
        <v>4068</v>
      </c>
      <c r="F1894" s="117" t="s">
        <v>4068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3747</v>
      </c>
      <c r="B1895" s="149" t="str">
        <f>IFERROR(VLOOKUP(Proc[[#This Row],[App]],Table2[],3,0),"open")</f>
        <v>ok</v>
      </c>
      <c r="C1895" s="93" t="s">
        <v>369</v>
      </c>
      <c r="D1895" t="s">
        <v>3876</v>
      </c>
      <c r="E1895" t="s">
        <v>4068</v>
      </c>
      <c r="F1895" s="117" t="s">
        <v>4068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3747</v>
      </c>
      <c r="B1896" s="149" t="str">
        <f>IFERROR(VLOOKUP(Proc[[#This Row],[App]],Table2[],3,0),"open")</f>
        <v>ok</v>
      </c>
      <c r="C1896" s="93" t="s">
        <v>369</v>
      </c>
      <c r="D1896" t="s">
        <v>3877</v>
      </c>
      <c r="E1896" t="s">
        <v>4068</v>
      </c>
      <c r="F1896" s="117" t="s">
        <v>4068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3747</v>
      </c>
      <c r="B1897" s="149" t="str">
        <f>IFERROR(VLOOKUP(Proc[[#This Row],[App]],Table2[],3,0),"open")</f>
        <v>ok</v>
      </c>
      <c r="C1897" s="93" t="s">
        <v>369</v>
      </c>
      <c r="D1897" t="s">
        <v>3878</v>
      </c>
      <c r="E1897" t="s">
        <v>4068</v>
      </c>
      <c r="F1897" s="117" t="s">
        <v>4068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3747</v>
      </c>
      <c r="B1898" s="149" t="str">
        <f>IFERROR(VLOOKUP(Proc[[#This Row],[App]],Table2[],3,0),"open")</f>
        <v>ok</v>
      </c>
      <c r="C1898" s="93" t="s">
        <v>369</v>
      </c>
      <c r="D1898" t="s">
        <v>3879</v>
      </c>
      <c r="E1898" t="s">
        <v>4068</v>
      </c>
      <c r="F1898" s="117" t="s">
        <v>4068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3747</v>
      </c>
      <c r="B1899" s="149" t="str">
        <f>IFERROR(VLOOKUP(Proc[[#This Row],[App]],Table2[],3,0),"open")</f>
        <v>ok</v>
      </c>
      <c r="C1899" s="93" t="s">
        <v>369</v>
      </c>
      <c r="D1899" t="s">
        <v>3880</v>
      </c>
      <c r="E1899" t="s">
        <v>4068</v>
      </c>
      <c r="F1899" s="117" t="s">
        <v>4068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3747</v>
      </c>
      <c r="B1900" s="149" t="str">
        <f>IFERROR(VLOOKUP(Proc[[#This Row],[App]],Table2[],3,0),"open")</f>
        <v>ok</v>
      </c>
      <c r="C1900" s="93" t="s">
        <v>369</v>
      </c>
      <c r="D1900" t="s">
        <v>3881</v>
      </c>
      <c r="E1900" t="s">
        <v>2274</v>
      </c>
      <c r="F1900" s="117" t="s">
        <v>2274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3747</v>
      </c>
      <c r="B1901" s="149" t="str">
        <f>IFERROR(VLOOKUP(Proc[[#This Row],[App]],Table2[],3,0),"open")</f>
        <v>ok</v>
      </c>
      <c r="C1901" s="93" t="s">
        <v>369</v>
      </c>
      <c r="D1901" t="s">
        <v>3882</v>
      </c>
      <c r="E1901" t="s">
        <v>2274</v>
      </c>
      <c r="F1901" s="117" t="s">
        <v>2274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3747</v>
      </c>
      <c r="B1902" s="149" t="str">
        <f>IFERROR(VLOOKUP(Proc[[#This Row],[App]],Table2[],3,0),"open")</f>
        <v>ok</v>
      </c>
      <c r="C1902" s="93" t="s">
        <v>369</v>
      </c>
      <c r="D1902" t="s">
        <v>3883</v>
      </c>
      <c r="E1902" t="s">
        <v>4068</v>
      </c>
      <c r="F1902" s="117" t="s">
        <v>4068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3747</v>
      </c>
      <c r="B1903" s="149" t="str">
        <f>IFERROR(VLOOKUP(Proc[[#This Row],[App]],Table2[],3,0),"open")</f>
        <v>ok</v>
      </c>
      <c r="C1903" s="93" t="s">
        <v>369</v>
      </c>
      <c r="D1903" t="s">
        <v>3884</v>
      </c>
      <c r="E1903" t="s">
        <v>4068</v>
      </c>
      <c r="F1903" s="117" t="s">
        <v>4068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3747</v>
      </c>
      <c r="B1904" s="149" t="str">
        <f>IFERROR(VLOOKUP(Proc[[#This Row],[App]],Table2[],3,0),"open")</f>
        <v>ok</v>
      </c>
      <c r="C1904" s="93" t="s">
        <v>369</v>
      </c>
      <c r="D1904" t="s">
        <v>3885</v>
      </c>
      <c r="E1904" t="s">
        <v>4068</v>
      </c>
      <c r="F1904" s="117" t="s">
        <v>4068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3747</v>
      </c>
      <c r="B1905" s="149" t="str">
        <f>IFERROR(VLOOKUP(Proc[[#This Row],[App]],Table2[],3,0),"open")</f>
        <v>ok</v>
      </c>
      <c r="C1905" s="93" t="s">
        <v>369</v>
      </c>
      <c r="D1905" t="s">
        <v>3886</v>
      </c>
      <c r="E1905" t="s">
        <v>4068</v>
      </c>
      <c r="F1905" s="117" t="s">
        <v>4068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3747</v>
      </c>
      <c r="B1906" s="149" t="str">
        <f>IFERROR(VLOOKUP(Proc[[#This Row],[App]],Table2[],3,0),"open")</f>
        <v>ok</v>
      </c>
      <c r="C1906" s="93" t="s">
        <v>369</v>
      </c>
      <c r="D1906" t="s">
        <v>3887</v>
      </c>
      <c r="E1906" t="s">
        <v>4068</v>
      </c>
      <c r="F1906" s="117" t="s">
        <v>4068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3747</v>
      </c>
      <c r="B1907" s="149" t="str">
        <f>IFERROR(VLOOKUP(Proc[[#This Row],[App]],Table2[],3,0),"open")</f>
        <v>ok</v>
      </c>
      <c r="C1907" s="93" t="s">
        <v>369</v>
      </c>
      <c r="D1907" t="s">
        <v>3888</v>
      </c>
      <c r="E1907" t="s">
        <v>4068</v>
      </c>
      <c r="F1907" s="117" t="s">
        <v>4068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3747</v>
      </c>
      <c r="B1908" s="149" t="str">
        <f>IFERROR(VLOOKUP(Proc[[#This Row],[App]],Table2[],3,0),"open")</f>
        <v>ok</v>
      </c>
      <c r="C1908" s="93" t="s">
        <v>369</v>
      </c>
      <c r="D1908" t="s">
        <v>3889</v>
      </c>
      <c r="E1908" t="s">
        <v>4068</v>
      </c>
      <c r="F1908" s="117" t="s">
        <v>4068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3747</v>
      </c>
      <c r="B1909" s="149" t="str">
        <f>IFERROR(VLOOKUP(Proc[[#This Row],[App]],Table2[],3,0),"open")</f>
        <v>ok</v>
      </c>
      <c r="C1909" s="93" t="s">
        <v>369</v>
      </c>
      <c r="D1909" t="s">
        <v>3890</v>
      </c>
      <c r="E1909" t="s">
        <v>4068</v>
      </c>
      <c r="F1909" s="117" t="s">
        <v>4068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3747</v>
      </c>
      <c r="B1910" s="149" t="str">
        <f>IFERROR(VLOOKUP(Proc[[#This Row],[App]],Table2[],3,0),"open")</f>
        <v>ok</v>
      </c>
      <c r="C1910" s="93" t="s">
        <v>369</v>
      </c>
      <c r="D1910" t="s">
        <v>3891</v>
      </c>
      <c r="E1910" t="s">
        <v>4068</v>
      </c>
      <c r="F1910" s="117" t="s">
        <v>4068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3747</v>
      </c>
      <c r="B1911" s="149" t="str">
        <f>IFERROR(VLOOKUP(Proc[[#This Row],[App]],Table2[],3,0),"open")</f>
        <v>ok</v>
      </c>
      <c r="C1911" s="93" t="s">
        <v>369</v>
      </c>
      <c r="D1911" t="s">
        <v>3892</v>
      </c>
      <c r="E1911" t="s">
        <v>4068</v>
      </c>
      <c r="F1911" s="117" t="s">
        <v>4068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s="93" t="s">
        <v>3747</v>
      </c>
      <c r="B1912" s="149" t="str">
        <f>IFERROR(VLOOKUP(Proc[[#This Row],[App]],Table2[],3,0),"open")</f>
        <v>ok</v>
      </c>
      <c r="C1912" s="93" t="s">
        <v>369</v>
      </c>
      <c r="D1912" t="s">
        <v>3893</v>
      </c>
      <c r="E1912" t="s">
        <v>4068</v>
      </c>
      <c r="F1912" s="117" t="s">
        <v>4068</v>
      </c>
      <c r="G1912" s="93" t="s">
        <v>400</v>
      </c>
      <c r="H1912" s="94" t="str">
        <f>IF(Proc[[#This Row],[type]]="LFF (MDG-F)",MID(Proc[[#This Row],[Obj]],13,10),"")</f>
        <v/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>
        <v>45810</v>
      </c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/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3894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3895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3896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3897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3898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3899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3900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3901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3902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3903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3904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3905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3906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3907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3908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3909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3910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3911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3912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3913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3914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3915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3916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3917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3918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3919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3920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3921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3922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3923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3924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3925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3926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3927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3928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3929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3930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3931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3932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3933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3934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3935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3936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3937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3938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3939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3940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3941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3942</v>
      </c>
      <c r="E1961" t="s">
        <v>4068</v>
      </c>
      <c r="F1961" s="117" t="s">
        <v>4068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3943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3944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3945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3946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3947</v>
      </c>
      <c r="E1966" t="s">
        <v>2274</v>
      </c>
      <c r="F1966" s="117" t="s">
        <v>2274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3948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3949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3950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3951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3952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3953</v>
      </c>
      <c r="E1972" t="s">
        <v>2274</v>
      </c>
      <c r="F1972" s="117" t="s">
        <v>2274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3954</v>
      </c>
      <c r="E1973" t="s">
        <v>2274</v>
      </c>
      <c r="F1973" s="117" t="s">
        <v>2274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3955</v>
      </c>
      <c r="E1974" t="s">
        <v>2274</v>
      </c>
      <c r="F1974" s="117" t="s">
        <v>2274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3956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3957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3958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3959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3960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3961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3962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3963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3964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3965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3966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3967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3968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3969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3970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3971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3972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3973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3974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3975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3976</v>
      </c>
      <c r="E1995" t="s">
        <v>4068</v>
      </c>
      <c r="F1995" s="117" t="s">
        <v>4068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3977</v>
      </c>
      <c r="E1996" t="s">
        <v>4068</v>
      </c>
      <c r="F1996" s="117" t="s">
        <v>4068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3978</v>
      </c>
      <c r="E1997" t="s">
        <v>4068</v>
      </c>
      <c r="F1997" s="117" t="s">
        <v>4068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3979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3980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3981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3982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3983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3984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3985</v>
      </c>
      <c r="E2004" t="s">
        <v>4068</v>
      </c>
      <c r="F2004" s="117" t="s">
        <v>4068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3986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3987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3988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3989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3990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3991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3992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3993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3994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3995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3996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3997</v>
      </c>
      <c r="E2016" t="s">
        <v>4068</v>
      </c>
      <c r="F2016" s="117" t="s">
        <v>4068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3998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3999</v>
      </c>
      <c r="E2018" t="s">
        <v>4068</v>
      </c>
      <c r="F2018" s="117" t="s">
        <v>4068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4000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4001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4002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4003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4004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4005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4006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4007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4008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4009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4010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4011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4012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4013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4014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4015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4016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4017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4018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4019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4020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4021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4022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4023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4024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4025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4026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4027</v>
      </c>
      <c r="E2046" t="s">
        <v>4068</v>
      </c>
      <c r="F2046" s="117" t="s">
        <v>4068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4028</v>
      </c>
      <c r="E2047" t="s">
        <v>4068</v>
      </c>
      <c r="F2047" s="117" t="s">
        <v>4068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4029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4030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4031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4032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4033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4034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4035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4036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4037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4038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4039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4040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4041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4042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4043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4044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4045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4046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4047</v>
      </c>
      <c r="E2066" t="s">
        <v>2274</v>
      </c>
      <c r="F2066" s="117" t="s">
        <v>2274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4048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4049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4050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4051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4052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4053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4054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4055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4056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4057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4058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4059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4060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4061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4062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4063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4064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4065</v>
      </c>
      <c r="E2084" t="s">
        <v>2274</v>
      </c>
      <c r="F2084" s="117" t="s">
        <v>2274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t="s">
        <v>3624</v>
      </c>
      <c r="B2085" s="149" t="str">
        <f>IFERROR(VLOOKUP(Proc[[#This Row],[App]],Table2[],3,0),"open")</f>
        <v>ok</v>
      </c>
      <c r="C2085" s="93" t="s">
        <v>369</v>
      </c>
      <c r="D2085" t="s">
        <v>4072</v>
      </c>
      <c r="E2085" t="s">
        <v>3625</v>
      </c>
      <c r="F2085" s="117" t="s">
        <v>3625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1">
        <v>45806.441412037035</v>
      </c>
      <c r="N2085" s="91">
        <v>45810</v>
      </c>
      <c r="O2085" s="91">
        <v>45810</v>
      </c>
      <c r="P2085" s="95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2</v>
      </c>
      <c r="R2085" s="95" t="s">
        <v>478</v>
      </c>
      <c r="S2085" s="94"/>
    </row>
    <row r="2086" spans="1:19" hidden="1">
      <c r="A2086" t="s">
        <v>4074</v>
      </c>
      <c r="B2086" s="149" t="str">
        <f>IFERROR(VLOOKUP(Proc[[#This Row],[App]],Table2[],3,0),"open")</f>
        <v>ok</v>
      </c>
      <c r="C2086" t="s">
        <v>369</v>
      </c>
      <c r="D2086" t="s">
        <v>4075</v>
      </c>
      <c r="E2086" t="s">
        <v>1522</v>
      </c>
      <c r="F2086" s="117" t="s">
        <v>1522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LS</v>
      </c>
      <c r="L2086" s="125" t="s">
        <v>2563</v>
      </c>
      <c r="M2086" s="91">
        <v>45810.136655092596</v>
      </c>
      <c r="N2086" s="91">
        <v>45811</v>
      </c>
      <c r="O2086" s="91">
        <v>45811</v>
      </c>
      <c r="P2086" s="95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5" t="s">
        <v>489</v>
      </c>
      <c r="S2086" s="94"/>
    </row>
    <row r="2087" spans="1:19" hidden="1">
      <c r="A2087" t="s">
        <v>4076</v>
      </c>
      <c r="B2087" s="149" t="str">
        <f>IFERROR(VLOOKUP(Proc[[#This Row],[App]],Table2[],3,0),"open")</f>
        <v>ok</v>
      </c>
      <c r="C2087" t="s">
        <v>369</v>
      </c>
      <c r="D2087" t="s">
        <v>4077</v>
      </c>
      <c r="E2087" t="s">
        <v>2417</v>
      </c>
      <c r="F2087" s="117" t="s">
        <v>2417</v>
      </c>
      <c r="G2087" t="s">
        <v>406</v>
      </c>
      <c r="H2087" s="94" t="str">
        <f>IF(Proc[[#This Row],[type]]="LFF (MDG-F)",MID(Proc[[#This Row],[Obj]],13,10),"")</f>
        <v>CZ50GIT01D</v>
      </c>
      <c r="I2087" t="s">
        <v>4082</v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MGF</v>
      </c>
      <c r="L2087" s="125" t="s">
        <v>2563</v>
      </c>
      <c r="M2087" s="91">
        <v>45810.40115740741</v>
      </c>
      <c r="N2087" s="91">
        <v>45811</v>
      </c>
      <c r="O2087" s="91">
        <v>45811</v>
      </c>
      <c r="P2087" s="95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5" t="s">
        <v>515</v>
      </c>
      <c r="S2087" s="94"/>
    </row>
    <row r="2088" spans="1:19" hidden="1">
      <c r="A2088" s="93" t="s">
        <v>4076</v>
      </c>
      <c r="B2088" s="149" t="str">
        <f>IFERROR(VLOOKUP(Proc[[#This Row],[App]],Table2[],3,0),"open")</f>
        <v>ok</v>
      </c>
      <c r="C2088" s="93" t="s">
        <v>369</v>
      </c>
      <c r="D2088" t="s">
        <v>4078</v>
      </c>
      <c r="E2088" t="s">
        <v>2417</v>
      </c>
      <c r="F2088" s="117" t="s">
        <v>2417</v>
      </c>
      <c r="G2088" s="93" t="s">
        <v>406</v>
      </c>
      <c r="H2088" s="94" t="str">
        <f>IF(Proc[[#This Row],[type]]="LFF (MDG-F)",MID(Proc[[#This Row],[Obj]],13,10),"")</f>
        <v>CZ50GM1000</v>
      </c>
      <c r="I2088" s="93" t="s">
        <v>4082</v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MGF</v>
      </c>
      <c r="L2088" s="125" t="s">
        <v>2563</v>
      </c>
      <c r="M2088" s="91">
        <v>45810.40115740741</v>
      </c>
      <c r="N2088" s="91">
        <v>45811</v>
      </c>
      <c r="O2088" s="91">
        <v>45811</v>
      </c>
      <c r="P2088" s="95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5" t="s">
        <v>515</v>
      </c>
      <c r="S2088" s="94"/>
    </row>
    <row r="2089" spans="1:19" hidden="1">
      <c r="A2089" s="93" t="s">
        <v>4076</v>
      </c>
      <c r="B2089" s="149" t="str">
        <f>IFERROR(VLOOKUP(Proc[[#This Row],[App]],Table2[],3,0),"open")</f>
        <v>ok</v>
      </c>
      <c r="C2089" s="93" t="s">
        <v>369</v>
      </c>
      <c r="D2089" t="s">
        <v>4079</v>
      </c>
      <c r="E2089" t="s">
        <v>2417</v>
      </c>
      <c r="F2089" s="117" t="s">
        <v>2417</v>
      </c>
      <c r="G2089" s="93" t="s">
        <v>406</v>
      </c>
      <c r="H2089" s="94" t="str">
        <f>IF(Proc[[#This Row],[type]]="LFF (MDG-F)",MID(Proc[[#This Row],[Obj]],13,10),"")</f>
        <v>CZ50GIT01M</v>
      </c>
      <c r="I2089" s="93" t="s">
        <v>4082</v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MGF</v>
      </c>
      <c r="L2089" s="125" t="s">
        <v>2563</v>
      </c>
      <c r="M2089" s="91">
        <v>45810.40115740741</v>
      </c>
      <c r="N2089" s="91">
        <v>45811</v>
      </c>
      <c r="O2089" s="91">
        <v>45811</v>
      </c>
      <c r="P2089" s="95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5" t="s">
        <v>515</v>
      </c>
      <c r="S2089" s="94"/>
    </row>
    <row r="2090" spans="1:19" hidden="1">
      <c r="A2090" s="93" t="s">
        <v>4076</v>
      </c>
      <c r="B2090" s="149" t="str">
        <f>IFERROR(VLOOKUP(Proc[[#This Row],[App]],Table2[],3,0),"open")</f>
        <v>ok</v>
      </c>
      <c r="C2090" s="93" t="s">
        <v>369</v>
      </c>
      <c r="D2090" t="s">
        <v>4078</v>
      </c>
      <c r="E2090" t="s">
        <v>2417</v>
      </c>
      <c r="F2090" s="117" t="s">
        <v>2417</v>
      </c>
      <c r="G2090" s="93" t="s">
        <v>406</v>
      </c>
      <c r="H2090" s="94" t="str">
        <f>IF(Proc[[#This Row],[type]]="LFF (MDG-F)",MID(Proc[[#This Row],[Obj]],13,10),"")</f>
        <v>CZ50GM1000</v>
      </c>
      <c r="I2090" s="93" t="s">
        <v>4082</v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MGF</v>
      </c>
      <c r="L2090" s="125" t="s">
        <v>2563</v>
      </c>
      <c r="M2090" s="91">
        <v>45810.40115740741</v>
      </c>
      <c r="N2090" s="91">
        <v>45811</v>
      </c>
      <c r="O2090" s="91">
        <v>45811</v>
      </c>
      <c r="P2090" s="95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5" t="s">
        <v>515</v>
      </c>
      <c r="S2090" s="94"/>
    </row>
    <row r="2091" spans="1:19" hidden="1">
      <c r="A2091" s="93" t="s">
        <v>4076</v>
      </c>
      <c r="B2091" s="149" t="str">
        <f>IFERROR(VLOOKUP(Proc[[#This Row],[App]],Table2[],3,0),"open")</f>
        <v>ok</v>
      </c>
      <c r="C2091" s="93" t="s">
        <v>369</v>
      </c>
      <c r="D2091" t="s">
        <v>4080</v>
      </c>
      <c r="E2091" t="s">
        <v>2417</v>
      </c>
      <c r="F2091" s="117" t="s">
        <v>2417</v>
      </c>
      <c r="G2091" s="93" t="s">
        <v>406</v>
      </c>
      <c r="H2091" s="94" t="str">
        <f>IF(Proc[[#This Row],[type]]="LFF (MDG-F)",MID(Proc[[#This Row],[Obj]],13,10),"")</f>
        <v>CZ50OF0007</v>
      </c>
      <c r="I2091" s="93" t="s">
        <v>4082</v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MGF</v>
      </c>
      <c r="L2091" s="125" t="s">
        <v>2563</v>
      </c>
      <c r="M2091" s="91">
        <v>45810.40115740741</v>
      </c>
      <c r="N2091" s="91">
        <v>45811</v>
      </c>
      <c r="O2091" s="91">
        <v>45811</v>
      </c>
      <c r="P2091" s="95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5" t="s">
        <v>515</v>
      </c>
      <c r="S2091" s="94"/>
    </row>
    <row r="2092" spans="1:19" hidden="1">
      <c r="A2092" t="s">
        <v>4083</v>
      </c>
      <c r="B2092" s="149" t="str">
        <f>IFERROR(VLOOKUP(Proc[[#This Row],[App]],Table2[],3,0),"open")</f>
        <v>ok</v>
      </c>
      <c r="C2092" t="s">
        <v>369</v>
      </c>
      <c r="D2092" t="s">
        <v>4091</v>
      </c>
      <c r="E2092" t="s">
        <v>661</v>
      </c>
      <c r="F2092" s="117" t="s">
        <v>661</v>
      </c>
      <c r="G2092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MGF</v>
      </c>
      <c r="L2092" s="125" t="s">
        <v>2563</v>
      </c>
      <c r="M2092" s="91">
        <v>45810.524050925924</v>
      </c>
      <c r="N2092" s="91">
        <v>45811</v>
      </c>
      <c r="O2092" s="91">
        <v>45811</v>
      </c>
      <c r="P2092" s="95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5" t="s">
        <v>1459</v>
      </c>
      <c r="S2092" s="94"/>
    </row>
    <row r="2093" spans="1:19" hidden="1">
      <c r="A2093" s="93" t="s">
        <v>4083</v>
      </c>
      <c r="B2093" s="149" t="str">
        <f>IFERROR(VLOOKUP(Proc[[#This Row],[App]],Table2[],3,0),"open")</f>
        <v>ok</v>
      </c>
      <c r="C2093" s="93" t="s">
        <v>369</v>
      </c>
      <c r="D2093" t="s">
        <v>4084</v>
      </c>
      <c r="E2093" t="s">
        <v>2616</v>
      </c>
      <c r="F2093" s="117" t="s">
        <v>2616</v>
      </c>
      <c r="G2093" t="s">
        <v>406</v>
      </c>
      <c r="H2093" s="94" t="str">
        <f>IF(Proc[[#This Row],[type]]="LFF (MDG-F)",MID(Proc[[#This Row],[Obj]],13,10),"")</f>
        <v>CH75GIT060</v>
      </c>
      <c r="I2093" t="s">
        <v>4090</v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MGF</v>
      </c>
      <c r="L2093" s="125" t="s">
        <v>2563</v>
      </c>
      <c r="M2093" s="91">
        <v>45810.524050925924</v>
      </c>
      <c r="N2093" s="91">
        <v>45811</v>
      </c>
      <c r="O2093" s="91">
        <v>45811</v>
      </c>
      <c r="P2093" s="95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5" t="s">
        <v>1459</v>
      </c>
      <c r="S2093" s="94"/>
    </row>
    <row r="2094" spans="1:19" hidden="1">
      <c r="A2094" s="93" t="s">
        <v>4083</v>
      </c>
      <c r="B2094" s="149" t="str">
        <f>IFERROR(VLOOKUP(Proc[[#This Row],[App]],Table2[],3,0),"open")</f>
        <v>ok</v>
      </c>
      <c r="C2094" s="93" t="s">
        <v>369</v>
      </c>
      <c r="D2094" t="s">
        <v>4085</v>
      </c>
      <c r="E2094" t="s">
        <v>2334</v>
      </c>
      <c r="F2094" s="117" t="s">
        <v>2334</v>
      </c>
      <c r="G2094" s="93" t="s">
        <v>406</v>
      </c>
      <c r="H2094" s="94" t="str">
        <f>IF(Proc[[#This Row],[type]]="LFF (MDG-F)",MID(Proc[[#This Row],[Obj]],13,10),"")</f>
        <v>DE10653700</v>
      </c>
      <c r="I2094" s="93" t="s">
        <v>4090</v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MGF</v>
      </c>
      <c r="L2094" s="125" t="s">
        <v>2563</v>
      </c>
      <c r="M2094" s="91">
        <v>45810.524050925924</v>
      </c>
      <c r="N2094" s="91">
        <v>45811</v>
      </c>
      <c r="O2094" s="91">
        <v>45811</v>
      </c>
      <c r="P2094" s="95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5" t="s">
        <v>1459</v>
      </c>
      <c r="S2094" s="94"/>
    </row>
    <row r="2095" spans="1:19" hidden="1">
      <c r="A2095" s="93" t="s">
        <v>4083</v>
      </c>
      <c r="B2095" s="149" t="str">
        <f>IFERROR(VLOOKUP(Proc[[#This Row],[App]],Table2[],3,0),"open")</f>
        <v>ok</v>
      </c>
      <c r="C2095" s="93" t="s">
        <v>369</v>
      </c>
      <c r="D2095" t="s">
        <v>4086</v>
      </c>
      <c r="E2095" t="s">
        <v>2336</v>
      </c>
      <c r="F2095" s="117" t="s">
        <v>2336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MGF</v>
      </c>
      <c r="L2095" s="125" t="s">
        <v>2563</v>
      </c>
      <c r="M2095" s="91">
        <v>45810.524050925924</v>
      </c>
      <c r="N2095" s="91">
        <v>45811</v>
      </c>
      <c r="O2095" s="91">
        <v>45811</v>
      </c>
      <c r="P2095" s="95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5" t="s">
        <v>1459</v>
      </c>
      <c r="S2095" s="94"/>
    </row>
    <row r="2096" spans="1:19" hidden="1">
      <c r="A2096" s="93" t="s">
        <v>4083</v>
      </c>
      <c r="B2096" s="149" t="str">
        <f>IFERROR(VLOOKUP(Proc[[#This Row],[App]],Table2[],3,0),"open")</f>
        <v>ok</v>
      </c>
      <c r="C2096" s="93" t="s">
        <v>369</v>
      </c>
      <c r="D2096" t="s">
        <v>4087</v>
      </c>
      <c r="E2096" t="s">
        <v>2336</v>
      </c>
      <c r="F2096" s="117" t="s">
        <v>2336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MGF</v>
      </c>
      <c r="L2096" s="125" t="s">
        <v>2563</v>
      </c>
      <c r="M2096" s="91">
        <v>45810.524050925924</v>
      </c>
      <c r="N2096" s="91">
        <v>45811</v>
      </c>
      <c r="O2096" s="91">
        <v>45811</v>
      </c>
      <c r="P2096" s="95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5" t="s">
        <v>1459</v>
      </c>
      <c r="S2096" s="94"/>
    </row>
    <row r="2097" spans="1:19" hidden="1">
      <c r="A2097" s="93" t="s">
        <v>4083</v>
      </c>
      <c r="B2097" s="149" t="str">
        <f>IFERROR(VLOOKUP(Proc[[#This Row],[App]],Table2[],3,0),"open")</f>
        <v>ok</v>
      </c>
      <c r="C2097" s="93" t="s">
        <v>369</v>
      </c>
      <c r="D2097" t="s">
        <v>4088</v>
      </c>
      <c r="E2097" t="s">
        <v>2336</v>
      </c>
      <c r="F2097" s="117" t="s">
        <v>2336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MGF</v>
      </c>
      <c r="L2097" s="125" t="s">
        <v>2563</v>
      </c>
      <c r="M2097" s="91">
        <v>45810.524050925924</v>
      </c>
      <c r="N2097" s="91">
        <v>45811</v>
      </c>
      <c r="O2097" s="91">
        <v>45811</v>
      </c>
      <c r="P2097" s="95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5" t="s">
        <v>1459</v>
      </c>
      <c r="S2097" s="94"/>
    </row>
    <row r="2098" spans="1:19" hidden="1">
      <c r="A2098" s="93" t="s">
        <v>4083</v>
      </c>
      <c r="B2098" s="149" t="str">
        <f>IFERROR(VLOOKUP(Proc[[#This Row],[App]],Table2[],3,0),"open")</f>
        <v>ok</v>
      </c>
      <c r="C2098" s="93" t="s">
        <v>369</v>
      </c>
      <c r="D2098" t="s">
        <v>4089</v>
      </c>
      <c r="E2098" t="s">
        <v>425</v>
      </c>
      <c r="F2098" s="117" t="s">
        <v>425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MGF</v>
      </c>
      <c r="L2098" s="125" t="s">
        <v>2563</v>
      </c>
      <c r="M2098" s="91">
        <v>45810.524050925924</v>
      </c>
      <c r="N2098" s="91">
        <v>45811</v>
      </c>
      <c r="O2098" s="91">
        <v>45811</v>
      </c>
      <c r="P2098" s="95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5" t="s">
        <v>1459</v>
      </c>
      <c r="S2098" s="94"/>
    </row>
    <row r="2099" spans="1:19" hidden="1">
      <c r="A2099" t="s">
        <v>4092</v>
      </c>
      <c r="B2099" s="149" t="str">
        <f>IFERROR(VLOOKUP(Proc[[#This Row],[App]],Table2[],3,0),"open")</f>
        <v>ok</v>
      </c>
      <c r="C2099" t="s">
        <v>369</v>
      </c>
      <c r="D2099" t="s">
        <v>4093</v>
      </c>
      <c r="E2099" t="s">
        <v>4094</v>
      </c>
      <c r="F2099" s="117" t="s">
        <v>4094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1">
        <v>45811.460358796299</v>
      </c>
      <c r="N2099" s="91"/>
      <c r="O2099" s="91"/>
      <c r="P2099" s="95" t="str">
        <f ca="1">IF(Proc[[#This Row],[DaysAgeing]]&gt;5,"yep","on track")</f>
        <v>yep</v>
      </c>
      <c r="Q2099" s="3">
        <f ca="1">IF(Proc[[#This Row],[DateClosed]]="",ABS(NETWORKDAYS(Proc[[#This Row],[DateOpened]],TODAY()))-1,ABS(NETWORKDAYS(Proc[[#This Row],[DateOpened]],Proc[[#This Row],[DateClosed]]))-1)</f>
        <v>132</v>
      </c>
      <c r="R2099" s="95" t="s">
        <v>764</v>
      </c>
      <c r="S2099" s="94"/>
    </row>
    <row r="2100" spans="1:19" hidden="1">
      <c r="A2100" t="s">
        <v>4097</v>
      </c>
      <c r="B2100" s="149" t="str">
        <f>IFERROR(VLOOKUP(Proc[[#This Row],[App]],Table2[],3,0),"open")</f>
        <v>ok</v>
      </c>
      <c r="C2100" s="97" t="s">
        <v>369</v>
      </c>
      <c r="D2100" s="97" t="s">
        <v>4095</v>
      </c>
      <c r="E2100" s="97" t="s">
        <v>4096</v>
      </c>
      <c r="F2100" s="117" t="s">
        <v>4096</v>
      </c>
      <c r="G2100" s="97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MGF</v>
      </c>
      <c r="L2100" s="125" t="s">
        <v>2563</v>
      </c>
      <c r="M2100" s="95">
        <v>45811.460358796299</v>
      </c>
      <c r="N2100" s="96"/>
      <c r="O2100" s="96"/>
      <c r="P2100" s="95" t="str">
        <f ca="1">IF(Proc[[#This Row],[DaysAgeing]]&gt;5,"yep","on track")</f>
        <v>yep</v>
      </c>
      <c r="Q2100" s="3">
        <f ca="1">IF(Proc[[#This Row],[DateClosed]]="",ABS(NETWORKDAYS(Proc[[#This Row],[DateOpened]],TODAY()))-1,ABS(NETWORKDAYS(Proc[[#This Row],[DateOpened]],Proc[[#This Row],[DateClosed]]))-1)</f>
        <v>132</v>
      </c>
      <c r="R2100" s="95" t="s">
        <v>515</v>
      </c>
      <c r="S2100" s="94"/>
    </row>
    <row r="2101" spans="1:19" hidden="1">
      <c r="A2101" t="s">
        <v>4098</v>
      </c>
      <c r="B2101" s="149" t="str">
        <f>IFERROR(VLOOKUP(Proc[[#This Row],[App]],Table2[],3,0),"open")</f>
        <v>ok</v>
      </c>
      <c r="C2101" s="103" t="s">
        <v>369</v>
      </c>
      <c r="D2101" t="s">
        <v>4099</v>
      </c>
      <c r="E2101" t="s">
        <v>4100</v>
      </c>
      <c r="F2101" s="117" t="s">
        <v>4100</v>
      </c>
      <c r="G2101" s="97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LS</v>
      </c>
      <c r="L2101" s="125" t="s">
        <v>2563</v>
      </c>
      <c r="M2101" s="95">
        <v>45811.460358796299</v>
      </c>
      <c r="N2101" s="96">
        <v>45819</v>
      </c>
      <c r="O2101" s="100">
        <v>45819</v>
      </c>
      <c r="P2101" s="95" t="str">
        <f ca="1">IF(Proc[[#This Row],[DaysAgeing]]&gt;5,"yep","on track")</f>
        <v>yep</v>
      </c>
      <c r="Q2101" s="3">
        <f ca="1">IF(Proc[[#This Row],[DateClosed]]="",ABS(NETWORKDAYS(Proc[[#This Row],[DateOpened]],TODAY()))-1,ABS(NETWORKDAYS(Proc[[#This Row],[DateOpened]],Proc[[#This Row],[DateClosed]]))-1)</f>
        <v>6</v>
      </c>
      <c r="R2101" s="95" t="s">
        <v>489</v>
      </c>
      <c r="S2101" s="94"/>
    </row>
    <row r="2102" spans="1:19" hidden="1">
      <c r="A2102" t="s">
        <v>4103</v>
      </c>
      <c r="B2102" s="149" t="str">
        <f>IFERROR(VLOOKUP(Proc[[#This Row],[App]],Table2[],3,0),"open")</f>
        <v>ok</v>
      </c>
      <c r="C2102" s="97" t="s">
        <v>369</v>
      </c>
      <c r="D2102" t="s">
        <v>4104</v>
      </c>
      <c r="E2102" t="s">
        <v>1236</v>
      </c>
      <c r="F2102" s="117" t="s">
        <v>1236</v>
      </c>
      <c r="G2102" s="97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LS</v>
      </c>
      <c r="L2102" s="125" t="s">
        <v>2563</v>
      </c>
      <c r="M2102" s="95">
        <v>45811.460358796299</v>
      </c>
      <c r="N2102" s="100">
        <v>45819</v>
      </c>
      <c r="O2102" s="100">
        <v>45819</v>
      </c>
      <c r="P2102" s="95" t="str">
        <f ca="1">IF(Proc[[#This Row],[DaysAgeing]]&gt;5,"yep","on track")</f>
        <v>yep</v>
      </c>
      <c r="Q2102" s="3">
        <f ca="1">IF(Proc[[#This Row],[DateClosed]]="",ABS(NETWORKDAYS(Proc[[#This Row],[DateOpened]],TODAY()))-1,ABS(NETWORKDAYS(Proc[[#This Row],[DateOpened]],Proc[[#This Row],[DateClosed]]))-1)</f>
        <v>6</v>
      </c>
      <c r="R2102" s="95" t="s">
        <v>489</v>
      </c>
      <c r="S2102" s="94"/>
    </row>
    <row r="2103" spans="1:19" hidden="1">
      <c r="A2103" t="s">
        <v>4103</v>
      </c>
      <c r="B2103" s="149" t="str">
        <f>IFERROR(VLOOKUP(Proc[[#This Row],[App]],Table2[],3,0),"open")</f>
        <v>ok</v>
      </c>
      <c r="C2103" s="97" t="s">
        <v>377</v>
      </c>
      <c r="D2103" t="s">
        <v>4101</v>
      </c>
      <c r="E2103" t="s">
        <v>4102</v>
      </c>
      <c r="F2103" s="103" t="s">
        <v>4102</v>
      </c>
      <c r="G2103" s="97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LS</v>
      </c>
      <c r="L2103" s="125" t="s">
        <v>2563</v>
      </c>
      <c r="M2103" s="95">
        <v>45811.460358796299</v>
      </c>
      <c r="N2103" s="96"/>
      <c r="O2103" s="96">
        <v>45819</v>
      </c>
      <c r="P2103" s="95" t="str">
        <f ca="1">IF(Proc[[#This Row],[DaysAgeing]]&gt;5,"yep","on track")</f>
        <v>yep</v>
      </c>
      <c r="Q2103" s="3">
        <f ca="1">IF(Proc[[#This Row],[DateClosed]]="",ABS(NETWORKDAYS(Proc[[#This Row],[DateOpened]],TODAY()))-1,ABS(NETWORKDAYS(Proc[[#This Row],[DateOpened]],Proc[[#This Row],[DateClosed]]))-1)</f>
        <v>6</v>
      </c>
      <c r="R2103" s="95" t="s">
        <v>489</v>
      </c>
      <c r="S2103" s="94" t="e">
        <f>VLOOKUP(Proc[[#This Row],[Obj]],#REF!,2,0)</f>
        <v>#REF!</v>
      </c>
    </row>
    <row r="2104" spans="1:19" hidden="1">
      <c r="A2104" t="s">
        <v>4115</v>
      </c>
      <c r="B2104" s="149" t="str">
        <f>IFERROR(VLOOKUP(Proc[[#This Row],[App]],Table2[],3,0),"open")</f>
        <v>ok</v>
      </c>
      <c r="C2104" s="103" t="s">
        <v>369</v>
      </c>
      <c r="D2104" t="s">
        <v>4105</v>
      </c>
      <c r="E2104" t="s">
        <v>4113</v>
      </c>
      <c r="F2104" s="117" t="s">
        <v>4113</v>
      </c>
      <c r="G2104" t="s">
        <v>406</v>
      </c>
      <c r="H2104" s="94" t="str">
        <f>IF(Proc[[#This Row],[type]]="LFF (MDG-F)",MID(Proc[[#This Row],[Obj]],13,10),"")</f>
        <v>DE20538353</v>
      </c>
      <c r="I2104" t="s">
        <v>4116</v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MGF</v>
      </c>
      <c r="L2104" s="125" t="s">
        <v>2563</v>
      </c>
      <c r="M2104" s="96">
        <v>45814.369039351855</v>
      </c>
      <c r="N2104" s="100">
        <v>45819</v>
      </c>
      <c r="O2104" s="100">
        <v>45819</v>
      </c>
      <c r="P2104" s="98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3</v>
      </c>
      <c r="R2104" s="98" t="s">
        <v>481</v>
      </c>
      <c r="S2104" s="94"/>
    </row>
    <row r="2105" spans="1:19" hidden="1">
      <c r="A2105" s="97" t="s">
        <v>4115</v>
      </c>
      <c r="B2105" s="149" t="str">
        <f>IFERROR(VLOOKUP(Proc[[#This Row],[App]],Table2[],3,0),"open")</f>
        <v>ok</v>
      </c>
      <c r="C2105" s="103" t="s">
        <v>369</v>
      </c>
      <c r="D2105" t="s">
        <v>4106</v>
      </c>
      <c r="E2105" t="s">
        <v>4114</v>
      </c>
      <c r="F2105" s="117" t="s">
        <v>4114</v>
      </c>
      <c r="G2105" s="97" t="s">
        <v>406</v>
      </c>
      <c r="H2105" s="94" t="str">
        <f>IF(Proc[[#This Row],[type]]="LFF (MDG-F)",MID(Proc[[#This Row],[Obj]],13,10),"")</f>
        <v>DE10538353</v>
      </c>
      <c r="I2105" s="97" t="s">
        <v>4116</v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MGF</v>
      </c>
      <c r="L2105" s="125" t="s">
        <v>2563</v>
      </c>
      <c r="M2105" s="96">
        <v>45814.369039351855</v>
      </c>
      <c r="N2105" s="100">
        <v>45819</v>
      </c>
      <c r="O2105" s="100">
        <v>45819</v>
      </c>
      <c r="P2105" s="98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3</v>
      </c>
      <c r="R2105" s="98" t="s">
        <v>481</v>
      </c>
      <c r="S2105" s="94"/>
    </row>
    <row r="2106" spans="1:19" hidden="1">
      <c r="A2106" s="97" t="s">
        <v>4115</v>
      </c>
      <c r="B2106" s="149" t="str">
        <f>IFERROR(VLOOKUP(Proc[[#This Row],[App]],Table2[],3,0),"open")</f>
        <v>ok</v>
      </c>
      <c r="C2106" s="103" t="s">
        <v>369</v>
      </c>
      <c r="D2106" t="s">
        <v>4107</v>
      </c>
      <c r="E2106" t="s">
        <v>3382</v>
      </c>
      <c r="F2106" s="117" t="s">
        <v>3382</v>
      </c>
      <c r="G2106" s="97" t="s">
        <v>406</v>
      </c>
      <c r="H2106" s="94" t="str">
        <f>IF(Proc[[#This Row],[type]]="LFF (MDG-F)",MID(Proc[[#This Row],[Obj]],13,10),"")</f>
        <v>DE10538602</v>
      </c>
      <c r="I2106" s="97" t="s">
        <v>4116</v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MGF</v>
      </c>
      <c r="L2106" s="125" t="s">
        <v>2563</v>
      </c>
      <c r="M2106" s="96">
        <v>45814.369039351855</v>
      </c>
      <c r="N2106" s="100">
        <v>45819</v>
      </c>
      <c r="O2106" s="100">
        <v>45819</v>
      </c>
      <c r="P2106" s="98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3</v>
      </c>
      <c r="R2106" s="98" t="s">
        <v>481</v>
      </c>
      <c r="S2106" s="94"/>
    </row>
    <row r="2107" spans="1:19" hidden="1">
      <c r="A2107" s="97" t="s">
        <v>4115</v>
      </c>
      <c r="B2107" s="149" t="str">
        <f>IFERROR(VLOOKUP(Proc[[#This Row],[App]],Table2[],3,0),"open")</f>
        <v>ok</v>
      </c>
      <c r="C2107" s="103" t="s">
        <v>369</v>
      </c>
      <c r="D2107" t="s">
        <v>4108</v>
      </c>
      <c r="E2107" t="s">
        <v>3382</v>
      </c>
      <c r="F2107" s="117" t="s">
        <v>3382</v>
      </c>
      <c r="G2107" s="97" t="s">
        <v>406</v>
      </c>
      <c r="H2107" s="94" t="str">
        <f>IF(Proc[[#This Row],[type]]="LFF (MDG-F)",MID(Proc[[#This Row],[Obj]],13,10),"")</f>
        <v>DE10538603</v>
      </c>
      <c r="I2107" s="97" t="s">
        <v>4116</v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MGF</v>
      </c>
      <c r="L2107" s="125" t="s">
        <v>2563</v>
      </c>
      <c r="M2107" s="96">
        <v>45814.369039351855</v>
      </c>
      <c r="N2107" s="100">
        <v>45819</v>
      </c>
      <c r="O2107" s="100">
        <v>45819</v>
      </c>
      <c r="P2107" s="98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3</v>
      </c>
      <c r="R2107" s="98" t="s">
        <v>481</v>
      </c>
      <c r="S2107" s="94"/>
    </row>
    <row r="2108" spans="1:19" hidden="1">
      <c r="A2108" s="97" t="s">
        <v>4115</v>
      </c>
      <c r="B2108" s="149" t="str">
        <f>IFERROR(VLOOKUP(Proc[[#This Row],[App]],Table2[],3,0),"open")</f>
        <v>ok</v>
      </c>
      <c r="C2108" s="103" t="s">
        <v>369</v>
      </c>
      <c r="D2108" t="s">
        <v>4109</v>
      </c>
      <c r="E2108" t="s">
        <v>3382</v>
      </c>
      <c r="F2108" s="117" t="s">
        <v>3382</v>
      </c>
      <c r="G2108" s="97" t="s">
        <v>406</v>
      </c>
      <c r="H2108" s="94" t="str">
        <f>IF(Proc[[#This Row],[type]]="LFF (MDG-F)",MID(Proc[[#This Row],[Obj]],13,10),"")</f>
        <v>DE10538604</v>
      </c>
      <c r="I2108" s="97" t="s">
        <v>4116</v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MGF</v>
      </c>
      <c r="L2108" s="125" t="s">
        <v>2563</v>
      </c>
      <c r="M2108" s="96">
        <v>45814.369039351855</v>
      </c>
      <c r="N2108" s="100">
        <v>45819</v>
      </c>
      <c r="O2108" s="100">
        <v>45819</v>
      </c>
      <c r="P2108" s="98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3</v>
      </c>
      <c r="R2108" s="98" t="s">
        <v>481</v>
      </c>
      <c r="S2108" s="94"/>
    </row>
    <row r="2109" spans="1:19" hidden="1">
      <c r="A2109" s="97" t="s">
        <v>4115</v>
      </c>
      <c r="B2109" s="149" t="str">
        <f>IFERROR(VLOOKUP(Proc[[#This Row],[App]],Table2[],3,0),"open")</f>
        <v>ok</v>
      </c>
      <c r="C2109" s="103" t="s">
        <v>369</v>
      </c>
      <c r="D2109" t="s">
        <v>4110</v>
      </c>
      <c r="E2109" t="s">
        <v>3381</v>
      </c>
      <c r="F2109" s="117" t="s">
        <v>3381</v>
      </c>
      <c r="G2109" s="97" t="s">
        <v>406</v>
      </c>
      <c r="H2109" s="94" t="str">
        <f>IF(Proc[[#This Row],[type]]="LFF (MDG-F)",MID(Proc[[#This Row],[Obj]],13,10),"")</f>
        <v>DE20538602</v>
      </c>
      <c r="I2109" s="97" t="s">
        <v>4116</v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MGF</v>
      </c>
      <c r="L2109" s="125" t="s">
        <v>2563</v>
      </c>
      <c r="M2109" s="96">
        <v>45814.369039351855</v>
      </c>
      <c r="N2109" s="100">
        <v>45819</v>
      </c>
      <c r="O2109" s="100">
        <v>45819</v>
      </c>
      <c r="P2109" s="98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3</v>
      </c>
      <c r="R2109" s="98" t="s">
        <v>481</v>
      </c>
      <c r="S2109" s="94"/>
    </row>
    <row r="2110" spans="1:19" hidden="1">
      <c r="A2110" s="97" t="s">
        <v>4115</v>
      </c>
      <c r="B2110" s="149" t="str">
        <f>IFERROR(VLOOKUP(Proc[[#This Row],[App]],Table2[],3,0),"open")</f>
        <v>ok</v>
      </c>
      <c r="C2110" s="103" t="s">
        <v>369</v>
      </c>
      <c r="D2110" t="s">
        <v>4111</v>
      </c>
      <c r="E2110" t="s">
        <v>3381</v>
      </c>
      <c r="F2110" s="117" t="s">
        <v>3381</v>
      </c>
      <c r="G2110" s="97" t="s">
        <v>406</v>
      </c>
      <c r="H2110" s="94" t="str">
        <f>IF(Proc[[#This Row],[type]]="LFF (MDG-F)",MID(Proc[[#This Row],[Obj]],13,10),"")</f>
        <v>DE20538603</v>
      </c>
      <c r="I2110" s="97" t="s">
        <v>4116</v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MGF</v>
      </c>
      <c r="L2110" s="125" t="s">
        <v>2563</v>
      </c>
      <c r="M2110" s="96">
        <v>45814.369039351855</v>
      </c>
      <c r="N2110" s="100">
        <v>45819</v>
      </c>
      <c r="O2110" s="100">
        <v>45819</v>
      </c>
      <c r="P2110" s="98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3</v>
      </c>
      <c r="R2110" s="98" t="s">
        <v>481</v>
      </c>
      <c r="S2110" s="94"/>
    </row>
    <row r="2111" spans="1:19" hidden="1">
      <c r="A2111" s="97" t="s">
        <v>4115</v>
      </c>
      <c r="B2111" s="149" t="str">
        <f>IFERROR(VLOOKUP(Proc[[#This Row],[App]],Table2[],3,0),"open")</f>
        <v>ok</v>
      </c>
      <c r="C2111" s="103" t="s">
        <v>369</v>
      </c>
      <c r="D2111" t="s">
        <v>4112</v>
      </c>
      <c r="E2111" t="s">
        <v>3381</v>
      </c>
      <c r="F2111" s="117" t="s">
        <v>3381</v>
      </c>
      <c r="G2111" s="97" t="s">
        <v>406</v>
      </c>
      <c r="H2111" s="94" t="str">
        <f>IF(Proc[[#This Row],[type]]="LFF (MDG-F)",MID(Proc[[#This Row],[Obj]],13,10),"")</f>
        <v>DE20538604</v>
      </c>
      <c r="I2111" s="97" t="s">
        <v>4116</v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MGF</v>
      </c>
      <c r="L2111" s="125" t="s">
        <v>2563</v>
      </c>
      <c r="M2111" s="96">
        <v>45814.369039351855</v>
      </c>
      <c r="N2111" s="100">
        <v>45819</v>
      </c>
      <c r="O2111" s="100">
        <v>45819</v>
      </c>
      <c r="P2111" s="98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3</v>
      </c>
      <c r="R2111" s="98" t="s">
        <v>481</v>
      </c>
      <c r="S2111" s="94"/>
    </row>
    <row r="2112" spans="1:19" hidden="1">
      <c r="A2112" t="s">
        <v>4118</v>
      </c>
      <c r="B2112" s="149" t="str">
        <f>IFERROR(VLOOKUP(Proc[[#This Row],[App]],Table2[],3,0),"open")</f>
        <v>ok</v>
      </c>
      <c r="C2112" s="103" t="s">
        <v>369</v>
      </c>
      <c r="D2112" s="99" t="s">
        <v>4117</v>
      </c>
      <c r="E2112" t="s">
        <v>4100</v>
      </c>
      <c r="F2112" s="117" t="s">
        <v>4100</v>
      </c>
      <c r="G2112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LS</v>
      </c>
      <c r="L2112" s="125" t="s">
        <v>2563</v>
      </c>
      <c r="M2112" s="98">
        <v>45818.369039351855</v>
      </c>
      <c r="N2112" s="100">
        <v>45819</v>
      </c>
      <c r="O2112" s="100">
        <v>45819</v>
      </c>
      <c r="P2112" s="98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8" t="s">
        <v>489</v>
      </c>
      <c r="S2112" s="94"/>
    </row>
    <row r="2113" spans="1:19" hidden="1">
      <c r="A2113" t="s">
        <v>4119</v>
      </c>
      <c r="B2113" s="149" t="str">
        <f>IFERROR(VLOOKUP(Proc[[#This Row],[App]],Table2[],3,0),"open")</f>
        <v>ok</v>
      </c>
      <c r="C2113" s="103" t="s">
        <v>369</v>
      </c>
      <c r="D2113" s="101" t="s">
        <v>4179</v>
      </c>
      <c r="E2113" t="s">
        <v>4120</v>
      </c>
      <c r="F2113" s="117" t="s">
        <v>4120</v>
      </c>
      <c r="G2113" s="101" t="s">
        <v>406</v>
      </c>
      <c r="H2113" s="94" t="str">
        <f>IF(Proc[[#This Row],[type]]="LFF (MDG-F)",MID(Proc[[#This Row],[Obj]],13,10),"")</f>
        <v>DE10594600</v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MGF</v>
      </c>
      <c r="L2113" s="94" t="s">
        <v>2563</v>
      </c>
      <c r="M2113" s="98">
        <v>45818.369039351855</v>
      </c>
      <c r="N2113" s="100"/>
      <c r="O2113" s="100"/>
      <c r="P2113" s="98" t="str">
        <f ca="1">IF(Proc[[#This Row],[DaysAgeing]]&gt;5,"yep","on track")</f>
        <v>yep</v>
      </c>
      <c r="Q2113" s="3">
        <f ca="1">IF(Proc[[#This Row],[DateClosed]]="",ABS(NETWORKDAYS(Proc[[#This Row],[DateOpened]],TODAY()))-1,ABS(NETWORKDAYS(Proc[[#This Row],[DateOpened]],Proc[[#This Row],[DateClosed]]))-1)</f>
        <v>127</v>
      </c>
      <c r="R2113" s="98" t="s">
        <v>515</v>
      </c>
      <c r="S2113" s="94"/>
    </row>
    <row r="2114" spans="1:19" hidden="1">
      <c r="A2114" s="101" t="s">
        <v>4119</v>
      </c>
      <c r="B2114" s="149" t="str">
        <f>IFERROR(VLOOKUP(Proc[[#This Row],[App]],Table2[],3,0),"open")</f>
        <v>ok</v>
      </c>
      <c r="C2114" s="101" t="s">
        <v>369</v>
      </c>
      <c r="D2114" s="102" t="s">
        <v>4178</v>
      </c>
      <c r="E2114" t="s">
        <v>4121</v>
      </c>
      <c r="F2114" s="117" t="s">
        <v>4121</v>
      </c>
      <c r="G2114" s="101" t="s">
        <v>406</v>
      </c>
      <c r="H2114" s="94" t="str">
        <f>IF(Proc[[#This Row],[type]]="LFF (MDG-F)",MID(Proc[[#This Row],[Obj]],13,10),"")</f>
        <v>DE10629410</v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MGF</v>
      </c>
      <c r="L2114" s="94" t="s">
        <v>2563</v>
      </c>
      <c r="M2114" s="98">
        <v>45818.369039351855</v>
      </c>
      <c r="N2114" s="100"/>
      <c r="O2114" s="100"/>
      <c r="P2114" s="98" t="str">
        <f ca="1">IF(Proc[[#This Row],[DaysAgeing]]&gt;5,"yep","on track")</f>
        <v>yep</v>
      </c>
      <c r="Q2114" s="3">
        <f ca="1">IF(Proc[[#This Row],[DateClosed]]="",ABS(NETWORKDAYS(Proc[[#This Row],[DateOpened]],TODAY()))-1,ABS(NETWORKDAYS(Proc[[#This Row],[DateOpened]],Proc[[#This Row],[DateClosed]]))-1)</f>
        <v>127</v>
      </c>
      <c r="R2114" s="98" t="s">
        <v>515</v>
      </c>
      <c r="S2114" s="94"/>
    </row>
    <row r="2115" spans="1:19" hidden="1">
      <c r="A2115" t="s">
        <v>4123</v>
      </c>
      <c r="B2115" s="149" t="str">
        <f>IFERROR(VLOOKUP(Proc[[#This Row],[App]],Table2[],3,0),"open")</f>
        <v>ok</v>
      </c>
      <c r="C2115" s="103" t="s">
        <v>369</v>
      </c>
      <c r="D2115" s="99" t="s">
        <v>4122</v>
      </c>
      <c r="E2115" s="103" t="s">
        <v>3264</v>
      </c>
      <c r="F2115" s="117" t="s">
        <v>3264</v>
      </c>
      <c r="G2115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LS</v>
      </c>
      <c r="L2115" s="125" t="s">
        <v>2563</v>
      </c>
      <c r="M2115" s="98">
        <v>45818.369039351855</v>
      </c>
      <c r="N2115" s="100">
        <v>45819</v>
      </c>
      <c r="O2115" s="100">
        <v>45819</v>
      </c>
      <c r="P2115" s="98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8" t="s">
        <v>489</v>
      </c>
      <c r="S2115" s="94"/>
    </row>
    <row r="2116" spans="1:19" hidden="1">
      <c r="A2116" t="s">
        <v>4133</v>
      </c>
      <c r="B2116" s="149" t="str">
        <f>IFERROR(VLOOKUP(Proc[[#This Row],[App]],Table2[],3,0),"open")</f>
        <v>ok</v>
      </c>
      <c r="C2116" t="s">
        <v>369</v>
      </c>
      <c r="D2116" t="s">
        <v>4124</v>
      </c>
      <c r="E2116" t="s">
        <v>1213</v>
      </c>
      <c r="F2116" s="117" t="s">
        <v>1213</v>
      </c>
      <c r="G2116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EL</v>
      </c>
      <c r="L2116" s="94" t="s">
        <v>2563</v>
      </c>
      <c r="M2116" s="100">
        <v>45819.48096064815</v>
      </c>
      <c r="N2116" s="100">
        <v>45825</v>
      </c>
      <c r="O2116" s="100">
        <v>45825</v>
      </c>
      <c r="P2116" s="104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4</v>
      </c>
      <c r="R2116" s="104" t="s">
        <v>780</v>
      </c>
      <c r="S2116" s="94"/>
    </row>
    <row r="2117" spans="1:19" hidden="1">
      <c r="A2117" s="103" t="s">
        <v>4133</v>
      </c>
      <c r="B2117" s="149" t="str">
        <f>IFERROR(VLOOKUP(Proc[[#This Row],[App]],Table2[],3,0),"open")</f>
        <v>ok</v>
      </c>
      <c r="C2117" s="103" t="s">
        <v>369</v>
      </c>
      <c r="D2117" t="s">
        <v>4125</v>
      </c>
      <c r="E2117" t="s">
        <v>1214</v>
      </c>
      <c r="F2117" s="117" t="s">
        <v>1214</v>
      </c>
      <c r="G2117" s="10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EL</v>
      </c>
      <c r="L2117" s="94" t="s">
        <v>2563</v>
      </c>
      <c r="M2117" s="100">
        <v>45819.48096064815</v>
      </c>
      <c r="N2117" s="100">
        <v>45825</v>
      </c>
      <c r="O2117" s="100">
        <v>45825</v>
      </c>
      <c r="P2117" s="104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4</v>
      </c>
      <c r="R2117" s="104" t="s">
        <v>780</v>
      </c>
      <c r="S2117" s="94"/>
    </row>
    <row r="2118" spans="1:19" hidden="1">
      <c r="A2118" s="103" t="s">
        <v>4133</v>
      </c>
      <c r="B2118" s="149" t="str">
        <f>IFERROR(VLOOKUP(Proc[[#This Row],[App]],Table2[],3,0),"open")</f>
        <v>ok</v>
      </c>
      <c r="C2118" s="103" t="s">
        <v>369</v>
      </c>
      <c r="D2118" t="s">
        <v>4126</v>
      </c>
      <c r="E2118" t="s">
        <v>1214</v>
      </c>
      <c r="F2118" s="117" t="s">
        <v>1214</v>
      </c>
      <c r="G2118" s="10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EL</v>
      </c>
      <c r="L2118" s="94" t="s">
        <v>2563</v>
      </c>
      <c r="M2118" s="100">
        <v>45819.48096064815</v>
      </c>
      <c r="N2118" s="100">
        <v>45825</v>
      </c>
      <c r="O2118" s="100">
        <v>45825</v>
      </c>
      <c r="P2118" s="104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4</v>
      </c>
      <c r="R2118" s="104" t="s">
        <v>780</v>
      </c>
      <c r="S2118" s="94"/>
    </row>
    <row r="2119" spans="1:19" hidden="1">
      <c r="A2119" s="103" t="s">
        <v>4133</v>
      </c>
      <c r="B2119" s="149" t="str">
        <f>IFERROR(VLOOKUP(Proc[[#This Row],[App]],Table2[],3,0),"open")</f>
        <v>ok</v>
      </c>
      <c r="C2119" s="103" t="s">
        <v>369</v>
      </c>
      <c r="D2119" t="s">
        <v>4127</v>
      </c>
      <c r="E2119" t="s">
        <v>4131</v>
      </c>
      <c r="F2119" s="117" t="s">
        <v>4131</v>
      </c>
      <c r="G2119" s="10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EL</v>
      </c>
      <c r="L2119" s="94" t="s">
        <v>2563</v>
      </c>
      <c r="M2119" s="100">
        <v>45819.48096064815</v>
      </c>
      <c r="N2119" s="100">
        <v>45825</v>
      </c>
      <c r="O2119" s="100">
        <v>45825</v>
      </c>
      <c r="P2119" s="104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4</v>
      </c>
      <c r="R2119" s="104" t="s">
        <v>780</v>
      </c>
      <c r="S2119" s="94"/>
    </row>
    <row r="2120" spans="1:19" hidden="1">
      <c r="A2120" s="103" t="s">
        <v>4133</v>
      </c>
      <c r="B2120" s="149" t="str">
        <f>IFERROR(VLOOKUP(Proc[[#This Row],[App]],Table2[],3,0),"open")</f>
        <v>ok</v>
      </c>
      <c r="C2120" s="103" t="s">
        <v>369</v>
      </c>
      <c r="D2120" t="s">
        <v>4128</v>
      </c>
      <c r="E2120" t="s">
        <v>4131</v>
      </c>
      <c r="F2120" s="117" t="s">
        <v>4131</v>
      </c>
      <c r="G2120" s="10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EL</v>
      </c>
      <c r="L2120" s="94" t="s">
        <v>2563</v>
      </c>
      <c r="M2120" s="100">
        <v>45819.48096064815</v>
      </c>
      <c r="N2120" s="100">
        <v>45825</v>
      </c>
      <c r="O2120" s="100">
        <v>45825</v>
      </c>
      <c r="P2120" s="104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4</v>
      </c>
      <c r="R2120" s="104" t="s">
        <v>780</v>
      </c>
      <c r="S2120" s="94"/>
    </row>
    <row r="2121" spans="1:19" hidden="1">
      <c r="A2121" s="103" t="s">
        <v>4133</v>
      </c>
      <c r="B2121" s="149" t="str">
        <f>IFERROR(VLOOKUP(Proc[[#This Row],[App]],Table2[],3,0),"open")</f>
        <v>ok</v>
      </c>
      <c r="C2121" s="103" t="s">
        <v>369</v>
      </c>
      <c r="D2121" t="s">
        <v>4129</v>
      </c>
      <c r="E2121" t="s">
        <v>4132</v>
      </c>
      <c r="F2121" s="117" t="s">
        <v>4132</v>
      </c>
      <c r="G2121" s="10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EL</v>
      </c>
      <c r="L2121" s="94" t="s">
        <v>2563</v>
      </c>
      <c r="M2121" s="100">
        <v>45819.48096064815</v>
      </c>
      <c r="N2121" s="100">
        <v>45825</v>
      </c>
      <c r="O2121" s="100">
        <v>45825</v>
      </c>
      <c r="P2121" s="104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4</v>
      </c>
      <c r="R2121" s="104" t="s">
        <v>780</v>
      </c>
      <c r="S2121" s="94"/>
    </row>
    <row r="2122" spans="1:19" hidden="1">
      <c r="A2122" s="103" t="s">
        <v>4133</v>
      </c>
      <c r="B2122" s="149" t="str">
        <f>IFERROR(VLOOKUP(Proc[[#This Row],[App]],Table2[],3,0),"open")</f>
        <v>ok</v>
      </c>
      <c r="C2122" s="103" t="s">
        <v>369</v>
      </c>
      <c r="D2122" t="s">
        <v>4130</v>
      </c>
      <c r="E2122" t="s">
        <v>4132</v>
      </c>
      <c r="F2122" s="117" t="s">
        <v>4132</v>
      </c>
      <c r="G2122" s="10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EL</v>
      </c>
      <c r="L2122" s="94" t="s">
        <v>2563</v>
      </c>
      <c r="M2122" s="100">
        <v>45819.48096064815</v>
      </c>
      <c r="N2122" s="100">
        <v>45825</v>
      </c>
      <c r="O2122" s="100">
        <v>45825</v>
      </c>
      <c r="P2122" s="104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4</v>
      </c>
      <c r="R2122" s="104" t="s">
        <v>780</v>
      </c>
      <c r="S2122" s="94"/>
    </row>
    <row r="2123" spans="1:19" hidden="1">
      <c r="A2123" t="s">
        <v>4139</v>
      </c>
      <c r="B2123" s="149" t="str">
        <f>IFERROR(VLOOKUP(Proc[[#This Row],[App]],Table2[],3,0),"open")</f>
        <v>ok</v>
      </c>
      <c r="C2123" s="103" t="s">
        <v>369</v>
      </c>
      <c r="D2123" t="s">
        <v>4140</v>
      </c>
      <c r="E2123" t="s">
        <v>4173</v>
      </c>
      <c r="F2123" s="117" t="s">
        <v>4173</v>
      </c>
      <c r="G2123" s="10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94" t="s">
        <v>2563</v>
      </c>
      <c r="M2123" s="104">
        <v>45825.48096064815</v>
      </c>
      <c r="N2123" s="105">
        <v>45825</v>
      </c>
      <c r="O2123" s="105">
        <v>45825</v>
      </c>
      <c r="P2123" s="104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0</v>
      </c>
      <c r="R2123" s="104" t="s">
        <v>410</v>
      </c>
      <c r="S2123" s="94"/>
    </row>
    <row r="2124" spans="1:19" hidden="1">
      <c r="A2124" s="103" t="s">
        <v>4139</v>
      </c>
      <c r="B2124" s="149" t="str">
        <f>IFERROR(VLOOKUP(Proc[[#This Row],[App]],Table2[],3,0),"open")</f>
        <v>ok</v>
      </c>
      <c r="C2124" s="103" t="s">
        <v>369</v>
      </c>
      <c r="D2124" t="s">
        <v>4141</v>
      </c>
      <c r="E2124" t="s">
        <v>4174</v>
      </c>
      <c r="F2124" s="117" t="s">
        <v>4174</v>
      </c>
      <c r="G2124" s="10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94" t="s">
        <v>2563</v>
      </c>
      <c r="M2124" s="104">
        <v>45825.48096064815</v>
      </c>
      <c r="N2124" s="105">
        <v>45825</v>
      </c>
      <c r="O2124" s="105">
        <v>45825</v>
      </c>
      <c r="P2124" s="104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0</v>
      </c>
      <c r="R2124" s="104" t="s">
        <v>410</v>
      </c>
      <c r="S2124" s="94"/>
    </row>
    <row r="2125" spans="1:19" hidden="1">
      <c r="A2125" s="103" t="s">
        <v>4139</v>
      </c>
      <c r="B2125" s="149" t="str">
        <f>IFERROR(VLOOKUP(Proc[[#This Row],[App]],Table2[],3,0),"open")</f>
        <v>ok</v>
      </c>
      <c r="C2125" s="103" t="s">
        <v>369</v>
      </c>
      <c r="D2125" t="s">
        <v>4142</v>
      </c>
      <c r="E2125" t="s">
        <v>4174</v>
      </c>
      <c r="F2125" s="117" t="s">
        <v>4174</v>
      </c>
      <c r="G2125" s="10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94" t="s">
        <v>2563</v>
      </c>
      <c r="M2125" s="104">
        <v>45825.48096064815</v>
      </c>
      <c r="N2125" s="105">
        <v>45825</v>
      </c>
      <c r="O2125" s="105">
        <v>45825</v>
      </c>
      <c r="P2125" s="104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0</v>
      </c>
      <c r="R2125" s="104" t="s">
        <v>410</v>
      </c>
      <c r="S2125" s="94"/>
    </row>
    <row r="2126" spans="1:19" hidden="1">
      <c r="A2126" s="103" t="s">
        <v>4139</v>
      </c>
      <c r="B2126" s="149" t="str">
        <f>IFERROR(VLOOKUP(Proc[[#This Row],[App]],Table2[],3,0),"open")</f>
        <v>ok</v>
      </c>
      <c r="C2126" s="103" t="s">
        <v>369</v>
      </c>
      <c r="D2126" t="s">
        <v>4143</v>
      </c>
      <c r="E2126" t="s">
        <v>4174</v>
      </c>
      <c r="F2126" s="117" t="s">
        <v>4174</v>
      </c>
      <c r="G2126" s="10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94" t="s">
        <v>2563</v>
      </c>
      <c r="M2126" s="104">
        <v>45825.48096064815</v>
      </c>
      <c r="N2126" s="105">
        <v>45825</v>
      </c>
      <c r="O2126" s="105">
        <v>45825</v>
      </c>
      <c r="P2126" s="104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0</v>
      </c>
      <c r="R2126" s="104" t="s">
        <v>410</v>
      </c>
      <c r="S2126" s="94"/>
    </row>
    <row r="2127" spans="1:19" hidden="1">
      <c r="A2127" s="103" t="s">
        <v>4139</v>
      </c>
      <c r="B2127" s="149" t="str">
        <f>IFERROR(VLOOKUP(Proc[[#This Row],[App]],Table2[],3,0),"open")</f>
        <v>ok</v>
      </c>
      <c r="C2127" s="103" t="s">
        <v>369</v>
      </c>
      <c r="D2127" t="s">
        <v>4144</v>
      </c>
      <c r="E2127" t="s">
        <v>4173</v>
      </c>
      <c r="F2127" s="117" t="s">
        <v>4173</v>
      </c>
      <c r="G2127" s="10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94" t="s">
        <v>2563</v>
      </c>
      <c r="M2127" s="104">
        <v>45825.48096064815</v>
      </c>
      <c r="N2127" s="105">
        <v>45825</v>
      </c>
      <c r="O2127" s="105">
        <v>45825</v>
      </c>
      <c r="P2127" s="104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0</v>
      </c>
      <c r="R2127" s="104" t="s">
        <v>410</v>
      </c>
      <c r="S2127" s="94"/>
    </row>
    <row r="2128" spans="1:19" hidden="1">
      <c r="A2128" s="103" t="s">
        <v>4139</v>
      </c>
      <c r="B2128" s="149" t="str">
        <f>IFERROR(VLOOKUP(Proc[[#This Row],[App]],Table2[],3,0),"open")</f>
        <v>ok</v>
      </c>
      <c r="C2128" s="103" t="s">
        <v>369</v>
      </c>
      <c r="D2128" t="s">
        <v>4145</v>
      </c>
      <c r="E2128" t="s">
        <v>4173</v>
      </c>
      <c r="F2128" s="117" t="s">
        <v>4173</v>
      </c>
      <c r="G2128" s="10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94" t="s">
        <v>2563</v>
      </c>
      <c r="M2128" s="104">
        <v>45825.48096064815</v>
      </c>
      <c r="N2128" s="105">
        <v>45825</v>
      </c>
      <c r="O2128" s="105">
        <v>45825</v>
      </c>
      <c r="P2128" s="104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0</v>
      </c>
      <c r="R2128" s="104" t="s">
        <v>410</v>
      </c>
      <c r="S2128" s="94"/>
    </row>
    <row r="2129" spans="1:19" hidden="1">
      <c r="A2129" s="103" t="s">
        <v>4139</v>
      </c>
      <c r="B2129" s="149" t="str">
        <f>IFERROR(VLOOKUP(Proc[[#This Row],[App]],Table2[],3,0),"open")</f>
        <v>ok</v>
      </c>
      <c r="C2129" s="103" t="s">
        <v>369</v>
      </c>
      <c r="D2129" t="s">
        <v>4146</v>
      </c>
      <c r="E2129" t="s">
        <v>4173</v>
      </c>
      <c r="F2129" s="117" t="s">
        <v>4173</v>
      </c>
      <c r="G2129" s="10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94" t="s">
        <v>2563</v>
      </c>
      <c r="M2129" s="104">
        <v>45825.48096064815</v>
      </c>
      <c r="N2129" s="105">
        <v>45825</v>
      </c>
      <c r="O2129" s="105">
        <v>45825</v>
      </c>
      <c r="P2129" s="104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0</v>
      </c>
      <c r="R2129" s="104" t="s">
        <v>410</v>
      </c>
      <c r="S2129" s="94"/>
    </row>
    <row r="2130" spans="1:19" hidden="1">
      <c r="A2130" s="103" t="s">
        <v>4139</v>
      </c>
      <c r="B2130" s="149" t="str">
        <f>IFERROR(VLOOKUP(Proc[[#This Row],[App]],Table2[],3,0),"open")</f>
        <v>ok</v>
      </c>
      <c r="C2130" s="103" t="s">
        <v>369</v>
      </c>
      <c r="D2130" t="s">
        <v>4147</v>
      </c>
      <c r="E2130" t="s">
        <v>4081</v>
      </c>
      <c r="F2130" s="117" t="s">
        <v>4081</v>
      </c>
      <c r="G2130" s="10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94" t="s">
        <v>2563</v>
      </c>
      <c r="M2130" s="104">
        <v>45825.48096064815</v>
      </c>
      <c r="N2130" s="105">
        <v>45825</v>
      </c>
      <c r="O2130" s="105">
        <v>45825</v>
      </c>
      <c r="P2130" s="104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0</v>
      </c>
      <c r="R2130" s="104" t="s">
        <v>410</v>
      </c>
      <c r="S2130" s="94"/>
    </row>
    <row r="2131" spans="1:19" hidden="1">
      <c r="A2131" s="103" t="s">
        <v>4139</v>
      </c>
      <c r="B2131" s="149" t="str">
        <f>IFERROR(VLOOKUP(Proc[[#This Row],[App]],Table2[],3,0),"open")</f>
        <v>ok</v>
      </c>
      <c r="C2131" s="103" t="s">
        <v>369</v>
      </c>
      <c r="D2131" t="s">
        <v>4148</v>
      </c>
      <c r="E2131" t="s">
        <v>4174</v>
      </c>
      <c r="F2131" s="117" t="s">
        <v>4174</v>
      </c>
      <c r="G2131" s="10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94" t="s">
        <v>2563</v>
      </c>
      <c r="M2131" s="104">
        <v>45825.48096064815</v>
      </c>
      <c r="N2131" s="105">
        <v>45825</v>
      </c>
      <c r="O2131" s="105">
        <v>45825</v>
      </c>
      <c r="P2131" s="104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0</v>
      </c>
      <c r="R2131" s="104" t="s">
        <v>410</v>
      </c>
      <c r="S2131" s="94"/>
    </row>
    <row r="2132" spans="1:19" hidden="1">
      <c r="A2132" s="103" t="s">
        <v>4139</v>
      </c>
      <c r="B2132" s="149" t="str">
        <f>IFERROR(VLOOKUP(Proc[[#This Row],[App]],Table2[],3,0),"open")</f>
        <v>ok</v>
      </c>
      <c r="C2132" s="103" t="s">
        <v>369</v>
      </c>
      <c r="D2132" t="s">
        <v>4149</v>
      </c>
      <c r="E2132" t="s">
        <v>4173</v>
      </c>
      <c r="F2132" s="117" t="s">
        <v>4173</v>
      </c>
      <c r="G2132" s="10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94" t="s">
        <v>2563</v>
      </c>
      <c r="M2132" s="104">
        <v>45825.48096064815</v>
      </c>
      <c r="N2132" s="105">
        <v>45825</v>
      </c>
      <c r="O2132" s="105">
        <v>45825</v>
      </c>
      <c r="P2132" s="104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0</v>
      </c>
      <c r="R2132" s="104" t="s">
        <v>410</v>
      </c>
      <c r="S2132" s="94"/>
    </row>
    <row r="2133" spans="1:19" hidden="1">
      <c r="A2133" s="103" t="s">
        <v>4139</v>
      </c>
      <c r="B2133" s="149" t="str">
        <f>IFERROR(VLOOKUP(Proc[[#This Row],[App]],Table2[],3,0),"open")</f>
        <v>ok</v>
      </c>
      <c r="C2133" s="103" t="s">
        <v>369</v>
      </c>
      <c r="D2133" t="s">
        <v>4150</v>
      </c>
      <c r="E2133" t="s">
        <v>4173</v>
      </c>
      <c r="F2133" s="117" t="s">
        <v>4173</v>
      </c>
      <c r="G2133" s="10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94" t="s">
        <v>2563</v>
      </c>
      <c r="M2133" s="104">
        <v>45825.48096064815</v>
      </c>
      <c r="N2133" s="105">
        <v>45825</v>
      </c>
      <c r="O2133" s="105">
        <v>45825</v>
      </c>
      <c r="P2133" s="104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0</v>
      </c>
      <c r="R2133" s="104" t="s">
        <v>410</v>
      </c>
      <c r="S2133" s="94"/>
    </row>
    <row r="2134" spans="1:19" hidden="1">
      <c r="A2134" s="103" t="s">
        <v>4139</v>
      </c>
      <c r="B2134" s="149" t="str">
        <f>IFERROR(VLOOKUP(Proc[[#This Row],[App]],Table2[],3,0),"open")</f>
        <v>ok</v>
      </c>
      <c r="C2134" s="103" t="s">
        <v>369</v>
      </c>
      <c r="D2134" t="s">
        <v>4151</v>
      </c>
      <c r="E2134" t="s">
        <v>4173</v>
      </c>
      <c r="F2134" s="117" t="s">
        <v>4173</v>
      </c>
      <c r="G2134" s="10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94" t="s">
        <v>2563</v>
      </c>
      <c r="M2134" s="104">
        <v>45825.48096064815</v>
      </c>
      <c r="N2134" s="105">
        <v>45825</v>
      </c>
      <c r="O2134" s="105">
        <v>45825</v>
      </c>
      <c r="P2134" s="104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0</v>
      </c>
      <c r="R2134" s="104" t="s">
        <v>410</v>
      </c>
      <c r="S2134" s="94"/>
    </row>
    <row r="2135" spans="1:19" hidden="1">
      <c r="A2135" s="103" t="s">
        <v>4139</v>
      </c>
      <c r="B2135" s="149" t="str">
        <f>IFERROR(VLOOKUP(Proc[[#This Row],[App]],Table2[],3,0),"open")</f>
        <v>ok</v>
      </c>
      <c r="C2135" s="103" t="s">
        <v>369</v>
      </c>
      <c r="D2135" t="s">
        <v>4152</v>
      </c>
      <c r="E2135" t="s">
        <v>4173</v>
      </c>
      <c r="F2135" s="117" t="s">
        <v>4173</v>
      </c>
      <c r="G2135" s="10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94" t="s">
        <v>2563</v>
      </c>
      <c r="M2135" s="104">
        <v>45825.48096064815</v>
      </c>
      <c r="N2135" s="105">
        <v>45825</v>
      </c>
      <c r="O2135" s="105">
        <v>45825</v>
      </c>
      <c r="P2135" s="104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0</v>
      </c>
      <c r="R2135" s="104" t="s">
        <v>410</v>
      </c>
      <c r="S2135" s="94"/>
    </row>
    <row r="2136" spans="1:19" hidden="1">
      <c r="A2136" s="103" t="s">
        <v>4139</v>
      </c>
      <c r="B2136" s="149" t="str">
        <f>IFERROR(VLOOKUP(Proc[[#This Row],[App]],Table2[],3,0),"open")</f>
        <v>ok</v>
      </c>
      <c r="C2136" s="103" t="s">
        <v>369</v>
      </c>
      <c r="D2136" t="s">
        <v>4153</v>
      </c>
      <c r="E2136" t="s">
        <v>4173</v>
      </c>
      <c r="F2136" s="117" t="s">
        <v>4173</v>
      </c>
      <c r="G2136" s="10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94" t="s">
        <v>2563</v>
      </c>
      <c r="M2136" s="104">
        <v>45825.48096064815</v>
      </c>
      <c r="N2136" s="105">
        <v>45825</v>
      </c>
      <c r="O2136" s="105">
        <v>45825</v>
      </c>
      <c r="P2136" s="104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0</v>
      </c>
      <c r="R2136" s="104" t="s">
        <v>410</v>
      </c>
      <c r="S2136" s="94"/>
    </row>
    <row r="2137" spans="1:19" hidden="1">
      <c r="A2137" s="103" t="s">
        <v>4139</v>
      </c>
      <c r="B2137" s="149" t="str">
        <f>IFERROR(VLOOKUP(Proc[[#This Row],[App]],Table2[],3,0),"open")</f>
        <v>ok</v>
      </c>
      <c r="C2137" s="103" t="s">
        <v>369</v>
      </c>
      <c r="D2137" t="s">
        <v>4154</v>
      </c>
      <c r="E2137" t="s">
        <v>4173</v>
      </c>
      <c r="F2137" s="117" t="s">
        <v>4173</v>
      </c>
      <c r="G2137" s="10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94" t="s">
        <v>2563</v>
      </c>
      <c r="M2137" s="104">
        <v>45825.48096064815</v>
      </c>
      <c r="N2137" s="105">
        <v>45825</v>
      </c>
      <c r="O2137" s="105">
        <v>45825</v>
      </c>
      <c r="P2137" s="104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0</v>
      </c>
      <c r="R2137" s="104" t="s">
        <v>410</v>
      </c>
      <c r="S2137" s="94"/>
    </row>
    <row r="2138" spans="1:19" hidden="1">
      <c r="A2138" s="103" t="s">
        <v>4139</v>
      </c>
      <c r="B2138" s="149" t="str">
        <f>IFERROR(VLOOKUP(Proc[[#This Row],[App]],Table2[],3,0),"open")</f>
        <v>ok</v>
      </c>
      <c r="C2138" s="103" t="s">
        <v>369</v>
      </c>
      <c r="D2138" t="s">
        <v>4155</v>
      </c>
      <c r="E2138" t="s">
        <v>4173</v>
      </c>
      <c r="F2138" s="117" t="s">
        <v>4173</v>
      </c>
      <c r="G2138" s="10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94" t="s">
        <v>2563</v>
      </c>
      <c r="M2138" s="104">
        <v>45825.48096064815</v>
      </c>
      <c r="N2138" s="105">
        <v>45825</v>
      </c>
      <c r="O2138" s="105">
        <v>45825</v>
      </c>
      <c r="P2138" s="104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0</v>
      </c>
      <c r="R2138" s="104" t="s">
        <v>410</v>
      </c>
      <c r="S2138" s="94"/>
    </row>
    <row r="2139" spans="1:19" hidden="1">
      <c r="A2139" s="103" t="s">
        <v>4139</v>
      </c>
      <c r="B2139" s="149" t="str">
        <f>IFERROR(VLOOKUP(Proc[[#This Row],[App]],Table2[],3,0),"open")</f>
        <v>ok</v>
      </c>
      <c r="C2139" s="103" t="s">
        <v>369</v>
      </c>
      <c r="D2139" t="s">
        <v>4156</v>
      </c>
      <c r="E2139" t="s">
        <v>4173</v>
      </c>
      <c r="F2139" s="117" t="s">
        <v>4173</v>
      </c>
      <c r="G2139" s="10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94" t="s">
        <v>2563</v>
      </c>
      <c r="M2139" s="104">
        <v>45825.48096064815</v>
      </c>
      <c r="N2139" s="105">
        <v>45825</v>
      </c>
      <c r="O2139" s="105">
        <v>45825</v>
      </c>
      <c r="P2139" s="104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0</v>
      </c>
      <c r="R2139" s="104" t="s">
        <v>410</v>
      </c>
      <c r="S2139" s="94"/>
    </row>
    <row r="2140" spans="1:19" hidden="1">
      <c r="A2140" s="103" t="s">
        <v>4139</v>
      </c>
      <c r="B2140" s="149" t="str">
        <f>IFERROR(VLOOKUP(Proc[[#This Row],[App]],Table2[],3,0),"open")</f>
        <v>ok</v>
      </c>
      <c r="C2140" s="103" t="s">
        <v>369</v>
      </c>
      <c r="D2140" t="s">
        <v>4157</v>
      </c>
      <c r="E2140" t="s">
        <v>4173</v>
      </c>
      <c r="F2140" s="117" t="s">
        <v>4173</v>
      </c>
      <c r="G2140" s="10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94" t="s">
        <v>2563</v>
      </c>
      <c r="M2140" s="104">
        <v>45825.48096064815</v>
      </c>
      <c r="N2140" s="105">
        <v>45825</v>
      </c>
      <c r="O2140" s="105">
        <v>45825</v>
      </c>
      <c r="P2140" s="104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0</v>
      </c>
      <c r="R2140" s="104" t="s">
        <v>410</v>
      </c>
      <c r="S2140" s="94"/>
    </row>
    <row r="2141" spans="1:19" hidden="1">
      <c r="A2141" s="103" t="s">
        <v>4139</v>
      </c>
      <c r="B2141" s="149" t="str">
        <f>IFERROR(VLOOKUP(Proc[[#This Row],[App]],Table2[],3,0),"open")</f>
        <v>ok</v>
      </c>
      <c r="C2141" s="103" t="s">
        <v>369</v>
      </c>
      <c r="D2141" t="s">
        <v>4158</v>
      </c>
      <c r="E2141" t="s">
        <v>4173</v>
      </c>
      <c r="F2141" s="117" t="s">
        <v>4173</v>
      </c>
      <c r="G2141" s="10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94" t="s">
        <v>2563</v>
      </c>
      <c r="M2141" s="104">
        <v>45825.48096064815</v>
      </c>
      <c r="N2141" s="105">
        <v>45825</v>
      </c>
      <c r="O2141" s="105">
        <v>45825</v>
      </c>
      <c r="P2141" s="104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0</v>
      </c>
      <c r="R2141" s="104" t="s">
        <v>410</v>
      </c>
      <c r="S2141" s="94"/>
    </row>
    <row r="2142" spans="1:19" hidden="1">
      <c r="A2142" s="103" t="s">
        <v>4139</v>
      </c>
      <c r="B2142" s="149" t="str">
        <f>IFERROR(VLOOKUP(Proc[[#This Row],[App]],Table2[],3,0),"open")</f>
        <v>ok</v>
      </c>
      <c r="C2142" s="103" t="s">
        <v>369</v>
      </c>
      <c r="D2142" t="s">
        <v>4159</v>
      </c>
      <c r="E2142" t="s">
        <v>4173</v>
      </c>
      <c r="F2142" s="117" t="s">
        <v>4173</v>
      </c>
      <c r="G2142" s="10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94" t="s">
        <v>2563</v>
      </c>
      <c r="M2142" s="104">
        <v>45825.48096064815</v>
      </c>
      <c r="N2142" s="105">
        <v>45825</v>
      </c>
      <c r="O2142" s="105">
        <v>45825</v>
      </c>
      <c r="P2142" s="104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0</v>
      </c>
      <c r="R2142" s="104" t="s">
        <v>410</v>
      </c>
      <c r="S2142" s="94"/>
    </row>
    <row r="2143" spans="1:19" hidden="1">
      <c r="A2143" s="103" t="s">
        <v>4139</v>
      </c>
      <c r="B2143" s="149" t="str">
        <f>IFERROR(VLOOKUP(Proc[[#This Row],[App]],Table2[],3,0),"open")</f>
        <v>ok</v>
      </c>
      <c r="C2143" s="103" t="s">
        <v>369</v>
      </c>
      <c r="D2143" t="s">
        <v>4160</v>
      </c>
      <c r="E2143" t="s">
        <v>4173</v>
      </c>
      <c r="F2143" s="117" t="s">
        <v>4173</v>
      </c>
      <c r="G2143" s="10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94" t="s">
        <v>2563</v>
      </c>
      <c r="M2143" s="104">
        <v>45825.48096064815</v>
      </c>
      <c r="N2143" s="105">
        <v>45825</v>
      </c>
      <c r="O2143" s="105">
        <v>45825</v>
      </c>
      <c r="P2143" s="104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0</v>
      </c>
      <c r="R2143" s="104" t="s">
        <v>410</v>
      </c>
      <c r="S2143" s="94"/>
    </row>
    <row r="2144" spans="1:19" hidden="1">
      <c r="A2144" s="103" t="s">
        <v>4139</v>
      </c>
      <c r="B2144" s="149" t="str">
        <f>IFERROR(VLOOKUP(Proc[[#This Row],[App]],Table2[],3,0),"open")</f>
        <v>ok</v>
      </c>
      <c r="C2144" s="103" t="s">
        <v>369</v>
      </c>
      <c r="D2144" t="s">
        <v>4161</v>
      </c>
      <c r="E2144" t="s">
        <v>4173</v>
      </c>
      <c r="F2144" s="117" t="s">
        <v>4173</v>
      </c>
      <c r="G2144" s="10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94" t="s">
        <v>2563</v>
      </c>
      <c r="M2144" s="104">
        <v>45825.48096064815</v>
      </c>
      <c r="N2144" s="105">
        <v>45825</v>
      </c>
      <c r="O2144" s="105">
        <v>45825</v>
      </c>
      <c r="P2144" s="104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0</v>
      </c>
      <c r="R2144" s="104" t="s">
        <v>410</v>
      </c>
      <c r="S2144" s="94"/>
    </row>
    <row r="2145" spans="1:19" hidden="1">
      <c r="A2145" s="103" t="s">
        <v>4139</v>
      </c>
      <c r="B2145" s="149" t="str">
        <f>IFERROR(VLOOKUP(Proc[[#This Row],[App]],Table2[],3,0),"open")</f>
        <v>ok</v>
      </c>
      <c r="C2145" s="103" t="s">
        <v>369</v>
      </c>
      <c r="D2145" t="s">
        <v>4162</v>
      </c>
      <c r="E2145" t="s">
        <v>4173</v>
      </c>
      <c r="F2145" s="117" t="s">
        <v>4173</v>
      </c>
      <c r="G2145" s="10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94" t="s">
        <v>2563</v>
      </c>
      <c r="M2145" s="104">
        <v>45825.48096064815</v>
      </c>
      <c r="N2145" s="105">
        <v>45825</v>
      </c>
      <c r="O2145" s="105">
        <v>45825</v>
      </c>
      <c r="P2145" s="104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0</v>
      </c>
      <c r="R2145" s="104" t="s">
        <v>410</v>
      </c>
      <c r="S2145" s="94"/>
    </row>
    <row r="2146" spans="1:19" hidden="1">
      <c r="A2146" s="103" t="s">
        <v>4139</v>
      </c>
      <c r="B2146" s="149" t="str">
        <f>IFERROR(VLOOKUP(Proc[[#This Row],[App]],Table2[],3,0),"open")</f>
        <v>ok</v>
      </c>
      <c r="C2146" s="103" t="s">
        <v>369</v>
      </c>
      <c r="D2146" t="s">
        <v>4163</v>
      </c>
      <c r="E2146" t="s">
        <v>4173</v>
      </c>
      <c r="F2146" s="117" t="s">
        <v>4173</v>
      </c>
      <c r="G2146" s="10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94" t="s">
        <v>2563</v>
      </c>
      <c r="M2146" s="104">
        <v>45825.48096064815</v>
      </c>
      <c r="N2146" s="105">
        <v>45825</v>
      </c>
      <c r="O2146" s="105">
        <v>45825</v>
      </c>
      <c r="P2146" s="104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0</v>
      </c>
      <c r="R2146" s="104" t="s">
        <v>410</v>
      </c>
      <c r="S2146" s="94"/>
    </row>
    <row r="2147" spans="1:19" hidden="1">
      <c r="A2147" s="103" t="s">
        <v>4139</v>
      </c>
      <c r="B2147" s="149" t="str">
        <f>IFERROR(VLOOKUP(Proc[[#This Row],[App]],Table2[],3,0),"open")</f>
        <v>ok</v>
      </c>
      <c r="C2147" s="103" t="s">
        <v>369</v>
      </c>
      <c r="D2147" t="s">
        <v>4164</v>
      </c>
      <c r="E2147" t="s">
        <v>4174</v>
      </c>
      <c r="F2147" s="117" t="s">
        <v>4174</v>
      </c>
      <c r="G2147" s="10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94" t="s">
        <v>2563</v>
      </c>
      <c r="M2147" s="104">
        <v>45825.48096064815</v>
      </c>
      <c r="N2147" s="105">
        <v>45825</v>
      </c>
      <c r="O2147" s="105">
        <v>45825</v>
      </c>
      <c r="P2147" s="104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0</v>
      </c>
      <c r="R2147" s="104" t="s">
        <v>410</v>
      </c>
      <c r="S2147" s="94"/>
    </row>
    <row r="2148" spans="1:19" hidden="1">
      <c r="A2148" s="103" t="s">
        <v>4139</v>
      </c>
      <c r="B2148" s="149" t="str">
        <f>IFERROR(VLOOKUP(Proc[[#This Row],[App]],Table2[],3,0),"open")</f>
        <v>ok</v>
      </c>
      <c r="C2148" s="103" t="s">
        <v>369</v>
      </c>
      <c r="D2148" t="s">
        <v>4165</v>
      </c>
      <c r="E2148" t="s">
        <v>4174</v>
      </c>
      <c r="F2148" s="117" t="s">
        <v>4174</v>
      </c>
      <c r="G2148" s="10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94" t="s">
        <v>2563</v>
      </c>
      <c r="M2148" s="104">
        <v>45825.48096064815</v>
      </c>
      <c r="N2148" s="105">
        <v>45825</v>
      </c>
      <c r="O2148" s="105">
        <v>45825</v>
      </c>
      <c r="P2148" s="104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0</v>
      </c>
      <c r="R2148" s="104" t="s">
        <v>410</v>
      </c>
      <c r="S2148" s="94"/>
    </row>
    <row r="2149" spans="1:19" hidden="1">
      <c r="A2149" s="103" t="s">
        <v>4139</v>
      </c>
      <c r="B2149" s="149" t="str">
        <f>IFERROR(VLOOKUP(Proc[[#This Row],[App]],Table2[],3,0),"open")</f>
        <v>ok</v>
      </c>
      <c r="C2149" s="103" t="s">
        <v>369</v>
      </c>
      <c r="D2149" t="s">
        <v>4166</v>
      </c>
      <c r="E2149" t="s">
        <v>4174</v>
      </c>
      <c r="F2149" s="117" t="s">
        <v>4174</v>
      </c>
      <c r="G2149" s="10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94" t="s">
        <v>2563</v>
      </c>
      <c r="M2149" s="104">
        <v>45825.48096064815</v>
      </c>
      <c r="N2149" s="105">
        <v>45825</v>
      </c>
      <c r="O2149" s="105">
        <v>45825</v>
      </c>
      <c r="P2149" s="104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0</v>
      </c>
      <c r="R2149" s="104" t="s">
        <v>410</v>
      </c>
      <c r="S2149" s="94"/>
    </row>
    <row r="2150" spans="1:19" hidden="1">
      <c r="A2150" s="103" t="s">
        <v>4139</v>
      </c>
      <c r="B2150" s="149" t="str">
        <f>IFERROR(VLOOKUP(Proc[[#This Row],[App]],Table2[],3,0),"open")</f>
        <v>ok</v>
      </c>
      <c r="C2150" s="103" t="s">
        <v>369</v>
      </c>
      <c r="D2150" t="s">
        <v>4167</v>
      </c>
      <c r="E2150" t="s">
        <v>4174</v>
      </c>
      <c r="F2150" s="117" t="s">
        <v>4174</v>
      </c>
      <c r="G2150" s="10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94" t="s">
        <v>2563</v>
      </c>
      <c r="M2150" s="104">
        <v>45825.48096064815</v>
      </c>
      <c r="N2150" s="105">
        <v>45825</v>
      </c>
      <c r="O2150" s="105">
        <v>45825</v>
      </c>
      <c r="P2150" s="104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0</v>
      </c>
      <c r="R2150" s="104" t="s">
        <v>410</v>
      </c>
      <c r="S2150" s="94"/>
    </row>
    <row r="2151" spans="1:19" hidden="1">
      <c r="A2151" s="103" t="s">
        <v>4139</v>
      </c>
      <c r="B2151" s="149" t="str">
        <f>IFERROR(VLOOKUP(Proc[[#This Row],[App]],Table2[],3,0),"open")</f>
        <v>ok</v>
      </c>
      <c r="C2151" s="103" t="s">
        <v>369</v>
      </c>
      <c r="D2151" t="s">
        <v>4168</v>
      </c>
      <c r="E2151" t="s">
        <v>4174</v>
      </c>
      <c r="F2151" s="117" t="s">
        <v>4174</v>
      </c>
      <c r="G2151" s="10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94" t="s">
        <v>2563</v>
      </c>
      <c r="M2151" s="104">
        <v>45825.48096064815</v>
      </c>
      <c r="N2151" s="105">
        <v>45825</v>
      </c>
      <c r="O2151" s="105">
        <v>45825</v>
      </c>
      <c r="P2151" s="104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0</v>
      </c>
      <c r="R2151" s="104" t="s">
        <v>410</v>
      </c>
      <c r="S2151" s="94"/>
    </row>
    <row r="2152" spans="1:19" hidden="1">
      <c r="A2152" s="103" t="s">
        <v>4139</v>
      </c>
      <c r="B2152" s="149" t="str">
        <f>IFERROR(VLOOKUP(Proc[[#This Row],[App]],Table2[],3,0),"open")</f>
        <v>ok</v>
      </c>
      <c r="C2152" s="103" t="s">
        <v>369</v>
      </c>
      <c r="D2152" t="s">
        <v>4169</v>
      </c>
      <c r="E2152" t="s">
        <v>4173</v>
      </c>
      <c r="F2152" s="117" t="s">
        <v>4173</v>
      </c>
      <c r="G2152" s="10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94" t="s">
        <v>2563</v>
      </c>
      <c r="M2152" s="104">
        <v>45825.48096064815</v>
      </c>
      <c r="N2152" s="105">
        <v>45825</v>
      </c>
      <c r="O2152" s="105">
        <v>45825</v>
      </c>
      <c r="P2152" s="104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0</v>
      </c>
      <c r="R2152" s="104" t="s">
        <v>410</v>
      </c>
      <c r="S2152" s="94"/>
    </row>
    <row r="2153" spans="1:19" hidden="1">
      <c r="A2153" s="103" t="s">
        <v>4139</v>
      </c>
      <c r="B2153" s="149" t="str">
        <f>IFERROR(VLOOKUP(Proc[[#This Row],[App]],Table2[],3,0),"open")</f>
        <v>ok</v>
      </c>
      <c r="C2153" s="103" t="s">
        <v>369</v>
      </c>
      <c r="D2153" t="s">
        <v>4170</v>
      </c>
      <c r="E2153" t="s">
        <v>4173</v>
      </c>
      <c r="F2153" s="117" t="s">
        <v>4173</v>
      </c>
      <c r="G2153" s="10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94" t="s">
        <v>2563</v>
      </c>
      <c r="M2153" s="104">
        <v>45825.48096064815</v>
      </c>
      <c r="N2153" s="105">
        <v>45825</v>
      </c>
      <c r="O2153" s="105">
        <v>45825</v>
      </c>
      <c r="P2153" s="104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0</v>
      </c>
      <c r="R2153" s="104" t="s">
        <v>410</v>
      </c>
      <c r="S2153" s="94"/>
    </row>
    <row r="2154" spans="1:19" hidden="1">
      <c r="A2154" s="103" t="s">
        <v>4139</v>
      </c>
      <c r="B2154" s="149" t="str">
        <f>IFERROR(VLOOKUP(Proc[[#This Row],[App]],Table2[],3,0),"open")</f>
        <v>ok</v>
      </c>
      <c r="C2154" s="103" t="s">
        <v>369</v>
      </c>
      <c r="D2154" t="s">
        <v>4171</v>
      </c>
      <c r="E2154" t="s">
        <v>4174</v>
      </c>
      <c r="F2154" s="117" t="s">
        <v>4174</v>
      </c>
      <c r="G2154" s="10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94" t="s">
        <v>2563</v>
      </c>
      <c r="M2154" s="104">
        <v>45825.48096064815</v>
      </c>
      <c r="N2154" s="105">
        <v>45825</v>
      </c>
      <c r="O2154" s="105">
        <v>45825</v>
      </c>
      <c r="P2154" s="104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0</v>
      </c>
      <c r="R2154" s="104" t="s">
        <v>410</v>
      </c>
      <c r="S2154" s="94"/>
    </row>
    <row r="2155" spans="1:19" hidden="1">
      <c r="A2155" s="103" t="s">
        <v>4139</v>
      </c>
      <c r="B2155" s="149" t="str">
        <f>IFERROR(VLOOKUP(Proc[[#This Row],[App]],Table2[],3,0),"open")</f>
        <v>ok</v>
      </c>
      <c r="C2155" s="103" t="s">
        <v>369</v>
      </c>
      <c r="D2155" t="s">
        <v>4172</v>
      </c>
      <c r="E2155" t="s">
        <v>4175</v>
      </c>
      <c r="F2155" s="117" t="s">
        <v>4175</v>
      </c>
      <c r="G2155" s="10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94" t="s">
        <v>2563</v>
      </c>
      <c r="M2155" s="104">
        <v>45825.48096064815</v>
      </c>
      <c r="N2155" s="105">
        <v>45825</v>
      </c>
      <c r="O2155" s="105">
        <v>45825</v>
      </c>
      <c r="P2155" s="104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0</v>
      </c>
      <c r="R2155" s="104" t="s">
        <v>410</v>
      </c>
      <c r="S2155" s="94"/>
    </row>
    <row r="2156" spans="1:19" hidden="1">
      <c r="A2156" s="103" t="s">
        <v>4139</v>
      </c>
      <c r="B2156" s="149" t="str">
        <f>IFERROR(VLOOKUP(Proc[[#This Row],[App]],Table2[],3,0),"open")</f>
        <v>ok</v>
      </c>
      <c r="C2156" s="103" t="s">
        <v>369</v>
      </c>
      <c r="D2156" t="s">
        <v>4176</v>
      </c>
      <c r="E2156" t="s">
        <v>4173</v>
      </c>
      <c r="F2156" s="117" t="s">
        <v>4173</v>
      </c>
      <c r="G2156" s="103" t="s">
        <v>406</v>
      </c>
      <c r="H2156" s="94" t="str">
        <f>IF(Proc[[#This Row],[type]]="LFF (MDG-F)",MID(Proc[[#This Row],[Obj]],13,10),"")</f>
        <v>TN50Z01000</v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94" t="s">
        <v>2563</v>
      </c>
      <c r="M2156" s="104">
        <v>45825.48096064815</v>
      </c>
      <c r="N2156" s="105"/>
      <c r="O2156" s="105"/>
      <c r="P2156" s="104" t="str">
        <f ca="1">IF(Proc[[#This Row],[DaysAgeing]]&gt;5,"yep","on track")</f>
        <v>yep</v>
      </c>
      <c r="Q2156" s="3">
        <f ca="1">IF(Proc[[#This Row],[DateClosed]]="",ABS(NETWORKDAYS(Proc[[#This Row],[DateOpened]],TODAY()))-1,ABS(NETWORKDAYS(Proc[[#This Row],[DateOpened]],Proc[[#This Row],[DateClosed]]))-1)</f>
        <v>122</v>
      </c>
      <c r="R2156" s="104" t="s">
        <v>410</v>
      </c>
      <c r="S2156" s="94"/>
    </row>
    <row r="2157" spans="1:19" hidden="1">
      <c r="A2157" s="103" t="s">
        <v>4139</v>
      </c>
      <c r="B2157" s="149" t="str">
        <f>IFERROR(VLOOKUP(Proc[[#This Row],[App]],Table2[],3,0),"open")</f>
        <v>ok</v>
      </c>
      <c r="C2157" s="103" t="s">
        <v>369</v>
      </c>
      <c r="D2157" t="s">
        <v>4177</v>
      </c>
      <c r="E2157" t="s">
        <v>4173</v>
      </c>
      <c r="F2157" s="117" t="s">
        <v>4173</v>
      </c>
      <c r="G2157" s="103" t="s">
        <v>406</v>
      </c>
      <c r="H2157" s="94" t="str">
        <f>IF(Proc[[#This Row],[type]]="LFF (MDG-F)",MID(Proc[[#This Row],[Obj]],13,10),"")</f>
        <v>TN60Z01000</v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94" t="s">
        <v>2563</v>
      </c>
      <c r="M2157" s="104">
        <v>45825.48096064815</v>
      </c>
      <c r="N2157" s="105"/>
      <c r="O2157" s="105"/>
      <c r="P2157" s="104" t="str">
        <f ca="1">IF(Proc[[#This Row],[DaysAgeing]]&gt;5,"yep","on track")</f>
        <v>yep</v>
      </c>
      <c r="Q2157" s="3">
        <f ca="1">IF(Proc[[#This Row],[DateClosed]]="",ABS(NETWORKDAYS(Proc[[#This Row],[DateOpened]],TODAY()))-1,ABS(NETWORKDAYS(Proc[[#This Row],[DateOpened]],Proc[[#This Row],[DateClosed]]))-1)</f>
        <v>122</v>
      </c>
      <c r="R2157" s="104" t="s">
        <v>410</v>
      </c>
      <c r="S2157" s="94"/>
    </row>
    <row r="2158" spans="1:19" hidden="1">
      <c r="A2158" t="s">
        <v>4180</v>
      </c>
      <c r="B2158" s="149" t="str">
        <f>IFERROR(VLOOKUP(Proc[[#This Row],[App]],Table2[],3,0),"open")</f>
        <v>ok</v>
      </c>
      <c r="C2158" s="103" t="s">
        <v>369</v>
      </c>
      <c r="D2158" t="s">
        <v>4181</v>
      </c>
      <c r="E2158" t="s">
        <v>2506</v>
      </c>
      <c r="F2158" s="117" t="s">
        <v>2506</v>
      </c>
      <c r="G2158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94" t="s">
        <v>2563</v>
      </c>
      <c r="M2158" s="105">
        <v>45825.147986111115</v>
      </c>
      <c r="N2158" s="105"/>
      <c r="O2158" s="105"/>
      <c r="P2158" s="106" t="str">
        <f ca="1">IF(Proc[[#This Row],[DaysAgeing]]&gt;5,"yep","on track")</f>
        <v>yep</v>
      </c>
      <c r="Q2158" s="3">
        <f ca="1">IF(Proc[[#This Row],[DateClosed]]="",ABS(NETWORKDAYS(Proc[[#This Row],[DateOpened]],TODAY()))-1,ABS(NETWORKDAYS(Proc[[#This Row],[DateOpened]],Proc[[#This Row],[DateClosed]]))-1)</f>
        <v>122</v>
      </c>
      <c r="R2158" s="106" t="s">
        <v>955</v>
      </c>
      <c r="S2158" s="94"/>
    </row>
    <row r="2159" spans="1:19" hidden="1">
      <c r="A2159" t="s">
        <v>4187</v>
      </c>
      <c r="B2159" s="149" t="str">
        <f>IFERROR(VLOOKUP(Proc[[#This Row],[App]],Table2[],3,0),"open")</f>
        <v>ok</v>
      </c>
      <c r="C2159" s="103" t="s">
        <v>369</v>
      </c>
      <c r="D2159" t="s">
        <v>4182</v>
      </c>
      <c r="E2159" t="s">
        <v>480</v>
      </c>
      <c r="F2159" s="117" t="s">
        <v>480</v>
      </c>
      <c r="G2159" s="10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LS</v>
      </c>
      <c r="L2159" s="94" t="s">
        <v>2563</v>
      </c>
      <c r="M2159" s="105">
        <v>45825.378379629627</v>
      </c>
      <c r="N2159" s="105"/>
      <c r="O2159" s="105"/>
      <c r="P2159" s="106" t="str">
        <f ca="1">IF(Proc[[#This Row],[DaysAgeing]]&gt;5,"yep","on track")</f>
        <v>yep</v>
      </c>
      <c r="Q2159" s="3">
        <f ca="1">IF(Proc[[#This Row],[DateClosed]]="",ABS(NETWORKDAYS(Proc[[#This Row],[DateOpened]],TODAY()))-1,ABS(NETWORKDAYS(Proc[[#This Row],[DateOpened]],Proc[[#This Row],[DateClosed]]))-1)</f>
        <v>122</v>
      </c>
      <c r="R2159" s="106" t="s">
        <v>972</v>
      </c>
      <c r="S2159" s="94"/>
    </row>
    <row r="2160" spans="1:19" hidden="1">
      <c r="A2160" s="103" t="s">
        <v>4187</v>
      </c>
      <c r="B2160" s="149" t="str">
        <f>IFERROR(VLOOKUP(Proc[[#This Row],[App]],Table2[],3,0),"open")</f>
        <v>ok</v>
      </c>
      <c r="C2160" s="103" t="s">
        <v>369</v>
      </c>
      <c r="D2160" t="s">
        <v>4183</v>
      </c>
      <c r="E2160" t="s">
        <v>1830</v>
      </c>
      <c r="F2160" s="117" t="s">
        <v>1830</v>
      </c>
      <c r="G2160" s="10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LS</v>
      </c>
      <c r="L2160" s="94" t="s">
        <v>2563</v>
      </c>
      <c r="M2160" s="105">
        <v>45825.378379629627</v>
      </c>
      <c r="N2160" s="105"/>
      <c r="O2160" s="105"/>
      <c r="P2160" s="106" t="str">
        <f ca="1">IF(Proc[[#This Row],[DaysAgeing]]&gt;5,"yep","on track")</f>
        <v>yep</v>
      </c>
      <c r="Q2160" s="3">
        <f ca="1">IF(Proc[[#This Row],[DateClosed]]="",ABS(NETWORKDAYS(Proc[[#This Row],[DateOpened]],TODAY()))-1,ABS(NETWORKDAYS(Proc[[#This Row],[DateOpened]],Proc[[#This Row],[DateClosed]]))-1)</f>
        <v>122</v>
      </c>
      <c r="R2160" s="106" t="s">
        <v>972</v>
      </c>
      <c r="S2160" s="94"/>
    </row>
    <row r="2161" spans="1:19" hidden="1">
      <c r="A2161" s="103" t="s">
        <v>4187</v>
      </c>
      <c r="B2161" s="149" t="str">
        <f>IFERROR(VLOOKUP(Proc[[#This Row],[App]],Table2[],3,0),"open")</f>
        <v>ok</v>
      </c>
      <c r="C2161" s="103" t="s">
        <v>369</v>
      </c>
      <c r="D2161" t="s">
        <v>4184</v>
      </c>
      <c r="E2161" t="s">
        <v>480</v>
      </c>
      <c r="F2161" s="117" t="s">
        <v>480</v>
      </c>
      <c r="G2161" s="10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LS</v>
      </c>
      <c r="L2161" s="94" t="s">
        <v>2563</v>
      </c>
      <c r="M2161" s="105">
        <v>45825.378379629627</v>
      </c>
      <c r="N2161" s="105"/>
      <c r="O2161" s="105"/>
      <c r="P2161" s="106" t="str">
        <f ca="1">IF(Proc[[#This Row],[DaysAgeing]]&gt;5,"yep","on track")</f>
        <v>yep</v>
      </c>
      <c r="Q2161" s="3">
        <f ca="1">IF(Proc[[#This Row],[DateClosed]]="",ABS(NETWORKDAYS(Proc[[#This Row],[DateOpened]],TODAY()))-1,ABS(NETWORKDAYS(Proc[[#This Row],[DateOpened]],Proc[[#This Row],[DateClosed]]))-1)</f>
        <v>122</v>
      </c>
      <c r="R2161" s="106" t="s">
        <v>972</v>
      </c>
      <c r="S2161" s="94"/>
    </row>
    <row r="2162" spans="1:19" hidden="1">
      <c r="A2162" s="103" t="s">
        <v>4187</v>
      </c>
      <c r="B2162" s="149" t="str">
        <f>IFERROR(VLOOKUP(Proc[[#This Row],[App]],Table2[],3,0),"open")</f>
        <v>ok</v>
      </c>
      <c r="C2162" s="103" t="s">
        <v>369</v>
      </c>
      <c r="D2162" t="s">
        <v>4185</v>
      </c>
      <c r="E2162" t="s">
        <v>1830</v>
      </c>
      <c r="F2162" s="117" t="s">
        <v>1830</v>
      </c>
      <c r="G2162" s="10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LS</v>
      </c>
      <c r="L2162" s="94" t="s">
        <v>2563</v>
      </c>
      <c r="M2162" s="105">
        <v>45825.378379629627</v>
      </c>
      <c r="N2162" s="105"/>
      <c r="O2162" s="105"/>
      <c r="P2162" s="106" t="str">
        <f ca="1">IF(Proc[[#This Row],[DaysAgeing]]&gt;5,"yep","on track")</f>
        <v>yep</v>
      </c>
      <c r="Q2162" s="3">
        <f ca="1">IF(Proc[[#This Row],[DateClosed]]="",ABS(NETWORKDAYS(Proc[[#This Row],[DateOpened]],TODAY()))-1,ABS(NETWORKDAYS(Proc[[#This Row],[DateOpened]],Proc[[#This Row],[DateClosed]]))-1)</f>
        <v>122</v>
      </c>
      <c r="R2162" s="106" t="s">
        <v>972</v>
      </c>
      <c r="S2162" s="94"/>
    </row>
    <row r="2163" spans="1:19" hidden="1">
      <c r="A2163" s="103" t="s">
        <v>4187</v>
      </c>
      <c r="B2163" s="149" t="str">
        <f>IFERROR(VLOOKUP(Proc[[#This Row],[App]],Table2[],3,0),"open")</f>
        <v>ok</v>
      </c>
      <c r="C2163" s="103" t="s">
        <v>369</v>
      </c>
      <c r="D2163" t="s">
        <v>4186</v>
      </c>
      <c r="E2163" t="s">
        <v>447</v>
      </c>
      <c r="F2163" s="117" t="s">
        <v>447</v>
      </c>
      <c r="G2163" s="10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LS</v>
      </c>
      <c r="L2163" s="94" t="s">
        <v>2563</v>
      </c>
      <c r="M2163" s="105">
        <v>45825.378379629627</v>
      </c>
      <c r="N2163" s="105"/>
      <c r="O2163" s="105"/>
      <c r="P2163" s="106" t="str">
        <f ca="1">IF(Proc[[#This Row],[DaysAgeing]]&gt;5,"yep","on track")</f>
        <v>yep</v>
      </c>
      <c r="Q2163" s="3">
        <f ca="1">IF(Proc[[#This Row],[DateClosed]]="",ABS(NETWORKDAYS(Proc[[#This Row],[DateOpened]],TODAY()))-1,ABS(NETWORKDAYS(Proc[[#This Row],[DateOpened]],Proc[[#This Row],[DateClosed]]))-1)</f>
        <v>122</v>
      </c>
      <c r="R2163" s="106" t="s">
        <v>972</v>
      </c>
      <c r="S2163" s="94"/>
    </row>
    <row r="2164" spans="1:19" hidden="1">
      <c r="A2164" t="s">
        <v>4188</v>
      </c>
      <c r="B2164" s="149" t="str">
        <f>IFERROR(VLOOKUP(Proc[[#This Row],[App]],Table2[],3,0),"open")</f>
        <v>ok</v>
      </c>
      <c r="C2164" s="103" t="s">
        <v>369</v>
      </c>
      <c r="D2164" t="s">
        <v>4189</v>
      </c>
      <c r="E2164" t="s">
        <v>4245</v>
      </c>
      <c r="F2164" s="117" t="s">
        <v>4245</v>
      </c>
      <c r="G2164" s="10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EL</v>
      </c>
      <c r="L2164" s="94" t="s">
        <v>2563</v>
      </c>
      <c r="M2164" s="105">
        <v>45825.476678240739</v>
      </c>
      <c r="N2164" s="105"/>
      <c r="O2164" s="105"/>
      <c r="P2164" s="106" t="str">
        <f ca="1">IF(Proc[[#This Row],[DaysAgeing]]&gt;5,"yep","on track")</f>
        <v>yep</v>
      </c>
      <c r="Q2164" s="3">
        <f ca="1">IF(Proc[[#This Row],[DateClosed]]="",ABS(NETWORKDAYS(Proc[[#This Row],[DateOpened]],TODAY()))-1,ABS(NETWORKDAYS(Proc[[#This Row],[DateOpened]],Proc[[#This Row],[DateClosed]]))-1)</f>
        <v>122</v>
      </c>
      <c r="R2164" s="106" t="s">
        <v>780</v>
      </c>
      <c r="S2164" s="94"/>
    </row>
    <row r="2165" spans="1:19" hidden="1">
      <c r="A2165" s="103" t="s">
        <v>4188</v>
      </c>
      <c r="B2165" s="149" t="str">
        <f>IFERROR(VLOOKUP(Proc[[#This Row],[App]],Table2[],3,0),"open")</f>
        <v>ok</v>
      </c>
      <c r="C2165" s="103" t="s">
        <v>369</v>
      </c>
      <c r="D2165" t="s">
        <v>4190</v>
      </c>
      <c r="E2165" t="s">
        <v>4245</v>
      </c>
      <c r="F2165" s="117" t="s">
        <v>4245</v>
      </c>
      <c r="G2165" s="10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EL</v>
      </c>
      <c r="L2165" s="94" t="s">
        <v>2563</v>
      </c>
      <c r="M2165" s="105">
        <v>45825.476678240739</v>
      </c>
      <c r="N2165" s="105"/>
      <c r="O2165" s="105"/>
      <c r="P2165" s="106" t="str">
        <f ca="1">IF(Proc[[#This Row],[DaysAgeing]]&gt;5,"yep","on track")</f>
        <v>yep</v>
      </c>
      <c r="Q2165" s="3">
        <f ca="1">IF(Proc[[#This Row],[DateClosed]]="",ABS(NETWORKDAYS(Proc[[#This Row],[DateOpened]],TODAY()))-1,ABS(NETWORKDAYS(Proc[[#This Row],[DateOpened]],Proc[[#This Row],[DateClosed]]))-1)</f>
        <v>122</v>
      </c>
      <c r="R2165" s="106" t="s">
        <v>780</v>
      </c>
      <c r="S2165" s="94"/>
    </row>
    <row r="2166" spans="1:19" hidden="1">
      <c r="A2166" s="103" t="s">
        <v>4188</v>
      </c>
      <c r="B2166" s="149" t="str">
        <f>IFERROR(VLOOKUP(Proc[[#This Row],[App]],Table2[],3,0),"open")</f>
        <v>ok</v>
      </c>
      <c r="C2166" s="103" t="s">
        <v>369</v>
      </c>
      <c r="D2166" t="s">
        <v>4191</v>
      </c>
      <c r="E2166" t="s">
        <v>4245</v>
      </c>
      <c r="F2166" s="117" t="s">
        <v>4245</v>
      </c>
      <c r="G2166" s="10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EL</v>
      </c>
      <c r="L2166" s="94" t="s">
        <v>2563</v>
      </c>
      <c r="M2166" s="105">
        <v>45825.476678240739</v>
      </c>
      <c r="N2166" s="105"/>
      <c r="O2166" s="105"/>
      <c r="P2166" s="106" t="str">
        <f ca="1">IF(Proc[[#This Row],[DaysAgeing]]&gt;5,"yep","on track")</f>
        <v>yep</v>
      </c>
      <c r="Q2166" s="3">
        <f ca="1">IF(Proc[[#This Row],[DateClosed]]="",ABS(NETWORKDAYS(Proc[[#This Row],[DateOpened]],TODAY()))-1,ABS(NETWORKDAYS(Proc[[#This Row],[DateOpened]],Proc[[#This Row],[DateClosed]]))-1)</f>
        <v>122</v>
      </c>
      <c r="R2166" s="106" t="s">
        <v>780</v>
      </c>
      <c r="S2166" s="94"/>
    </row>
    <row r="2167" spans="1:19" hidden="1">
      <c r="A2167" s="103" t="s">
        <v>4188</v>
      </c>
      <c r="B2167" s="149" t="str">
        <f>IFERROR(VLOOKUP(Proc[[#This Row],[App]],Table2[],3,0),"open")</f>
        <v>ok</v>
      </c>
      <c r="C2167" s="103" t="s">
        <v>369</v>
      </c>
      <c r="D2167" t="s">
        <v>4192</v>
      </c>
      <c r="E2167" t="s">
        <v>4245</v>
      </c>
      <c r="F2167" s="117" t="s">
        <v>4245</v>
      </c>
      <c r="G2167" s="10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EL</v>
      </c>
      <c r="L2167" s="94" t="s">
        <v>2563</v>
      </c>
      <c r="M2167" s="105">
        <v>45825.476678240739</v>
      </c>
      <c r="N2167" s="105"/>
      <c r="O2167" s="105"/>
      <c r="P2167" s="106" t="str">
        <f ca="1">IF(Proc[[#This Row],[DaysAgeing]]&gt;5,"yep","on track")</f>
        <v>yep</v>
      </c>
      <c r="Q2167" s="3">
        <f ca="1">IF(Proc[[#This Row],[DateClosed]]="",ABS(NETWORKDAYS(Proc[[#This Row],[DateOpened]],TODAY()))-1,ABS(NETWORKDAYS(Proc[[#This Row],[DateOpened]],Proc[[#This Row],[DateClosed]]))-1)</f>
        <v>122</v>
      </c>
      <c r="R2167" s="106" t="s">
        <v>780</v>
      </c>
      <c r="S2167" s="94"/>
    </row>
    <row r="2168" spans="1:19" hidden="1">
      <c r="A2168" s="103" t="s">
        <v>4188</v>
      </c>
      <c r="B2168" s="149" t="str">
        <f>IFERROR(VLOOKUP(Proc[[#This Row],[App]],Table2[],3,0),"open")</f>
        <v>ok</v>
      </c>
      <c r="C2168" s="103" t="s">
        <v>369</v>
      </c>
      <c r="D2168" t="s">
        <v>4193</v>
      </c>
      <c r="E2168" t="s">
        <v>4245</v>
      </c>
      <c r="F2168" s="117" t="s">
        <v>4245</v>
      </c>
      <c r="G2168" s="10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EL</v>
      </c>
      <c r="L2168" s="94" t="s">
        <v>2563</v>
      </c>
      <c r="M2168" s="105">
        <v>45825.476678240739</v>
      </c>
      <c r="N2168" s="105"/>
      <c r="O2168" s="105"/>
      <c r="P2168" s="106" t="str">
        <f ca="1">IF(Proc[[#This Row],[DaysAgeing]]&gt;5,"yep","on track")</f>
        <v>yep</v>
      </c>
      <c r="Q2168" s="3">
        <f ca="1">IF(Proc[[#This Row],[DateClosed]]="",ABS(NETWORKDAYS(Proc[[#This Row],[DateOpened]],TODAY()))-1,ABS(NETWORKDAYS(Proc[[#This Row],[DateOpened]],Proc[[#This Row],[DateClosed]]))-1)</f>
        <v>122</v>
      </c>
      <c r="R2168" s="106" t="s">
        <v>780</v>
      </c>
      <c r="S2168" s="94"/>
    </row>
    <row r="2169" spans="1:19" hidden="1">
      <c r="A2169" s="103" t="s">
        <v>4188</v>
      </c>
      <c r="B2169" s="149" t="str">
        <f>IFERROR(VLOOKUP(Proc[[#This Row],[App]],Table2[],3,0),"open")</f>
        <v>ok</v>
      </c>
      <c r="C2169" s="103" t="s">
        <v>369</v>
      </c>
      <c r="D2169" t="s">
        <v>4194</v>
      </c>
      <c r="E2169" t="s">
        <v>4245</v>
      </c>
      <c r="F2169" s="117" t="s">
        <v>4245</v>
      </c>
      <c r="G2169" s="10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EL</v>
      </c>
      <c r="L2169" s="94" t="s">
        <v>2563</v>
      </c>
      <c r="M2169" s="105">
        <v>45825.476678240739</v>
      </c>
      <c r="N2169" s="105"/>
      <c r="O2169" s="105"/>
      <c r="P2169" s="106" t="str">
        <f ca="1">IF(Proc[[#This Row],[DaysAgeing]]&gt;5,"yep","on track")</f>
        <v>yep</v>
      </c>
      <c r="Q2169" s="3">
        <f ca="1">IF(Proc[[#This Row],[DateClosed]]="",ABS(NETWORKDAYS(Proc[[#This Row],[DateOpened]],TODAY()))-1,ABS(NETWORKDAYS(Proc[[#This Row],[DateOpened]],Proc[[#This Row],[DateClosed]]))-1)</f>
        <v>122</v>
      </c>
      <c r="R2169" s="106" t="s">
        <v>780</v>
      </c>
      <c r="S2169" s="94"/>
    </row>
    <row r="2170" spans="1:19" hidden="1">
      <c r="A2170" s="103" t="s">
        <v>4188</v>
      </c>
      <c r="B2170" s="149" t="str">
        <f>IFERROR(VLOOKUP(Proc[[#This Row],[App]],Table2[],3,0),"open")</f>
        <v>ok</v>
      </c>
      <c r="C2170" s="103" t="s">
        <v>369</v>
      </c>
      <c r="D2170" t="s">
        <v>4195</v>
      </c>
      <c r="E2170" t="s">
        <v>4245</v>
      </c>
      <c r="F2170" s="117" t="s">
        <v>4245</v>
      </c>
      <c r="G2170" s="10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EL</v>
      </c>
      <c r="L2170" s="94" t="s">
        <v>2563</v>
      </c>
      <c r="M2170" s="105">
        <v>45825.476678240739</v>
      </c>
      <c r="N2170" s="105"/>
      <c r="O2170" s="105"/>
      <c r="P2170" s="106" t="str">
        <f ca="1">IF(Proc[[#This Row],[DaysAgeing]]&gt;5,"yep","on track")</f>
        <v>yep</v>
      </c>
      <c r="Q2170" s="3">
        <f ca="1">IF(Proc[[#This Row],[DateClosed]]="",ABS(NETWORKDAYS(Proc[[#This Row],[DateOpened]],TODAY()))-1,ABS(NETWORKDAYS(Proc[[#This Row],[DateOpened]],Proc[[#This Row],[DateClosed]]))-1)</f>
        <v>122</v>
      </c>
      <c r="R2170" s="106" t="s">
        <v>780</v>
      </c>
      <c r="S2170" s="94"/>
    </row>
    <row r="2171" spans="1:19" hidden="1">
      <c r="A2171" s="103" t="s">
        <v>4188</v>
      </c>
      <c r="B2171" s="149" t="str">
        <f>IFERROR(VLOOKUP(Proc[[#This Row],[App]],Table2[],3,0),"open")</f>
        <v>ok</v>
      </c>
      <c r="C2171" s="103" t="s">
        <v>369</v>
      </c>
      <c r="D2171" t="s">
        <v>4196</v>
      </c>
      <c r="E2171" t="s">
        <v>4246</v>
      </c>
      <c r="F2171" s="117" t="s">
        <v>4246</v>
      </c>
      <c r="G2171" s="10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EL</v>
      </c>
      <c r="L2171" s="94" t="s">
        <v>2563</v>
      </c>
      <c r="M2171" s="105">
        <v>45825.476678240739</v>
      </c>
      <c r="N2171" s="105"/>
      <c r="O2171" s="105"/>
      <c r="P2171" s="106" t="str">
        <f ca="1">IF(Proc[[#This Row],[DaysAgeing]]&gt;5,"yep","on track")</f>
        <v>yep</v>
      </c>
      <c r="Q2171" s="3">
        <f ca="1">IF(Proc[[#This Row],[DateClosed]]="",ABS(NETWORKDAYS(Proc[[#This Row],[DateOpened]],TODAY()))-1,ABS(NETWORKDAYS(Proc[[#This Row],[DateOpened]],Proc[[#This Row],[DateClosed]]))-1)</f>
        <v>122</v>
      </c>
      <c r="R2171" s="106" t="s">
        <v>780</v>
      </c>
      <c r="S2171" s="94"/>
    </row>
    <row r="2172" spans="1:19" hidden="1">
      <c r="A2172" s="103" t="s">
        <v>4188</v>
      </c>
      <c r="B2172" s="149" t="str">
        <f>IFERROR(VLOOKUP(Proc[[#This Row],[App]],Table2[],3,0),"open")</f>
        <v>ok</v>
      </c>
      <c r="C2172" s="103" t="s">
        <v>369</v>
      </c>
      <c r="D2172" t="s">
        <v>4197</v>
      </c>
      <c r="E2172" t="s">
        <v>4246</v>
      </c>
      <c r="F2172" s="117" t="s">
        <v>4246</v>
      </c>
      <c r="G2172" s="10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EL</v>
      </c>
      <c r="L2172" s="94" t="s">
        <v>2563</v>
      </c>
      <c r="M2172" s="105">
        <v>45825.476678240739</v>
      </c>
      <c r="N2172" s="105"/>
      <c r="O2172" s="105"/>
      <c r="P2172" s="106" t="str">
        <f ca="1">IF(Proc[[#This Row],[DaysAgeing]]&gt;5,"yep","on track")</f>
        <v>yep</v>
      </c>
      <c r="Q2172" s="3">
        <f ca="1">IF(Proc[[#This Row],[DateClosed]]="",ABS(NETWORKDAYS(Proc[[#This Row],[DateOpened]],TODAY()))-1,ABS(NETWORKDAYS(Proc[[#This Row],[DateOpened]],Proc[[#This Row],[DateClosed]]))-1)</f>
        <v>122</v>
      </c>
      <c r="R2172" s="106" t="s">
        <v>780</v>
      </c>
      <c r="S2172" s="94"/>
    </row>
    <row r="2173" spans="1:19" hidden="1">
      <c r="A2173" s="103" t="s">
        <v>4188</v>
      </c>
      <c r="B2173" s="149" t="str">
        <f>IFERROR(VLOOKUP(Proc[[#This Row],[App]],Table2[],3,0),"open")</f>
        <v>ok</v>
      </c>
      <c r="C2173" s="103" t="s">
        <v>369</v>
      </c>
      <c r="D2173" t="s">
        <v>4198</v>
      </c>
      <c r="E2173" t="s">
        <v>4246</v>
      </c>
      <c r="F2173" s="117" t="s">
        <v>4246</v>
      </c>
      <c r="G2173" s="10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EL</v>
      </c>
      <c r="L2173" s="94" t="s">
        <v>2563</v>
      </c>
      <c r="M2173" s="105">
        <v>45825.476678240739</v>
      </c>
      <c r="N2173" s="105"/>
      <c r="O2173" s="105"/>
      <c r="P2173" s="106" t="str">
        <f ca="1">IF(Proc[[#This Row],[DaysAgeing]]&gt;5,"yep","on track")</f>
        <v>yep</v>
      </c>
      <c r="Q2173" s="3">
        <f ca="1">IF(Proc[[#This Row],[DateClosed]]="",ABS(NETWORKDAYS(Proc[[#This Row],[DateOpened]],TODAY()))-1,ABS(NETWORKDAYS(Proc[[#This Row],[DateOpened]],Proc[[#This Row],[DateClosed]]))-1)</f>
        <v>122</v>
      </c>
      <c r="R2173" s="106" t="s">
        <v>780</v>
      </c>
      <c r="S2173" s="94"/>
    </row>
    <row r="2174" spans="1:19" hidden="1">
      <c r="A2174" s="103" t="s">
        <v>4188</v>
      </c>
      <c r="B2174" s="149" t="str">
        <f>IFERROR(VLOOKUP(Proc[[#This Row],[App]],Table2[],3,0),"open")</f>
        <v>ok</v>
      </c>
      <c r="C2174" s="103" t="s">
        <v>369</v>
      </c>
      <c r="D2174" t="s">
        <v>4199</v>
      </c>
      <c r="E2174" t="s">
        <v>4246</v>
      </c>
      <c r="F2174" s="117" t="s">
        <v>4246</v>
      </c>
      <c r="G2174" s="10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EL</v>
      </c>
      <c r="L2174" s="94" t="s">
        <v>2563</v>
      </c>
      <c r="M2174" s="105">
        <v>45825.476678240739</v>
      </c>
      <c r="N2174" s="105"/>
      <c r="O2174" s="105"/>
      <c r="P2174" s="106" t="str">
        <f ca="1">IF(Proc[[#This Row],[DaysAgeing]]&gt;5,"yep","on track")</f>
        <v>yep</v>
      </c>
      <c r="Q2174" s="3">
        <f ca="1">IF(Proc[[#This Row],[DateClosed]]="",ABS(NETWORKDAYS(Proc[[#This Row],[DateOpened]],TODAY()))-1,ABS(NETWORKDAYS(Proc[[#This Row],[DateOpened]],Proc[[#This Row],[DateClosed]]))-1)</f>
        <v>122</v>
      </c>
      <c r="R2174" s="106" t="s">
        <v>780</v>
      </c>
      <c r="S2174" s="94"/>
    </row>
    <row r="2175" spans="1:19" hidden="1">
      <c r="A2175" s="103" t="s">
        <v>4188</v>
      </c>
      <c r="B2175" s="149" t="str">
        <f>IFERROR(VLOOKUP(Proc[[#This Row],[App]],Table2[],3,0),"open")</f>
        <v>ok</v>
      </c>
      <c r="C2175" s="103" t="s">
        <v>369</v>
      </c>
      <c r="D2175" t="s">
        <v>4200</v>
      </c>
      <c r="E2175" t="s">
        <v>4246</v>
      </c>
      <c r="F2175" s="117" t="s">
        <v>4246</v>
      </c>
      <c r="G2175" s="10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EL</v>
      </c>
      <c r="L2175" s="94" t="s">
        <v>2563</v>
      </c>
      <c r="M2175" s="105">
        <v>45825.476678240739</v>
      </c>
      <c r="N2175" s="105"/>
      <c r="O2175" s="105"/>
      <c r="P2175" s="106" t="str">
        <f ca="1">IF(Proc[[#This Row],[DaysAgeing]]&gt;5,"yep","on track")</f>
        <v>yep</v>
      </c>
      <c r="Q2175" s="3">
        <f ca="1">IF(Proc[[#This Row],[DateClosed]]="",ABS(NETWORKDAYS(Proc[[#This Row],[DateOpened]],TODAY()))-1,ABS(NETWORKDAYS(Proc[[#This Row],[DateOpened]],Proc[[#This Row],[DateClosed]]))-1)</f>
        <v>122</v>
      </c>
      <c r="R2175" s="106" t="s">
        <v>780</v>
      </c>
      <c r="S2175" s="94"/>
    </row>
    <row r="2176" spans="1:19" hidden="1">
      <c r="A2176" s="103" t="s">
        <v>4188</v>
      </c>
      <c r="B2176" s="149" t="str">
        <f>IFERROR(VLOOKUP(Proc[[#This Row],[App]],Table2[],3,0),"open")</f>
        <v>ok</v>
      </c>
      <c r="C2176" s="103" t="s">
        <v>369</v>
      </c>
      <c r="D2176" t="s">
        <v>4201</v>
      </c>
      <c r="E2176" t="s">
        <v>4246</v>
      </c>
      <c r="F2176" s="117" t="s">
        <v>4246</v>
      </c>
      <c r="G2176" s="10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EL</v>
      </c>
      <c r="L2176" s="94" t="s">
        <v>2563</v>
      </c>
      <c r="M2176" s="105">
        <v>45825.476678240739</v>
      </c>
      <c r="N2176" s="105"/>
      <c r="O2176" s="105"/>
      <c r="P2176" s="106" t="str">
        <f ca="1">IF(Proc[[#This Row],[DaysAgeing]]&gt;5,"yep","on track")</f>
        <v>yep</v>
      </c>
      <c r="Q2176" s="3">
        <f ca="1">IF(Proc[[#This Row],[DateClosed]]="",ABS(NETWORKDAYS(Proc[[#This Row],[DateOpened]],TODAY()))-1,ABS(NETWORKDAYS(Proc[[#This Row],[DateOpened]],Proc[[#This Row],[DateClosed]]))-1)</f>
        <v>122</v>
      </c>
      <c r="R2176" s="106" t="s">
        <v>780</v>
      </c>
      <c r="S2176" s="94"/>
    </row>
    <row r="2177" spans="1:19" hidden="1">
      <c r="A2177" s="103" t="s">
        <v>4188</v>
      </c>
      <c r="B2177" s="149" t="str">
        <f>IFERROR(VLOOKUP(Proc[[#This Row],[App]],Table2[],3,0),"open")</f>
        <v>ok</v>
      </c>
      <c r="C2177" s="103" t="s">
        <v>369</v>
      </c>
      <c r="D2177" t="s">
        <v>4202</v>
      </c>
      <c r="E2177" t="s">
        <v>4246</v>
      </c>
      <c r="F2177" s="117" t="s">
        <v>4246</v>
      </c>
      <c r="G2177" s="10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EL</v>
      </c>
      <c r="L2177" s="94" t="s">
        <v>2563</v>
      </c>
      <c r="M2177" s="105">
        <v>45825.476678240739</v>
      </c>
      <c r="N2177" s="105"/>
      <c r="O2177" s="105"/>
      <c r="P2177" s="106" t="str">
        <f ca="1">IF(Proc[[#This Row],[DaysAgeing]]&gt;5,"yep","on track")</f>
        <v>yep</v>
      </c>
      <c r="Q2177" s="3">
        <f ca="1">IF(Proc[[#This Row],[DateClosed]]="",ABS(NETWORKDAYS(Proc[[#This Row],[DateOpened]],TODAY()))-1,ABS(NETWORKDAYS(Proc[[#This Row],[DateOpened]],Proc[[#This Row],[DateClosed]]))-1)</f>
        <v>122</v>
      </c>
      <c r="R2177" s="106" t="s">
        <v>780</v>
      </c>
      <c r="S2177" s="94"/>
    </row>
    <row r="2178" spans="1:19" hidden="1">
      <c r="A2178" s="103" t="s">
        <v>4188</v>
      </c>
      <c r="B2178" s="149" t="str">
        <f>IFERROR(VLOOKUP(Proc[[#This Row],[App]],Table2[],3,0),"open")</f>
        <v>ok</v>
      </c>
      <c r="C2178" s="103" t="s">
        <v>369</v>
      </c>
      <c r="D2178" t="s">
        <v>4203</v>
      </c>
      <c r="E2178" t="s">
        <v>4246</v>
      </c>
      <c r="F2178" s="117" t="s">
        <v>4246</v>
      </c>
      <c r="G2178" s="10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EL</v>
      </c>
      <c r="L2178" s="94" t="s">
        <v>2563</v>
      </c>
      <c r="M2178" s="105">
        <v>45825.476678240739</v>
      </c>
      <c r="N2178" s="105"/>
      <c r="O2178" s="105"/>
      <c r="P2178" s="106" t="str">
        <f ca="1">IF(Proc[[#This Row],[DaysAgeing]]&gt;5,"yep","on track")</f>
        <v>yep</v>
      </c>
      <c r="Q2178" s="3">
        <f ca="1">IF(Proc[[#This Row],[DateClosed]]="",ABS(NETWORKDAYS(Proc[[#This Row],[DateOpened]],TODAY()))-1,ABS(NETWORKDAYS(Proc[[#This Row],[DateOpened]],Proc[[#This Row],[DateClosed]]))-1)</f>
        <v>122</v>
      </c>
      <c r="R2178" s="106" t="s">
        <v>780</v>
      </c>
      <c r="S2178" s="94"/>
    </row>
    <row r="2179" spans="1:19" hidden="1">
      <c r="A2179" s="103" t="s">
        <v>4188</v>
      </c>
      <c r="B2179" s="149" t="str">
        <f>IFERROR(VLOOKUP(Proc[[#This Row],[App]],Table2[],3,0),"open")</f>
        <v>ok</v>
      </c>
      <c r="C2179" s="103" t="s">
        <v>369</v>
      </c>
      <c r="D2179" t="s">
        <v>4204</v>
      </c>
      <c r="E2179" t="s">
        <v>4246</v>
      </c>
      <c r="F2179" s="117" t="s">
        <v>4246</v>
      </c>
      <c r="G2179" s="10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EL</v>
      </c>
      <c r="L2179" s="94" t="s">
        <v>2563</v>
      </c>
      <c r="M2179" s="105">
        <v>45825.476678240739</v>
      </c>
      <c r="N2179" s="105"/>
      <c r="O2179" s="105"/>
      <c r="P2179" s="106" t="str">
        <f ca="1">IF(Proc[[#This Row],[DaysAgeing]]&gt;5,"yep","on track")</f>
        <v>yep</v>
      </c>
      <c r="Q2179" s="3">
        <f ca="1">IF(Proc[[#This Row],[DateClosed]]="",ABS(NETWORKDAYS(Proc[[#This Row],[DateOpened]],TODAY()))-1,ABS(NETWORKDAYS(Proc[[#This Row],[DateOpened]],Proc[[#This Row],[DateClosed]]))-1)</f>
        <v>122</v>
      </c>
      <c r="R2179" s="106" t="s">
        <v>780</v>
      </c>
      <c r="S2179" s="94"/>
    </row>
    <row r="2180" spans="1:19" hidden="1">
      <c r="A2180" s="103" t="s">
        <v>4188</v>
      </c>
      <c r="B2180" s="149" t="str">
        <f>IFERROR(VLOOKUP(Proc[[#This Row],[App]],Table2[],3,0),"open")</f>
        <v>ok</v>
      </c>
      <c r="C2180" s="103" t="s">
        <v>369</v>
      </c>
      <c r="D2180" t="s">
        <v>4205</v>
      </c>
      <c r="E2180" t="s">
        <v>4246</v>
      </c>
      <c r="F2180" s="117" t="s">
        <v>4246</v>
      </c>
      <c r="G2180" s="10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EL</v>
      </c>
      <c r="L2180" s="94" t="s">
        <v>2563</v>
      </c>
      <c r="M2180" s="105">
        <v>45825.476678240739</v>
      </c>
      <c r="N2180" s="105"/>
      <c r="O2180" s="105"/>
      <c r="P2180" s="106" t="str">
        <f ca="1">IF(Proc[[#This Row],[DaysAgeing]]&gt;5,"yep","on track")</f>
        <v>yep</v>
      </c>
      <c r="Q2180" s="3">
        <f ca="1">IF(Proc[[#This Row],[DateClosed]]="",ABS(NETWORKDAYS(Proc[[#This Row],[DateOpened]],TODAY()))-1,ABS(NETWORKDAYS(Proc[[#This Row],[DateOpened]],Proc[[#This Row],[DateClosed]]))-1)</f>
        <v>122</v>
      </c>
      <c r="R2180" s="106" t="s">
        <v>780</v>
      </c>
      <c r="S2180" s="94"/>
    </row>
    <row r="2181" spans="1:19" hidden="1">
      <c r="A2181" s="103" t="s">
        <v>4188</v>
      </c>
      <c r="B2181" s="149" t="str">
        <f>IFERROR(VLOOKUP(Proc[[#This Row],[App]],Table2[],3,0),"open")</f>
        <v>ok</v>
      </c>
      <c r="C2181" s="103" t="s">
        <v>369</v>
      </c>
      <c r="D2181" t="s">
        <v>4206</v>
      </c>
      <c r="E2181" t="s">
        <v>4246</v>
      </c>
      <c r="F2181" s="117" t="s">
        <v>4246</v>
      </c>
      <c r="G2181" s="10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EL</v>
      </c>
      <c r="L2181" s="94" t="s">
        <v>2563</v>
      </c>
      <c r="M2181" s="105">
        <v>45825.476678240739</v>
      </c>
      <c r="N2181" s="105"/>
      <c r="O2181" s="105"/>
      <c r="P2181" s="106" t="str">
        <f ca="1">IF(Proc[[#This Row],[DaysAgeing]]&gt;5,"yep","on track")</f>
        <v>yep</v>
      </c>
      <c r="Q2181" s="3">
        <f ca="1">IF(Proc[[#This Row],[DateClosed]]="",ABS(NETWORKDAYS(Proc[[#This Row],[DateOpened]],TODAY()))-1,ABS(NETWORKDAYS(Proc[[#This Row],[DateOpened]],Proc[[#This Row],[DateClosed]]))-1)</f>
        <v>122</v>
      </c>
      <c r="R2181" s="106" t="s">
        <v>780</v>
      </c>
      <c r="S2181" s="94"/>
    </row>
    <row r="2182" spans="1:19" hidden="1">
      <c r="A2182" s="103" t="s">
        <v>4188</v>
      </c>
      <c r="B2182" s="149" t="str">
        <f>IFERROR(VLOOKUP(Proc[[#This Row],[App]],Table2[],3,0),"open")</f>
        <v>ok</v>
      </c>
      <c r="C2182" s="103" t="s">
        <v>369</v>
      </c>
      <c r="D2182" t="s">
        <v>4207</v>
      </c>
      <c r="E2182" t="s">
        <v>4246</v>
      </c>
      <c r="F2182" s="117" t="s">
        <v>4246</v>
      </c>
      <c r="G2182" s="10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EL</v>
      </c>
      <c r="L2182" s="94" t="s">
        <v>2563</v>
      </c>
      <c r="M2182" s="105">
        <v>45825.476678240739</v>
      </c>
      <c r="N2182" s="105"/>
      <c r="O2182" s="105"/>
      <c r="P2182" s="106" t="str">
        <f ca="1">IF(Proc[[#This Row],[DaysAgeing]]&gt;5,"yep","on track")</f>
        <v>yep</v>
      </c>
      <c r="Q2182" s="3">
        <f ca="1">IF(Proc[[#This Row],[DateClosed]]="",ABS(NETWORKDAYS(Proc[[#This Row],[DateOpened]],TODAY()))-1,ABS(NETWORKDAYS(Proc[[#This Row],[DateOpened]],Proc[[#This Row],[DateClosed]]))-1)</f>
        <v>122</v>
      </c>
      <c r="R2182" s="106" t="s">
        <v>780</v>
      </c>
      <c r="S2182" s="94"/>
    </row>
    <row r="2183" spans="1:19" hidden="1">
      <c r="A2183" s="103" t="s">
        <v>4188</v>
      </c>
      <c r="B2183" s="149" t="str">
        <f>IFERROR(VLOOKUP(Proc[[#This Row],[App]],Table2[],3,0),"open")</f>
        <v>ok</v>
      </c>
      <c r="C2183" s="103" t="s">
        <v>369</v>
      </c>
      <c r="D2183" t="s">
        <v>4208</v>
      </c>
      <c r="E2183" t="s">
        <v>4246</v>
      </c>
      <c r="F2183" s="117" t="s">
        <v>4246</v>
      </c>
      <c r="G2183" s="10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EL</v>
      </c>
      <c r="L2183" s="94" t="s">
        <v>2563</v>
      </c>
      <c r="M2183" s="105">
        <v>45825.476678240739</v>
      </c>
      <c r="N2183" s="105"/>
      <c r="O2183" s="105"/>
      <c r="P2183" s="106" t="str">
        <f ca="1">IF(Proc[[#This Row],[DaysAgeing]]&gt;5,"yep","on track")</f>
        <v>yep</v>
      </c>
      <c r="Q2183" s="3">
        <f ca="1">IF(Proc[[#This Row],[DateClosed]]="",ABS(NETWORKDAYS(Proc[[#This Row],[DateOpened]],TODAY()))-1,ABS(NETWORKDAYS(Proc[[#This Row],[DateOpened]],Proc[[#This Row],[DateClosed]]))-1)</f>
        <v>122</v>
      </c>
      <c r="R2183" s="106" t="s">
        <v>780</v>
      </c>
      <c r="S2183" s="94"/>
    </row>
    <row r="2184" spans="1:19" hidden="1">
      <c r="A2184" s="103" t="s">
        <v>4188</v>
      </c>
      <c r="B2184" s="149" t="str">
        <f>IFERROR(VLOOKUP(Proc[[#This Row],[App]],Table2[],3,0),"open")</f>
        <v>ok</v>
      </c>
      <c r="C2184" s="103" t="s">
        <v>369</v>
      </c>
      <c r="D2184" t="s">
        <v>4209</v>
      </c>
      <c r="E2184" t="s">
        <v>4246</v>
      </c>
      <c r="F2184" s="117" t="s">
        <v>4246</v>
      </c>
      <c r="G2184" s="10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EL</v>
      </c>
      <c r="L2184" s="94" t="s">
        <v>2563</v>
      </c>
      <c r="M2184" s="105">
        <v>45825.476678240739</v>
      </c>
      <c r="N2184" s="105"/>
      <c r="O2184" s="105"/>
      <c r="P2184" s="106" t="str">
        <f ca="1">IF(Proc[[#This Row],[DaysAgeing]]&gt;5,"yep","on track")</f>
        <v>yep</v>
      </c>
      <c r="Q2184" s="3">
        <f ca="1">IF(Proc[[#This Row],[DateClosed]]="",ABS(NETWORKDAYS(Proc[[#This Row],[DateOpened]],TODAY()))-1,ABS(NETWORKDAYS(Proc[[#This Row],[DateOpened]],Proc[[#This Row],[DateClosed]]))-1)</f>
        <v>122</v>
      </c>
      <c r="R2184" s="106" t="s">
        <v>780</v>
      </c>
      <c r="S2184" s="94"/>
    </row>
    <row r="2185" spans="1:19" hidden="1">
      <c r="A2185" s="103" t="s">
        <v>4188</v>
      </c>
      <c r="B2185" s="149" t="str">
        <f>IFERROR(VLOOKUP(Proc[[#This Row],[App]],Table2[],3,0),"open")</f>
        <v>ok</v>
      </c>
      <c r="C2185" s="103" t="s">
        <v>369</v>
      </c>
      <c r="D2185" t="s">
        <v>4210</v>
      </c>
      <c r="E2185" t="s">
        <v>4246</v>
      </c>
      <c r="F2185" s="117" t="s">
        <v>4246</v>
      </c>
      <c r="G2185" s="10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EL</v>
      </c>
      <c r="L2185" s="94" t="s">
        <v>2563</v>
      </c>
      <c r="M2185" s="105">
        <v>45825.476678240739</v>
      </c>
      <c r="N2185" s="105"/>
      <c r="O2185" s="105"/>
      <c r="P2185" s="106" t="str">
        <f ca="1">IF(Proc[[#This Row],[DaysAgeing]]&gt;5,"yep","on track")</f>
        <v>yep</v>
      </c>
      <c r="Q2185" s="3">
        <f ca="1">IF(Proc[[#This Row],[DateClosed]]="",ABS(NETWORKDAYS(Proc[[#This Row],[DateOpened]],TODAY()))-1,ABS(NETWORKDAYS(Proc[[#This Row],[DateOpened]],Proc[[#This Row],[DateClosed]]))-1)</f>
        <v>122</v>
      </c>
      <c r="R2185" s="106" t="s">
        <v>780</v>
      </c>
      <c r="S2185" s="94"/>
    </row>
    <row r="2186" spans="1:19" hidden="1">
      <c r="A2186" s="103" t="s">
        <v>4188</v>
      </c>
      <c r="B2186" s="149" t="str">
        <f>IFERROR(VLOOKUP(Proc[[#This Row],[App]],Table2[],3,0),"open")</f>
        <v>ok</v>
      </c>
      <c r="C2186" s="103" t="s">
        <v>369</v>
      </c>
      <c r="D2186" t="s">
        <v>4211</v>
      </c>
      <c r="E2186" t="s">
        <v>4246</v>
      </c>
      <c r="F2186" s="117" t="s">
        <v>4246</v>
      </c>
      <c r="G2186" s="10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EL</v>
      </c>
      <c r="L2186" s="94" t="s">
        <v>2563</v>
      </c>
      <c r="M2186" s="105">
        <v>45825.476678240739</v>
      </c>
      <c r="N2186" s="105"/>
      <c r="O2186" s="105"/>
      <c r="P2186" s="106" t="str">
        <f ca="1">IF(Proc[[#This Row],[DaysAgeing]]&gt;5,"yep","on track")</f>
        <v>yep</v>
      </c>
      <c r="Q2186" s="3">
        <f ca="1">IF(Proc[[#This Row],[DateClosed]]="",ABS(NETWORKDAYS(Proc[[#This Row],[DateOpened]],TODAY()))-1,ABS(NETWORKDAYS(Proc[[#This Row],[DateOpened]],Proc[[#This Row],[DateClosed]]))-1)</f>
        <v>122</v>
      </c>
      <c r="R2186" s="106" t="s">
        <v>780</v>
      </c>
      <c r="S2186" s="94"/>
    </row>
    <row r="2187" spans="1:19" hidden="1">
      <c r="A2187" s="103" t="s">
        <v>4188</v>
      </c>
      <c r="B2187" s="149" t="str">
        <f>IFERROR(VLOOKUP(Proc[[#This Row],[App]],Table2[],3,0),"open")</f>
        <v>ok</v>
      </c>
      <c r="C2187" s="103" t="s">
        <v>369</v>
      </c>
      <c r="D2187" t="s">
        <v>4212</v>
      </c>
      <c r="E2187" t="s">
        <v>4246</v>
      </c>
      <c r="F2187" s="117" t="s">
        <v>4246</v>
      </c>
      <c r="G2187" s="10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EL</v>
      </c>
      <c r="L2187" s="94" t="s">
        <v>2563</v>
      </c>
      <c r="M2187" s="105">
        <v>45825.476678240739</v>
      </c>
      <c r="N2187" s="105"/>
      <c r="O2187" s="105"/>
      <c r="P2187" s="106" t="str">
        <f ca="1">IF(Proc[[#This Row],[DaysAgeing]]&gt;5,"yep","on track")</f>
        <v>yep</v>
      </c>
      <c r="Q2187" s="3">
        <f ca="1">IF(Proc[[#This Row],[DateClosed]]="",ABS(NETWORKDAYS(Proc[[#This Row],[DateOpened]],TODAY()))-1,ABS(NETWORKDAYS(Proc[[#This Row],[DateOpened]],Proc[[#This Row],[DateClosed]]))-1)</f>
        <v>122</v>
      </c>
      <c r="R2187" s="106" t="s">
        <v>780</v>
      </c>
      <c r="S2187" s="94"/>
    </row>
    <row r="2188" spans="1:19" hidden="1">
      <c r="A2188" s="103" t="s">
        <v>4188</v>
      </c>
      <c r="B2188" s="149" t="str">
        <f>IFERROR(VLOOKUP(Proc[[#This Row],[App]],Table2[],3,0),"open")</f>
        <v>ok</v>
      </c>
      <c r="C2188" s="103" t="s">
        <v>369</v>
      </c>
      <c r="D2188" t="s">
        <v>4213</v>
      </c>
      <c r="E2188" t="s">
        <v>4246</v>
      </c>
      <c r="F2188" s="117" t="s">
        <v>4246</v>
      </c>
      <c r="G2188" s="10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EL</v>
      </c>
      <c r="L2188" s="94" t="s">
        <v>2563</v>
      </c>
      <c r="M2188" s="105">
        <v>45825.476678240739</v>
      </c>
      <c r="N2188" s="105"/>
      <c r="O2188" s="105"/>
      <c r="P2188" s="106" t="str">
        <f ca="1">IF(Proc[[#This Row],[DaysAgeing]]&gt;5,"yep","on track")</f>
        <v>yep</v>
      </c>
      <c r="Q2188" s="3">
        <f ca="1">IF(Proc[[#This Row],[DateClosed]]="",ABS(NETWORKDAYS(Proc[[#This Row],[DateOpened]],TODAY()))-1,ABS(NETWORKDAYS(Proc[[#This Row],[DateOpened]],Proc[[#This Row],[DateClosed]]))-1)</f>
        <v>122</v>
      </c>
      <c r="R2188" s="106" t="s">
        <v>780</v>
      </c>
      <c r="S2188" s="94"/>
    </row>
    <row r="2189" spans="1:19" hidden="1">
      <c r="A2189" s="103" t="s">
        <v>4188</v>
      </c>
      <c r="B2189" s="149" t="str">
        <f>IFERROR(VLOOKUP(Proc[[#This Row],[App]],Table2[],3,0),"open")</f>
        <v>ok</v>
      </c>
      <c r="C2189" s="103" t="s">
        <v>369</v>
      </c>
      <c r="D2189" t="s">
        <v>4214</v>
      </c>
      <c r="E2189" t="s">
        <v>4245</v>
      </c>
      <c r="F2189" s="117" t="s">
        <v>4245</v>
      </c>
      <c r="G2189" s="10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EL</v>
      </c>
      <c r="L2189" s="94" t="s">
        <v>2563</v>
      </c>
      <c r="M2189" s="105">
        <v>45825.476678240739</v>
      </c>
      <c r="N2189" s="105"/>
      <c r="O2189" s="105"/>
      <c r="P2189" s="106" t="str">
        <f ca="1">IF(Proc[[#This Row],[DaysAgeing]]&gt;5,"yep","on track")</f>
        <v>yep</v>
      </c>
      <c r="Q2189" s="3">
        <f ca="1">IF(Proc[[#This Row],[DateClosed]]="",ABS(NETWORKDAYS(Proc[[#This Row],[DateOpened]],TODAY()))-1,ABS(NETWORKDAYS(Proc[[#This Row],[DateOpened]],Proc[[#This Row],[DateClosed]]))-1)</f>
        <v>122</v>
      </c>
      <c r="R2189" s="106" t="s">
        <v>780</v>
      </c>
      <c r="S2189" s="94"/>
    </row>
    <row r="2190" spans="1:19" hidden="1">
      <c r="A2190" s="103" t="s">
        <v>4188</v>
      </c>
      <c r="B2190" s="149" t="str">
        <f>IFERROR(VLOOKUP(Proc[[#This Row],[App]],Table2[],3,0),"open")</f>
        <v>ok</v>
      </c>
      <c r="C2190" s="103" t="s">
        <v>369</v>
      </c>
      <c r="D2190" t="s">
        <v>4215</v>
      </c>
      <c r="E2190" t="s">
        <v>4245</v>
      </c>
      <c r="F2190" s="117" t="s">
        <v>4245</v>
      </c>
      <c r="G2190" s="10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EL</v>
      </c>
      <c r="L2190" s="94" t="s">
        <v>2563</v>
      </c>
      <c r="M2190" s="105">
        <v>45825.476678240739</v>
      </c>
      <c r="N2190" s="105"/>
      <c r="O2190" s="105"/>
      <c r="P2190" s="106" t="str">
        <f ca="1">IF(Proc[[#This Row],[DaysAgeing]]&gt;5,"yep","on track")</f>
        <v>yep</v>
      </c>
      <c r="Q2190" s="3">
        <f ca="1">IF(Proc[[#This Row],[DateClosed]]="",ABS(NETWORKDAYS(Proc[[#This Row],[DateOpened]],TODAY()))-1,ABS(NETWORKDAYS(Proc[[#This Row],[DateOpened]],Proc[[#This Row],[DateClosed]]))-1)</f>
        <v>122</v>
      </c>
      <c r="R2190" s="106" t="s">
        <v>780</v>
      </c>
      <c r="S2190" s="94"/>
    </row>
    <row r="2191" spans="1:19" hidden="1">
      <c r="A2191" s="103" t="s">
        <v>4188</v>
      </c>
      <c r="B2191" s="149" t="str">
        <f>IFERROR(VLOOKUP(Proc[[#This Row],[App]],Table2[],3,0),"open")</f>
        <v>ok</v>
      </c>
      <c r="C2191" s="103" t="s">
        <v>369</v>
      </c>
      <c r="D2191" t="s">
        <v>4216</v>
      </c>
      <c r="E2191" t="s">
        <v>4245</v>
      </c>
      <c r="F2191" s="117" t="s">
        <v>4245</v>
      </c>
      <c r="G2191" s="10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EL</v>
      </c>
      <c r="L2191" s="94" t="s">
        <v>2563</v>
      </c>
      <c r="M2191" s="105">
        <v>45825.476678240739</v>
      </c>
      <c r="N2191" s="105"/>
      <c r="O2191" s="105"/>
      <c r="P2191" s="106" t="str">
        <f ca="1">IF(Proc[[#This Row],[DaysAgeing]]&gt;5,"yep","on track")</f>
        <v>yep</v>
      </c>
      <c r="Q2191" s="3">
        <f ca="1">IF(Proc[[#This Row],[DateClosed]]="",ABS(NETWORKDAYS(Proc[[#This Row],[DateOpened]],TODAY()))-1,ABS(NETWORKDAYS(Proc[[#This Row],[DateOpened]],Proc[[#This Row],[DateClosed]]))-1)</f>
        <v>122</v>
      </c>
      <c r="R2191" s="106" t="s">
        <v>780</v>
      </c>
      <c r="S2191" s="94"/>
    </row>
    <row r="2192" spans="1:19" hidden="1">
      <c r="A2192" s="103" t="s">
        <v>4188</v>
      </c>
      <c r="B2192" s="149" t="str">
        <f>IFERROR(VLOOKUP(Proc[[#This Row],[App]],Table2[],3,0),"open")</f>
        <v>ok</v>
      </c>
      <c r="C2192" s="103" t="s">
        <v>369</v>
      </c>
      <c r="D2192" t="s">
        <v>4217</v>
      </c>
      <c r="E2192" t="s">
        <v>4245</v>
      </c>
      <c r="F2192" s="117" t="s">
        <v>4245</v>
      </c>
      <c r="G2192" s="10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EL</v>
      </c>
      <c r="L2192" s="94" t="s">
        <v>2563</v>
      </c>
      <c r="M2192" s="105">
        <v>45825.476678240739</v>
      </c>
      <c r="N2192" s="105"/>
      <c r="O2192" s="105"/>
      <c r="P2192" s="106" t="str">
        <f ca="1">IF(Proc[[#This Row],[DaysAgeing]]&gt;5,"yep","on track")</f>
        <v>yep</v>
      </c>
      <c r="Q2192" s="3">
        <f ca="1">IF(Proc[[#This Row],[DateClosed]]="",ABS(NETWORKDAYS(Proc[[#This Row],[DateOpened]],TODAY()))-1,ABS(NETWORKDAYS(Proc[[#This Row],[DateOpened]],Proc[[#This Row],[DateClosed]]))-1)</f>
        <v>122</v>
      </c>
      <c r="R2192" s="106" t="s">
        <v>780</v>
      </c>
      <c r="S2192" s="94"/>
    </row>
    <row r="2193" spans="1:19" hidden="1">
      <c r="A2193" s="103" t="s">
        <v>4188</v>
      </c>
      <c r="B2193" s="149" t="str">
        <f>IFERROR(VLOOKUP(Proc[[#This Row],[App]],Table2[],3,0),"open")</f>
        <v>ok</v>
      </c>
      <c r="C2193" s="103" t="s">
        <v>369</v>
      </c>
      <c r="D2193" t="s">
        <v>4218</v>
      </c>
      <c r="E2193" t="s">
        <v>4245</v>
      </c>
      <c r="F2193" s="117" t="s">
        <v>4245</v>
      </c>
      <c r="G2193" s="10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EL</v>
      </c>
      <c r="L2193" s="94" t="s">
        <v>2563</v>
      </c>
      <c r="M2193" s="105">
        <v>45825.476678240739</v>
      </c>
      <c r="N2193" s="105"/>
      <c r="O2193" s="105"/>
      <c r="P2193" s="106" t="str">
        <f ca="1">IF(Proc[[#This Row],[DaysAgeing]]&gt;5,"yep","on track")</f>
        <v>yep</v>
      </c>
      <c r="Q2193" s="3">
        <f ca="1">IF(Proc[[#This Row],[DateClosed]]="",ABS(NETWORKDAYS(Proc[[#This Row],[DateOpened]],TODAY()))-1,ABS(NETWORKDAYS(Proc[[#This Row],[DateOpened]],Proc[[#This Row],[DateClosed]]))-1)</f>
        <v>122</v>
      </c>
      <c r="R2193" s="106" t="s">
        <v>780</v>
      </c>
      <c r="S2193" s="94"/>
    </row>
    <row r="2194" spans="1:19" hidden="1">
      <c r="A2194" s="103" t="s">
        <v>4188</v>
      </c>
      <c r="B2194" s="149" t="str">
        <f>IFERROR(VLOOKUP(Proc[[#This Row],[App]],Table2[],3,0),"open")</f>
        <v>ok</v>
      </c>
      <c r="C2194" s="103" t="s">
        <v>369</v>
      </c>
      <c r="D2194" t="s">
        <v>4219</v>
      </c>
      <c r="E2194" t="s">
        <v>4245</v>
      </c>
      <c r="F2194" s="117" t="s">
        <v>4245</v>
      </c>
      <c r="G2194" s="10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EL</v>
      </c>
      <c r="L2194" s="94" t="s">
        <v>2563</v>
      </c>
      <c r="M2194" s="105">
        <v>45825.476678240739</v>
      </c>
      <c r="N2194" s="105"/>
      <c r="O2194" s="105"/>
      <c r="P2194" s="106" t="str">
        <f ca="1">IF(Proc[[#This Row],[DaysAgeing]]&gt;5,"yep","on track")</f>
        <v>yep</v>
      </c>
      <c r="Q2194" s="3">
        <f ca="1">IF(Proc[[#This Row],[DateClosed]]="",ABS(NETWORKDAYS(Proc[[#This Row],[DateOpened]],TODAY()))-1,ABS(NETWORKDAYS(Proc[[#This Row],[DateOpened]],Proc[[#This Row],[DateClosed]]))-1)</f>
        <v>122</v>
      </c>
      <c r="R2194" s="106" t="s">
        <v>780</v>
      </c>
      <c r="S2194" s="94"/>
    </row>
    <row r="2195" spans="1:19" hidden="1">
      <c r="A2195" s="103" t="s">
        <v>4188</v>
      </c>
      <c r="B2195" s="149" t="str">
        <f>IFERROR(VLOOKUP(Proc[[#This Row],[App]],Table2[],3,0),"open")</f>
        <v>ok</v>
      </c>
      <c r="C2195" s="103" t="s">
        <v>369</v>
      </c>
      <c r="D2195" t="s">
        <v>4220</v>
      </c>
      <c r="E2195" t="s">
        <v>4245</v>
      </c>
      <c r="F2195" s="117" t="s">
        <v>4245</v>
      </c>
      <c r="G2195" s="10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EL</v>
      </c>
      <c r="L2195" s="94" t="s">
        <v>2563</v>
      </c>
      <c r="M2195" s="105">
        <v>45825.476678240739</v>
      </c>
      <c r="N2195" s="105"/>
      <c r="O2195" s="105"/>
      <c r="P2195" s="106" t="str">
        <f ca="1">IF(Proc[[#This Row],[DaysAgeing]]&gt;5,"yep","on track")</f>
        <v>yep</v>
      </c>
      <c r="Q2195" s="3">
        <f ca="1">IF(Proc[[#This Row],[DateClosed]]="",ABS(NETWORKDAYS(Proc[[#This Row],[DateOpened]],TODAY()))-1,ABS(NETWORKDAYS(Proc[[#This Row],[DateOpened]],Proc[[#This Row],[DateClosed]]))-1)</f>
        <v>122</v>
      </c>
      <c r="R2195" s="106" t="s">
        <v>780</v>
      </c>
      <c r="S2195" s="94"/>
    </row>
    <row r="2196" spans="1:19" hidden="1">
      <c r="A2196" s="103" t="s">
        <v>4188</v>
      </c>
      <c r="B2196" s="149" t="str">
        <f>IFERROR(VLOOKUP(Proc[[#This Row],[App]],Table2[],3,0),"open")</f>
        <v>ok</v>
      </c>
      <c r="C2196" s="103" t="s">
        <v>369</v>
      </c>
      <c r="D2196" t="s">
        <v>4221</v>
      </c>
      <c r="E2196" t="s">
        <v>4245</v>
      </c>
      <c r="F2196" s="117" t="s">
        <v>4245</v>
      </c>
      <c r="G2196" s="10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EL</v>
      </c>
      <c r="L2196" s="94" t="s">
        <v>2563</v>
      </c>
      <c r="M2196" s="105">
        <v>45825.476678240739</v>
      </c>
      <c r="N2196" s="105"/>
      <c r="O2196" s="105"/>
      <c r="P2196" s="106" t="str">
        <f ca="1">IF(Proc[[#This Row],[DaysAgeing]]&gt;5,"yep","on track")</f>
        <v>yep</v>
      </c>
      <c r="Q2196" s="3">
        <f ca="1">IF(Proc[[#This Row],[DateClosed]]="",ABS(NETWORKDAYS(Proc[[#This Row],[DateOpened]],TODAY()))-1,ABS(NETWORKDAYS(Proc[[#This Row],[DateOpened]],Proc[[#This Row],[DateClosed]]))-1)</f>
        <v>122</v>
      </c>
      <c r="R2196" s="106" t="s">
        <v>780</v>
      </c>
      <c r="S2196" s="94"/>
    </row>
    <row r="2197" spans="1:19" hidden="1">
      <c r="A2197" s="103" t="s">
        <v>4188</v>
      </c>
      <c r="B2197" s="149" t="str">
        <f>IFERROR(VLOOKUP(Proc[[#This Row],[App]],Table2[],3,0),"open")</f>
        <v>ok</v>
      </c>
      <c r="C2197" s="103" t="s">
        <v>369</v>
      </c>
      <c r="D2197" t="s">
        <v>4222</v>
      </c>
      <c r="E2197" t="s">
        <v>4246</v>
      </c>
      <c r="F2197" s="117" t="s">
        <v>4246</v>
      </c>
      <c r="G2197" s="10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EL</v>
      </c>
      <c r="L2197" s="94" t="s">
        <v>2563</v>
      </c>
      <c r="M2197" s="105">
        <v>45825.476678240739</v>
      </c>
      <c r="N2197" s="105"/>
      <c r="O2197" s="105"/>
      <c r="P2197" s="106" t="str">
        <f ca="1">IF(Proc[[#This Row],[DaysAgeing]]&gt;5,"yep","on track")</f>
        <v>yep</v>
      </c>
      <c r="Q2197" s="3">
        <f ca="1">IF(Proc[[#This Row],[DateClosed]]="",ABS(NETWORKDAYS(Proc[[#This Row],[DateOpened]],TODAY()))-1,ABS(NETWORKDAYS(Proc[[#This Row],[DateOpened]],Proc[[#This Row],[DateClosed]]))-1)</f>
        <v>122</v>
      </c>
      <c r="R2197" s="106" t="s">
        <v>780</v>
      </c>
      <c r="S2197" s="94"/>
    </row>
    <row r="2198" spans="1:19" hidden="1">
      <c r="A2198" s="103" t="s">
        <v>4188</v>
      </c>
      <c r="B2198" s="149" t="str">
        <f>IFERROR(VLOOKUP(Proc[[#This Row],[App]],Table2[],3,0),"open")</f>
        <v>ok</v>
      </c>
      <c r="C2198" s="103" t="s">
        <v>369</v>
      </c>
      <c r="D2198" t="s">
        <v>4223</v>
      </c>
      <c r="E2198" t="s">
        <v>4246</v>
      </c>
      <c r="F2198" s="117" t="s">
        <v>4246</v>
      </c>
      <c r="G2198" s="10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EL</v>
      </c>
      <c r="L2198" s="94" t="s">
        <v>2563</v>
      </c>
      <c r="M2198" s="105">
        <v>45825.476678240739</v>
      </c>
      <c r="N2198" s="105"/>
      <c r="O2198" s="105"/>
      <c r="P2198" s="106" t="str">
        <f ca="1">IF(Proc[[#This Row],[DaysAgeing]]&gt;5,"yep","on track")</f>
        <v>yep</v>
      </c>
      <c r="Q2198" s="3">
        <f ca="1">IF(Proc[[#This Row],[DateClosed]]="",ABS(NETWORKDAYS(Proc[[#This Row],[DateOpened]],TODAY()))-1,ABS(NETWORKDAYS(Proc[[#This Row],[DateOpened]],Proc[[#This Row],[DateClosed]]))-1)</f>
        <v>122</v>
      </c>
      <c r="R2198" s="106" t="s">
        <v>780</v>
      </c>
      <c r="S2198" s="94"/>
    </row>
    <row r="2199" spans="1:19" hidden="1">
      <c r="A2199" s="103" t="s">
        <v>4188</v>
      </c>
      <c r="B2199" s="149" t="str">
        <f>IFERROR(VLOOKUP(Proc[[#This Row],[App]],Table2[],3,0),"open")</f>
        <v>ok</v>
      </c>
      <c r="C2199" s="103" t="s">
        <v>369</v>
      </c>
      <c r="D2199" t="s">
        <v>4224</v>
      </c>
      <c r="E2199" t="s">
        <v>4246</v>
      </c>
      <c r="F2199" s="117" t="s">
        <v>4246</v>
      </c>
      <c r="G2199" s="10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EL</v>
      </c>
      <c r="L2199" s="94" t="s">
        <v>2563</v>
      </c>
      <c r="M2199" s="105">
        <v>45825.476678240739</v>
      </c>
      <c r="N2199" s="105"/>
      <c r="O2199" s="105"/>
      <c r="P2199" s="106" t="str">
        <f ca="1">IF(Proc[[#This Row],[DaysAgeing]]&gt;5,"yep","on track")</f>
        <v>yep</v>
      </c>
      <c r="Q2199" s="3">
        <f ca="1">IF(Proc[[#This Row],[DateClosed]]="",ABS(NETWORKDAYS(Proc[[#This Row],[DateOpened]],TODAY()))-1,ABS(NETWORKDAYS(Proc[[#This Row],[DateOpened]],Proc[[#This Row],[DateClosed]]))-1)</f>
        <v>122</v>
      </c>
      <c r="R2199" s="106" t="s">
        <v>780</v>
      </c>
      <c r="S2199" s="94"/>
    </row>
    <row r="2200" spans="1:19" hidden="1">
      <c r="A2200" s="103" t="s">
        <v>4188</v>
      </c>
      <c r="B2200" s="149" t="str">
        <f>IFERROR(VLOOKUP(Proc[[#This Row],[App]],Table2[],3,0),"open")</f>
        <v>ok</v>
      </c>
      <c r="C2200" s="103" t="s">
        <v>369</v>
      </c>
      <c r="D2200" t="s">
        <v>4225</v>
      </c>
      <c r="E2200" t="s">
        <v>4246</v>
      </c>
      <c r="F2200" s="117" t="s">
        <v>4246</v>
      </c>
      <c r="G2200" s="10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EL</v>
      </c>
      <c r="L2200" s="94" t="s">
        <v>2563</v>
      </c>
      <c r="M2200" s="105">
        <v>45825.476678240739</v>
      </c>
      <c r="N2200" s="105"/>
      <c r="O2200" s="105"/>
      <c r="P2200" s="106" t="str">
        <f ca="1">IF(Proc[[#This Row],[DaysAgeing]]&gt;5,"yep","on track")</f>
        <v>yep</v>
      </c>
      <c r="Q2200" s="3">
        <f ca="1">IF(Proc[[#This Row],[DateClosed]]="",ABS(NETWORKDAYS(Proc[[#This Row],[DateOpened]],TODAY()))-1,ABS(NETWORKDAYS(Proc[[#This Row],[DateOpened]],Proc[[#This Row],[DateClosed]]))-1)</f>
        <v>122</v>
      </c>
      <c r="R2200" s="106" t="s">
        <v>780</v>
      </c>
      <c r="S2200" s="94"/>
    </row>
    <row r="2201" spans="1:19" hidden="1">
      <c r="A2201" s="103" t="s">
        <v>4188</v>
      </c>
      <c r="B2201" s="149" t="str">
        <f>IFERROR(VLOOKUP(Proc[[#This Row],[App]],Table2[],3,0),"open")</f>
        <v>ok</v>
      </c>
      <c r="C2201" s="103" t="s">
        <v>369</v>
      </c>
      <c r="D2201" t="s">
        <v>4226</v>
      </c>
      <c r="E2201" t="s">
        <v>4246</v>
      </c>
      <c r="F2201" s="117" t="s">
        <v>4246</v>
      </c>
      <c r="G2201" s="10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EL</v>
      </c>
      <c r="L2201" s="94" t="s">
        <v>2563</v>
      </c>
      <c r="M2201" s="105">
        <v>45825.476678240739</v>
      </c>
      <c r="N2201" s="105"/>
      <c r="O2201" s="105"/>
      <c r="P2201" s="106" t="str">
        <f ca="1">IF(Proc[[#This Row],[DaysAgeing]]&gt;5,"yep","on track")</f>
        <v>yep</v>
      </c>
      <c r="Q2201" s="3">
        <f ca="1">IF(Proc[[#This Row],[DateClosed]]="",ABS(NETWORKDAYS(Proc[[#This Row],[DateOpened]],TODAY()))-1,ABS(NETWORKDAYS(Proc[[#This Row],[DateOpened]],Proc[[#This Row],[DateClosed]]))-1)</f>
        <v>122</v>
      </c>
      <c r="R2201" s="106" t="s">
        <v>780</v>
      </c>
      <c r="S2201" s="94"/>
    </row>
    <row r="2202" spans="1:19" hidden="1">
      <c r="A2202" s="103" t="s">
        <v>4188</v>
      </c>
      <c r="B2202" s="149" t="str">
        <f>IFERROR(VLOOKUP(Proc[[#This Row],[App]],Table2[],3,0),"open")</f>
        <v>ok</v>
      </c>
      <c r="C2202" s="103" t="s">
        <v>369</v>
      </c>
      <c r="D2202" t="s">
        <v>4227</v>
      </c>
      <c r="E2202" t="s">
        <v>4246</v>
      </c>
      <c r="F2202" s="117" t="s">
        <v>4246</v>
      </c>
      <c r="G2202" s="10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EL</v>
      </c>
      <c r="L2202" s="94" t="s">
        <v>2563</v>
      </c>
      <c r="M2202" s="105">
        <v>45825.476678240739</v>
      </c>
      <c r="N2202" s="105"/>
      <c r="O2202" s="105"/>
      <c r="P2202" s="106" t="str">
        <f ca="1">IF(Proc[[#This Row],[DaysAgeing]]&gt;5,"yep","on track")</f>
        <v>yep</v>
      </c>
      <c r="Q2202" s="3">
        <f ca="1">IF(Proc[[#This Row],[DateClosed]]="",ABS(NETWORKDAYS(Proc[[#This Row],[DateOpened]],TODAY()))-1,ABS(NETWORKDAYS(Proc[[#This Row],[DateOpened]],Proc[[#This Row],[DateClosed]]))-1)</f>
        <v>122</v>
      </c>
      <c r="R2202" s="106" t="s">
        <v>780</v>
      </c>
      <c r="S2202" s="94"/>
    </row>
    <row r="2203" spans="1:19" hidden="1">
      <c r="A2203" s="103" t="s">
        <v>4188</v>
      </c>
      <c r="B2203" s="149" t="str">
        <f>IFERROR(VLOOKUP(Proc[[#This Row],[App]],Table2[],3,0),"open")</f>
        <v>ok</v>
      </c>
      <c r="C2203" s="103" t="s">
        <v>369</v>
      </c>
      <c r="D2203" t="s">
        <v>4228</v>
      </c>
      <c r="E2203" t="s">
        <v>4246</v>
      </c>
      <c r="F2203" s="117" t="s">
        <v>4246</v>
      </c>
      <c r="G2203" s="10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EL</v>
      </c>
      <c r="L2203" s="94" t="s">
        <v>2563</v>
      </c>
      <c r="M2203" s="105">
        <v>45825.476678240739</v>
      </c>
      <c r="N2203" s="105"/>
      <c r="O2203" s="105"/>
      <c r="P2203" s="106" t="str">
        <f ca="1">IF(Proc[[#This Row],[DaysAgeing]]&gt;5,"yep","on track")</f>
        <v>yep</v>
      </c>
      <c r="Q2203" s="3">
        <f ca="1">IF(Proc[[#This Row],[DateClosed]]="",ABS(NETWORKDAYS(Proc[[#This Row],[DateOpened]],TODAY()))-1,ABS(NETWORKDAYS(Proc[[#This Row],[DateOpened]],Proc[[#This Row],[DateClosed]]))-1)</f>
        <v>122</v>
      </c>
      <c r="R2203" s="106" t="s">
        <v>780</v>
      </c>
      <c r="S2203" s="94"/>
    </row>
    <row r="2204" spans="1:19" hidden="1">
      <c r="A2204" s="103" t="s">
        <v>4188</v>
      </c>
      <c r="B2204" s="149" t="str">
        <f>IFERROR(VLOOKUP(Proc[[#This Row],[App]],Table2[],3,0),"open")</f>
        <v>ok</v>
      </c>
      <c r="C2204" s="103" t="s">
        <v>369</v>
      </c>
      <c r="D2204" t="s">
        <v>4229</v>
      </c>
      <c r="E2204" t="s">
        <v>4246</v>
      </c>
      <c r="F2204" s="117" t="s">
        <v>4246</v>
      </c>
      <c r="G2204" s="10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EL</v>
      </c>
      <c r="L2204" s="94" t="s">
        <v>2563</v>
      </c>
      <c r="M2204" s="105">
        <v>45825.476678240739</v>
      </c>
      <c r="N2204" s="105"/>
      <c r="O2204" s="105"/>
      <c r="P2204" s="106" t="str">
        <f ca="1">IF(Proc[[#This Row],[DaysAgeing]]&gt;5,"yep","on track")</f>
        <v>yep</v>
      </c>
      <c r="Q2204" s="3">
        <f ca="1">IF(Proc[[#This Row],[DateClosed]]="",ABS(NETWORKDAYS(Proc[[#This Row],[DateOpened]],TODAY()))-1,ABS(NETWORKDAYS(Proc[[#This Row],[DateOpened]],Proc[[#This Row],[DateClosed]]))-1)</f>
        <v>122</v>
      </c>
      <c r="R2204" s="106" t="s">
        <v>780</v>
      </c>
      <c r="S2204" s="94"/>
    </row>
    <row r="2205" spans="1:19" hidden="1">
      <c r="A2205" s="103" t="s">
        <v>4188</v>
      </c>
      <c r="B2205" s="149" t="str">
        <f>IFERROR(VLOOKUP(Proc[[#This Row],[App]],Table2[],3,0),"open")</f>
        <v>ok</v>
      </c>
      <c r="C2205" s="103" t="s">
        <v>369</v>
      </c>
      <c r="D2205" t="s">
        <v>4230</v>
      </c>
      <c r="E2205" t="s">
        <v>4246</v>
      </c>
      <c r="F2205" s="117" t="s">
        <v>4246</v>
      </c>
      <c r="G2205" s="10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EL</v>
      </c>
      <c r="L2205" s="94" t="s">
        <v>2563</v>
      </c>
      <c r="M2205" s="105">
        <v>45825.476678240739</v>
      </c>
      <c r="N2205" s="105"/>
      <c r="O2205" s="105"/>
      <c r="P2205" s="106" t="str">
        <f ca="1">IF(Proc[[#This Row],[DaysAgeing]]&gt;5,"yep","on track")</f>
        <v>yep</v>
      </c>
      <c r="Q2205" s="3">
        <f ca="1">IF(Proc[[#This Row],[DateClosed]]="",ABS(NETWORKDAYS(Proc[[#This Row],[DateOpened]],TODAY()))-1,ABS(NETWORKDAYS(Proc[[#This Row],[DateOpened]],Proc[[#This Row],[DateClosed]]))-1)</f>
        <v>122</v>
      </c>
      <c r="R2205" s="106" t="s">
        <v>780</v>
      </c>
      <c r="S2205" s="94"/>
    </row>
    <row r="2206" spans="1:19" hidden="1">
      <c r="A2206" s="103" t="s">
        <v>4188</v>
      </c>
      <c r="B2206" s="149" t="str">
        <f>IFERROR(VLOOKUP(Proc[[#This Row],[App]],Table2[],3,0),"open")</f>
        <v>ok</v>
      </c>
      <c r="C2206" s="103" t="s">
        <v>369</v>
      </c>
      <c r="D2206" t="s">
        <v>4231</v>
      </c>
      <c r="E2206" t="s">
        <v>4246</v>
      </c>
      <c r="F2206" s="117" t="s">
        <v>4246</v>
      </c>
      <c r="G2206" s="10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EL</v>
      </c>
      <c r="L2206" s="94" t="s">
        <v>2563</v>
      </c>
      <c r="M2206" s="105">
        <v>45825.476678240739</v>
      </c>
      <c r="N2206" s="105"/>
      <c r="O2206" s="105"/>
      <c r="P2206" s="106" t="str">
        <f ca="1">IF(Proc[[#This Row],[DaysAgeing]]&gt;5,"yep","on track")</f>
        <v>yep</v>
      </c>
      <c r="Q2206" s="3">
        <f ca="1">IF(Proc[[#This Row],[DateClosed]]="",ABS(NETWORKDAYS(Proc[[#This Row],[DateOpened]],TODAY()))-1,ABS(NETWORKDAYS(Proc[[#This Row],[DateOpened]],Proc[[#This Row],[DateClosed]]))-1)</f>
        <v>122</v>
      </c>
      <c r="R2206" s="106" t="s">
        <v>780</v>
      </c>
      <c r="S2206" s="94"/>
    </row>
    <row r="2207" spans="1:19" hidden="1">
      <c r="A2207" s="103" t="s">
        <v>4188</v>
      </c>
      <c r="B2207" s="149" t="str">
        <f>IFERROR(VLOOKUP(Proc[[#This Row],[App]],Table2[],3,0),"open")</f>
        <v>ok</v>
      </c>
      <c r="C2207" s="103" t="s">
        <v>369</v>
      </c>
      <c r="D2207" t="s">
        <v>4232</v>
      </c>
      <c r="E2207" t="s">
        <v>4246</v>
      </c>
      <c r="F2207" s="117" t="s">
        <v>4246</v>
      </c>
      <c r="G2207" s="10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EL</v>
      </c>
      <c r="L2207" s="94" t="s">
        <v>2563</v>
      </c>
      <c r="M2207" s="105">
        <v>45825.476678240739</v>
      </c>
      <c r="N2207" s="105"/>
      <c r="O2207" s="105"/>
      <c r="P2207" s="106" t="str">
        <f ca="1">IF(Proc[[#This Row],[DaysAgeing]]&gt;5,"yep","on track")</f>
        <v>yep</v>
      </c>
      <c r="Q2207" s="3">
        <f ca="1">IF(Proc[[#This Row],[DateClosed]]="",ABS(NETWORKDAYS(Proc[[#This Row],[DateOpened]],TODAY()))-1,ABS(NETWORKDAYS(Proc[[#This Row],[DateOpened]],Proc[[#This Row],[DateClosed]]))-1)</f>
        <v>122</v>
      </c>
      <c r="R2207" s="106" t="s">
        <v>780</v>
      </c>
      <c r="S2207" s="94"/>
    </row>
    <row r="2208" spans="1:19" hidden="1">
      <c r="A2208" s="103" t="s">
        <v>4188</v>
      </c>
      <c r="B2208" s="149" t="str">
        <f>IFERROR(VLOOKUP(Proc[[#This Row],[App]],Table2[],3,0),"open")</f>
        <v>ok</v>
      </c>
      <c r="C2208" s="103" t="s">
        <v>369</v>
      </c>
      <c r="D2208" t="s">
        <v>4233</v>
      </c>
      <c r="E2208" t="s">
        <v>4246</v>
      </c>
      <c r="F2208" s="117" t="s">
        <v>4246</v>
      </c>
      <c r="G2208" s="10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EL</v>
      </c>
      <c r="L2208" s="94" t="s">
        <v>2563</v>
      </c>
      <c r="M2208" s="105">
        <v>45825.476678240739</v>
      </c>
      <c r="N2208" s="105"/>
      <c r="O2208" s="105"/>
      <c r="P2208" s="106" t="str">
        <f ca="1">IF(Proc[[#This Row],[DaysAgeing]]&gt;5,"yep","on track")</f>
        <v>yep</v>
      </c>
      <c r="Q2208" s="3">
        <f ca="1">IF(Proc[[#This Row],[DateClosed]]="",ABS(NETWORKDAYS(Proc[[#This Row],[DateOpened]],TODAY()))-1,ABS(NETWORKDAYS(Proc[[#This Row],[DateOpened]],Proc[[#This Row],[DateClosed]]))-1)</f>
        <v>122</v>
      </c>
      <c r="R2208" s="106" t="s">
        <v>780</v>
      </c>
      <c r="S2208" s="94"/>
    </row>
    <row r="2209" spans="1:19" hidden="1">
      <c r="A2209" s="103" t="s">
        <v>4188</v>
      </c>
      <c r="B2209" s="149" t="str">
        <f>IFERROR(VLOOKUP(Proc[[#This Row],[App]],Table2[],3,0),"open")</f>
        <v>ok</v>
      </c>
      <c r="C2209" s="103" t="s">
        <v>369</v>
      </c>
      <c r="D2209" t="s">
        <v>4234</v>
      </c>
      <c r="E2209" t="s">
        <v>4246</v>
      </c>
      <c r="F2209" s="117" t="s">
        <v>4246</v>
      </c>
      <c r="G2209" s="10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EL</v>
      </c>
      <c r="L2209" s="94" t="s">
        <v>2563</v>
      </c>
      <c r="M2209" s="105">
        <v>45825.476678240739</v>
      </c>
      <c r="N2209" s="105"/>
      <c r="O2209" s="105"/>
      <c r="P2209" s="106" t="str">
        <f ca="1">IF(Proc[[#This Row],[DaysAgeing]]&gt;5,"yep","on track")</f>
        <v>yep</v>
      </c>
      <c r="Q2209" s="3">
        <f ca="1">IF(Proc[[#This Row],[DateClosed]]="",ABS(NETWORKDAYS(Proc[[#This Row],[DateOpened]],TODAY()))-1,ABS(NETWORKDAYS(Proc[[#This Row],[DateOpened]],Proc[[#This Row],[DateClosed]]))-1)</f>
        <v>122</v>
      </c>
      <c r="R2209" s="106" t="s">
        <v>780</v>
      </c>
      <c r="S2209" s="94"/>
    </row>
    <row r="2210" spans="1:19" hidden="1">
      <c r="A2210" s="103" t="s">
        <v>4188</v>
      </c>
      <c r="B2210" s="149" t="str">
        <f>IFERROR(VLOOKUP(Proc[[#This Row],[App]],Table2[],3,0),"open")</f>
        <v>ok</v>
      </c>
      <c r="C2210" s="103" t="s">
        <v>369</v>
      </c>
      <c r="D2210" t="s">
        <v>4235</v>
      </c>
      <c r="E2210" t="s">
        <v>4246</v>
      </c>
      <c r="F2210" s="117" t="s">
        <v>4246</v>
      </c>
      <c r="G2210" s="10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EL</v>
      </c>
      <c r="L2210" s="94" t="s">
        <v>2563</v>
      </c>
      <c r="M2210" s="105">
        <v>45825.476678240739</v>
      </c>
      <c r="N2210" s="105"/>
      <c r="O2210" s="105"/>
      <c r="P2210" s="106" t="str">
        <f ca="1">IF(Proc[[#This Row],[DaysAgeing]]&gt;5,"yep","on track")</f>
        <v>yep</v>
      </c>
      <c r="Q2210" s="3">
        <f ca="1">IF(Proc[[#This Row],[DateClosed]]="",ABS(NETWORKDAYS(Proc[[#This Row],[DateOpened]],TODAY()))-1,ABS(NETWORKDAYS(Proc[[#This Row],[DateOpened]],Proc[[#This Row],[DateClosed]]))-1)</f>
        <v>122</v>
      </c>
      <c r="R2210" s="106" t="s">
        <v>780</v>
      </c>
      <c r="S2210" s="94"/>
    </row>
    <row r="2211" spans="1:19" hidden="1">
      <c r="A2211" s="103" t="s">
        <v>4188</v>
      </c>
      <c r="B2211" s="149" t="str">
        <f>IFERROR(VLOOKUP(Proc[[#This Row],[App]],Table2[],3,0),"open")</f>
        <v>ok</v>
      </c>
      <c r="C2211" s="103" t="s">
        <v>369</v>
      </c>
      <c r="D2211" t="s">
        <v>4236</v>
      </c>
      <c r="E2211" t="s">
        <v>4246</v>
      </c>
      <c r="F2211" s="117" t="s">
        <v>4246</v>
      </c>
      <c r="G2211" s="10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EL</v>
      </c>
      <c r="L2211" s="94" t="s">
        <v>2563</v>
      </c>
      <c r="M2211" s="105">
        <v>45825.476678240739</v>
      </c>
      <c r="N2211" s="105"/>
      <c r="O2211" s="105"/>
      <c r="P2211" s="106" t="str">
        <f ca="1">IF(Proc[[#This Row],[DaysAgeing]]&gt;5,"yep","on track")</f>
        <v>yep</v>
      </c>
      <c r="Q2211" s="3">
        <f ca="1">IF(Proc[[#This Row],[DateClosed]]="",ABS(NETWORKDAYS(Proc[[#This Row],[DateOpened]],TODAY()))-1,ABS(NETWORKDAYS(Proc[[#This Row],[DateOpened]],Proc[[#This Row],[DateClosed]]))-1)</f>
        <v>122</v>
      </c>
      <c r="R2211" s="106" t="s">
        <v>780</v>
      </c>
      <c r="S2211" s="94"/>
    </row>
    <row r="2212" spans="1:19" hidden="1">
      <c r="A2212" s="103" t="s">
        <v>4188</v>
      </c>
      <c r="B2212" s="149" t="str">
        <f>IFERROR(VLOOKUP(Proc[[#This Row],[App]],Table2[],3,0),"open")</f>
        <v>ok</v>
      </c>
      <c r="C2212" s="103" t="s">
        <v>369</v>
      </c>
      <c r="D2212" t="s">
        <v>4237</v>
      </c>
      <c r="E2212" t="s">
        <v>4246</v>
      </c>
      <c r="F2212" s="117" t="s">
        <v>4246</v>
      </c>
      <c r="G2212" s="10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EL</v>
      </c>
      <c r="L2212" s="94" t="s">
        <v>2563</v>
      </c>
      <c r="M2212" s="105">
        <v>45825.476678240739</v>
      </c>
      <c r="N2212" s="105"/>
      <c r="O2212" s="105"/>
      <c r="P2212" s="106" t="str">
        <f ca="1">IF(Proc[[#This Row],[DaysAgeing]]&gt;5,"yep","on track")</f>
        <v>yep</v>
      </c>
      <c r="Q2212" s="3">
        <f ca="1">IF(Proc[[#This Row],[DateClosed]]="",ABS(NETWORKDAYS(Proc[[#This Row],[DateOpened]],TODAY()))-1,ABS(NETWORKDAYS(Proc[[#This Row],[DateOpened]],Proc[[#This Row],[DateClosed]]))-1)</f>
        <v>122</v>
      </c>
      <c r="R2212" s="106" t="s">
        <v>780</v>
      </c>
      <c r="S2212" s="94"/>
    </row>
    <row r="2213" spans="1:19" hidden="1">
      <c r="A2213" s="103" t="s">
        <v>4188</v>
      </c>
      <c r="B2213" s="149" t="str">
        <f>IFERROR(VLOOKUP(Proc[[#This Row],[App]],Table2[],3,0),"open")</f>
        <v>ok</v>
      </c>
      <c r="C2213" s="103" t="s">
        <v>369</v>
      </c>
      <c r="D2213" t="s">
        <v>4238</v>
      </c>
      <c r="E2213" t="s">
        <v>4246</v>
      </c>
      <c r="F2213" s="117" t="s">
        <v>4246</v>
      </c>
      <c r="G2213" s="10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EL</v>
      </c>
      <c r="L2213" s="94" t="s">
        <v>2563</v>
      </c>
      <c r="M2213" s="105">
        <v>45825.476678240739</v>
      </c>
      <c r="N2213" s="105"/>
      <c r="O2213" s="105"/>
      <c r="P2213" s="106" t="str">
        <f ca="1">IF(Proc[[#This Row],[DaysAgeing]]&gt;5,"yep","on track")</f>
        <v>yep</v>
      </c>
      <c r="Q2213" s="3">
        <f ca="1">IF(Proc[[#This Row],[DateClosed]]="",ABS(NETWORKDAYS(Proc[[#This Row],[DateOpened]],TODAY()))-1,ABS(NETWORKDAYS(Proc[[#This Row],[DateOpened]],Proc[[#This Row],[DateClosed]]))-1)</f>
        <v>122</v>
      </c>
      <c r="R2213" s="106" t="s">
        <v>780</v>
      </c>
      <c r="S2213" s="94"/>
    </row>
    <row r="2214" spans="1:19" hidden="1">
      <c r="A2214" s="103" t="s">
        <v>4188</v>
      </c>
      <c r="B2214" s="149" t="str">
        <f>IFERROR(VLOOKUP(Proc[[#This Row],[App]],Table2[],3,0),"open")</f>
        <v>ok</v>
      </c>
      <c r="C2214" s="103" t="s">
        <v>369</v>
      </c>
      <c r="D2214" t="s">
        <v>4239</v>
      </c>
      <c r="E2214" t="s">
        <v>4246</v>
      </c>
      <c r="F2214" s="117" t="s">
        <v>4246</v>
      </c>
      <c r="G2214" s="10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EL</v>
      </c>
      <c r="L2214" s="94" t="s">
        <v>2563</v>
      </c>
      <c r="M2214" s="105">
        <v>45825.476678240739</v>
      </c>
      <c r="N2214" s="105"/>
      <c r="O2214" s="105"/>
      <c r="P2214" s="106" t="str">
        <f ca="1">IF(Proc[[#This Row],[DaysAgeing]]&gt;5,"yep","on track")</f>
        <v>yep</v>
      </c>
      <c r="Q2214" s="3">
        <f ca="1">IF(Proc[[#This Row],[DateClosed]]="",ABS(NETWORKDAYS(Proc[[#This Row],[DateOpened]],TODAY()))-1,ABS(NETWORKDAYS(Proc[[#This Row],[DateOpened]],Proc[[#This Row],[DateClosed]]))-1)</f>
        <v>122</v>
      </c>
      <c r="R2214" s="106" t="s">
        <v>780</v>
      </c>
      <c r="S2214" s="94"/>
    </row>
    <row r="2215" spans="1:19" hidden="1">
      <c r="A2215" s="103" t="s">
        <v>4188</v>
      </c>
      <c r="B2215" s="149" t="str">
        <f>IFERROR(VLOOKUP(Proc[[#This Row],[App]],Table2[],3,0),"open")</f>
        <v>ok</v>
      </c>
      <c r="C2215" s="103" t="s">
        <v>369</v>
      </c>
      <c r="D2215" t="s">
        <v>4240</v>
      </c>
      <c r="E2215" t="s">
        <v>4246</v>
      </c>
      <c r="F2215" s="117" t="s">
        <v>4246</v>
      </c>
      <c r="G2215" s="10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EL</v>
      </c>
      <c r="L2215" s="94" t="s">
        <v>2563</v>
      </c>
      <c r="M2215" s="105">
        <v>45825.476678240739</v>
      </c>
      <c r="N2215" s="105"/>
      <c r="O2215" s="105"/>
      <c r="P2215" s="106" t="str">
        <f ca="1">IF(Proc[[#This Row],[DaysAgeing]]&gt;5,"yep","on track")</f>
        <v>yep</v>
      </c>
      <c r="Q2215" s="3">
        <f ca="1">IF(Proc[[#This Row],[DateClosed]]="",ABS(NETWORKDAYS(Proc[[#This Row],[DateOpened]],TODAY()))-1,ABS(NETWORKDAYS(Proc[[#This Row],[DateOpened]],Proc[[#This Row],[DateClosed]]))-1)</f>
        <v>122</v>
      </c>
      <c r="R2215" s="106" t="s">
        <v>780</v>
      </c>
      <c r="S2215" s="94"/>
    </row>
    <row r="2216" spans="1:19" hidden="1">
      <c r="A2216" s="103" t="s">
        <v>4188</v>
      </c>
      <c r="B2216" s="149" t="str">
        <f>IFERROR(VLOOKUP(Proc[[#This Row],[App]],Table2[],3,0),"open")</f>
        <v>ok</v>
      </c>
      <c r="C2216" s="103" t="s">
        <v>369</v>
      </c>
      <c r="D2216" t="s">
        <v>4241</v>
      </c>
      <c r="E2216" t="s">
        <v>4246</v>
      </c>
      <c r="F2216" s="117" t="s">
        <v>4246</v>
      </c>
      <c r="G2216" s="10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EL</v>
      </c>
      <c r="L2216" s="94" t="s">
        <v>2563</v>
      </c>
      <c r="M2216" s="105">
        <v>45825.476678240739</v>
      </c>
      <c r="N2216" s="105"/>
      <c r="O2216" s="105"/>
      <c r="P2216" s="106" t="str">
        <f ca="1">IF(Proc[[#This Row],[DaysAgeing]]&gt;5,"yep","on track")</f>
        <v>yep</v>
      </c>
      <c r="Q2216" s="3">
        <f ca="1">IF(Proc[[#This Row],[DateClosed]]="",ABS(NETWORKDAYS(Proc[[#This Row],[DateOpened]],TODAY()))-1,ABS(NETWORKDAYS(Proc[[#This Row],[DateOpened]],Proc[[#This Row],[DateClosed]]))-1)</f>
        <v>122</v>
      </c>
      <c r="R2216" s="106" t="s">
        <v>780</v>
      </c>
      <c r="S2216" s="94"/>
    </row>
    <row r="2217" spans="1:19" hidden="1">
      <c r="A2217" s="103" t="s">
        <v>4188</v>
      </c>
      <c r="B2217" s="149" t="str">
        <f>IFERROR(VLOOKUP(Proc[[#This Row],[App]],Table2[],3,0),"open")</f>
        <v>ok</v>
      </c>
      <c r="C2217" s="103" t="s">
        <v>369</v>
      </c>
      <c r="D2217" t="s">
        <v>4242</v>
      </c>
      <c r="E2217" t="s">
        <v>4246</v>
      </c>
      <c r="F2217" s="117" t="s">
        <v>4246</v>
      </c>
      <c r="G2217" s="10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EL</v>
      </c>
      <c r="L2217" s="94" t="s">
        <v>2563</v>
      </c>
      <c r="M2217" s="105">
        <v>45825.476678240739</v>
      </c>
      <c r="N2217" s="105"/>
      <c r="O2217" s="105"/>
      <c r="P2217" s="106" t="str">
        <f ca="1">IF(Proc[[#This Row],[DaysAgeing]]&gt;5,"yep","on track")</f>
        <v>yep</v>
      </c>
      <c r="Q2217" s="3">
        <f ca="1">IF(Proc[[#This Row],[DateClosed]]="",ABS(NETWORKDAYS(Proc[[#This Row],[DateOpened]],TODAY()))-1,ABS(NETWORKDAYS(Proc[[#This Row],[DateOpened]],Proc[[#This Row],[DateClosed]]))-1)</f>
        <v>122</v>
      </c>
      <c r="R2217" s="106" t="s">
        <v>780</v>
      </c>
      <c r="S2217" s="94"/>
    </row>
    <row r="2218" spans="1:19" hidden="1">
      <c r="A2218" s="103" t="s">
        <v>4188</v>
      </c>
      <c r="B2218" s="149" t="str">
        <f>IFERROR(VLOOKUP(Proc[[#This Row],[App]],Table2[],3,0),"open")</f>
        <v>ok</v>
      </c>
      <c r="C2218" s="103" t="s">
        <v>369</v>
      </c>
      <c r="D2218" t="s">
        <v>4243</v>
      </c>
      <c r="E2218" t="s">
        <v>4245</v>
      </c>
      <c r="F2218" s="117" t="s">
        <v>4245</v>
      </c>
      <c r="G2218" s="10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EL</v>
      </c>
      <c r="L2218" s="94" t="s">
        <v>2563</v>
      </c>
      <c r="M2218" s="105">
        <v>45825.476678240739</v>
      </c>
      <c r="N2218" s="105"/>
      <c r="O2218" s="105"/>
      <c r="P2218" s="106" t="str">
        <f ca="1">IF(Proc[[#This Row],[DaysAgeing]]&gt;5,"yep","on track")</f>
        <v>yep</v>
      </c>
      <c r="Q2218" s="3">
        <f ca="1">IF(Proc[[#This Row],[DateClosed]]="",ABS(NETWORKDAYS(Proc[[#This Row],[DateOpened]],TODAY()))-1,ABS(NETWORKDAYS(Proc[[#This Row],[DateOpened]],Proc[[#This Row],[DateClosed]]))-1)</f>
        <v>122</v>
      </c>
      <c r="R2218" s="106" t="s">
        <v>780</v>
      </c>
      <c r="S2218" s="94"/>
    </row>
    <row r="2219" spans="1:19" hidden="1">
      <c r="A2219" s="103" t="s">
        <v>4188</v>
      </c>
      <c r="B2219" s="149" t="str">
        <f>IFERROR(VLOOKUP(Proc[[#This Row],[App]],Table2[],3,0),"open")</f>
        <v>ok</v>
      </c>
      <c r="C2219" s="103" t="s">
        <v>369</v>
      </c>
      <c r="D2219" t="s">
        <v>4244</v>
      </c>
      <c r="E2219" t="s">
        <v>4246</v>
      </c>
      <c r="F2219" s="117" t="s">
        <v>4246</v>
      </c>
      <c r="G2219" s="10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EL</v>
      </c>
      <c r="L2219" s="94" t="s">
        <v>2563</v>
      </c>
      <c r="M2219" s="105">
        <v>45825.476678240739</v>
      </c>
      <c r="N2219" s="105"/>
      <c r="O2219" s="105"/>
      <c r="P2219" s="106" t="str">
        <f ca="1">IF(Proc[[#This Row],[DaysAgeing]]&gt;5,"yep","on track")</f>
        <v>yep</v>
      </c>
      <c r="Q2219" s="3">
        <f ca="1">IF(Proc[[#This Row],[DateClosed]]="",ABS(NETWORKDAYS(Proc[[#This Row],[DateOpened]],TODAY()))-1,ABS(NETWORKDAYS(Proc[[#This Row],[DateOpened]],Proc[[#This Row],[DateClosed]]))-1)</f>
        <v>122</v>
      </c>
      <c r="R2219" s="106" t="s">
        <v>780</v>
      </c>
      <c r="S2219" s="94"/>
    </row>
    <row r="2220" spans="1:19" hidden="1">
      <c r="A2220" s="103" t="s">
        <v>4188</v>
      </c>
      <c r="B2220" s="149" t="str">
        <f>IFERROR(VLOOKUP(Proc[[#This Row],[App]],Table2[],3,0),"open")</f>
        <v>ok</v>
      </c>
      <c r="C2220" s="103" t="s">
        <v>369</v>
      </c>
      <c r="D2220" t="s">
        <v>4247</v>
      </c>
      <c r="E2220" t="s">
        <v>4245</v>
      </c>
      <c r="F2220" s="117" t="s">
        <v>4245</v>
      </c>
      <c r="G2220" t="s">
        <v>406</v>
      </c>
      <c r="H2220" s="94" t="str">
        <f>IF(Proc[[#This Row],[type]]="LFF (MDG-F)",MID(Proc[[#This Row],[Obj]],13,10),"")</f>
        <v>DE10N11700</v>
      </c>
      <c r="I2220" t="s">
        <v>4288</v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EL</v>
      </c>
      <c r="L2220" s="94" t="s">
        <v>2563</v>
      </c>
      <c r="M2220" s="105">
        <v>45825.476678240739</v>
      </c>
      <c r="N2220" s="105"/>
      <c r="O2220" s="105"/>
      <c r="P2220" s="106" t="str">
        <f ca="1">IF(Proc[[#This Row],[DaysAgeing]]&gt;5,"yep","on track")</f>
        <v>yep</v>
      </c>
      <c r="Q2220" s="3">
        <f ca="1">IF(Proc[[#This Row],[DateClosed]]="",ABS(NETWORKDAYS(Proc[[#This Row],[DateOpened]],TODAY()))-1,ABS(NETWORKDAYS(Proc[[#This Row],[DateOpened]],Proc[[#This Row],[DateClosed]]))-1)</f>
        <v>122</v>
      </c>
      <c r="R2220" s="106" t="s">
        <v>780</v>
      </c>
      <c r="S2220" s="94"/>
    </row>
    <row r="2221" spans="1:19" hidden="1">
      <c r="A2221" s="103" t="s">
        <v>4188</v>
      </c>
      <c r="B2221" s="149" t="str">
        <f>IFERROR(VLOOKUP(Proc[[#This Row],[App]],Table2[],3,0),"open")</f>
        <v>ok</v>
      </c>
      <c r="C2221" s="103" t="s">
        <v>369</v>
      </c>
      <c r="D2221" t="s">
        <v>4248</v>
      </c>
      <c r="E2221" t="s">
        <v>4245</v>
      </c>
      <c r="F2221" s="117" t="s">
        <v>4245</v>
      </c>
      <c r="G2221" s="103" t="s">
        <v>406</v>
      </c>
      <c r="H2221" s="94" t="str">
        <f>IF(Proc[[#This Row],[type]]="LFF (MDG-F)",MID(Proc[[#This Row],[Obj]],13,10),"")</f>
        <v>DE10N11714</v>
      </c>
      <c r="I2221" s="103" t="s">
        <v>4288</v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EL</v>
      </c>
      <c r="L2221" s="94" t="s">
        <v>2563</v>
      </c>
      <c r="M2221" s="105">
        <v>45825.476678240739</v>
      </c>
      <c r="N2221" s="105"/>
      <c r="O2221" s="105"/>
      <c r="P2221" s="106" t="str">
        <f ca="1">IF(Proc[[#This Row],[DaysAgeing]]&gt;5,"yep","on track")</f>
        <v>yep</v>
      </c>
      <c r="Q2221" s="3">
        <f ca="1">IF(Proc[[#This Row],[DateClosed]]="",ABS(NETWORKDAYS(Proc[[#This Row],[DateOpened]],TODAY()))-1,ABS(NETWORKDAYS(Proc[[#This Row],[DateOpened]],Proc[[#This Row],[DateClosed]]))-1)</f>
        <v>122</v>
      </c>
      <c r="R2221" s="106" t="s">
        <v>780</v>
      </c>
      <c r="S2221" s="94"/>
    </row>
    <row r="2222" spans="1:19" hidden="1">
      <c r="A2222" s="103" t="s">
        <v>4188</v>
      </c>
      <c r="B2222" s="149" t="str">
        <f>IFERROR(VLOOKUP(Proc[[#This Row],[App]],Table2[],3,0),"open")</f>
        <v>ok</v>
      </c>
      <c r="C2222" s="103" t="s">
        <v>369</v>
      </c>
      <c r="D2222" t="s">
        <v>4249</v>
      </c>
      <c r="E2222" t="s">
        <v>4245</v>
      </c>
      <c r="F2222" s="117" t="s">
        <v>4245</v>
      </c>
      <c r="G2222" s="103" t="s">
        <v>406</v>
      </c>
      <c r="H2222" s="94" t="str">
        <f>IF(Proc[[#This Row],[type]]="LFF (MDG-F)",MID(Proc[[#This Row],[Obj]],13,10),"")</f>
        <v>DE10N11716</v>
      </c>
      <c r="I2222" s="103" t="s">
        <v>4288</v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EL</v>
      </c>
      <c r="L2222" s="94" t="s">
        <v>2563</v>
      </c>
      <c r="M2222" s="105">
        <v>45825.476678240739</v>
      </c>
      <c r="N2222" s="105"/>
      <c r="O2222" s="105"/>
      <c r="P2222" s="106" t="str">
        <f ca="1">IF(Proc[[#This Row],[DaysAgeing]]&gt;5,"yep","on track")</f>
        <v>yep</v>
      </c>
      <c r="Q2222" s="3">
        <f ca="1">IF(Proc[[#This Row],[DateClosed]]="",ABS(NETWORKDAYS(Proc[[#This Row],[DateOpened]],TODAY()))-1,ABS(NETWORKDAYS(Proc[[#This Row],[DateOpened]],Proc[[#This Row],[DateClosed]]))-1)</f>
        <v>122</v>
      </c>
      <c r="R2222" s="106" t="s">
        <v>780</v>
      </c>
      <c r="S2222" s="94"/>
    </row>
    <row r="2223" spans="1:19" hidden="1">
      <c r="A2223" s="103" t="s">
        <v>4188</v>
      </c>
      <c r="B2223" s="149" t="str">
        <f>IFERROR(VLOOKUP(Proc[[#This Row],[App]],Table2[],3,0),"open")</f>
        <v>ok</v>
      </c>
      <c r="C2223" s="103" t="s">
        <v>369</v>
      </c>
      <c r="D2223" t="s">
        <v>4250</v>
      </c>
      <c r="E2223" t="s">
        <v>4245</v>
      </c>
      <c r="F2223" s="117" t="s">
        <v>4245</v>
      </c>
      <c r="G2223" s="103" t="s">
        <v>406</v>
      </c>
      <c r="H2223" s="94" t="str">
        <f>IF(Proc[[#This Row],[type]]="LFF (MDG-F)",MID(Proc[[#This Row],[Obj]],13,10),"")</f>
        <v>DE10N11720</v>
      </c>
      <c r="I2223" s="103" t="s">
        <v>4288</v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EL</v>
      </c>
      <c r="L2223" s="94" t="s">
        <v>2563</v>
      </c>
      <c r="M2223" s="105">
        <v>45825.476678240739</v>
      </c>
      <c r="N2223" s="105"/>
      <c r="O2223" s="105"/>
      <c r="P2223" s="106" t="str">
        <f ca="1">IF(Proc[[#This Row],[DaysAgeing]]&gt;5,"yep","on track")</f>
        <v>yep</v>
      </c>
      <c r="Q2223" s="3">
        <f ca="1">IF(Proc[[#This Row],[DateClosed]]="",ABS(NETWORKDAYS(Proc[[#This Row],[DateOpened]],TODAY()))-1,ABS(NETWORKDAYS(Proc[[#This Row],[DateOpened]],Proc[[#This Row],[DateClosed]]))-1)</f>
        <v>122</v>
      </c>
      <c r="R2223" s="106" t="s">
        <v>780</v>
      </c>
      <c r="S2223" s="94"/>
    </row>
    <row r="2224" spans="1:19" hidden="1">
      <c r="A2224" s="103" t="s">
        <v>4188</v>
      </c>
      <c r="B2224" s="149" t="str">
        <f>IFERROR(VLOOKUP(Proc[[#This Row],[App]],Table2[],3,0),"open")</f>
        <v>ok</v>
      </c>
      <c r="C2224" s="103" t="s">
        <v>369</v>
      </c>
      <c r="D2224" t="s">
        <v>4251</v>
      </c>
      <c r="E2224" t="s">
        <v>4245</v>
      </c>
      <c r="F2224" s="117" t="s">
        <v>4245</v>
      </c>
      <c r="G2224" s="103" t="s">
        <v>406</v>
      </c>
      <c r="H2224" s="94" t="str">
        <f>IF(Proc[[#This Row],[type]]="LFF (MDG-F)",MID(Proc[[#This Row],[Obj]],13,10),"")</f>
        <v>DE10N11722</v>
      </c>
      <c r="I2224" s="103" t="s">
        <v>4288</v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EL</v>
      </c>
      <c r="L2224" s="94" t="s">
        <v>2563</v>
      </c>
      <c r="M2224" s="105">
        <v>45825.476678240739</v>
      </c>
      <c r="N2224" s="105"/>
      <c r="O2224" s="105"/>
      <c r="P2224" s="106" t="str">
        <f ca="1">IF(Proc[[#This Row],[DaysAgeing]]&gt;5,"yep","on track")</f>
        <v>yep</v>
      </c>
      <c r="Q2224" s="3">
        <f ca="1">IF(Proc[[#This Row],[DateClosed]]="",ABS(NETWORKDAYS(Proc[[#This Row],[DateOpened]],TODAY()))-1,ABS(NETWORKDAYS(Proc[[#This Row],[DateOpened]],Proc[[#This Row],[DateClosed]]))-1)</f>
        <v>122</v>
      </c>
      <c r="R2224" s="106" t="s">
        <v>780</v>
      </c>
      <c r="S2224" s="94"/>
    </row>
    <row r="2225" spans="1:19" hidden="1">
      <c r="A2225" s="103" t="s">
        <v>4188</v>
      </c>
      <c r="B2225" s="149" t="str">
        <f>IFERROR(VLOOKUP(Proc[[#This Row],[App]],Table2[],3,0),"open")</f>
        <v>ok</v>
      </c>
      <c r="C2225" s="103" t="s">
        <v>369</v>
      </c>
      <c r="D2225" t="s">
        <v>4252</v>
      </c>
      <c r="E2225" t="s">
        <v>4245</v>
      </c>
      <c r="F2225" s="117" t="s">
        <v>4245</v>
      </c>
      <c r="G2225" s="103" t="s">
        <v>406</v>
      </c>
      <c r="H2225" s="94" t="str">
        <f>IF(Proc[[#This Row],[type]]="LFF (MDG-F)",MID(Proc[[#This Row],[Obj]],13,10),"")</f>
        <v>DE10N11740</v>
      </c>
      <c r="I2225" s="103" t="s">
        <v>4288</v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EL</v>
      </c>
      <c r="L2225" s="94" t="s">
        <v>2563</v>
      </c>
      <c r="M2225" s="105">
        <v>45825.476678240739</v>
      </c>
      <c r="N2225" s="105"/>
      <c r="O2225" s="105"/>
      <c r="P2225" s="106" t="str">
        <f ca="1">IF(Proc[[#This Row],[DaysAgeing]]&gt;5,"yep","on track")</f>
        <v>yep</v>
      </c>
      <c r="Q2225" s="3">
        <f ca="1">IF(Proc[[#This Row],[DateClosed]]="",ABS(NETWORKDAYS(Proc[[#This Row],[DateOpened]],TODAY()))-1,ABS(NETWORKDAYS(Proc[[#This Row],[DateOpened]],Proc[[#This Row],[DateClosed]]))-1)</f>
        <v>122</v>
      </c>
      <c r="R2225" s="106" t="s">
        <v>780</v>
      </c>
      <c r="S2225" s="94"/>
    </row>
    <row r="2226" spans="1:19" hidden="1">
      <c r="A2226" s="103" t="s">
        <v>4188</v>
      </c>
      <c r="B2226" s="149" t="str">
        <f>IFERROR(VLOOKUP(Proc[[#This Row],[App]],Table2[],3,0),"open")</f>
        <v>ok</v>
      </c>
      <c r="C2226" s="103" t="s">
        <v>369</v>
      </c>
      <c r="D2226" t="s">
        <v>4253</v>
      </c>
      <c r="E2226" t="s">
        <v>4245</v>
      </c>
      <c r="F2226" s="117" t="s">
        <v>4245</v>
      </c>
      <c r="G2226" s="103" t="s">
        <v>406</v>
      </c>
      <c r="H2226" s="94" t="str">
        <f>IF(Proc[[#This Row],[type]]="LFF (MDG-F)",MID(Proc[[#This Row],[Obj]],13,10),"")</f>
        <v>DE10N11750</v>
      </c>
      <c r="I2226" s="103" t="s">
        <v>4288</v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EL</v>
      </c>
      <c r="L2226" s="94" t="s">
        <v>2563</v>
      </c>
      <c r="M2226" s="105">
        <v>45825.476678240739</v>
      </c>
      <c r="N2226" s="105"/>
      <c r="O2226" s="105"/>
      <c r="P2226" s="106" t="str">
        <f ca="1">IF(Proc[[#This Row],[DaysAgeing]]&gt;5,"yep","on track")</f>
        <v>yep</v>
      </c>
      <c r="Q2226" s="3">
        <f ca="1">IF(Proc[[#This Row],[DateClosed]]="",ABS(NETWORKDAYS(Proc[[#This Row],[DateOpened]],TODAY()))-1,ABS(NETWORKDAYS(Proc[[#This Row],[DateOpened]],Proc[[#This Row],[DateClosed]]))-1)</f>
        <v>122</v>
      </c>
      <c r="R2226" s="106" t="s">
        <v>780</v>
      </c>
      <c r="S2226" s="94"/>
    </row>
    <row r="2227" spans="1:19" hidden="1">
      <c r="A2227" s="103" t="s">
        <v>4188</v>
      </c>
      <c r="B2227" s="149" t="str">
        <f>IFERROR(VLOOKUP(Proc[[#This Row],[App]],Table2[],3,0),"open")</f>
        <v>ok</v>
      </c>
      <c r="C2227" s="103" t="s">
        <v>369</v>
      </c>
      <c r="D2227" t="s">
        <v>4254</v>
      </c>
      <c r="E2227" t="s">
        <v>4245</v>
      </c>
      <c r="F2227" s="117" t="s">
        <v>4245</v>
      </c>
      <c r="G2227" s="103" t="s">
        <v>406</v>
      </c>
      <c r="H2227" s="94" t="str">
        <f>IF(Proc[[#This Row],[type]]="LFF (MDG-F)",MID(Proc[[#This Row],[Obj]],13,10),"")</f>
        <v>DE10N11780</v>
      </c>
      <c r="I2227" s="103" t="s">
        <v>4288</v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EL</v>
      </c>
      <c r="L2227" s="94" t="s">
        <v>2563</v>
      </c>
      <c r="M2227" s="105">
        <v>45825.476678240739</v>
      </c>
      <c r="N2227" s="105"/>
      <c r="O2227" s="105"/>
      <c r="P2227" s="106" t="str">
        <f ca="1">IF(Proc[[#This Row],[DaysAgeing]]&gt;5,"yep","on track")</f>
        <v>yep</v>
      </c>
      <c r="Q2227" s="3">
        <f ca="1">IF(Proc[[#This Row],[DateClosed]]="",ABS(NETWORKDAYS(Proc[[#This Row],[DateOpened]],TODAY()))-1,ABS(NETWORKDAYS(Proc[[#This Row],[DateOpened]],Proc[[#This Row],[DateClosed]]))-1)</f>
        <v>122</v>
      </c>
      <c r="R2227" s="106" t="s">
        <v>780</v>
      </c>
      <c r="S2227" s="94"/>
    </row>
    <row r="2228" spans="1:19" hidden="1">
      <c r="A2228" s="103" t="s">
        <v>4188</v>
      </c>
      <c r="B2228" s="149" t="str">
        <f>IFERROR(VLOOKUP(Proc[[#This Row],[App]],Table2[],3,0),"open")</f>
        <v>ok</v>
      </c>
      <c r="C2228" s="103" t="s">
        <v>369</v>
      </c>
      <c r="D2228" t="s">
        <v>4255</v>
      </c>
      <c r="E2228" t="s">
        <v>4246</v>
      </c>
      <c r="F2228" s="117" t="s">
        <v>4246</v>
      </c>
      <c r="G2228" s="103" t="s">
        <v>406</v>
      </c>
      <c r="H2228" s="94" t="str">
        <f>IF(Proc[[#This Row],[type]]="LFF (MDG-F)",MID(Proc[[#This Row],[Obj]],13,10),"")</f>
        <v>DE10N11800</v>
      </c>
      <c r="I2228" s="103" t="s">
        <v>4288</v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EL</v>
      </c>
      <c r="L2228" s="94" t="s">
        <v>2563</v>
      </c>
      <c r="M2228" s="105">
        <v>45825.476678240739</v>
      </c>
      <c r="N2228" s="105"/>
      <c r="O2228" s="105"/>
      <c r="P2228" s="106" t="str">
        <f ca="1">IF(Proc[[#This Row],[DaysAgeing]]&gt;5,"yep","on track")</f>
        <v>yep</v>
      </c>
      <c r="Q2228" s="3">
        <f ca="1">IF(Proc[[#This Row],[DateClosed]]="",ABS(NETWORKDAYS(Proc[[#This Row],[DateOpened]],TODAY()))-1,ABS(NETWORKDAYS(Proc[[#This Row],[DateOpened]],Proc[[#This Row],[DateClosed]]))-1)</f>
        <v>122</v>
      </c>
      <c r="R2228" s="106" t="s">
        <v>780</v>
      </c>
      <c r="S2228" s="94"/>
    </row>
    <row r="2229" spans="1:19" hidden="1">
      <c r="A2229" s="103" t="s">
        <v>4188</v>
      </c>
      <c r="B2229" s="149" t="str">
        <f>IFERROR(VLOOKUP(Proc[[#This Row],[App]],Table2[],3,0),"open")</f>
        <v>ok</v>
      </c>
      <c r="C2229" s="103" t="s">
        <v>369</v>
      </c>
      <c r="D2229" t="s">
        <v>4256</v>
      </c>
      <c r="E2229" t="s">
        <v>4246</v>
      </c>
      <c r="F2229" s="117" t="s">
        <v>4246</v>
      </c>
      <c r="G2229" s="103" t="s">
        <v>406</v>
      </c>
      <c r="H2229" s="94" t="str">
        <f>IF(Proc[[#This Row],[type]]="LFF (MDG-F)",MID(Proc[[#This Row],[Obj]],13,10),"")</f>
        <v>DE10N11812</v>
      </c>
      <c r="I2229" s="103" t="s">
        <v>4288</v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EL</v>
      </c>
      <c r="L2229" s="94" t="s">
        <v>2563</v>
      </c>
      <c r="M2229" s="105">
        <v>45825.476678240739</v>
      </c>
      <c r="N2229" s="105"/>
      <c r="O2229" s="105"/>
      <c r="P2229" s="106" t="str">
        <f ca="1">IF(Proc[[#This Row],[DaysAgeing]]&gt;5,"yep","on track")</f>
        <v>yep</v>
      </c>
      <c r="Q2229" s="3">
        <f ca="1">IF(Proc[[#This Row],[DateClosed]]="",ABS(NETWORKDAYS(Proc[[#This Row],[DateOpened]],TODAY()))-1,ABS(NETWORKDAYS(Proc[[#This Row],[DateOpened]],Proc[[#This Row],[DateClosed]]))-1)</f>
        <v>122</v>
      </c>
      <c r="R2229" s="106" t="s">
        <v>780</v>
      </c>
      <c r="S2229" s="94"/>
    </row>
    <row r="2230" spans="1:19" hidden="1">
      <c r="A2230" s="103" t="s">
        <v>4188</v>
      </c>
      <c r="B2230" s="149" t="str">
        <f>IFERROR(VLOOKUP(Proc[[#This Row],[App]],Table2[],3,0),"open")</f>
        <v>ok</v>
      </c>
      <c r="C2230" s="103" t="s">
        <v>369</v>
      </c>
      <c r="D2230" t="s">
        <v>4257</v>
      </c>
      <c r="E2230" t="s">
        <v>4246</v>
      </c>
      <c r="F2230" s="117" t="s">
        <v>4246</v>
      </c>
      <c r="G2230" s="103" t="s">
        <v>406</v>
      </c>
      <c r="H2230" s="94" t="str">
        <f>IF(Proc[[#This Row],[type]]="LFF (MDG-F)",MID(Proc[[#This Row],[Obj]],13,10),"")</f>
        <v>DE10N11813</v>
      </c>
      <c r="I2230" s="103" t="s">
        <v>4288</v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EL</v>
      </c>
      <c r="L2230" s="94" t="s">
        <v>2563</v>
      </c>
      <c r="M2230" s="105">
        <v>45825.476678240739</v>
      </c>
      <c r="N2230" s="105"/>
      <c r="O2230" s="105"/>
      <c r="P2230" s="106" t="str">
        <f ca="1">IF(Proc[[#This Row],[DaysAgeing]]&gt;5,"yep","on track")</f>
        <v>yep</v>
      </c>
      <c r="Q2230" s="3">
        <f ca="1">IF(Proc[[#This Row],[DateClosed]]="",ABS(NETWORKDAYS(Proc[[#This Row],[DateOpened]],TODAY()))-1,ABS(NETWORKDAYS(Proc[[#This Row],[DateOpened]],Proc[[#This Row],[DateClosed]]))-1)</f>
        <v>122</v>
      </c>
      <c r="R2230" s="106" t="s">
        <v>780</v>
      </c>
      <c r="S2230" s="94"/>
    </row>
    <row r="2231" spans="1:19" hidden="1">
      <c r="A2231" s="103" t="s">
        <v>4188</v>
      </c>
      <c r="B2231" s="149" t="str">
        <f>IFERROR(VLOOKUP(Proc[[#This Row],[App]],Table2[],3,0),"open")</f>
        <v>ok</v>
      </c>
      <c r="C2231" s="103" t="s">
        <v>369</v>
      </c>
      <c r="D2231" t="s">
        <v>4258</v>
      </c>
      <c r="E2231" t="s">
        <v>4246</v>
      </c>
      <c r="F2231" s="117" t="s">
        <v>4246</v>
      </c>
      <c r="G2231" s="103" t="s">
        <v>406</v>
      </c>
      <c r="H2231" s="94" t="str">
        <f>IF(Proc[[#This Row],[type]]="LFF (MDG-F)",MID(Proc[[#This Row],[Obj]],13,10),"")</f>
        <v>DE10N11814</v>
      </c>
      <c r="I2231" s="103" t="s">
        <v>4288</v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EL</v>
      </c>
      <c r="L2231" s="94" t="s">
        <v>2563</v>
      </c>
      <c r="M2231" s="105">
        <v>45825.476678240739</v>
      </c>
      <c r="N2231" s="105"/>
      <c r="O2231" s="105"/>
      <c r="P2231" s="106" t="str">
        <f ca="1">IF(Proc[[#This Row],[DaysAgeing]]&gt;5,"yep","on track")</f>
        <v>yep</v>
      </c>
      <c r="Q2231" s="3">
        <f ca="1">IF(Proc[[#This Row],[DateClosed]]="",ABS(NETWORKDAYS(Proc[[#This Row],[DateOpened]],TODAY()))-1,ABS(NETWORKDAYS(Proc[[#This Row],[DateOpened]],Proc[[#This Row],[DateClosed]]))-1)</f>
        <v>122</v>
      </c>
      <c r="R2231" s="106" t="s">
        <v>780</v>
      </c>
      <c r="S2231" s="94"/>
    </row>
    <row r="2232" spans="1:19" hidden="1">
      <c r="A2232" s="103" t="s">
        <v>4188</v>
      </c>
      <c r="B2232" s="149" t="str">
        <f>IFERROR(VLOOKUP(Proc[[#This Row],[App]],Table2[],3,0),"open")</f>
        <v>ok</v>
      </c>
      <c r="C2232" s="103" t="s">
        <v>369</v>
      </c>
      <c r="D2232" t="s">
        <v>4259</v>
      </c>
      <c r="E2232" t="s">
        <v>4246</v>
      </c>
      <c r="F2232" s="117" t="s">
        <v>4246</v>
      </c>
      <c r="G2232" s="103" t="s">
        <v>406</v>
      </c>
      <c r="H2232" s="94" t="str">
        <f>IF(Proc[[#This Row],[type]]="LFF (MDG-F)",MID(Proc[[#This Row],[Obj]],13,10),"")</f>
        <v>DE10N11816</v>
      </c>
      <c r="I2232" s="103" t="s">
        <v>4288</v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EL</v>
      </c>
      <c r="L2232" s="94" t="s">
        <v>2563</v>
      </c>
      <c r="M2232" s="105">
        <v>45825.476678240739</v>
      </c>
      <c r="N2232" s="105"/>
      <c r="O2232" s="105"/>
      <c r="P2232" s="106" t="str">
        <f ca="1">IF(Proc[[#This Row],[DaysAgeing]]&gt;5,"yep","on track")</f>
        <v>yep</v>
      </c>
      <c r="Q2232" s="3">
        <f ca="1">IF(Proc[[#This Row],[DateClosed]]="",ABS(NETWORKDAYS(Proc[[#This Row],[DateOpened]],TODAY()))-1,ABS(NETWORKDAYS(Proc[[#This Row],[DateOpened]],Proc[[#This Row],[DateClosed]]))-1)</f>
        <v>122</v>
      </c>
      <c r="R2232" s="106" t="s">
        <v>780</v>
      </c>
      <c r="S2232" s="94"/>
    </row>
    <row r="2233" spans="1:19" hidden="1">
      <c r="A2233" s="103" t="s">
        <v>4188</v>
      </c>
      <c r="B2233" s="149" t="str">
        <f>IFERROR(VLOOKUP(Proc[[#This Row],[App]],Table2[],3,0),"open")</f>
        <v>ok</v>
      </c>
      <c r="C2233" s="103" t="s">
        <v>369</v>
      </c>
      <c r="D2233" t="s">
        <v>4260</v>
      </c>
      <c r="E2233" t="s">
        <v>4246</v>
      </c>
      <c r="F2233" s="117" t="s">
        <v>4246</v>
      </c>
      <c r="G2233" s="103" t="s">
        <v>406</v>
      </c>
      <c r="H2233" s="94" t="str">
        <f>IF(Proc[[#This Row],[type]]="LFF (MDG-F)",MID(Proc[[#This Row],[Obj]],13,10),"")</f>
        <v>DE10N11818</v>
      </c>
      <c r="I2233" s="103" t="s">
        <v>4288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EL</v>
      </c>
      <c r="L2233" s="94" t="s">
        <v>2563</v>
      </c>
      <c r="M2233" s="105">
        <v>45825.476678240739</v>
      </c>
      <c r="N2233" s="105"/>
      <c r="O2233" s="105"/>
      <c r="P2233" s="106" t="str">
        <f ca="1">IF(Proc[[#This Row],[DaysAgeing]]&gt;5,"yep","on track")</f>
        <v>yep</v>
      </c>
      <c r="Q2233" s="3">
        <f ca="1">IF(Proc[[#This Row],[DateClosed]]="",ABS(NETWORKDAYS(Proc[[#This Row],[DateOpened]],TODAY()))-1,ABS(NETWORKDAYS(Proc[[#This Row],[DateOpened]],Proc[[#This Row],[DateClosed]]))-1)</f>
        <v>122</v>
      </c>
      <c r="R2233" s="106" t="s">
        <v>780</v>
      </c>
      <c r="S2233" s="94"/>
    </row>
    <row r="2234" spans="1:19" hidden="1">
      <c r="A2234" s="103" t="s">
        <v>4188</v>
      </c>
      <c r="B2234" s="149" t="str">
        <f>IFERROR(VLOOKUP(Proc[[#This Row],[App]],Table2[],3,0),"open")</f>
        <v>ok</v>
      </c>
      <c r="C2234" s="103" t="s">
        <v>369</v>
      </c>
      <c r="D2234" t="s">
        <v>4261</v>
      </c>
      <c r="E2234" t="s">
        <v>4246</v>
      </c>
      <c r="F2234" s="117" t="s">
        <v>4246</v>
      </c>
      <c r="G2234" s="103" t="s">
        <v>406</v>
      </c>
      <c r="H2234" s="94" t="str">
        <f>IF(Proc[[#This Row],[type]]="LFF (MDG-F)",MID(Proc[[#This Row],[Obj]],13,10),"")</f>
        <v>DE10N11820</v>
      </c>
      <c r="I2234" s="103" t="s">
        <v>4288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EL</v>
      </c>
      <c r="L2234" s="94" t="s">
        <v>2563</v>
      </c>
      <c r="M2234" s="105">
        <v>45825.476678240739</v>
      </c>
      <c r="N2234" s="105"/>
      <c r="O2234" s="105"/>
      <c r="P2234" s="106" t="str">
        <f ca="1">IF(Proc[[#This Row],[DaysAgeing]]&gt;5,"yep","on track")</f>
        <v>yep</v>
      </c>
      <c r="Q2234" s="3">
        <f ca="1">IF(Proc[[#This Row],[DateClosed]]="",ABS(NETWORKDAYS(Proc[[#This Row],[DateOpened]],TODAY()))-1,ABS(NETWORKDAYS(Proc[[#This Row],[DateOpened]],Proc[[#This Row],[DateClosed]]))-1)</f>
        <v>122</v>
      </c>
      <c r="R2234" s="106" t="s">
        <v>780</v>
      </c>
      <c r="S2234" s="94"/>
    </row>
    <row r="2235" spans="1:19" hidden="1">
      <c r="A2235" s="103" t="s">
        <v>4188</v>
      </c>
      <c r="B2235" s="149" t="str">
        <f>IFERROR(VLOOKUP(Proc[[#This Row],[App]],Table2[],3,0),"open")</f>
        <v>ok</v>
      </c>
      <c r="C2235" s="103" t="s">
        <v>369</v>
      </c>
      <c r="D2235" t="s">
        <v>4262</v>
      </c>
      <c r="E2235" t="s">
        <v>4246</v>
      </c>
      <c r="F2235" s="117" t="s">
        <v>4246</v>
      </c>
      <c r="G2235" s="103" t="s">
        <v>406</v>
      </c>
      <c r="H2235" s="94" t="str">
        <f>IF(Proc[[#This Row],[type]]="LFF (MDG-F)",MID(Proc[[#This Row],[Obj]],13,10),"")</f>
        <v>DE10N11826</v>
      </c>
      <c r="I2235" s="103" t="s">
        <v>4288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EL</v>
      </c>
      <c r="L2235" s="94" t="s">
        <v>2563</v>
      </c>
      <c r="M2235" s="105">
        <v>45825.476678240739</v>
      </c>
      <c r="N2235" s="105"/>
      <c r="O2235" s="105"/>
      <c r="P2235" s="106" t="str">
        <f ca="1">IF(Proc[[#This Row],[DaysAgeing]]&gt;5,"yep","on track")</f>
        <v>yep</v>
      </c>
      <c r="Q2235" s="3">
        <f ca="1">IF(Proc[[#This Row],[DateClosed]]="",ABS(NETWORKDAYS(Proc[[#This Row],[DateOpened]],TODAY()))-1,ABS(NETWORKDAYS(Proc[[#This Row],[DateOpened]],Proc[[#This Row],[DateClosed]]))-1)</f>
        <v>122</v>
      </c>
      <c r="R2235" s="106" t="s">
        <v>780</v>
      </c>
      <c r="S2235" s="94"/>
    </row>
    <row r="2236" spans="1:19" hidden="1">
      <c r="A2236" s="103" t="s">
        <v>4188</v>
      </c>
      <c r="B2236" s="149" t="str">
        <f>IFERROR(VLOOKUP(Proc[[#This Row],[App]],Table2[],3,0),"open")</f>
        <v>ok</v>
      </c>
      <c r="C2236" s="103" t="s">
        <v>369</v>
      </c>
      <c r="D2236" t="s">
        <v>4263</v>
      </c>
      <c r="E2236" t="s">
        <v>4246</v>
      </c>
      <c r="F2236" s="117" t="s">
        <v>4246</v>
      </c>
      <c r="G2236" s="103" t="s">
        <v>406</v>
      </c>
      <c r="H2236" s="94" t="str">
        <f>IF(Proc[[#This Row],[type]]="LFF (MDG-F)",MID(Proc[[#This Row],[Obj]],13,10),"")</f>
        <v>DE10N11830</v>
      </c>
      <c r="I2236" s="103" t="s">
        <v>4288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EL</v>
      </c>
      <c r="L2236" s="94" t="s">
        <v>2563</v>
      </c>
      <c r="M2236" s="105">
        <v>45825.476678240739</v>
      </c>
      <c r="N2236" s="105"/>
      <c r="O2236" s="105"/>
      <c r="P2236" s="106" t="str">
        <f ca="1">IF(Proc[[#This Row],[DaysAgeing]]&gt;5,"yep","on track")</f>
        <v>yep</v>
      </c>
      <c r="Q2236" s="3">
        <f ca="1">IF(Proc[[#This Row],[DateClosed]]="",ABS(NETWORKDAYS(Proc[[#This Row],[DateOpened]],TODAY()))-1,ABS(NETWORKDAYS(Proc[[#This Row],[DateOpened]],Proc[[#This Row],[DateClosed]]))-1)</f>
        <v>122</v>
      </c>
      <c r="R2236" s="106" t="s">
        <v>780</v>
      </c>
      <c r="S2236" s="94"/>
    </row>
    <row r="2237" spans="1:19" hidden="1">
      <c r="A2237" s="103" t="s">
        <v>4188</v>
      </c>
      <c r="B2237" s="149" t="str">
        <f>IFERROR(VLOOKUP(Proc[[#This Row],[App]],Table2[],3,0),"open")</f>
        <v>ok</v>
      </c>
      <c r="C2237" s="103" t="s">
        <v>369</v>
      </c>
      <c r="D2237" t="s">
        <v>4264</v>
      </c>
      <c r="E2237" t="s">
        <v>4246</v>
      </c>
      <c r="F2237" s="117" t="s">
        <v>4246</v>
      </c>
      <c r="G2237" s="103" t="s">
        <v>406</v>
      </c>
      <c r="H2237" s="94" t="str">
        <f>IF(Proc[[#This Row],[type]]="LFF (MDG-F)",MID(Proc[[#This Row],[Obj]],13,10),"")</f>
        <v>DE10N11840</v>
      </c>
      <c r="I2237" s="103" t="s">
        <v>4288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EL</v>
      </c>
      <c r="L2237" s="94" t="s">
        <v>2563</v>
      </c>
      <c r="M2237" s="105">
        <v>45825.476678240739</v>
      </c>
      <c r="N2237" s="105"/>
      <c r="O2237" s="105"/>
      <c r="P2237" s="106" t="str">
        <f ca="1">IF(Proc[[#This Row],[DaysAgeing]]&gt;5,"yep","on track")</f>
        <v>yep</v>
      </c>
      <c r="Q2237" s="3">
        <f ca="1">IF(Proc[[#This Row],[DateClosed]]="",ABS(NETWORKDAYS(Proc[[#This Row],[DateOpened]],TODAY()))-1,ABS(NETWORKDAYS(Proc[[#This Row],[DateOpened]],Proc[[#This Row],[DateClosed]]))-1)</f>
        <v>122</v>
      </c>
      <c r="R2237" s="106" t="s">
        <v>780</v>
      </c>
      <c r="S2237" s="94"/>
    </row>
    <row r="2238" spans="1:19" hidden="1">
      <c r="A2238" s="103" t="s">
        <v>4188</v>
      </c>
      <c r="B2238" s="149" t="str">
        <f>IFERROR(VLOOKUP(Proc[[#This Row],[App]],Table2[],3,0),"open")</f>
        <v>ok</v>
      </c>
      <c r="C2238" s="103" t="s">
        <v>369</v>
      </c>
      <c r="D2238" t="s">
        <v>4265</v>
      </c>
      <c r="E2238" t="s">
        <v>4246</v>
      </c>
      <c r="F2238" s="117" t="s">
        <v>4246</v>
      </c>
      <c r="G2238" s="103" t="s">
        <v>406</v>
      </c>
      <c r="H2238" s="94" t="str">
        <f>IF(Proc[[#This Row],[type]]="LFF (MDG-F)",MID(Proc[[#This Row],[Obj]],13,10),"")</f>
        <v>DE10N11850</v>
      </c>
      <c r="I2238" s="103" t="s">
        <v>4288</v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EL</v>
      </c>
      <c r="L2238" s="94" t="s">
        <v>2563</v>
      </c>
      <c r="M2238" s="105">
        <v>45825.476678240739</v>
      </c>
      <c r="N2238" s="105"/>
      <c r="O2238" s="105"/>
      <c r="P2238" s="106" t="str">
        <f ca="1">IF(Proc[[#This Row],[DaysAgeing]]&gt;5,"yep","on track")</f>
        <v>yep</v>
      </c>
      <c r="Q2238" s="3">
        <f ca="1">IF(Proc[[#This Row],[DateClosed]]="",ABS(NETWORKDAYS(Proc[[#This Row],[DateOpened]],TODAY()))-1,ABS(NETWORKDAYS(Proc[[#This Row],[DateOpened]],Proc[[#This Row],[DateClosed]]))-1)</f>
        <v>122</v>
      </c>
      <c r="R2238" s="106" t="s">
        <v>780</v>
      </c>
      <c r="S2238" s="94"/>
    </row>
    <row r="2239" spans="1:19" hidden="1">
      <c r="A2239" s="103" t="s">
        <v>4188</v>
      </c>
      <c r="B2239" s="149" t="str">
        <f>IFERROR(VLOOKUP(Proc[[#This Row],[App]],Table2[],3,0),"open")</f>
        <v>ok</v>
      </c>
      <c r="C2239" s="103" t="s">
        <v>369</v>
      </c>
      <c r="D2239" t="s">
        <v>4266</v>
      </c>
      <c r="E2239" t="s">
        <v>4246</v>
      </c>
      <c r="F2239" s="117" t="s">
        <v>4246</v>
      </c>
      <c r="G2239" s="103" t="s">
        <v>406</v>
      </c>
      <c r="H2239" s="94" t="str">
        <f>IF(Proc[[#This Row],[type]]="LFF (MDG-F)",MID(Proc[[#This Row],[Obj]],13,10),"")</f>
        <v>DE10N11855</v>
      </c>
      <c r="I2239" s="103" t="s">
        <v>4288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EL</v>
      </c>
      <c r="L2239" s="94" t="s">
        <v>2563</v>
      </c>
      <c r="M2239" s="105">
        <v>45825.476678240739</v>
      </c>
      <c r="N2239" s="105"/>
      <c r="O2239" s="105"/>
      <c r="P2239" s="106" t="str">
        <f ca="1">IF(Proc[[#This Row],[DaysAgeing]]&gt;5,"yep","on track")</f>
        <v>yep</v>
      </c>
      <c r="Q2239" s="3">
        <f ca="1">IF(Proc[[#This Row],[DateClosed]]="",ABS(NETWORKDAYS(Proc[[#This Row],[DateOpened]],TODAY()))-1,ABS(NETWORKDAYS(Proc[[#This Row],[DateOpened]],Proc[[#This Row],[DateClosed]]))-1)</f>
        <v>122</v>
      </c>
      <c r="R2239" s="106" t="s">
        <v>780</v>
      </c>
      <c r="S2239" s="94"/>
    </row>
    <row r="2240" spans="1:19" hidden="1">
      <c r="A2240" s="103" t="s">
        <v>4188</v>
      </c>
      <c r="B2240" s="149" t="str">
        <f>IFERROR(VLOOKUP(Proc[[#This Row],[App]],Table2[],3,0),"open")</f>
        <v>ok</v>
      </c>
      <c r="C2240" s="103" t="s">
        <v>369</v>
      </c>
      <c r="D2240" t="s">
        <v>4267</v>
      </c>
      <c r="E2240" t="s">
        <v>4246</v>
      </c>
      <c r="F2240" s="117" t="s">
        <v>4246</v>
      </c>
      <c r="G2240" s="103" t="s">
        <v>406</v>
      </c>
      <c r="H2240" s="94" t="str">
        <f>IF(Proc[[#This Row],[type]]="LFF (MDG-F)",MID(Proc[[#This Row],[Obj]],13,10),"")</f>
        <v>DE10N11860</v>
      </c>
      <c r="I2240" s="103" t="s">
        <v>4288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EL</v>
      </c>
      <c r="L2240" s="94" t="s">
        <v>2563</v>
      </c>
      <c r="M2240" s="105">
        <v>45825.476678240739</v>
      </c>
      <c r="N2240" s="105"/>
      <c r="O2240" s="105"/>
      <c r="P2240" s="106" t="str">
        <f ca="1">IF(Proc[[#This Row],[DaysAgeing]]&gt;5,"yep","on track")</f>
        <v>yep</v>
      </c>
      <c r="Q2240" s="3">
        <f ca="1">IF(Proc[[#This Row],[DateClosed]]="",ABS(NETWORKDAYS(Proc[[#This Row],[DateOpened]],TODAY()))-1,ABS(NETWORKDAYS(Proc[[#This Row],[DateOpened]],Proc[[#This Row],[DateClosed]]))-1)</f>
        <v>122</v>
      </c>
      <c r="R2240" s="106" t="s">
        <v>780</v>
      </c>
      <c r="S2240" s="94"/>
    </row>
    <row r="2241" spans="1:19" hidden="1">
      <c r="A2241" s="103" t="s">
        <v>4188</v>
      </c>
      <c r="B2241" s="149" t="str">
        <f>IFERROR(VLOOKUP(Proc[[#This Row],[App]],Table2[],3,0),"open")</f>
        <v>ok</v>
      </c>
      <c r="C2241" s="103" t="s">
        <v>369</v>
      </c>
      <c r="D2241" t="s">
        <v>4268</v>
      </c>
      <c r="E2241" t="s">
        <v>4246</v>
      </c>
      <c r="F2241" s="117" t="s">
        <v>4246</v>
      </c>
      <c r="G2241" s="103" t="s">
        <v>406</v>
      </c>
      <c r="H2241" s="94" t="str">
        <f>IF(Proc[[#This Row],[type]]="LFF (MDG-F)",MID(Proc[[#This Row],[Obj]],13,10),"")</f>
        <v>DE10N11863</v>
      </c>
      <c r="I2241" s="103" t="s">
        <v>4288</v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EL</v>
      </c>
      <c r="L2241" s="94" t="s">
        <v>2563</v>
      </c>
      <c r="M2241" s="105">
        <v>45825.476678240739</v>
      </c>
      <c r="N2241" s="105"/>
      <c r="O2241" s="105"/>
      <c r="P2241" s="106" t="str">
        <f ca="1">IF(Proc[[#This Row],[DaysAgeing]]&gt;5,"yep","on track")</f>
        <v>yep</v>
      </c>
      <c r="Q2241" s="3">
        <f ca="1">IF(Proc[[#This Row],[DateClosed]]="",ABS(NETWORKDAYS(Proc[[#This Row],[DateOpened]],TODAY()))-1,ABS(NETWORKDAYS(Proc[[#This Row],[DateOpened]],Proc[[#This Row],[DateClosed]]))-1)</f>
        <v>122</v>
      </c>
      <c r="R2241" s="106" t="s">
        <v>780</v>
      </c>
      <c r="S2241" s="94"/>
    </row>
    <row r="2242" spans="1:19" hidden="1">
      <c r="A2242" s="103" t="s">
        <v>4188</v>
      </c>
      <c r="B2242" s="149" t="str">
        <f>IFERROR(VLOOKUP(Proc[[#This Row],[App]],Table2[],3,0),"open")</f>
        <v>ok</v>
      </c>
      <c r="C2242" s="103" t="s">
        <v>369</v>
      </c>
      <c r="D2242" t="s">
        <v>4269</v>
      </c>
      <c r="E2242" t="s">
        <v>4246</v>
      </c>
      <c r="F2242" s="117" t="s">
        <v>4246</v>
      </c>
      <c r="G2242" s="103" t="s">
        <v>406</v>
      </c>
      <c r="H2242" s="94" t="str">
        <f>IF(Proc[[#This Row],[type]]="LFF (MDG-F)",MID(Proc[[#This Row],[Obj]],13,10),"")</f>
        <v>DE10N11864</v>
      </c>
      <c r="I2242" s="103" t="s">
        <v>4288</v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EL</v>
      </c>
      <c r="L2242" s="94" t="s">
        <v>2563</v>
      </c>
      <c r="M2242" s="105">
        <v>45825.476678240739</v>
      </c>
      <c r="N2242" s="105"/>
      <c r="O2242" s="105"/>
      <c r="P2242" s="106" t="str">
        <f ca="1">IF(Proc[[#This Row],[DaysAgeing]]&gt;5,"yep","on track")</f>
        <v>yep</v>
      </c>
      <c r="Q2242" s="3">
        <f ca="1">IF(Proc[[#This Row],[DateClosed]]="",ABS(NETWORKDAYS(Proc[[#This Row],[DateOpened]],TODAY()))-1,ABS(NETWORKDAYS(Proc[[#This Row],[DateOpened]],Proc[[#This Row],[DateClosed]]))-1)</f>
        <v>122</v>
      </c>
      <c r="R2242" s="106" t="s">
        <v>780</v>
      </c>
      <c r="S2242" s="94"/>
    </row>
    <row r="2243" spans="1:19" hidden="1">
      <c r="A2243" s="103" t="s">
        <v>4188</v>
      </c>
      <c r="B2243" s="149" t="str">
        <f>IFERROR(VLOOKUP(Proc[[#This Row],[App]],Table2[],3,0),"open")</f>
        <v>ok</v>
      </c>
      <c r="C2243" s="103" t="s">
        <v>369</v>
      </c>
      <c r="D2243" t="s">
        <v>4270</v>
      </c>
      <c r="E2243" t="s">
        <v>4246</v>
      </c>
      <c r="F2243" s="117" t="s">
        <v>4246</v>
      </c>
      <c r="G2243" s="103" t="s">
        <v>406</v>
      </c>
      <c r="H2243" s="94" t="str">
        <f>IF(Proc[[#This Row],[type]]="LFF (MDG-F)",MID(Proc[[#This Row],[Obj]],13,10),"")</f>
        <v>DE10N11870</v>
      </c>
      <c r="I2243" s="103" t="s">
        <v>4288</v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EL</v>
      </c>
      <c r="L2243" s="94" t="s">
        <v>2563</v>
      </c>
      <c r="M2243" s="105">
        <v>45825.476678240739</v>
      </c>
      <c r="N2243" s="105"/>
      <c r="O2243" s="105"/>
      <c r="P2243" s="106" t="str">
        <f ca="1">IF(Proc[[#This Row],[DaysAgeing]]&gt;5,"yep","on track")</f>
        <v>yep</v>
      </c>
      <c r="Q2243" s="3">
        <f ca="1">IF(Proc[[#This Row],[DateClosed]]="",ABS(NETWORKDAYS(Proc[[#This Row],[DateOpened]],TODAY()))-1,ABS(NETWORKDAYS(Proc[[#This Row],[DateOpened]],Proc[[#This Row],[DateClosed]]))-1)</f>
        <v>122</v>
      </c>
      <c r="R2243" s="106" t="s">
        <v>780</v>
      </c>
      <c r="S2243" s="94"/>
    </row>
    <row r="2244" spans="1:19" hidden="1">
      <c r="A2244" s="103" t="s">
        <v>4188</v>
      </c>
      <c r="B2244" s="149" t="str">
        <f>IFERROR(VLOOKUP(Proc[[#This Row],[App]],Table2[],3,0),"open")</f>
        <v>ok</v>
      </c>
      <c r="C2244" s="103" t="s">
        <v>369</v>
      </c>
      <c r="D2244" t="s">
        <v>4271</v>
      </c>
      <c r="E2244" t="s">
        <v>4246</v>
      </c>
      <c r="F2244" s="117" t="s">
        <v>4246</v>
      </c>
      <c r="G2244" s="103" t="s">
        <v>406</v>
      </c>
      <c r="H2244" s="94" t="str">
        <f>IF(Proc[[#This Row],[type]]="LFF (MDG-F)",MID(Proc[[#This Row],[Obj]],13,10),"")</f>
        <v>DE10N11880</v>
      </c>
      <c r="I2244" s="103" t="s">
        <v>4288</v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EL</v>
      </c>
      <c r="L2244" s="94" t="s">
        <v>2563</v>
      </c>
      <c r="M2244" s="105">
        <v>45825.476678240739</v>
      </c>
      <c r="N2244" s="105"/>
      <c r="O2244" s="105"/>
      <c r="P2244" s="106" t="str">
        <f ca="1">IF(Proc[[#This Row],[DaysAgeing]]&gt;5,"yep","on track")</f>
        <v>yep</v>
      </c>
      <c r="Q2244" s="3">
        <f ca="1">IF(Proc[[#This Row],[DateClosed]]="",ABS(NETWORKDAYS(Proc[[#This Row],[DateOpened]],TODAY()))-1,ABS(NETWORKDAYS(Proc[[#This Row],[DateOpened]],Proc[[#This Row],[DateClosed]]))-1)</f>
        <v>122</v>
      </c>
      <c r="R2244" s="106" t="s">
        <v>780</v>
      </c>
      <c r="S2244" s="94"/>
    </row>
    <row r="2245" spans="1:19" hidden="1">
      <c r="A2245" s="103" t="s">
        <v>4188</v>
      </c>
      <c r="B2245" s="149" t="str">
        <f>IFERROR(VLOOKUP(Proc[[#This Row],[App]],Table2[],3,0),"open")</f>
        <v>ok</v>
      </c>
      <c r="C2245" s="103" t="s">
        <v>369</v>
      </c>
      <c r="D2245" t="s">
        <v>4272</v>
      </c>
      <c r="E2245" t="s">
        <v>4246</v>
      </c>
      <c r="F2245" s="117" t="s">
        <v>4246</v>
      </c>
      <c r="G2245" s="103" t="s">
        <v>406</v>
      </c>
      <c r="H2245" s="94" t="str">
        <f>IF(Proc[[#This Row],[type]]="LFF (MDG-F)",MID(Proc[[#This Row],[Obj]],13,10),"")</f>
        <v>DE10N11881</v>
      </c>
      <c r="I2245" s="103" t="s">
        <v>4288</v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EL</v>
      </c>
      <c r="L2245" s="94" t="s">
        <v>2563</v>
      </c>
      <c r="M2245" s="105">
        <v>45825.476678240739</v>
      </c>
      <c r="N2245" s="105"/>
      <c r="O2245" s="105"/>
      <c r="P2245" s="106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122</v>
      </c>
      <c r="R2245" s="106" t="s">
        <v>780</v>
      </c>
      <c r="S2245" s="94"/>
    </row>
    <row r="2246" spans="1:19" hidden="1">
      <c r="A2246" t="s">
        <v>4287</v>
      </c>
      <c r="B2246" s="149" t="str">
        <f>IFERROR(VLOOKUP(Proc[[#This Row],[App]],Table2[],3,0),"open")</f>
        <v>ok</v>
      </c>
      <c r="C2246" s="103" t="s">
        <v>369</v>
      </c>
      <c r="D2246" t="s">
        <v>4273</v>
      </c>
      <c r="E2246" t="s">
        <v>419</v>
      </c>
      <c r="F2246" s="117" t="s">
        <v>419</v>
      </c>
      <c r="G2246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EL</v>
      </c>
      <c r="L2246" s="94" t="s">
        <v>2563</v>
      </c>
      <c r="M2246" s="105">
        <v>45825.508958333332</v>
      </c>
      <c r="N2246" s="105"/>
      <c r="O2246" s="105"/>
      <c r="P2246" s="106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122</v>
      </c>
      <c r="R2246" s="106" t="s">
        <v>780</v>
      </c>
      <c r="S2246" s="94"/>
    </row>
    <row r="2247" spans="1:19" hidden="1">
      <c r="A2247" s="103" t="s">
        <v>4287</v>
      </c>
      <c r="B2247" s="149" t="str">
        <f>IFERROR(VLOOKUP(Proc[[#This Row],[App]],Table2[],3,0),"open")</f>
        <v>ok</v>
      </c>
      <c r="C2247" s="103" t="s">
        <v>369</v>
      </c>
      <c r="D2247" t="s">
        <v>4274</v>
      </c>
      <c r="E2247" t="s">
        <v>419</v>
      </c>
      <c r="F2247" s="117" t="s">
        <v>419</v>
      </c>
      <c r="G2247" s="103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EL</v>
      </c>
      <c r="L2247" s="94" t="s">
        <v>2563</v>
      </c>
      <c r="M2247" s="105">
        <v>45825.508958333332</v>
      </c>
      <c r="N2247" s="105"/>
      <c r="O2247" s="105"/>
      <c r="P2247" s="106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122</v>
      </c>
      <c r="R2247" s="106" t="s">
        <v>780</v>
      </c>
      <c r="S2247" s="94"/>
    </row>
    <row r="2248" spans="1:19" hidden="1">
      <c r="A2248" s="103" t="s">
        <v>4287</v>
      </c>
      <c r="B2248" s="149" t="str">
        <f>IFERROR(VLOOKUP(Proc[[#This Row],[App]],Table2[],3,0),"open")</f>
        <v>ok</v>
      </c>
      <c r="C2248" s="103" t="s">
        <v>369</v>
      </c>
      <c r="D2248" t="s">
        <v>4275</v>
      </c>
      <c r="E2248" t="s">
        <v>419</v>
      </c>
      <c r="F2248" s="117" t="s">
        <v>419</v>
      </c>
      <c r="G2248" s="103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EL</v>
      </c>
      <c r="L2248" s="94" t="s">
        <v>2563</v>
      </c>
      <c r="M2248" s="105">
        <v>45825.508958333332</v>
      </c>
      <c r="N2248" s="105"/>
      <c r="O2248" s="105"/>
      <c r="P2248" s="106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122</v>
      </c>
      <c r="R2248" s="106" t="s">
        <v>780</v>
      </c>
      <c r="S2248" s="94"/>
    </row>
    <row r="2249" spans="1:19" hidden="1">
      <c r="A2249" s="103" t="s">
        <v>4287</v>
      </c>
      <c r="B2249" s="149" t="str">
        <f>IFERROR(VLOOKUP(Proc[[#This Row],[App]],Table2[],3,0),"open")</f>
        <v>ok</v>
      </c>
      <c r="C2249" s="103" t="s">
        <v>369</v>
      </c>
      <c r="D2249" t="s">
        <v>4276</v>
      </c>
      <c r="E2249" t="s">
        <v>419</v>
      </c>
      <c r="F2249" s="117" t="s">
        <v>419</v>
      </c>
      <c r="G2249" s="103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EL</v>
      </c>
      <c r="L2249" s="94" t="s">
        <v>2563</v>
      </c>
      <c r="M2249" s="105">
        <v>45825.508958333332</v>
      </c>
      <c r="N2249" s="105"/>
      <c r="O2249" s="105"/>
      <c r="P2249" s="106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122</v>
      </c>
      <c r="R2249" s="106" t="s">
        <v>780</v>
      </c>
      <c r="S2249" s="94"/>
    </row>
    <row r="2250" spans="1:19" hidden="1">
      <c r="A2250" s="103" t="s">
        <v>4287</v>
      </c>
      <c r="B2250" s="149" t="str">
        <f>IFERROR(VLOOKUP(Proc[[#This Row],[App]],Table2[],3,0),"open")</f>
        <v>ok</v>
      </c>
      <c r="C2250" s="103" t="s">
        <v>369</v>
      </c>
      <c r="D2250" t="s">
        <v>4277</v>
      </c>
      <c r="E2250" t="s">
        <v>419</v>
      </c>
      <c r="F2250" s="117" t="s">
        <v>419</v>
      </c>
      <c r="G2250" s="103" t="s">
        <v>400</v>
      </c>
      <c r="H2250" s="94" t="str">
        <f>IF(Proc[[#This Row],[type]]="LFF (MDG-F)",MID(Proc[[#This Row],[Obj]],13,10),"")</f>
        <v/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EL</v>
      </c>
      <c r="L2250" s="94" t="s">
        <v>2563</v>
      </c>
      <c r="M2250" s="105">
        <v>45825.508958333332</v>
      </c>
      <c r="N2250" s="105"/>
      <c r="O2250" s="105"/>
      <c r="P2250" s="106" t="str">
        <f ca="1">IF(Proc[[#This Row],[DaysAgeing]]&gt;5,"yep","on track")</f>
        <v>yep</v>
      </c>
      <c r="Q2250" s="3">
        <f ca="1">IF(Proc[[#This Row],[DateClosed]]="",ABS(NETWORKDAYS(Proc[[#This Row],[DateOpened]],TODAY()))-1,ABS(NETWORKDAYS(Proc[[#This Row],[DateOpened]],Proc[[#This Row],[DateClosed]]))-1)</f>
        <v>122</v>
      </c>
      <c r="R2250" s="106" t="s">
        <v>780</v>
      </c>
      <c r="S2250" s="94"/>
    </row>
    <row r="2251" spans="1:19" hidden="1">
      <c r="A2251" s="103" t="s">
        <v>4287</v>
      </c>
      <c r="B2251" s="149" t="str">
        <f>IFERROR(VLOOKUP(Proc[[#This Row],[App]],Table2[],3,0),"open")</f>
        <v>ok</v>
      </c>
      <c r="C2251" s="103" t="s">
        <v>369</v>
      </c>
      <c r="D2251" t="s">
        <v>4278</v>
      </c>
      <c r="E2251" t="s">
        <v>419</v>
      </c>
      <c r="F2251" s="117" t="s">
        <v>419</v>
      </c>
      <c r="G2251" s="103" t="s">
        <v>400</v>
      </c>
      <c r="H2251" s="94" t="str">
        <f>IF(Proc[[#This Row],[type]]="LFF (MDG-F)",MID(Proc[[#This Row],[Obj]],13,10),"")</f>
        <v/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EL</v>
      </c>
      <c r="L2251" s="94" t="s">
        <v>2563</v>
      </c>
      <c r="M2251" s="105">
        <v>45825.508958333332</v>
      </c>
      <c r="N2251" s="105"/>
      <c r="O2251" s="105"/>
      <c r="P2251" s="106" t="str">
        <f ca="1">IF(Proc[[#This Row],[DaysAgeing]]&gt;5,"yep","on track")</f>
        <v>yep</v>
      </c>
      <c r="Q2251" s="3">
        <f ca="1">IF(Proc[[#This Row],[DateClosed]]="",ABS(NETWORKDAYS(Proc[[#This Row],[DateOpened]],TODAY()))-1,ABS(NETWORKDAYS(Proc[[#This Row],[DateOpened]],Proc[[#This Row],[DateClosed]]))-1)</f>
        <v>122</v>
      </c>
      <c r="R2251" s="106" t="s">
        <v>780</v>
      </c>
      <c r="S2251" s="94"/>
    </row>
    <row r="2252" spans="1:19" hidden="1">
      <c r="A2252" s="103" t="s">
        <v>4287</v>
      </c>
      <c r="B2252" s="149" t="str">
        <f>IFERROR(VLOOKUP(Proc[[#This Row],[App]],Table2[],3,0),"open")</f>
        <v>ok</v>
      </c>
      <c r="C2252" s="103" t="s">
        <v>369</v>
      </c>
      <c r="D2252" t="s">
        <v>4279</v>
      </c>
      <c r="E2252" t="s">
        <v>419</v>
      </c>
      <c r="F2252" s="117" t="s">
        <v>419</v>
      </c>
      <c r="G2252" s="103" t="s">
        <v>400</v>
      </c>
      <c r="H2252" s="94" t="str">
        <f>IF(Proc[[#This Row],[type]]="LFF (MDG-F)",MID(Proc[[#This Row],[Obj]],13,10),"")</f>
        <v/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EL</v>
      </c>
      <c r="L2252" s="94" t="s">
        <v>2563</v>
      </c>
      <c r="M2252" s="105">
        <v>45825.508958333332</v>
      </c>
      <c r="N2252" s="105"/>
      <c r="O2252" s="105"/>
      <c r="P2252" s="106" t="str">
        <f ca="1">IF(Proc[[#This Row],[DaysAgeing]]&gt;5,"yep","on track")</f>
        <v>yep</v>
      </c>
      <c r="Q2252" s="3">
        <f ca="1">IF(Proc[[#This Row],[DateClosed]]="",ABS(NETWORKDAYS(Proc[[#This Row],[DateOpened]],TODAY()))-1,ABS(NETWORKDAYS(Proc[[#This Row],[DateOpened]],Proc[[#This Row],[DateClosed]]))-1)</f>
        <v>122</v>
      </c>
      <c r="R2252" s="106" t="s">
        <v>780</v>
      </c>
      <c r="S2252" s="94"/>
    </row>
    <row r="2253" spans="1:19" hidden="1">
      <c r="A2253" s="103" t="s">
        <v>4287</v>
      </c>
      <c r="B2253" s="149" t="str">
        <f>IFERROR(VLOOKUP(Proc[[#This Row],[App]],Table2[],3,0),"open")</f>
        <v>ok</v>
      </c>
      <c r="C2253" s="103" t="s">
        <v>369</v>
      </c>
      <c r="D2253" t="s">
        <v>4280</v>
      </c>
      <c r="E2253" t="s">
        <v>419</v>
      </c>
      <c r="F2253" s="117" t="s">
        <v>419</v>
      </c>
      <c r="G2253" s="103" t="s">
        <v>400</v>
      </c>
      <c r="H2253" s="94" t="str">
        <f>IF(Proc[[#This Row],[type]]="LFF (MDG-F)",MID(Proc[[#This Row],[Obj]],13,10),"")</f>
        <v/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EL</v>
      </c>
      <c r="L2253" s="94" t="s">
        <v>2563</v>
      </c>
      <c r="M2253" s="105">
        <v>45825.508958333332</v>
      </c>
      <c r="N2253" s="105"/>
      <c r="O2253" s="105"/>
      <c r="P2253" s="106" t="str">
        <f ca="1">IF(Proc[[#This Row],[DaysAgeing]]&gt;5,"yep","on track")</f>
        <v>yep</v>
      </c>
      <c r="Q2253" s="3">
        <f ca="1">IF(Proc[[#This Row],[DateClosed]]="",ABS(NETWORKDAYS(Proc[[#This Row],[DateOpened]],TODAY()))-1,ABS(NETWORKDAYS(Proc[[#This Row],[DateOpened]],Proc[[#This Row],[DateClosed]]))-1)</f>
        <v>122</v>
      </c>
      <c r="R2253" s="106" t="s">
        <v>780</v>
      </c>
      <c r="S2253" s="94"/>
    </row>
    <row r="2254" spans="1:19" hidden="1">
      <c r="A2254" s="103" t="s">
        <v>4287</v>
      </c>
      <c r="B2254" s="149" t="str">
        <f>IFERROR(VLOOKUP(Proc[[#This Row],[App]],Table2[],3,0),"open")</f>
        <v>ok</v>
      </c>
      <c r="C2254" s="103" t="s">
        <v>369</v>
      </c>
      <c r="D2254" t="s">
        <v>4281</v>
      </c>
      <c r="E2254" t="s">
        <v>419</v>
      </c>
      <c r="F2254" s="117" t="s">
        <v>419</v>
      </c>
      <c r="G2254" s="103" t="s">
        <v>400</v>
      </c>
      <c r="H2254" s="94" t="str">
        <f>IF(Proc[[#This Row],[type]]="LFF (MDG-F)",MID(Proc[[#This Row],[Obj]],13,10),"")</f>
        <v/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EL</v>
      </c>
      <c r="L2254" s="94" t="s">
        <v>2563</v>
      </c>
      <c r="M2254" s="105">
        <v>45825.508958333332</v>
      </c>
      <c r="N2254" s="105"/>
      <c r="O2254" s="105"/>
      <c r="P2254" s="106" t="str">
        <f ca="1">IF(Proc[[#This Row],[DaysAgeing]]&gt;5,"yep","on track")</f>
        <v>yep</v>
      </c>
      <c r="Q2254" s="3">
        <f ca="1">IF(Proc[[#This Row],[DateClosed]]="",ABS(NETWORKDAYS(Proc[[#This Row],[DateOpened]],TODAY()))-1,ABS(NETWORKDAYS(Proc[[#This Row],[DateOpened]],Proc[[#This Row],[DateClosed]]))-1)</f>
        <v>122</v>
      </c>
      <c r="R2254" s="106" t="s">
        <v>780</v>
      </c>
      <c r="S2254" s="94"/>
    </row>
    <row r="2255" spans="1:19" hidden="1">
      <c r="A2255" s="103" t="s">
        <v>4287</v>
      </c>
      <c r="B2255" s="149" t="str">
        <f>IFERROR(VLOOKUP(Proc[[#This Row],[App]],Table2[],3,0),"open")</f>
        <v>ok</v>
      </c>
      <c r="C2255" s="103" t="s">
        <v>369</v>
      </c>
      <c r="D2255" t="s">
        <v>4282</v>
      </c>
      <c r="E2255" t="s">
        <v>419</v>
      </c>
      <c r="F2255" s="117" t="s">
        <v>419</v>
      </c>
      <c r="G2255" s="103" t="s">
        <v>400</v>
      </c>
      <c r="H2255" s="94" t="str">
        <f>IF(Proc[[#This Row],[type]]="LFF (MDG-F)",MID(Proc[[#This Row],[Obj]],13,10),"")</f>
        <v/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EL</v>
      </c>
      <c r="L2255" s="94" t="s">
        <v>2563</v>
      </c>
      <c r="M2255" s="105">
        <v>45825.508958333332</v>
      </c>
      <c r="N2255" s="105"/>
      <c r="O2255" s="105"/>
      <c r="P2255" s="106" t="str">
        <f ca="1">IF(Proc[[#This Row],[DaysAgeing]]&gt;5,"yep","on track")</f>
        <v>yep</v>
      </c>
      <c r="Q2255" s="3">
        <f ca="1">IF(Proc[[#This Row],[DateClosed]]="",ABS(NETWORKDAYS(Proc[[#This Row],[DateOpened]],TODAY()))-1,ABS(NETWORKDAYS(Proc[[#This Row],[DateOpened]],Proc[[#This Row],[DateClosed]]))-1)</f>
        <v>122</v>
      </c>
      <c r="R2255" s="106" t="s">
        <v>780</v>
      </c>
      <c r="S2255" s="94"/>
    </row>
    <row r="2256" spans="1:19" hidden="1">
      <c r="A2256" s="103" t="s">
        <v>4287</v>
      </c>
      <c r="B2256" s="149" t="str">
        <f>IFERROR(VLOOKUP(Proc[[#This Row],[App]],Table2[],3,0),"open")</f>
        <v>ok</v>
      </c>
      <c r="C2256" s="103" t="s">
        <v>369</v>
      </c>
      <c r="D2256" t="s">
        <v>4283</v>
      </c>
      <c r="E2256" t="s">
        <v>2430</v>
      </c>
      <c r="F2256" s="117" t="s">
        <v>2430</v>
      </c>
      <c r="G2256" s="103" t="s">
        <v>400</v>
      </c>
      <c r="H2256" s="94" t="str">
        <f>IF(Proc[[#This Row],[type]]="LFF (MDG-F)",MID(Proc[[#This Row],[Obj]],13,10),"")</f>
        <v/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EL</v>
      </c>
      <c r="L2256" s="94" t="s">
        <v>2563</v>
      </c>
      <c r="M2256" s="105">
        <v>45825.508958333332</v>
      </c>
      <c r="N2256" s="105"/>
      <c r="O2256" s="105"/>
      <c r="P2256" s="106" t="str">
        <f ca="1">IF(Proc[[#This Row],[DaysAgeing]]&gt;5,"yep","on track")</f>
        <v>yep</v>
      </c>
      <c r="Q2256" s="3">
        <f ca="1">IF(Proc[[#This Row],[DateClosed]]="",ABS(NETWORKDAYS(Proc[[#This Row],[DateOpened]],TODAY()))-1,ABS(NETWORKDAYS(Proc[[#This Row],[DateOpened]],Proc[[#This Row],[DateClosed]]))-1)</f>
        <v>122</v>
      </c>
      <c r="R2256" s="106" t="s">
        <v>780</v>
      </c>
      <c r="S2256" s="94"/>
    </row>
    <row r="2257" spans="1:19" hidden="1">
      <c r="A2257" s="103" t="s">
        <v>4287</v>
      </c>
      <c r="B2257" s="149" t="str">
        <f>IFERROR(VLOOKUP(Proc[[#This Row],[App]],Table2[],3,0),"open")</f>
        <v>ok</v>
      </c>
      <c r="C2257" s="103" t="s">
        <v>369</v>
      </c>
      <c r="D2257" t="s">
        <v>4284</v>
      </c>
      <c r="E2257" t="s">
        <v>2430</v>
      </c>
      <c r="F2257" s="117" t="s">
        <v>2430</v>
      </c>
      <c r="G2257" s="103" t="s">
        <v>400</v>
      </c>
      <c r="H2257" s="94" t="str">
        <f>IF(Proc[[#This Row],[type]]="LFF (MDG-F)",MID(Proc[[#This Row],[Obj]],13,10),"")</f>
        <v/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EL</v>
      </c>
      <c r="L2257" s="94" t="s">
        <v>2563</v>
      </c>
      <c r="M2257" s="105">
        <v>45825.508958333332</v>
      </c>
      <c r="N2257" s="105"/>
      <c r="O2257" s="105"/>
      <c r="P2257" s="106" t="str">
        <f ca="1">IF(Proc[[#This Row],[DaysAgeing]]&gt;5,"yep","on track")</f>
        <v>yep</v>
      </c>
      <c r="Q2257" s="3">
        <f ca="1">IF(Proc[[#This Row],[DateClosed]]="",ABS(NETWORKDAYS(Proc[[#This Row],[DateOpened]],TODAY()))-1,ABS(NETWORKDAYS(Proc[[#This Row],[DateOpened]],Proc[[#This Row],[DateClosed]]))-1)</f>
        <v>122</v>
      </c>
      <c r="R2257" s="106" t="s">
        <v>780</v>
      </c>
      <c r="S2257" s="94"/>
    </row>
    <row r="2258" spans="1:19" hidden="1">
      <c r="A2258" s="103" t="s">
        <v>4287</v>
      </c>
      <c r="B2258" s="149" t="str">
        <f>IFERROR(VLOOKUP(Proc[[#This Row],[App]],Table2[],3,0),"open")</f>
        <v>ok</v>
      </c>
      <c r="C2258" s="103" t="s">
        <v>369</v>
      </c>
      <c r="D2258" t="s">
        <v>4285</v>
      </c>
      <c r="E2258" t="s">
        <v>2430</v>
      </c>
      <c r="F2258" s="117" t="s">
        <v>2430</v>
      </c>
      <c r="G2258" s="103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EL</v>
      </c>
      <c r="L2258" s="94" t="s">
        <v>2563</v>
      </c>
      <c r="M2258" s="105">
        <v>45825.508958333332</v>
      </c>
      <c r="N2258" s="105"/>
      <c r="O2258" s="105"/>
      <c r="P2258" s="106" t="str">
        <f ca="1">IF(Proc[[#This Row],[DaysAgeing]]&gt;5,"yep","on track")</f>
        <v>yep</v>
      </c>
      <c r="Q2258" s="3">
        <f ca="1">IF(Proc[[#This Row],[DateClosed]]="",ABS(NETWORKDAYS(Proc[[#This Row],[DateOpened]],TODAY()))-1,ABS(NETWORKDAYS(Proc[[#This Row],[DateOpened]],Proc[[#This Row],[DateClosed]]))-1)</f>
        <v>122</v>
      </c>
      <c r="R2258" s="106" t="s">
        <v>780</v>
      </c>
      <c r="S2258" s="94"/>
    </row>
    <row r="2259" spans="1:19" hidden="1">
      <c r="A2259" s="103" t="s">
        <v>4287</v>
      </c>
      <c r="B2259" s="149" t="str">
        <f>IFERROR(VLOOKUP(Proc[[#This Row],[App]],Table2[],3,0),"open")</f>
        <v>ok</v>
      </c>
      <c r="C2259" s="103" t="s">
        <v>369</v>
      </c>
      <c r="D2259" t="s">
        <v>4286</v>
      </c>
      <c r="E2259" t="s">
        <v>2430</v>
      </c>
      <c r="F2259" s="117" t="s">
        <v>2430</v>
      </c>
      <c r="G2259" s="103" t="s">
        <v>400</v>
      </c>
      <c r="H2259" s="94" t="str">
        <f>IF(Proc[[#This Row],[type]]="LFF (MDG-F)",MID(Proc[[#This Row],[Obj]],13,10),"")</f>
        <v/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EL</v>
      </c>
      <c r="L2259" s="94" t="s">
        <v>2563</v>
      </c>
      <c r="M2259" s="105">
        <v>45825.508958333332</v>
      </c>
      <c r="N2259" s="105"/>
      <c r="O2259" s="105"/>
      <c r="P2259" s="106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122</v>
      </c>
      <c r="R2259" s="106" t="s">
        <v>780</v>
      </c>
      <c r="S2259" s="94"/>
    </row>
    <row r="2260" spans="1:19" hidden="1">
      <c r="A2260" t="s">
        <v>4290</v>
      </c>
      <c r="B2260" s="149" t="str">
        <f>IFERROR(VLOOKUP(Proc[[#This Row],[App]],Table2[],3,0),"open")</f>
        <v>ok</v>
      </c>
      <c r="C2260" s="103" t="s">
        <v>369</v>
      </c>
      <c r="D2260" t="s">
        <v>4289</v>
      </c>
      <c r="E2260" t="s">
        <v>2561</v>
      </c>
      <c r="F2260" s="117" t="s">
        <v>2561</v>
      </c>
      <c r="G2260" t="s">
        <v>406</v>
      </c>
      <c r="H2260" s="94" t="str">
        <f>IF(Proc[[#This Row],[type]]="LFF (MDG-F)",MID(Proc[[#This Row],[Obj]],13,10),"")</f>
        <v>CH50L95008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HC</v>
      </c>
      <c r="L2260" s="94" t="s">
        <v>2563</v>
      </c>
      <c r="M2260" s="106">
        <v>45825.508958333332</v>
      </c>
      <c r="N2260" s="107"/>
      <c r="O2260" s="107"/>
      <c r="P2260" s="106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122</v>
      </c>
      <c r="R2260" s="106" t="s">
        <v>3639</v>
      </c>
      <c r="S2260" s="94"/>
    </row>
    <row r="2261" spans="1:19" hidden="1">
      <c r="A2261" t="s">
        <v>4293</v>
      </c>
      <c r="B2261" s="149" t="str">
        <f>IFERROR(VLOOKUP(Proc[[#This Row],[App]],Table2[],3,0),"open")</f>
        <v>ok</v>
      </c>
      <c r="C2261" t="s">
        <v>377</v>
      </c>
      <c r="D2261" t="s">
        <v>4291</v>
      </c>
      <c r="E2261" t="s">
        <v>4292</v>
      </c>
      <c r="F2261" s="94">
        <v>0</v>
      </c>
      <c r="G2261" s="103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0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106">
        <v>45828.508958333332</v>
      </c>
      <c r="N2261" s="107"/>
      <c r="O2261" s="107">
        <v>45831</v>
      </c>
      <c r="P2261" s="106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106" t="s">
        <v>972</v>
      </c>
      <c r="S2261" s="94"/>
    </row>
    <row r="2262" spans="1:19" hidden="1">
      <c r="A2262" t="s">
        <v>4294</v>
      </c>
      <c r="B2262" s="149" t="str">
        <f>IFERROR(VLOOKUP(Proc[[#This Row],[App]],Table2[],3,0),"open")</f>
        <v>ok</v>
      </c>
      <c r="C2262" s="103" t="s">
        <v>369</v>
      </c>
      <c r="D2262" t="s">
        <v>2677</v>
      </c>
      <c r="E2262" t="s">
        <v>2678</v>
      </c>
      <c r="F2262" s="117" t="s">
        <v>2678</v>
      </c>
      <c r="G2262" s="103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LS</v>
      </c>
      <c r="L2262" s="125" t="s">
        <v>2563</v>
      </c>
      <c r="M2262" s="106">
        <v>45828.508958333332</v>
      </c>
      <c r="N2262" s="107">
        <v>45831</v>
      </c>
      <c r="O2262" s="107">
        <v>45831</v>
      </c>
      <c r="P2262" s="106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1</v>
      </c>
      <c r="R2262" s="106" t="s">
        <v>2679</v>
      </c>
      <c r="S2262" s="94"/>
    </row>
    <row r="2263" spans="1:19" hidden="1">
      <c r="A2263" t="s">
        <v>4301</v>
      </c>
      <c r="B2263" s="149" t="str">
        <f>IFERROR(VLOOKUP(Proc[[#This Row],[App]],Table2[],3,0),"open")</f>
        <v>ok</v>
      </c>
      <c r="C2263" t="s">
        <v>377</v>
      </c>
      <c r="D2263" t="s">
        <v>4295</v>
      </c>
      <c r="E2263" t="s">
        <v>4299</v>
      </c>
      <c r="F2263" s="94"/>
      <c r="G2263" s="103" t="s">
        <v>400</v>
      </c>
      <c r="H2263" s="94" t="str">
        <f>IF(Proc[[#This Row],[type]]="LFF (MDG-F)",MID(Proc[[#This Row],[Obj]],13,10),"")</f>
        <v/>
      </c>
      <c r="I2263" t="s">
        <v>4302</v>
      </c>
      <c r="J2263" s="94" t="b">
        <f>Proc[[#This Row],[Requested]]=Proc[[#This Row],[CurrentParent]]</f>
        <v>0</v>
      </c>
      <c r="K2263" s="144" t="str">
        <f>IF(Proc[[#This Row],[Author]]="Marcela Urrego",VLOOKUP(LEFT(Proc[[#This Row],[Requested]],1),Table3[#All],2,0),VLOOKUP(Proc[[#This Row],[Author]],Table4[],2,0))</f>
        <v>HC</v>
      </c>
      <c r="L2263" s="125" t="s">
        <v>2563</v>
      </c>
      <c r="M2263" s="107">
        <v>45828.384247685186</v>
      </c>
      <c r="N2263" s="107"/>
      <c r="O2263" s="107"/>
      <c r="P2263" s="108" t="str">
        <f ca="1">IF(Proc[[#This Row],[DaysAgeing]]&gt;5,"yep","on track")</f>
        <v>yep</v>
      </c>
      <c r="Q2263" s="3">
        <f ca="1">IF(Proc[[#This Row],[DateClosed]]="",ABS(NETWORKDAYS(Proc[[#This Row],[DateOpened]],TODAY()))-1,ABS(NETWORKDAYS(Proc[[#This Row],[DateOpened]],Proc[[#This Row],[DateClosed]]))-1)</f>
        <v>119</v>
      </c>
      <c r="R2263" s="108" t="s">
        <v>415</v>
      </c>
      <c r="S2263" s="94"/>
    </row>
    <row r="2264" spans="1:19" hidden="1">
      <c r="A2264" s="103" t="s">
        <v>4301</v>
      </c>
      <c r="B2264" s="149" t="str">
        <f>IFERROR(VLOOKUP(Proc[[#This Row],[App]],Table2[],3,0),"open")</f>
        <v>ok</v>
      </c>
      <c r="C2264" s="103" t="s">
        <v>369</v>
      </c>
      <c r="D2264" t="s">
        <v>4296</v>
      </c>
      <c r="E2264" t="s">
        <v>4300</v>
      </c>
      <c r="F2264" s="120" t="s">
        <v>4300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HC</v>
      </c>
      <c r="L2264" s="125" t="s">
        <v>2563</v>
      </c>
      <c r="M2264" s="107">
        <v>45828.384247685186</v>
      </c>
      <c r="N2264" s="107"/>
      <c r="O2264" s="107"/>
      <c r="P2264" s="108" t="str">
        <f ca="1">IF(Proc[[#This Row],[DaysAgeing]]&gt;5,"yep","on track")</f>
        <v>yep</v>
      </c>
      <c r="Q2264" s="3">
        <f ca="1">IF(Proc[[#This Row],[DateClosed]]="",ABS(NETWORKDAYS(Proc[[#This Row],[DateOpened]],TODAY()))-1,ABS(NETWORKDAYS(Proc[[#This Row],[DateOpened]],Proc[[#This Row],[DateClosed]]))-1)</f>
        <v>119</v>
      </c>
      <c r="R2264" s="108" t="s">
        <v>415</v>
      </c>
      <c r="S2264" s="94"/>
    </row>
    <row r="2265" spans="1:19" hidden="1">
      <c r="A2265" s="103" t="s">
        <v>4301</v>
      </c>
      <c r="B2265" s="149" t="str">
        <f>IFERROR(VLOOKUP(Proc[[#This Row],[App]],Table2[],3,0),"open")</f>
        <v>ok</v>
      </c>
      <c r="C2265" s="103" t="s">
        <v>369</v>
      </c>
      <c r="D2265" t="s">
        <v>4297</v>
      </c>
      <c r="E2265" t="s">
        <v>4300</v>
      </c>
      <c r="F2265" s="120" t="s">
        <v>4300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HC</v>
      </c>
      <c r="L2265" s="125" t="s">
        <v>2563</v>
      </c>
      <c r="M2265" s="107">
        <v>45828.384247685186</v>
      </c>
      <c r="N2265" s="107"/>
      <c r="O2265" s="107"/>
      <c r="P2265" s="108" t="str">
        <f ca="1">IF(Proc[[#This Row],[DaysAgeing]]&gt;5,"yep","on track")</f>
        <v>yep</v>
      </c>
      <c r="Q2265" s="3">
        <f ca="1">IF(Proc[[#This Row],[DateClosed]]="",ABS(NETWORKDAYS(Proc[[#This Row],[DateOpened]],TODAY()))-1,ABS(NETWORKDAYS(Proc[[#This Row],[DateOpened]],Proc[[#This Row],[DateClosed]]))-1)</f>
        <v>119</v>
      </c>
      <c r="R2265" s="108" t="s">
        <v>415</v>
      </c>
      <c r="S2265" s="94"/>
    </row>
    <row r="2266" spans="1:19" hidden="1">
      <c r="A2266" s="103" t="s">
        <v>4301</v>
      </c>
      <c r="B2266" s="149" t="str">
        <f>IFERROR(VLOOKUP(Proc[[#This Row],[App]],Table2[],3,0),"open")</f>
        <v>ok</v>
      </c>
      <c r="C2266" s="117" t="s">
        <v>369</v>
      </c>
      <c r="D2266" t="s">
        <v>4298</v>
      </c>
      <c r="E2266" t="s">
        <v>4300</v>
      </c>
      <c r="F2266" s="120" t="s">
        <v>4300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HC</v>
      </c>
      <c r="L2266" s="125" t="s">
        <v>2563</v>
      </c>
      <c r="M2266" s="107">
        <v>45828.384247685186</v>
      </c>
      <c r="N2266" s="107"/>
      <c r="O2266" s="107"/>
      <c r="P2266" s="108" t="str">
        <f ca="1">IF(Proc[[#This Row],[DaysAgeing]]&gt;5,"yep","on track")</f>
        <v>yep</v>
      </c>
      <c r="Q2266" s="3">
        <f ca="1">IF(Proc[[#This Row],[DateClosed]]="",ABS(NETWORKDAYS(Proc[[#This Row],[DateOpened]],TODAY()))-1,ABS(NETWORKDAYS(Proc[[#This Row],[DateOpened]],Proc[[#This Row],[DateClosed]]))-1)</f>
        <v>119</v>
      </c>
      <c r="R2266" s="108" t="s">
        <v>415</v>
      </c>
      <c r="S2266" s="94"/>
    </row>
    <row r="2267" spans="1:19" hidden="1">
      <c r="A2267" t="s">
        <v>4293</v>
      </c>
      <c r="B2267" s="149" t="str">
        <f>IFERROR(VLOOKUP(Proc[[#This Row],[App]],Table2[],3,0),"open")</f>
        <v>ok</v>
      </c>
      <c r="C2267" s="103" t="s">
        <v>369</v>
      </c>
      <c r="D2267" s="103" t="s">
        <v>4303</v>
      </c>
      <c r="E2267" s="103" t="s">
        <v>4292</v>
      </c>
      <c r="F2267" s="120" t="s">
        <v>4292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LS</v>
      </c>
      <c r="L2267" s="125" t="s">
        <v>2563</v>
      </c>
      <c r="M2267" s="108">
        <v>45827.384247685186</v>
      </c>
      <c r="N2267" s="109"/>
      <c r="O2267" s="109"/>
      <c r="P2267" s="108" t="str">
        <f ca="1">IF(Proc[[#This Row],[DaysAgeing]]&gt;5,"yep","on track")</f>
        <v>yep</v>
      </c>
      <c r="Q2267" s="3">
        <f ca="1">IF(Proc[[#This Row],[DateClosed]]="",ABS(NETWORKDAYS(Proc[[#This Row],[DateOpened]],TODAY()))-1,ABS(NETWORKDAYS(Proc[[#This Row],[DateOpened]],Proc[[#This Row],[DateClosed]]))-1)</f>
        <v>120</v>
      </c>
      <c r="R2267" s="108" t="s">
        <v>972</v>
      </c>
      <c r="S2267" s="94"/>
    </row>
    <row r="2268" spans="1:19" hidden="1">
      <c r="A2268" t="s">
        <v>4304</v>
      </c>
      <c r="B2268" s="149" t="str">
        <f>IFERROR(VLOOKUP(Proc[[#This Row],[App]],Table2[],3,0),"open")</f>
        <v>ok</v>
      </c>
      <c r="C2268" t="s">
        <v>369</v>
      </c>
      <c r="D2268" t="s">
        <v>4305</v>
      </c>
      <c r="E2268" t="s">
        <v>4307</v>
      </c>
      <c r="F2268" s="120" t="s">
        <v>4307</v>
      </c>
      <c r="G2268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LS</v>
      </c>
      <c r="L2268" s="125" t="s">
        <v>2563</v>
      </c>
      <c r="M2268" s="108">
        <v>45832.384247685186</v>
      </c>
      <c r="N2268" s="109">
        <v>45839</v>
      </c>
      <c r="O2268" s="109">
        <v>45839</v>
      </c>
      <c r="P2268" s="108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5</v>
      </c>
      <c r="R2268" s="108" t="s">
        <v>972</v>
      </c>
      <c r="S2268" s="94"/>
    </row>
    <row r="2269" spans="1:19" hidden="1">
      <c r="A2269" s="103" t="s">
        <v>4304</v>
      </c>
      <c r="B2269" s="149" t="str">
        <f>IFERROR(VLOOKUP(Proc[[#This Row],[App]],Table2[],3,0),"open")</f>
        <v>ok</v>
      </c>
      <c r="C2269" s="103" t="s">
        <v>369</v>
      </c>
      <c r="D2269" t="s">
        <v>4306</v>
      </c>
      <c r="E2269" t="s">
        <v>2600</v>
      </c>
      <c r="F2269" s="120" t="s">
        <v>2600</v>
      </c>
      <c r="G2269" t="s">
        <v>406</v>
      </c>
      <c r="H2269" s="94" t="str">
        <f>IF(Proc[[#This Row],[type]]="LFF (MDG-F)",MID(Proc[[#This Row],[Obj]],13,10),"")</f>
        <v>DE10B20210</v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LS</v>
      </c>
      <c r="L2269" s="125" t="s">
        <v>2563</v>
      </c>
      <c r="M2269" s="108">
        <v>45832.384247685186</v>
      </c>
      <c r="N2269" s="109">
        <v>45839</v>
      </c>
      <c r="O2269" s="109">
        <v>45839</v>
      </c>
      <c r="P2269" s="108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5</v>
      </c>
      <c r="R2269" s="108" t="s">
        <v>972</v>
      </c>
      <c r="S2269" s="94"/>
    </row>
    <row r="2270" spans="1:19" hidden="1">
      <c r="A2270" t="s">
        <v>4308</v>
      </c>
      <c r="B2270" s="149" t="str">
        <f>IFERROR(VLOOKUP(Proc[[#This Row],[App]],Table2[],3,0),"open")</f>
        <v>ok</v>
      </c>
      <c r="C2270" s="117" t="s">
        <v>369</v>
      </c>
      <c r="D2270" t="s">
        <v>4828</v>
      </c>
      <c r="E2270" t="s">
        <v>4310</v>
      </c>
      <c r="F2270" s="117" t="s">
        <v>4310</v>
      </c>
      <c r="G2270" t="s">
        <v>406</v>
      </c>
      <c r="H2270" s="94" t="str">
        <f>IF(Proc[[#This Row],[type]]="LFF (MDG-F)",MID(Proc[[#This Row],[Obj]],13,10),"")</f>
        <v>2123OF0033</v>
      </c>
      <c r="I2270" t="s">
        <v>4311</v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MGF</v>
      </c>
      <c r="L2270" s="125" t="s">
        <v>2563</v>
      </c>
      <c r="M2270" s="109">
        <v>45832.666238425925</v>
      </c>
      <c r="N2270" s="109"/>
      <c r="O2270" s="109"/>
      <c r="P2270" s="110" t="str">
        <f ca="1">IF(Proc[[#This Row],[DaysAgeing]]&gt;5,"yep","on track")</f>
        <v>yep</v>
      </c>
      <c r="Q2270" s="3">
        <f ca="1">IF(Proc[[#This Row],[DateClosed]]="",ABS(NETWORKDAYS(Proc[[#This Row],[DateOpened]],TODAY()))-1,ABS(NETWORKDAYS(Proc[[#This Row],[DateOpened]],Proc[[#This Row],[DateClosed]]))-1)</f>
        <v>117</v>
      </c>
      <c r="R2270" s="110" t="s">
        <v>515</v>
      </c>
      <c r="S2270" s="94"/>
    </row>
    <row r="2271" spans="1:19" hidden="1">
      <c r="A2271" s="103" t="s">
        <v>4308</v>
      </c>
      <c r="B2271" s="149" t="str">
        <f>IFERROR(VLOOKUP(Proc[[#This Row],[App]],Table2[],3,0),"open")</f>
        <v>ok</v>
      </c>
      <c r="C2271" s="103" t="s">
        <v>369</v>
      </c>
      <c r="D2271" t="s">
        <v>4309</v>
      </c>
      <c r="E2271" t="s">
        <v>474</v>
      </c>
      <c r="F2271" s="117" t="s">
        <v>474</v>
      </c>
      <c r="G2271" s="103" t="s">
        <v>406</v>
      </c>
      <c r="H2271" s="94" t="str">
        <f>IF(Proc[[#This Row],[type]]="LFF (MDG-F)",MID(Proc[[#This Row],[Obj]],13,10),"")</f>
        <v>CH75GM8300</v>
      </c>
      <c r="I2271" s="103" t="s">
        <v>4311</v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MGF</v>
      </c>
      <c r="L2271" s="125" t="s">
        <v>2563</v>
      </c>
      <c r="M2271" s="109">
        <v>45832.666238425925</v>
      </c>
      <c r="N2271" s="109"/>
      <c r="O2271" s="109"/>
      <c r="P2271" s="110" t="str">
        <f ca="1">IF(Proc[[#This Row],[DaysAgeing]]&gt;5,"yep","on track")</f>
        <v>yep</v>
      </c>
      <c r="Q2271" s="3">
        <f ca="1">IF(Proc[[#This Row],[DateClosed]]="",ABS(NETWORKDAYS(Proc[[#This Row],[DateOpened]],TODAY()))-1,ABS(NETWORKDAYS(Proc[[#This Row],[DateOpened]],Proc[[#This Row],[DateClosed]]))-1)</f>
        <v>117</v>
      </c>
      <c r="R2271" s="110" t="s">
        <v>515</v>
      </c>
      <c r="S2271" s="94"/>
    </row>
    <row r="2272" spans="1:19" hidden="1">
      <c r="A2272" t="s">
        <v>4312</v>
      </c>
      <c r="B2272" s="149" t="str">
        <f>IFERROR(VLOOKUP(Proc[[#This Row],[App]],Table2[],3,0),"open")</f>
        <v>ok</v>
      </c>
      <c r="C2272" s="103" t="s">
        <v>369</v>
      </c>
      <c r="D2272" t="s">
        <v>4313</v>
      </c>
      <c r="E2272" t="s">
        <v>4322</v>
      </c>
      <c r="F2272" s="120" t="s">
        <v>4322</v>
      </c>
      <c r="G2272" s="103" t="s">
        <v>406</v>
      </c>
      <c r="H2272" s="94" t="str">
        <f>IF(Proc[[#This Row],[type]]="LFF (MDG-F)",MID(Proc[[#This Row],[Obj]],13,10),"")</f>
        <v>2068TAUA00</v>
      </c>
      <c r="I2272" t="s">
        <v>4325</v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EL</v>
      </c>
      <c r="L2272" s="125" t="s">
        <v>2563</v>
      </c>
      <c r="M2272" s="109">
        <v>45835.60900462963</v>
      </c>
      <c r="N2272" s="109">
        <v>45839</v>
      </c>
      <c r="O2272" s="109">
        <v>45839</v>
      </c>
      <c r="P2272" s="110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2</v>
      </c>
      <c r="R2272" s="110" t="s">
        <v>780</v>
      </c>
      <c r="S2272" s="94"/>
    </row>
    <row r="2273" spans="1:19" hidden="1">
      <c r="A2273" s="103" t="s">
        <v>4312</v>
      </c>
      <c r="B2273" s="149" t="str">
        <f>IFERROR(VLOOKUP(Proc[[#This Row],[App]],Table2[],3,0),"open")</f>
        <v>ok</v>
      </c>
      <c r="C2273" s="103" t="s">
        <v>369</v>
      </c>
      <c r="D2273" t="s">
        <v>4314</v>
      </c>
      <c r="E2273" t="s">
        <v>4322</v>
      </c>
      <c r="F2273" s="120" t="s">
        <v>4322</v>
      </c>
      <c r="G2273" s="103" t="s">
        <v>406</v>
      </c>
      <c r="H2273" s="94" t="str">
        <f>IF(Proc[[#This Row],[type]]="LFF (MDG-F)",MID(Proc[[#This Row],[Obj]],13,10),"")</f>
        <v>2068TAUA99</v>
      </c>
      <c r="I2273" s="103" t="s">
        <v>4325</v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EL</v>
      </c>
      <c r="L2273" s="125" t="s">
        <v>2563</v>
      </c>
      <c r="M2273" s="109">
        <v>45835.60900462963</v>
      </c>
      <c r="N2273" s="109">
        <v>45839</v>
      </c>
      <c r="O2273" s="109">
        <v>45839</v>
      </c>
      <c r="P2273" s="110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2</v>
      </c>
      <c r="R2273" s="110" t="s">
        <v>780</v>
      </c>
      <c r="S2273" s="94"/>
    </row>
    <row r="2274" spans="1:19" hidden="1">
      <c r="A2274" s="103" t="s">
        <v>4312</v>
      </c>
      <c r="B2274" s="149" t="str">
        <f>IFERROR(VLOOKUP(Proc[[#This Row],[App]],Table2[],3,0),"open")</f>
        <v>ok</v>
      </c>
      <c r="C2274" s="103" t="s">
        <v>369</v>
      </c>
      <c r="D2274" t="s">
        <v>4315</v>
      </c>
      <c r="E2274" t="s">
        <v>4322</v>
      </c>
      <c r="F2274" s="120" t="s">
        <v>4322</v>
      </c>
      <c r="G2274" s="103" t="s">
        <v>406</v>
      </c>
      <c r="H2274" s="94" t="str">
        <f>IF(Proc[[#This Row],[type]]="LFF (MDG-F)",MID(Proc[[#This Row],[Obj]],13,10),"")</f>
        <v>2068TBUZ21</v>
      </c>
      <c r="I2274" s="103" t="s">
        <v>4325</v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EL</v>
      </c>
      <c r="L2274" s="125" t="s">
        <v>2563</v>
      </c>
      <c r="M2274" s="109">
        <v>45835.60900462963</v>
      </c>
      <c r="N2274" s="109">
        <v>45839</v>
      </c>
      <c r="O2274" s="109">
        <v>45839</v>
      </c>
      <c r="P2274" s="110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2</v>
      </c>
      <c r="R2274" s="110" t="s">
        <v>780</v>
      </c>
      <c r="S2274" s="94"/>
    </row>
    <row r="2275" spans="1:19" hidden="1">
      <c r="A2275" s="103" t="s">
        <v>4312</v>
      </c>
      <c r="B2275" s="149" t="str">
        <f>IFERROR(VLOOKUP(Proc[[#This Row],[App]],Table2[],3,0),"open")</f>
        <v>ok</v>
      </c>
      <c r="C2275" s="103" t="s">
        <v>369</v>
      </c>
      <c r="D2275" t="s">
        <v>4316</v>
      </c>
      <c r="E2275" t="s">
        <v>4322</v>
      </c>
      <c r="F2275" s="120" t="s">
        <v>4322</v>
      </c>
      <c r="G2275" s="103" t="s">
        <v>406</v>
      </c>
      <c r="H2275" s="94" t="str">
        <f>IF(Proc[[#This Row],[type]]="LFF (MDG-F)",MID(Proc[[#This Row],[Obj]],13,10),"")</f>
        <v>2068TFUZ61</v>
      </c>
      <c r="I2275" s="103" t="s">
        <v>4325</v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EL</v>
      </c>
      <c r="L2275" s="125" t="s">
        <v>2563</v>
      </c>
      <c r="M2275" s="109">
        <v>45835.60900462963</v>
      </c>
      <c r="N2275" s="109">
        <v>45839</v>
      </c>
      <c r="O2275" s="109">
        <v>45839</v>
      </c>
      <c r="P2275" s="110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2</v>
      </c>
      <c r="R2275" s="110" t="s">
        <v>780</v>
      </c>
      <c r="S2275" s="94"/>
    </row>
    <row r="2276" spans="1:19" hidden="1">
      <c r="A2276" s="103" t="s">
        <v>4312</v>
      </c>
      <c r="B2276" s="149" t="str">
        <f>IFERROR(VLOOKUP(Proc[[#This Row],[App]],Table2[],3,0),"open")</f>
        <v>ok</v>
      </c>
      <c r="C2276" s="103" t="s">
        <v>369</v>
      </c>
      <c r="D2276" t="s">
        <v>4317</v>
      </c>
      <c r="E2276" t="s">
        <v>4322</v>
      </c>
      <c r="F2276" s="120" t="s">
        <v>4322</v>
      </c>
      <c r="G2276" s="103" t="s">
        <v>406</v>
      </c>
      <c r="H2276" s="94" t="str">
        <f>IF(Proc[[#This Row],[type]]="LFF (MDG-F)",MID(Proc[[#This Row],[Obj]],13,10),"")</f>
        <v>2068TKUZ70</v>
      </c>
      <c r="I2276" s="103" t="s">
        <v>4325</v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EL</v>
      </c>
      <c r="L2276" s="125" t="s">
        <v>2563</v>
      </c>
      <c r="M2276" s="109">
        <v>45835.60900462963</v>
      </c>
      <c r="N2276" s="109">
        <v>45839</v>
      </c>
      <c r="O2276" s="109">
        <v>45839</v>
      </c>
      <c r="P2276" s="110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2</v>
      </c>
      <c r="R2276" s="110" t="s">
        <v>780</v>
      </c>
      <c r="S2276" s="94"/>
    </row>
    <row r="2277" spans="1:19" hidden="1">
      <c r="A2277" s="103" t="s">
        <v>4312</v>
      </c>
      <c r="B2277" s="149" t="str">
        <f>IFERROR(VLOOKUP(Proc[[#This Row],[App]],Table2[],3,0),"open")</f>
        <v>ok</v>
      </c>
      <c r="C2277" s="103" t="s">
        <v>369</v>
      </c>
      <c r="D2277" t="s">
        <v>4318</v>
      </c>
      <c r="E2277" t="s">
        <v>4322</v>
      </c>
      <c r="F2277" s="120" t="s">
        <v>4322</v>
      </c>
      <c r="G2277" s="103" t="s">
        <v>406</v>
      </c>
      <c r="H2277" s="94" t="str">
        <f>IF(Proc[[#This Row],[type]]="LFF (MDG-F)",MID(Proc[[#This Row],[Obj]],13,10),"")</f>
        <v>2068TQUZ90</v>
      </c>
      <c r="I2277" s="103" t="s">
        <v>4325</v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EL</v>
      </c>
      <c r="L2277" s="125" t="s">
        <v>2563</v>
      </c>
      <c r="M2277" s="109">
        <v>45835.60900462963</v>
      </c>
      <c r="N2277" s="109">
        <v>45839</v>
      </c>
      <c r="O2277" s="109">
        <v>45839</v>
      </c>
      <c r="P2277" s="110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2</v>
      </c>
      <c r="R2277" s="110" t="s">
        <v>780</v>
      </c>
      <c r="S2277" s="94"/>
    </row>
    <row r="2278" spans="1:19" hidden="1">
      <c r="A2278" s="103" t="s">
        <v>4312</v>
      </c>
      <c r="B2278" s="149" t="str">
        <f>IFERROR(VLOOKUP(Proc[[#This Row],[App]],Table2[],3,0),"open")</f>
        <v>ok</v>
      </c>
      <c r="C2278" s="103" t="s">
        <v>369</v>
      </c>
      <c r="D2278" t="s">
        <v>4321</v>
      </c>
      <c r="E2278" t="s">
        <v>4322</v>
      </c>
      <c r="F2278" s="120" t="s">
        <v>4322</v>
      </c>
      <c r="G2278" s="103" t="s">
        <v>406</v>
      </c>
      <c r="H2278" s="94" t="str">
        <f>IF(Proc[[#This Row],[type]]="LFF (MDG-F)",MID(Proc[[#This Row],[Obj]],13,10),"")</f>
        <v>2068TAUA01</v>
      </c>
      <c r="I2278" s="103" t="s">
        <v>4325</v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EL</v>
      </c>
      <c r="L2278" s="125" t="s">
        <v>2563</v>
      </c>
      <c r="M2278" s="109">
        <v>45835.60900462963</v>
      </c>
      <c r="N2278" s="109">
        <v>45839</v>
      </c>
      <c r="O2278" s="109">
        <v>45839</v>
      </c>
      <c r="P2278" s="110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2</v>
      </c>
      <c r="R2278" s="110" t="s">
        <v>780</v>
      </c>
      <c r="S2278" s="94"/>
    </row>
    <row r="2279" spans="1:19" hidden="1">
      <c r="A2279" s="103" t="s">
        <v>4312</v>
      </c>
      <c r="B2279" s="149" t="str">
        <f>IFERROR(VLOOKUP(Proc[[#This Row],[App]],Table2[],3,0),"open")</f>
        <v>ok</v>
      </c>
      <c r="C2279" s="103" t="s">
        <v>377</v>
      </c>
      <c r="D2279" t="s">
        <v>4319</v>
      </c>
      <c r="E2279" t="s">
        <v>4322</v>
      </c>
      <c r="F2279" s="94" t="s">
        <v>4323</v>
      </c>
      <c r="G2279" s="103" t="s">
        <v>400</v>
      </c>
      <c r="H2279" s="94" t="str">
        <f>IF(Proc[[#This Row],[type]]="LFF (MDG-F)",MID(Proc[[#This Row],[Obj]],13,10),"")</f>
        <v/>
      </c>
      <c r="I2279" t="s">
        <v>4324</v>
      </c>
      <c r="J2279" s="94" t="b">
        <f>Proc[[#This Row],[Requested]]=Proc[[#This Row],[CurrentParent]]</f>
        <v>0</v>
      </c>
      <c r="K2279" s="144" t="str">
        <f>IF(Proc[[#This Row],[Author]]="Marcela Urrego",VLOOKUP(LEFT(Proc[[#This Row],[Requested]],1),Table3[#All],2,0),VLOOKUP(Proc[[#This Row],[Author]],Table4[],2,0))</f>
        <v>EL</v>
      </c>
      <c r="L2279" s="125" t="s">
        <v>2563</v>
      </c>
      <c r="M2279" s="109">
        <v>45835.60900462963</v>
      </c>
      <c r="N2279" s="109"/>
      <c r="O2279" s="109">
        <v>45839</v>
      </c>
      <c r="P2279" s="110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2</v>
      </c>
      <c r="R2279" s="110" t="s">
        <v>780</v>
      </c>
      <c r="S2279" s="94"/>
    </row>
    <row r="2280" spans="1:19" hidden="1">
      <c r="A2280" s="103" t="s">
        <v>4312</v>
      </c>
      <c r="B2280" s="149" t="str">
        <f>IFERROR(VLOOKUP(Proc[[#This Row],[App]],Table2[],3,0),"open")</f>
        <v>ok</v>
      </c>
      <c r="C2280" s="103" t="s">
        <v>377</v>
      </c>
      <c r="D2280" t="s">
        <v>4320</v>
      </c>
      <c r="E2280" t="s">
        <v>4322</v>
      </c>
      <c r="F2280" s="94" t="s">
        <v>4323</v>
      </c>
      <c r="G2280" s="103" t="s">
        <v>400</v>
      </c>
      <c r="H2280" s="94" t="str">
        <f>IF(Proc[[#This Row],[type]]="LFF (MDG-F)",MID(Proc[[#This Row],[Obj]],13,10),"")</f>
        <v/>
      </c>
      <c r="I2280" s="103" t="s">
        <v>4324</v>
      </c>
      <c r="J2280" s="94" t="b">
        <f>Proc[[#This Row],[Requested]]=Proc[[#This Row],[CurrentParent]]</f>
        <v>0</v>
      </c>
      <c r="K2280" s="144" t="str">
        <f>IF(Proc[[#This Row],[Author]]="Marcela Urrego",VLOOKUP(LEFT(Proc[[#This Row],[Requested]],1),Table3[#All],2,0),VLOOKUP(Proc[[#This Row],[Author]],Table4[],2,0))</f>
        <v>EL</v>
      </c>
      <c r="L2280" s="125" t="s">
        <v>2563</v>
      </c>
      <c r="M2280" s="109">
        <v>45835.60900462963</v>
      </c>
      <c r="N2280" s="109"/>
      <c r="O2280" s="109">
        <v>45839</v>
      </c>
      <c r="P2280" s="110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2</v>
      </c>
      <c r="R2280" s="110" t="s">
        <v>780</v>
      </c>
      <c r="S2280" s="94"/>
    </row>
    <row r="2281" spans="1:19" hidden="1">
      <c r="A2281" t="s">
        <v>4328</v>
      </c>
      <c r="B2281" s="149" t="str">
        <f>IFERROR(VLOOKUP(Proc[[#This Row],[App]],Table2[],3,0),"open")</f>
        <v>ok</v>
      </c>
      <c r="C2281" t="s">
        <v>369</v>
      </c>
      <c r="D2281" t="s">
        <v>4327</v>
      </c>
      <c r="E2281" t="s">
        <v>4330</v>
      </c>
      <c r="F2281" s="120" t="s">
        <v>4330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MGF</v>
      </c>
      <c r="L2281" s="125" t="s">
        <v>2563</v>
      </c>
      <c r="M2281" s="109">
        <v>45834.753379629627</v>
      </c>
      <c r="N2281" s="109">
        <v>45839</v>
      </c>
      <c r="O2281" s="109">
        <v>45839</v>
      </c>
      <c r="P2281" s="110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3</v>
      </c>
      <c r="R2281" s="110" t="s">
        <v>542</v>
      </c>
      <c r="S2281" s="94"/>
    </row>
    <row r="2282" spans="1:19" hidden="1">
      <c r="A2282" s="103" t="s">
        <v>4328</v>
      </c>
      <c r="B2282" s="149" t="str">
        <f>IFERROR(VLOOKUP(Proc[[#This Row],[App]],Table2[],3,0),"open")</f>
        <v>ok</v>
      </c>
      <c r="C2282" s="103" t="s">
        <v>369</v>
      </c>
      <c r="D2282" t="s">
        <v>4329</v>
      </c>
      <c r="E2282" t="s">
        <v>4331</v>
      </c>
      <c r="F2282" s="120" t="s">
        <v>4331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MGF</v>
      </c>
      <c r="L2282" s="125" t="s">
        <v>2563</v>
      </c>
      <c r="M2282" s="109">
        <v>45834.753379629627</v>
      </c>
      <c r="N2282" s="109">
        <v>45839</v>
      </c>
      <c r="O2282" s="109">
        <v>45839</v>
      </c>
      <c r="P2282" s="110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3</v>
      </c>
      <c r="R2282" s="110" t="s">
        <v>542</v>
      </c>
      <c r="S2282" s="94"/>
    </row>
    <row r="2283" spans="1:19" hidden="1">
      <c r="A2283" t="s">
        <v>4334</v>
      </c>
      <c r="B2283" s="149" t="str">
        <f>IFERROR(VLOOKUP(Proc[[#This Row],[App]],Table2[],3,0),"open")</f>
        <v>ok</v>
      </c>
      <c r="C2283" t="s">
        <v>369</v>
      </c>
      <c r="D2283" t="s">
        <v>4332</v>
      </c>
      <c r="E2283" t="s">
        <v>4333</v>
      </c>
      <c r="F2283" s="120" t="s">
        <v>4333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4894</v>
      </c>
      <c r="M2283" s="109">
        <v>45839.405046296299</v>
      </c>
      <c r="N2283" s="109">
        <v>45840</v>
      </c>
      <c r="O2283" s="109">
        <v>45840</v>
      </c>
      <c r="P2283" s="110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1</v>
      </c>
      <c r="R2283" s="110" t="s">
        <v>410</v>
      </c>
      <c r="S2283" s="94"/>
    </row>
    <row r="2284" spans="1:19" hidden="1">
      <c r="A2284" t="s">
        <v>4335</v>
      </c>
      <c r="B2284" s="149" t="str">
        <f>IFERROR(VLOOKUP(Proc[[#This Row],[App]],Table2[],3,0),"open")</f>
        <v>ok</v>
      </c>
      <c r="C2284" s="103" t="s">
        <v>369</v>
      </c>
      <c r="D2284" t="s">
        <v>4336</v>
      </c>
      <c r="E2284" t="s">
        <v>1830</v>
      </c>
      <c r="F2284" s="120" t="s">
        <v>1830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LS</v>
      </c>
      <c r="L2284" s="125" t="s">
        <v>2563</v>
      </c>
      <c r="M2284" s="109">
        <v>45838.524548611109</v>
      </c>
      <c r="N2284" s="109">
        <v>45840</v>
      </c>
      <c r="O2284" s="109">
        <v>45840</v>
      </c>
      <c r="P2284" s="110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2</v>
      </c>
      <c r="R2284" s="110" t="s">
        <v>972</v>
      </c>
      <c r="S2284" s="94"/>
    </row>
    <row r="2285" spans="1:19" hidden="1">
      <c r="A2285" s="103" t="s">
        <v>4335</v>
      </c>
      <c r="B2285" s="149" t="str">
        <f>IFERROR(VLOOKUP(Proc[[#This Row],[App]],Table2[],3,0),"open")</f>
        <v>ok</v>
      </c>
      <c r="C2285" s="103" t="s">
        <v>369</v>
      </c>
      <c r="D2285" t="s">
        <v>4337</v>
      </c>
      <c r="E2285" t="s">
        <v>1830</v>
      </c>
      <c r="F2285" s="120" t="s">
        <v>1830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LS</v>
      </c>
      <c r="L2285" s="125" t="s">
        <v>2563</v>
      </c>
      <c r="M2285" s="109">
        <v>45838.524548611109</v>
      </c>
      <c r="N2285" s="109">
        <v>45840</v>
      </c>
      <c r="O2285" s="109">
        <v>45840</v>
      </c>
      <c r="P2285" s="110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2</v>
      </c>
      <c r="R2285" s="110" t="s">
        <v>972</v>
      </c>
      <c r="S2285" s="94"/>
    </row>
    <row r="2286" spans="1:19" hidden="1">
      <c r="A2286" s="103" t="s">
        <v>4335</v>
      </c>
      <c r="B2286" s="149" t="str">
        <f>IFERROR(VLOOKUP(Proc[[#This Row],[App]],Table2[],3,0),"open")</f>
        <v>ok</v>
      </c>
      <c r="C2286" s="103" t="s">
        <v>369</v>
      </c>
      <c r="D2286" t="s">
        <v>4338</v>
      </c>
      <c r="E2286" t="s">
        <v>1830</v>
      </c>
      <c r="F2286" s="120" t="s">
        <v>1830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LS</v>
      </c>
      <c r="L2286" s="125" t="s">
        <v>2563</v>
      </c>
      <c r="M2286" s="109">
        <v>45838.524548611109</v>
      </c>
      <c r="N2286" s="109">
        <v>45840</v>
      </c>
      <c r="O2286" s="109">
        <v>45840</v>
      </c>
      <c r="P2286" s="110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2</v>
      </c>
      <c r="R2286" s="110" t="s">
        <v>972</v>
      </c>
      <c r="S2286" s="94"/>
    </row>
    <row r="2287" spans="1:19" hidden="1">
      <c r="A2287" s="103" t="s">
        <v>4335</v>
      </c>
      <c r="B2287" s="149" t="str">
        <f>IFERROR(VLOOKUP(Proc[[#This Row],[App]],Table2[],3,0),"open")</f>
        <v>ok</v>
      </c>
      <c r="C2287" s="103" t="s">
        <v>369</v>
      </c>
      <c r="D2287" t="s">
        <v>4339</v>
      </c>
      <c r="E2287" t="s">
        <v>1830</v>
      </c>
      <c r="F2287" s="120" t="s">
        <v>1830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LS</v>
      </c>
      <c r="L2287" s="125" t="s">
        <v>2563</v>
      </c>
      <c r="M2287" s="109">
        <v>45838.524548611109</v>
      </c>
      <c r="N2287" s="109">
        <v>45840</v>
      </c>
      <c r="O2287" s="109">
        <v>45840</v>
      </c>
      <c r="P2287" s="110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2</v>
      </c>
      <c r="R2287" s="110" t="s">
        <v>972</v>
      </c>
      <c r="S2287" s="94"/>
    </row>
    <row r="2288" spans="1:19" hidden="1">
      <c r="A2288" s="103" t="s">
        <v>4335</v>
      </c>
      <c r="B2288" s="149" t="str">
        <f>IFERROR(VLOOKUP(Proc[[#This Row],[App]],Table2[],3,0),"open")</f>
        <v>ok</v>
      </c>
      <c r="C2288" s="103" t="s">
        <v>369</v>
      </c>
      <c r="D2288" t="s">
        <v>4340</v>
      </c>
      <c r="E2288" t="s">
        <v>1830</v>
      </c>
      <c r="F2288" s="120" t="s">
        <v>1830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LS</v>
      </c>
      <c r="L2288" s="125" t="s">
        <v>2563</v>
      </c>
      <c r="M2288" s="109">
        <v>45838.524548611109</v>
      </c>
      <c r="N2288" s="109">
        <v>45840</v>
      </c>
      <c r="O2288" s="109">
        <v>45840</v>
      </c>
      <c r="P2288" s="110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2</v>
      </c>
      <c r="R2288" s="110" t="s">
        <v>972</v>
      </c>
      <c r="S2288" s="94"/>
    </row>
    <row r="2289" spans="1:19" hidden="1">
      <c r="A2289" s="103" t="s">
        <v>4335</v>
      </c>
      <c r="B2289" s="149" t="str">
        <f>IFERROR(VLOOKUP(Proc[[#This Row],[App]],Table2[],3,0),"open")</f>
        <v>ok</v>
      </c>
      <c r="C2289" s="103" t="s">
        <v>369</v>
      </c>
      <c r="D2289" t="s">
        <v>4341</v>
      </c>
      <c r="E2289" t="s">
        <v>1830</v>
      </c>
      <c r="F2289" s="120" t="s">
        <v>1830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LS</v>
      </c>
      <c r="L2289" s="125" t="s">
        <v>2563</v>
      </c>
      <c r="M2289" s="109">
        <v>45838.524548611109</v>
      </c>
      <c r="N2289" s="109">
        <v>45840</v>
      </c>
      <c r="O2289" s="109">
        <v>45840</v>
      </c>
      <c r="P2289" s="110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2</v>
      </c>
      <c r="R2289" s="110" t="s">
        <v>972</v>
      </c>
      <c r="S2289" s="94"/>
    </row>
    <row r="2290" spans="1:19" hidden="1">
      <c r="A2290" s="103" t="s">
        <v>4335</v>
      </c>
      <c r="B2290" s="149" t="str">
        <f>IFERROR(VLOOKUP(Proc[[#This Row],[App]],Table2[],3,0),"open")</f>
        <v>ok</v>
      </c>
      <c r="C2290" s="103" t="s">
        <v>369</v>
      </c>
      <c r="D2290" t="s">
        <v>4342</v>
      </c>
      <c r="E2290" t="s">
        <v>1830</v>
      </c>
      <c r="F2290" s="120" t="s">
        <v>1830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LS</v>
      </c>
      <c r="L2290" s="125" t="s">
        <v>2563</v>
      </c>
      <c r="M2290" s="109">
        <v>45838.524548611109</v>
      </c>
      <c r="N2290" s="109">
        <v>45840</v>
      </c>
      <c r="O2290" s="109">
        <v>45840</v>
      </c>
      <c r="P2290" s="110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2</v>
      </c>
      <c r="R2290" s="110" t="s">
        <v>972</v>
      </c>
      <c r="S2290" s="94"/>
    </row>
    <row r="2291" spans="1:19" hidden="1">
      <c r="A2291" s="103" t="s">
        <v>4335</v>
      </c>
      <c r="B2291" s="149" t="str">
        <f>IFERROR(VLOOKUP(Proc[[#This Row],[App]],Table2[],3,0),"open")</f>
        <v>ok</v>
      </c>
      <c r="C2291" s="103" t="s">
        <v>369</v>
      </c>
      <c r="D2291" t="s">
        <v>4343</v>
      </c>
      <c r="E2291" t="s">
        <v>1830</v>
      </c>
      <c r="F2291" s="120" t="s">
        <v>1830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LS</v>
      </c>
      <c r="L2291" s="125" t="s">
        <v>2563</v>
      </c>
      <c r="M2291" s="109">
        <v>45838.524548611109</v>
      </c>
      <c r="N2291" s="109">
        <v>45840</v>
      </c>
      <c r="O2291" s="109">
        <v>45840</v>
      </c>
      <c r="P2291" s="110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2</v>
      </c>
      <c r="R2291" s="110" t="s">
        <v>972</v>
      </c>
      <c r="S2291" s="94"/>
    </row>
    <row r="2292" spans="1:19" hidden="1">
      <c r="A2292" s="103" t="s">
        <v>4335</v>
      </c>
      <c r="B2292" s="149" t="str">
        <f>IFERROR(VLOOKUP(Proc[[#This Row],[App]],Table2[],3,0),"open")</f>
        <v>ok</v>
      </c>
      <c r="C2292" s="103" t="s">
        <v>369</v>
      </c>
      <c r="D2292" t="s">
        <v>4344</v>
      </c>
      <c r="E2292" t="s">
        <v>1830</v>
      </c>
      <c r="F2292" s="120" t="s">
        <v>1830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LS</v>
      </c>
      <c r="L2292" s="125" t="s">
        <v>2563</v>
      </c>
      <c r="M2292" s="109">
        <v>45838.524548611109</v>
      </c>
      <c r="N2292" s="109">
        <v>45840</v>
      </c>
      <c r="O2292" s="109">
        <v>45840</v>
      </c>
      <c r="P2292" s="110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2</v>
      </c>
      <c r="R2292" s="110" t="s">
        <v>972</v>
      </c>
      <c r="S2292" s="94"/>
    </row>
    <row r="2293" spans="1:19" hidden="1">
      <c r="A2293" s="103" t="s">
        <v>4335</v>
      </c>
      <c r="B2293" s="149" t="str">
        <f>IFERROR(VLOOKUP(Proc[[#This Row],[App]],Table2[],3,0),"open")</f>
        <v>ok</v>
      </c>
      <c r="C2293" s="103" t="s">
        <v>369</v>
      </c>
      <c r="D2293" t="s">
        <v>4345</v>
      </c>
      <c r="E2293" t="s">
        <v>1830</v>
      </c>
      <c r="F2293" s="120" t="s">
        <v>1830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LS</v>
      </c>
      <c r="L2293" s="125" t="s">
        <v>2563</v>
      </c>
      <c r="M2293" s="109">
        <v>45838.524548611109</v>
      </c>
      <c r="N2293" s="109">
        <v>45840</v>
      </c>
      <c r="O2293" s="109">
        <v>45840</v>
      </c>
      <c r="P2293" s="110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2</v>
      </c>
      <c r="R2293" s="110" t="s">
        <v>972</v>
      </c>
      <c r="S2293" s="94"/>
    </row>
    <row r="2294" spans="1:19" hidden="1">
      <c r="A2294" s="103" t="s">
        <v>4335</v>
      </c>
      <c r="B2294" s="149" t="str">
        <f>IFERROR(VLOOKUP(Proc[[#This Row],[App]],Table2[],3,0),"open")</f>
        <v>ok</v>
      </c>
      <c r="C2294" s="103" t="s">
        <v>369</v>
      </c>
      <c r="D2294" t="s">
        <v>4346</v>
      </c>
      <c r="E2294" t="s">
        <v>1830</v>
      </c>
      <c r="F2294" s="120" t="s">
        <v>1830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LS</v>
      </c>
      <c r="L2294" s="125" t="s">
        <v>2563</v>
      </c>
      <c r="M2294" s="109">
        <v>45838.524548611109</v>
      </c>
      <c r="N2294" s="109">
        <v>45840</v>
      </c>
      <c r="O2294" s="109">
        <v>45840</v>
      </c>
      <c r="P2294" s="110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2</v>
      </c>
      <c r="R2294" s="110" t="s">
        <v>972</v>
      </c>
      <c r="S2294" s="94"/>
    </row>
    <row r="2295" spans="1:19" hidden="1">
      <c r="A2295" s="103" t="s">
        <v>4335</v>
      </c>
      <c r="B2295" s="149" t="str">
        <f>IFERROR(VLOOKUP(Proc[[#This Row],[App]],Table2[],3,0),"open")</f>
        <v>ok</v>
      </c>
      <c r="C2295" s="103" t="s">
        <v>369</v>
      </c>
      <c r="D2295" t="s">
        <v>4347</v>
      </c>
      <c r="E2295" t="s">
        <v>1830</v>
      </c>
      <c r="F2295" s="120" t="s">
        <v>1830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LS</v>
      </c>
      <c r="L2295" s="125" t="s">
        <v>2563</v>
      </c>
      <c r="M2295" s="109">
        <v>45838.524548611109</v>
      </c>
      <c r="N2295" s="109">
        <v>45840</v>
      </c>
      <c r="O2295" s="109">
        <v>45840</v>
      </c>
      <c r="P2295" s="110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2</v>
      </c>
      <c r="R2295" s="110" t="s">
        <v>972</v>
      </c>
      <c r="S2295" s="94"/>
    </row>
    <row r="2296" spans="1:19" hidden="1">
      <c r="A2296" s="103" t="s">
        <v>4335</v>
      </c>
      <c r="B2296" s="149" t="str">
        <f>IFERROR(VLOOKUP(Proc[[#This Row],[App]],Table2[],3,0),"open")</f>
        <v>ok</v>
      </c>
      <c r="C2296" s="103" t="s">
        <v>369</v>
      </c>
      <c r="D2296" t="s">
        <v>4348</v>
      </c>
      <c r="E2296" t="s">
        <v>1830</v>
      </c>
      <c r="F2296" s="120" t="s">
        <v>1830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LS</v>
      </c>
      <c r="L2296" s="125" t="s">
        <v>2563</v>
      </c>
      <c r="M2296" s="109">
        <v>45838.524548611109</v>
      </c>
      <c r="N2296" s="109">
        <v>45840</v>
      </c>
      <c r="O2296" s="109">
        <v>45840</v>
      </c>
      <c r="P2296" s="110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2</v>
      </c>
      <c r="R2296" s="110" t="s">
        <v>972</v>
      </c>
      <c r="S2296" s="94"/>
    </row>
    <row r="2297" spans="1:19" hidden="1">
      <c r="A2297" s="103" t="s">
        <v>4335</v>
      </c>
      <c r="B2297" s="149" t="str">
        <f>IFERROR(VLOOKUP(Proc[[#This Row],[App]],Table2[],3,0),"open")</f>
        <v>ok</v>
      </c>
      <c r="C2297" s="103" t="s">
        <v>369</v>
      </c>
      <c r="D2297" t="s">
        <v>4349</v>
      </c>
      <c r="E2297" t="s">
        <v>1830</v>
      </c>
      <c r="F2297" s="120" t="s">
        <v>1830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LS</v>
      </c>
      <c r="L2297" s="125" t="s">
        <v>2563</v>
      </c>
      <c r="M2297" s="109">
        <v>45838.524548611109</v>
      </c>
      <c r="N2297" s="109">
        <v>45840</v>
      </c>
      <c r="O2297" s="109">
        <v>45840</v>
      </c>
      <c r="P2297" s="110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2</v>
      </c>
      <c r="R2297" s="110" t="s">
        <v>972</v>
      </c>
      <c r="S2297" s="94"/>
    </row>
    <row r="2298" spans="1:19" hidden="1">
      <c r="A2298" s="103" t="s">
        <v>4335</v>
      </c>
      <c r="B2298" s="149" t="str">
        <f>IFERROR(VLOOKUP(Proc[[#This Row],[App]],Table2[],3,0),"open")</f>
        <v>ok</v>
      </c>
      <c r="C2298" s="103" t="s">
        <v>369</v>
      </c>
      <c r="D2298" t="s">
        <v>4350</v>
      </c>
      <c r="E2298" t="s">
        <v>1830</v>
      </c>
      <c r="F2298" s="120" t="s">
        <v>1830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LS</v>
      </c>
      <c r="L2298" s="125" t="s">
        <v>2563</v>
      </c>
      <c r="M2298" s="109">
        <v>45838.524548611109</v>
      </c>
      <c r="N2298" s="109">
        <v>45840</v>
      </c>
      <c r="O2298" s="109">
        <v>45840</v>
      </c>
      <c r="P2298" s="110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2</v>
      </c>
      <c r="R2298" s="110" t="s">
        <v>972</v>
      </c>
      <c r="S2298" s="94"/>
    </row>
    <row r="2299" spans="1:19" hidden="1">
      <c r="A2299" s="103" t="s">
        <v>4335</v>
      </c>
      <c r="B2299" s="149" t="str">
        <f>IFERROR(VLOOKUP(Proc[[#This Row],[App]],Table2[],3,0),"open")</f>
        <v>ok</v>
      </c>
      <c r="C2299" s="103" t="s">
        <v>369</v>
      </c>
      <c r="D2299" t="s">
        <v>4351</v>
      </c>
      <c r="E2299" t="s">
        <v>1830</v>
      </c>
      <c r="F2299" s="120" t="s">
        <v>1830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LS</v>
      </c>
      <c r="L2299" s="125" t="s">
        <v>2563</v>
      </c>
      <c r="M2299" s="109">
        <v>45838.524548611109</v>
      </c>
      <c r="N2299" s="109">
        <v>45840</v>
      </c>
      <c r="O2299" s="109">
        <v>45840</v>
      </c>
      <c r="P2299" s="110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2</v>
      </c>
      <c r="R2299" s="110" t="s">
        <v>972</v>
      </c>
      <c r="S2299" s="94"/>
    </row>
    <row r="2300" spans="1:19" hidden="1">
      <c r="A2300" s="103" t="s">
        <v>4335</v>
      </c>
      <c r="B2300" s="149" t="str">
        <f>IFERROR(VLOOKUP(Proc[[#This Row],[App]],Table2[],3,0),"open")</f>
        <v>ok</v>
      </c>
      <c r="C2300" s="103" t="s">
        <v>369</v>
      </c>
      <c r="D2300" t="s">
        <v>4352</v>
      </c>
      <c r="E2300" t="s">
        <v>1830</v>
      </c>
      <c r="F2300" s="120" t="s">
        <v>1830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LS</v>
      </c>
      <c r="L2300" s="125" t="s">
        <v>2563</v>
      </c>
      <c r="M2300" s="109">
        <v>45838.524548611109</v>
      </c>
      <c r="N2300" s="109">
        <v>45840</v>
      </c>
      <c r="O2300" s="109">
        <v>45840</v>
      </c>
      <c r="P2300" s="110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2</v>
      </c>
      <c r="R2300" s="110" t="s">
        <v>972</v>
      </c>
      <c r="S2300" s="94"/>
    </row>
    <row r="2301" spans="1:19" hidden="1">
      <c r="A2301" s="103" t="s">
        <v>4335</v>
      </c>
      <c r="B2301" s="149" t="str">
        <f>IFERROR(VLOOKUP(Proc[[#This Row],[App]],Table2[],3,0),"open")</f>
        <v>ok</v>
      </c>
      <c r="C2301" s="103" t="s">
        <v>369</v>
      </c>
      <c r="D2301" t="s">
        <v>4353</v>
      </c>
      <c r="E2301" t="s">
        <v>1830</v>
      </c>
      <c r="F2301" s="120" t="s">
        <v>1830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LS</v>
      </c>
      <c r="L2301" s="125" t="s">
        <v>2563</v>
      </c>
      <c r="M2301" s="109">
        <v>45838.524548611109</v>
      </c>
      <c r="N2301" s="109">
        <v>45840</v>
      </c>
      <c r="O2301" s="109">
        <v>45840</v>
      </c>
      <c r="P2301" s="110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2</v>
      </c>
      <c r="R2301" s="110" t="s">
        <v>972</v>
      </c>
      <c r="S2301" s="94"/>
    </row>
    <row r="2302" spans="1:19" hidden="1">
      <c r="A2302" s="103" t="s">
        <v>4335</v>
      </c>
      <c r="B2302" s="149" t="str">
        <f>IFERROR(VLOOKUP(Proc[[#This Row],[App]],Table2[],3,0),"open")</f>
        <v>ok</v>
      </c>
      <c r="C2302" s="103" t="s">
        <v>369</v>
      </c>
      <c r="D2302" t="s">
        <v>4354</v>
      </c>
      <c r="E2302" t="s">
        <v>1830</v>
      </c>
      <c r="F2302" s="120" t="s">
        <v>1830</v>
      </c>
      <c r="G2302" s="103" t="s">
        <v>400</v>
      </c>
      <c r="H2302" s="94" t="str">
        <f>IF(Proc[[#This Row],[type]]="LFF (MDG-F)",MID(Proc[[#This Row],[Obj]],13,10),"")</f>
        <v/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LS</v>
      </c>
      <c r="L2302" s="125" t="s">
        <v>2563</v>
      </c>
      <c r="M2302" s="109">
        <v>45838.524548611109</v>
      </c>
      <c r="N2302" s="109">
        <v>45840</v>
      </c>
      <c r="O2302" s="109">
        <v>45840</v>
      </c>
      <c r="P2302" s="110" t="str">
        <f ca="1">IF(Proc[[#This Row],[DaysAgeing]]&gt;5,"yep","on track")</f>
        <v>on track</v>
      </c>
      <c r="Q2302" s="3">
        <f ca="1">IF(Proc[[#This Row],[DateClosed]]="",ABS(NETWORKDAYS(Proc[[#This Row],[DateOpened]],TODAY()))-1,ABS(NETWORKDAYS(Proc[[#This Row],[DateOpened]],Proc[[#This Row],[DateClosed]]))-1)</f>
        <v>2</v>
      </c>
      <c r="R2302" s="110" t="s">
        <v>972</v>
      </c>
      <c r="S2302" s="94"/>
    </row>
    <row r="2303" spans="1:19" hidden="1">
      <c r="A2303" s="103" t="s">
        <v>4335</v>
      </c>
      <c r="B2303" s="149" t="str">
        <f>IFERROR(VLOOKUP(Proc[[#This Row],[App]],Table2[],3,0),"open")</f>
        <v>ok</v>
      </c>
      <c r="C2303" s="103" t="s">
        <v>369</v>
      </c>
      <c r="D2303" t="s">
        <v>4355</v>
      </c>
      <c r="E2303" t="s">
        <v>1830</v>
      </c>
      <c r="F2303" s="120" t="s">
        <v>1830</v>
      </c>
      <c r="G2303" s="103" t="s">
        <v>400</v>
      </c>
      <c r="H2303" s="94" t="str">
        <f>IF(Proc[[#This Row],[type]]="LFF (MDG-F)",MID(Proc[[#This Row],[Obj]],13,10),"")</f>
        <v/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LS</v>
      </c>
      <c r="L2303" s="125" t="s">
        <v>2563</v>
      </c>
      <c r="M2303" s="109">
        <v>45838.524548611109</v>
      </c>
      <c r="N2303" s="109">
        <v>45840</v>
      </c>
      <c r="O2303" s="109">
        <v>45840</v>
      </c>
      <c r="P2303" s="110" t="str">
        <f ca="1">IF(Proc[[#This Row],[DaysAgeing]]&gt;5,"yep","on track")</f>
        <v>on track</v>
      </c>
      <c r="Q2303" s="3">
        <f ca="1">IF(Proc[[#This Row],[DateClosed]]="",ABS(NETWORKDAYS(Proc[[#This Row],[DateOpened]],TODAY()))-1,ABS(NETWORKDAYS(Proc[[#This Row],[DateOpened]],Proc[[#This Row],[DateClosed]]))-1)</f>
        <v>2</v>
      </c>
      <c r="R2303" s="110" t="s">
        <v>972</v>
      </c>
      <c r="S2303" s="94"/>
    </row>
    <row r="2304" spans="1:19" hidden="1">
      <c r="A2304" s="103" t="s">
        <v>4335</v>
      </c>
      <c r="B2304" s="149" t="str">
        <f>IFERROR(VLOOKUP(Proc[[#This Row],[App]],Table2[],3,0),"open")</f>
        <v>ok</v>
      </c>
      <c r="C2304" s="103" t="s">
        <v>369</v>
      </c>
      <c r="D2304" t="s">
        <v>4356</v>
      </c>
      <c r="E2304" t="s">
        <v>1830</v>
      </c>
      <c r="F2304" s="120" t="s">
        <v>1830</v>
      </c>
      <c r="G2304" s="103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LS</v>
      </c>
      <c r="L2304" s="125" t="s">
        <v>2563</v>
      </c>
      <c r="M2304" s="109">
        <v>45838.524548611109</v>
      </c>
      <c r="N2304" s="109">
        <v>45840</v>
      </c>
      <c r="O2304" s="109">
        <v>45840</v>
      </c>
      <c r="P2304" s="110" t="str">
        <f ca="1">IF(Proc[[#This Row],[DaysAgeing]]&gt;5,"yep","on track")</f>
        <v>on track</v>
      </c>
      <c r="Q2304" s="3">
        <f ca="1">IF(Proc[[#This Row],[DateClosed]]="",ABS(NETWORKDAYS(Proc[[#This Row],[DateOpened]],TODAY()))-1,ABS(NETWORKDAYS(Proc[[#This Row],[DateOpened]],Proc[[#This Row],[DateClosed]]))-1)</f>
        <v>2</v>
      </c>
      <c r="R2304" s="110" t="s">
        <v>972</v>
      </c>
      <c r="S2304" s="94"/>
    </row>
    <row r="2305" spans="1:19" hidden="1">
      <c r="A2305" s="103" t="s">
        <v>4335</v>
      </c>
      <c r="B2305" s="149" t="str">
        <f>IFERROR(VLOOKUP(Proc[[#This Row],[App]],Table2[],3,0),"open")</f>
        <v>ok</v>
      </c>
      <c r="C2305" s="103" t="s">
        <v>369</v>
      </c>
      <c r="D2305" t="s">
        <v>4357</v>
      </c>
      <c r="E2305" t="s">
        <v>1830</v>
      </c>
      <c r="F2305" s="120" t="s">
        <v>1830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125" t="s">
        <v>2563</v>
      </c>
      <c r="M2305" s="109">
        <v>45838.524548611109</v>
      </c>
      <c r="N2305" s="109">
        <v>45840</v>
      </c>
      <c r="O2305" s="109">
        <v>45840</v>
      </c>
      <c r="P2305" s="110" t="str">
        <f ca="1">IF(Proc[[#This Row],[DaysAgeing]]&gt;5,"yep","on track")</f>
        <v>on track</v>
      </c>
      <c r="Q2305" s="3">
        <f ca="1">IF(Proc[[#This Row],[DateClosed]]="",ABS(NETWORKDAYS(Proc[[#This Row],[DateOpened]],TODAY()))-1,ABS(NETWORKDAYS(Proc[[#This Row],[DateOpened]],Proc[[#This Row],[DateClosed]]))-1)</f>
        <v>2</v>
      </c>
      <c r="R2305" s="110" t="s">
        <v>972</v>
      </c>
      <c r="S2305" s="94"/>
    </row>
    <row r="2306" spans="1:19" hidden="1">
      <c r="A2306" s="103" t="s">
        <v>4335</v>
      </c>
      <c r="B2306" s="149" t="str">
        <f>IFERROR(VLOOKUP(Proc[[#This Row],[App]],Table2[],3,0),"open")</f>
        <v>ok</v>
      </c>
      <c r="C2306" s="103" t="s">
        <v>369</v>
      </c>
      <c r="D2306" t="s">
        <v>4358</v>
      </c>
      <c r="E2306" t="s">
        <v>1830</v>
      </c>
      <c r="F2306" s="120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125" t="s">
        <v>2563</v>
      </c>
      <c r="M2306" s="109">
        <v>45838.524548611109</v>
      </c>
      <c r="N2306" s="109">
        <v>45840</v>
      </c>
      <c r="O2306" s="109">
        <v>45840</v>
      </c>
      <c r="P2306" s="110" t="str">
        <f ca="1">IF(Proc[[#This Row],[DaysAgeing]]&gt;5,"yep","on track")</f>
        <v>on track</v>
      </c>
      <c r="Q2306" s="3">
        <f ca="1">IF(Proc[[#This Row],[DateClosed]]="",ABS(NETWORKDAYS(Proc[[#This Row],[DateOpened]],TODAY()))-1,ABS(NETWORKDAYS(Proc[[#This Row],[DateOpened]],Proc[[#This Row],[DateClosed]]))-1)</f>
        <v>2</v>
      </c>
      <c r="R2306" s="110" t="s">
        <v>972</v>
      </c>
      <c r="S2306" s="94"/>
    </row>
    <row r="2307" spans="1:19" hidden="1">
      <c r="A2307" s="103" t="s">
        <v>4335</v>
      </c>
      <c r="B2307" s="149" t="str">
        <f>IFERROR(VLOOKUP(Proc[[#This Row],[App]],Table2[],3,0),"open")</f>
        <v>ok</v>
      </c>
      <c r="C2307" s="103" t="s">
        <v>369</v>
      </c>
      <c r="D2307" t="s">
        <v>4359</v>
      </c>
      <c r="E2307" t="s">
        <v>1830</v>
      </c>
      <c r="F2307" s="120" t="s">
        <v>1830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125" t="s">
        <v>2563</v>
      </c>
      <c r="M2307" s="109">
        <v>45838.524548611109</v>
      </c>
      <c r="N2307" s="109">
        <v>45840</v>
      </c>
      <c r="O2307" s="109">
        <v>45840</v>
      </c>
      <c r="P2307" s="110" t="str">
        <f ca="1">IF(Proc[[#This Row],[DaysAgeing]]&gt;5,"yep","on track")</f>
        <v>on track</v>
      </c>
      <c r="Q2307" s="3">
        <f ca="1">IF(Proc[[#This Row],[DateClosed]]="",ABS(NETWORKDAYS(Proc[[#This Row],[DateOpened]],TODAY()))-1,ABS(NETWORKDAYS(Proc[[#This Row],[DateOpened]],Proc[[#This Row],[DateClosed]]))-1)</f>
        <v>2</v>
      </c>
      <c r="R2307" s="110" t="s">
        <v>972</v>
      </c>
      <c r="S2307" s="94"/>
    </row>
    <row r="2308" spans="1:19" hidden="1">
      <c r="A2308" s="103" t="s">
        <v>4335</v>
      </c>
      <c r="B2308" s="149" t="str">
        <f>IFERROR(VLOOKUP(Proc[[#This Row],[App]],Table2[],3,0),"open")</f>
        <v>ok</v>
      </c>
      <c r="C2308" s="103" t="s">
        <v>369</v>
      </c>
      <c r="D2308" t="s">
        <v>4360</v>
      </c>
      <c r="E2308" t="s">
        <v>1830</v>
      </c>
      <c r="F2308" s="120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125" t="s">
        <v>2563</v>
      </c>
      <c r="M2308" s="109">
        <v>45838.524548611109</v>
      </c>
      <c r="N2308" s="109">
        <v>45840</v>
      </c>
      <c r="O2308" s="109">
        <v>45840</v>
      </c>
      <c r="P2308" s="110" t="str">
        <f ca="1">IF(Proc[[#This Row],[DaysAgeing]]&gt;5,"yep","on track")</f>
        <v>on track</v>
      </c>
      <c r="Q2308" s="3">
        <f ca="1">IF(Proc[[#This Row],[DateClosed]]="",ABS(NETWORKDAYS(Proc[[#This Row],[DateOpened]],TODAY()))-1,ABS(NETWORKDAYS(Proc[[#This Row],[DateOpened]],Proc[[#This Row],[DateClosed]]))-1)</f>
        <v>2</v>
      </c>
      <c r="R2308" s="110" t="s">
        <v>972</v>
      </c>
      <c r="S2308" s="94"/>
    </row>
    <row r="2309" spans="1:19" hidden="1">
      <c r="A2309" s="103" t="s">
        <v>4335</v>
      </c>
      <c r="B2309" s="149" t="str">
        <f>IFERROR(VLOOKUP(Proc[[#This Row],[App]],Table2[],3,0),"open")</f>
        <v>ok</v>
      </c>
      <c r="C2309" s="103" t="s">
        <v>369</v>
      </c>
      <c r="D2309" t="s">
        <v>4361</v>
      </c>
      <c r="E2309" t="s">
        <v>1830</v>
      </c>
      <c r="F2309" s="120" t="s">
        <v>1830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125" t="s">
        <v>2563</v>
      </c>
      <c r="M2309" s="109">
        <v>45838.524548611109</v>
      </c>
      <c r="N2309" s="109">
        <v>45840</v>
      </c>
      <c r="O2309" s="109">
        <v>45840</v>
      </c>
      <c r="P2309" s="110" t="str">
        <f ca="1">IF(Proc[[#This Row],[DaysAgeing]]&gt;5,"yep","on track")</f>
        <v>on track</v>
      </c>
      <c r="Q2309" s="3">
        <f ca="1">IF(Proc[[#This Row],[DateClosed]]="",ABS(NETWORKDAYS(Proc[[#This Row],[DateOpened]],TODAY()))-1,ABS(NETWORKDAYS(Proc[[#This Row],[DateOpened]],Proc[[#This Row],[DateClosed]]))-1)</f>
        <v>2</v>
      </c>
      <c r="R2309" s="110" t="s">
        <v>972</v>
      </c>
      <c r="S2309" s="94"/>
    </row>
    <row r="2310" spans="1:19" hidden="1">
      <c r="A2310" s="103" t="s">
        <v>4335</v>
      </c>
      <c r="B2310" s="149" t="str">
        <f>IFERROR(VLOOKUP(Proc[[#This Row],[App]],Table2[],3,0),"open")</f>
        <v>ok</v>
      </c>
      <c r="C2310" s="103" t="s">
        <v>369</v>
      </c>
      <c r="D2310" t="s">
        <v>4362</v>
      </c>
      <c r="E2310" t="s">
        <v>1830</v>
      </c>
      <c r="F2310" s="120" t="s">
        <v>1830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LS</v>
      </c>
      <c r="L2310" s="125" t="s">
        <v>2563</v>
      </c>
      <c r="M2310" s="109">
        <v>45838.524548611109</v>
      </c>
      <c r="N2310" s="109">
        <v>45840</v>
      </c>
      <c r="O2310" s="109">
        <v>45840</v>
      </c>
      <c r="P2310" s="110" t="str">
        <f ca="1">IF(Proc[[#This Row],[DaysAgeing]]&gt;5,"yep","on track")</f>
        <v>on track</v>
      </c>
      <c r="Q2310" s="3">
        <f ca="1">IF(Proc[[#This Row],[DateClosed]]="",ABS(NETWORKDAYS(Proc[[#This Row],[DateOpened]],TODAY()))-1,ABS(NETWORKDAYS(Proc[[#This Row],[DateOpened]],Proc[[#This Row],[DateClosed]]))-1)</f>
        <v>2</v>
      </c>
      <c r="R2310" s="110" t="s">
        <v>972</v>
      </c>
      <c r="S2310" s="94"/>
    </row>
    <row r="2311" spans="1:19" hidden="1">
      <c r="A2311" s="103" t="s">
        <v>4335</v>
      </c>
      <c r="B2311" s="149" t="str">
        <f>IFERROR(VLOOKUP(Proc[[#This Row],[App]],Table2[],3,0),"open")</f>
        <v>ok</v>
      </c>
      <c r="C2311" s="103" t="s">
        <v>369</v>
      </c>
      <c r="D2311" t="s">
        <v>4363</v>
      </c>
      <c r="E2311" t="s">
        <v>1830</v>
      </c>
      <c r="F2311" s="120" t="s">
        <v>1830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LS</v>
      </c>
      <c r="L2311" s="125" t="s">
        <v>2563</v>
      </c>
      <c r="M2311" s="109">
        <v>45838.524548611109</v>
      </c>
      <c r="N2311" s="109">
        <v>45840</v>
      </c>
      <c r="O2311" s="109">
        <v>45840</v>
      </c>
      <c r="P2311" s="110" t="str">
        <f ca="1">IF(Proc[[#This Row],[DaysAgeing]]&gt;5,"yep","on track")</f>
        <v>on track</v>
      </c>
      <c r="Q2311" s="3">
        <f ca="1">IF(Proc[[#This Row],[DateClosed]]="",ABS(NETWORKDAYS(Proc[[#This Row],[DateOpened]],TODAY()))-1,ABS(NETWORKDAYS(Proc[[#This Row],[DateOpened]],Proc[[#This Row],[DateClosed]]))-1)</f>
        <v>2</v>
      </c>
      <c r="R2311" s="110" t="s">
        <v>972</v>
      </c>
      <c r="S2311" s="94"/>
    </row>
    <row r="2312" spans="1:19" hidden="1">
      <c r="A2312" s="103" t="s">
        <v>4335</v>
      </c>
      <c r="B2312" s="149" t="str">
        <f>IFERROR(VLOOKUP(Proc[[#This Row],[App]],Table2[],3,0),"open")</f>
        <v>ok</v>
      </c>
      <c r="C2312" s="103" t="s">
        <v>369</v>
      </c>
      <c r="D2312" t="s">
        <v>4364</v>
      </c>
      <c r="E2312" t="s">
        <v>1830</v>
      </c>
      <c r="F2312" s="120" t="s">
        <v>1830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LS</v>
      </c>
      <c r="L2312" s="125" t="s">
        <v>2563</v>
      </c>
      <c r="M2312" s="109">
        <v>45838.524548611109</v>
      </c>
      <c r="N2312" s="109">
        <v>45840</v>
      </c>
      <c r="O2312" s="109">
        <v>45840</v>
      </c>
      <c r="P2312" s="110" t="str">
        <f ca="1">IF(Proc[[#This Row],[DaysAgeing]]&gt;5,"yep","on track")</f>
        <v>on track</v>
      </c>
      <c r="Q2312" s="3">
        <f ca="1">IF(Proc[[#This Row],[DateClosed]]="",ABS(NETWORKDAYS(Proc[[#This Row],[DateOpened]],TODAY()))-1,ABS(NETWORKDAYS(Proc[[#This Row],[DateOpened]],Proc[[#This Row],[DateClosed]]))-1)</f>
        <v>2</v>
      </c>
      <c r="R2312" s="110" t="s">
        <v>972</v>
      </c>
      <c r="S2312" s="94"/>
    </row>
    <row r="2313" spans="1:19" hidden="1">
      <c r="A2313" s="103" t="s">
        <v>4335</v>
      </c>
      <c r="B2313" s="149" t="str">
        <f>IFERROR(VLOOKUP(Proc[[#This Row],[App]],Table2[],3,0),"open")</f>
        <v>ok</v>
      </c>
      <c r="C2313" s="103" t="s">
        <v>369</v>
      </c>
      <c r="D2313" t="s">
        <v>4365</v>
      </c>
      <c r="E2313" t="s">
        <v>1830</v>
      </c>
      <c r="F2313" s="120" t="s">
        <v>1830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LS</v>
      </c>
      <c r="L2313" s="125" t="s">
        <v>2563</v>
      </c>
      <c r="M2313" s="109">
        <v>45838.524548611109</v>
      </c>
      <c r="N2313" s="109">
        <v>45840</v>
      </c>
      <c r="O2313" s="109">
        <v>45840</v>
      </c>
      <c r="P2313" s="110" t="str">
        <f ca="1">IF(Proc[[#This Row],[DaysAgeing]]&gt;5,"yep","on track")</f>
        <v>on track</v>
      </c>
      <c r="Q2313" s="3">
        <f ca="1">IF(Proc[[#This Row],[DateClosed]]="",ABS(NETWORKDAYS(Proc[[#This Row],[DateOpened]],TODAY()))-1,ABS(NETWORKDAYS(Proc[[#This Row],[DateOpened]],Proc[[#This Row],[DateClosed]]))-1)</f>
        <v>2</v>
      </c>
      <c r="R2313" s="110" t="s">
        <v>972</v>
      </c>
      <c r="S2313" s="94"/>
    </row>
    <row r="2314" spans="1:19" hidden="1">
      <c r="A2314" s="103" t="s">
        <v>4335</v>
      </c>
      <c r="B2314" s="149" t="str">
        <f>IFERROR(VLOOKUP(Proc[[#This Row],[App]],Table2[],3,0),"open")</f>
        <v>ok</v>
      </c>
      <c r="C2314" s="103" t="s">
        <v>369</v>
      </c>
      <c r="D2314" t="s">
        <v>4366</v>
      </c>
      <c r="E2314" t="s">
        <v>1830</v>
      </c>
      <c r="F2314" s="120" t="s">
        <v>1830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LS</v>
      </c>
      <c r="L2314" s="125" t="s">
        <v>2563</v>
      </c>
      <c r="M2314" s="109">
        <v>45838.524548611109</v>
      </c>
      <c r="N2314" s="109">
        <v>45840</v>
      </c>
      <c r="O2314" s="109">
        <v>45840</v>
      </c>
      <c r="P2314" s="110" t="str">
        <f ca="1">IF(Proc[[#This Row],[DaysAgeing]]&gt;5,"yep","on track")</f>
        <v>on track</v>
      </c>
      <c r="Q2314" s="3">
        <f ca="1">IF(Proc[[#This Row],[DateClosed]]="",ABS(NETWORKDAYS(Proc[[#This Row],[DateOpened]],TODAY()))-1,ABS(NETWORKDAYS(Proc[[#This Row],[DateOpened]],Proc[[#This Row],[DateClosed]]))-1)</f>
        <v>2</v>
      </c>
      <c r="R2314" s="110" t="s">
        <v>972</v>
      </c>
      <c r="S2314" s="94"/>
    </row>
    <row r="2315" spans="1:19" hidden="1">
      <c r="A2315" s="103" t="s">
        <v>4335</v>
      </c>
      <c r="B2315" s="149" t="str">
        <f>IFERROR(VLOOKUP(Proc[[#This Row],[App]],Table2[],3,0),"open")</f>
        <v>ok</v>
      </c>
      <c r="C2315" s="103" t="s">
        <v>369</v>
      </c>
      <c r="D2315" t="s">
        <v>4367</v>
      </c>
      <c r="E2315" t="s">
        <v>1830</v>
      </c>
      <c r="F2315" s="120" t="s">
        <v>1830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LS</v>
      </c>
      <c r="L2315" s="125" t="s">
        <v>2563</v>
      </c>
      <c r="M2315" s="109">
        <v>45838.524548611109</v>
      </c>
      <c r="N2315" s="109">
        <v>45840</v>
      </c>
      <c r="O2315" s="109">
        <v>45840</v>
      </c>
      <c r="P2315" s="110" t="str">
        <f ca="1">IF(Proc[[#This Row],[DaysAgeing]]&gt;5,"yep","on track")</f>
        <v>on track</v>
      </c>
      <c r="Q2315" s="3">
        <f ca="1">IF(Proc[[#This Row],[DateClosed]]="",ABS(NETWORKDAYS(Proc[[#This Row],[DateOpened]],TODAY()))-1,ABS(NETWORKDAYS(Proc[[#This Row],[DateOpened]],Proc[[#This Row],[DateClosed]]))-1)</f>
        <v>2</v>
      </c>
      <c r="R2315" s="110" t="s">
        <v>972</v>
      </c>
      <c r="S2315" s="94"/>
    </row>
    <row r="2316" spans="1:19" hidden="1">
      <c r="A2316" s="103" t="s">
        <v>4335</v>
      </c>
      <c r="B2316" s="149" t="str">
        <f>IFERROR(VLOOKUP(Proc[[#This Row],[App]],Table2[],3,0),"open")</f>
        <v>ok</v>
      </c>
      <c r="C2316" s="103" t="s">
        <v>369</v>
      </c>
      <c r="D2316" t="s">
        <v>4368</v>
      </c>
      <c r="E2316" t="s">
        <v>1830</v>
      </c>
      <c r="F2316" s="120" t="s">
        <v>1830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LS</v>
      </c>
      <c r="L2316" s="125" t="s">
        <v>2563</v>
      </c>
      <c r="M2316" s="109">
        <v>45838.524548611109</v>
      </c>
      <c r="N2316" s="109">
        <v>45840</v>
      </c>
      <c r="O2316" s="109">
        <v>45840</v>
      </c>
      <c r="P2316" s="110" t="str">
        <f ca="1">IF(Proc[[#This Row],[DaysAgeing]]&gt;5,"yep","on track")</f>
        <v>on track</v>
      </c>
      <c r="Q2316" s="3">
        <f ca="1">IF(Proc[[#This Row],[DateClosed]]="",ABS(NETWORKDAYS(Proc[[#This Row],[DateOpened]],TODAY()))-1,ABS(NETWORKDAYS(Proc[[#This Row],[DateOpened]],Proc[[#This Row],[DateClosed]]))-1)</f>
        <v>2</v>
      </c>
      <c r="R2316" s="110" t="s">
        <v>972</v>
      </c>
      <c r="S2316" s="94"/>
    </row>
    <row r="2317" spans="1:19" hidden="1">
      <c r="A2317" s="103" t="s">
        <v>4335</v>
      </c>
      <c r="B2317" s="149" t="str">
        <f>IFERROR(VLOOKUP(Proc[[#This Row],[App]],Table2[],3,0),"open")</f>
        <v>ok</v>
      </c>
      <c r="C2317" s="103" t="s">
        <v>369</v>
      </c>
      <c r="D2317" t="s">
        <v>4369</v>
      </c>
      <c r="E2317" t="s">
        <v>1830</v>
      </c>
      <c r="F2317" s="120" t="s">
        <v>1830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LS</v>
      </c>
      <c r="L2317" s="125" t="s">
        <v>2563</v>
      </c>
      <c r="M2317" s="109">
        <v>45838.524548611109</v>
      </c>
      <c r="N2317" s="109">
        <v>45840</v>
      </c>
      <c r="O2317" s="109">
        <v>45840</v>
      </c>
      <c r="P2317" s="110" t="str">
        <f ca="1">IF(Proc[[#This Row],[DaysAgeing]]&gt;5,"yep","on track")</f>
        <v>on track</v>
      </c>
      <c r="Q2317" s="3">
        <f ca="1">IF(Proc[[#This Row],[DateClosed]]="",ABS(NETWORKDAYS(Proc[[#This Row],[DateOpened]],TODAY()))-1,ABS(NETWORKDAYS(Proc[[#This Row],[DateOpened]],Proc[[#This Row],[DateClosed]]))-1)</f>
        <v>2</v>
      </c>
      <c r="R2317" s="110" t="s">
        <v>972</v>
      </c>
      <c r="S2317" s="94"/>
    </row>
    <row r="2318" spans="1:19" hidden="1">
      <c r="A2318" s="103" t="s">
        <v>4335</v>
      </c>
      <c r="B2318" s="149" t="str">
        <f>IFERROR(VLOOKUP(Proc[[#This Row],[App]],Table2[],3,0),"open")</f>
        <v>ok</v>
      </c>
      <c r="C2318" s="103" t="s">
        <v>369</v>
      </c>
      <c r="D2318" t="s">
        <v>4370</v>
      </c>
      <c r="E2318" t="s">
        <v>1830</v>
      </c>
      <c r="F2318" s="120" t="s">
        <v>1830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LS</v>
      </c>
      <c r="L2318" s="125" t="s">
        <v>2563</v>
      </c>
      <c r="M2318" s="109">
        <v>45838.524548611109</v>
      </c>
      <c r="N2318" s="109">
        <v>45840</v>
      </c>
      <c r="O2318" s="109">
        <v>45840</v>
      </c>
      <c r="P2318" s="110" t="str">
        <f ca="1">IF(Proc[[#This Row],[DaysAgeing]]&gt;5,"yep","on track")</f>
        <v>on track</v>
      </c>
      <c r="Q2318" s="3">
        <f ca="1">IF(Proc[[#This Row],[DateClosed]]="",ABS(NETWORKDAYS(Proc[[#This Row],[DateOpened]],TODAY()))-1,ABS(NETWORKDAYS(Proc[[#This Row],[DateOpened]],Proc[[#This Row],[DateClosed]]))-1)</f>
        <v>2</v>
      </c>
      <c r="R2318" s="110" t="s">
        <v>972</v>
      </c>
      <c r="S2318" s="94"/>
    </row>
    <row r="2319" spans="1:19" hidden="1">
      <c r="A2319" s="103" t="s">
        <v>4335</v>
      </c>
      <c r="B2319" s="149" t="str">
        <f>IFERROR(VLOOKUP(Proc[[#This Row],[App]],Table2[],3,0),"open")</f>
        <v>ok</v>
      </c>
      <c r="C2319" s="103" t="s">
        <v>369</v>
      </c>
      <c r="D2319" t="s">
        <v>4371</v>
      </c>
      <c r="E2319" t="s">
        <v>1830</v>
      </c>
      <c r="F2319" s="120" t="s">
        <v>1830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LS</v>
      </c>
      <c r="L2319" s="125" t="s">
        <v>2563</v>
      </c>
      <c r="M2319" s="109">
        <v>45838.524548611109</v>
      </c>
      <c r="N2319" s="109">
        <v>45840</v>
      </c>
      <c r="O2319" s="109">
        <v>45840</v>
      </c>
      <c r="P2319" s="110" t="str">
        <f ca="1">IF(Proc[[#This Row],[DaysAgeing]]&gt;5,"yep","on track")</f>
        <v>on track</v>
      </c>
      <c r="Q2319" s="3">
        <f ca="1">IF(Proc[[#This Row],[DateClosed]]="",ABS(NETWORKDAYS(Proc[[#This Row],[DateOpened]],TODAY()))-1,ABS(NETWORKDAYS(Proc[[#This Row],[DateOpened]],Proc[[#This Row],[DateClosed]]))-1)</f>
        <v>2</v>
      </c>
      <c r="R2319" s="110" t="s">
        <v>972</v>
      </c>
      <c r="S2319" s="94"/>
    </row>
    <row r="2320" spans="1:19" hidden="1">
      <c r="A2320" s="103" t="s">
        <v>4335</v>
      </c>
      <c r="B2320" s="149" t="str">
        <f>IFERROR(VLOOKUP(Proc[[#This Row],[App]],Table2[],3,0),"open")</f>
        <v>ok</v>
      </c>
      <c r="C2320" s="103" t="s">
        <v>369</v>
      </c>
      <c r="D2320" t="s">
        <v>4372</v>
      </c>
      <c r="E2320" t="s">
        <v>1830</v>
      </c>
      <c r="F2320" s="120" t="s">
        <v>1830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LS</v>
      </c>
      <c r="L2320" s="125" t="s">
        <v>2563</v>
      </c>
      <c r="M2320" s="109">
        <v>45838.524548611109</v>
      </c>
      <c r="N2320" s="109">
        <v>45840</v>
      </c>
      <c r="O2320" s="109">
        <v>45840</v>
      </c>
      <c r="P2320" s="110" t="str">
        <f ca="1">IF(Proc[[#This Row],[DaysAgeing]]&gt;5,"yep","on track")</f>
        <v>on track</v>
      </c>
      <c r="Q2320" s="3">
        <f ca="1">IF(Proc[[#This Row],[DateClosed]]="",ABS(NETWORKDAYS(Proc[[#This Row],[DateOpened]],TODAY()))-1,ABS(NETWORKDAYS(Proc[[#This Row],[DateOpened]],Proc[[#This Row],[DateClosed]]))-1)</f>
        <v>2</v>
      </c>
      <c r="R2320" s="110" t="s">
        <v>972</v>
      </c>
      <c r="S2320" s="94"/>
    </row>
    <row r="2321" spans="1:19" hidden="1">
      <c r="A2321" s="103" t="s">
        <v>4335</v>
      </c>
      <c r="B2321" s="149" t="str">
        <f>IFERROR(VLOOKUP(Proc[[#This Row],[App]],Table2[],3,0),"open")</f>
        <v>ok</v>
      </c>
      <c r="C2321" s="103" t="s">
        <v>369</v>
      </c>
      <c r="D2321" t="s">
        <v>4373</v>
      </c>
      <c r="E2321" t="s">
        <v>1830</v>
      </c>
      <c r="F2321" s="120" t="s">
        <v>1830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LS</v>
      </c>
      <c r="L2321" s="125" t="s">
        <v>2563</v>
      </c>
      <c r="M2321" s="109">
        <v>45838.524548611109</v>
      </c>
      <c r="N2321" s="109">
        <v>45840</v>
      </c>
      <c r="O2321" s="109">
        <v>45840</v>
      </c>
      <c r="P2321" s="110" t="str">
        <f ca="1">IF(Proc[[#This Row],[DaysAgeing]]&gt;5,"yep","on track")</f>
        <v>on track</v>
      </c>
      <c r="Q2321" s="3">
        <f ca="1">IF(Proc[[#This Row],[DateClosed]]="",ABS(NETWORKDAYS(Proc[[#This Row],[DateOpened]],TODAY()))-1,ABS(NETWORKDAYS(Proc[[#This Row],[DateOpened]],Proc[[#This Row],[DateClosed]]))-1)</f>
        <v>2</v>
      </c>
      <c r="R2321" s="110" t="s">
        <v>972</v>
      </c>
      <c r="S2321" s="94"/>
    </row>
    <row r="2322" spans="1:19" hidden="1">
      <c r="A2322" s="103" t="s">
        <v>4335</v>
      </c>
      <c r="B2322" s="149" t="str">
        <f>IFERROR(VLOOKUP(Proc[[#This Row],[App]],Table2[],3,0),"open")</f>
        <v>ok</v>
      </c>
      <c r="C2322" s="103" t="s">
        <v>369</v>
      </c>
      <c r="D2322" t="s">
        <v>4374</v>
      </c>
      <c r="E2322" t="s">
        <v>1830</v>
      </c>
      <c r="F2322" s="120" t="s">
        <v>1830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LS</v>
      </c>
      <c r="L2322" s="125" t="s">
        <v>2563</v>
      </c>
      <c r="M2322" s="109">
        <v>45838.524548611109</v>
      </c>
      <c r="N2322" s="109">
        <v>45840</v>
      </c>
      <c r="O2322" s="109">
        <v>45840</v>
      </c>
      <c r="P2322" s="110" t="str">
        <f ca="1">IF(Proc[[#This Row],[DaysAgeing]]&gt;5,"yep","on track")</f>
        <v>on track</v>
      </c>
      <c r="Q2322" s="3">
        <f ca="1">IF(Proc[[#This Row],[DateClosed]]="",ABS(NETWORKDAYS(Proc[[#This Row],[DateOpened]],TODAY()))-1,ABS(NETWORKDAYS(Proc[[#This Row],[DateOpened]],Proc[[#This Row],[DateClosed]]))-1)</f>
        <v>2</v>
      </c>
      <c r="R2322" s="110" t="s">
        <v>972</v>
      </c>
      <c r="S2322" s="94"/>
    </row>
    <row r="2323" spans="1:19" hidden="1">
      <c r="A2323" s="103" t="s">
        <v>4335</v>
      </c>
      <c r="B2323" s="149" t="str">
        <f>IFERROR(VLOOKUP(Proc[[#This Row],[App]],Table2[],3,0),"open")</f>
        <v>ok</v>
      </c>
      <c r="C2323" s="103" t="s">
        <v>369</v>
      </c>
      <c r="D2323" t="s">
        <v>4375</v>
      </c>
      <c r="E2323" t="s">
        <v>1830</v>
      </c>
      <c r="F2323" s="120" t="s">
        <v>1830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LS</v>
      </c>
      <c r="L2323" s="125" t="s">
        <v>2563</v>
      </c>
      <c r="M2323" s="109">
        <v>45838.524548611109</v>
      </c>
      <c r="N2323" s="109">
        <v>45840</v>
      </c>
      <c r="O2323" s="109">
        <v>45840</v>
      </c>
      <c r="P2323" s="110" t="str">
        <f ca="1">IF(Proc[[#This Row],[DaysAgeing]]&gt;5,"yep","on track")</f>
        <v>on track</v>
      </c>
      <c r="Q2323" s="3">
        <f ca="1">IF(Proc[[#This Row],[DateClosed]]="",ABS(NETWORKDAYS(Proc[[#This Row],[DateOpened]],TODAY()))-1,ABS(NETWORKDAYS(Proc[[#This Row],[DateOpened]],Proc[[#This Row],[DateClosed]]))-1)</f>
        <v>2</v>
      </c>
      <c r="R2323" s="110" t="s">
        <v>972</v>
      </c>
      <c r="S2323" s="94"/>
    </row>
    <row r="2324" spans="1:19" hidden="1">
      <c r="A2324" s="103" t="s">
        <v>4335</v>
      </c>
      <c r="B2324" s="149" t="str">
        <f>IFERROR(VLOOKUP(Proc[[#This Row],[App]],Table2[],3,0),"open")</f>
        <v>ok</v>
      </c>
      <c r="C2324" s="103" t="s">
        <v>369</v>
      </c>
      <c r="D2324" t="s">
        <v>4376</v>
      </c>
      <c r="E2324" t="s">
        <v>1830</v>
      </c>
      <c r="F2324" s="120" t="s">
        <v>1830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LS</v>
      </c>
      <c r="L2324" s="125" t="s">
        <v>2563</v>
      </c>
      <c r="M2324" s="109">
        <v>45838.524548611109</v>
      </c>
      <c r="N2324" s="109">
        <v>45840</v>
      </c>
      <c r="O2324" s="109">
        <v>45840</v>
      </c>
      <c r="P2324" s="110" t="str">
        <f ca="1">IF(Proc[[#This Row],[DaysAgeing]]&gt;5,"yep","on track")</f>
        <v>on track</v>
      </c>
      <c r="Q2324" s="3">
        <f ca="1">IF(Proc[[#This Row],[DateClosed]]="",ABS(NETWORKDAYS(Proc[[#This Row],[DateOpened]],TODAY()))-1,ABS(NETWORKDAYS(Proc[[#This Row],[DateOpened]],Proc[[#This Row],[DateClosed]]))-1)</f>
        <v>2</v>
      </c>
      <c r="R2324" s="110" t="s">
        <v>972</v>
      </c>
      <c r="S2324" s="94"/>
    </row>
    <row r="2325" spans="1:19" hidden="1">
      <c r="A2325" s="103" t="s">
        <v>4335</v>
      </c>
      <c r="B2325" s="149" t="str">
        <f>IFERROR(VLOOKUP(Proc[[#This Row],[App]],Table2[],3,0),"open")</f>
        <v>ok</v>
      </c>
      <c r="C2325" s="103" t="s">
        <v>369</v>
      </c>
      <c r="D2325" t="s">
        <v>4377</v>
      </c>
      <c r="E2325" t="s">
        <v>1830</v>
      </c>
      <c r="F2325" s="120" t="s">
        <v>1830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LS</v>
      </c>
      <c r="L2325" s="125" t="s">
        <v>2563</v>
      </c>
      <c r="M2325" s="109">
        <v>45838.524548611109</v>
      </c>
      <c r="N2325" s="109">
        <v>45840</v>
      </c>
      <c r="O2325" s="109">
        <v>45840</v>
      </c>
      <c r="P2325" s="110" t="str">
        <f ca="1">IF(Proc[[#This Row],[DaysAgeing]]&gt;5,"yep","on track")</f>
        <v>on track</v>
      </c>
      <c r="Q2325" s="3">
        <f ca="1">IF(Proc[[#This Row],[DateClosed]]="",ABS(NETWORKDAYS(Proc[[#This Row],[DateOpened]],TODAY()))-1,ABS(NETWORKDAYS(Proc[[#This Row],[DateOpened]],Proc[[#This Row],[DateClosed]]))-1)</f>
        <v>2</v>
      </c>
      <c r="R2325" s="110" t="s">
        <v>972</v>
      </c>
      <c r="S2325" s="94"/>
    </row>
    <row r="2326" spans="1:19" hidden="1">
      <c r="A2326" s="103" t="s">
        <v>4335</v>
      </c>
      <c r="B2326" s="149" t="str">
        <f>IFERROR(VLOOKUP(Proc[[#This Row],[App]],Table2[],3,0),"open")</f>
        <v>ok</v>
      </c>
      <c r="C2326" s="103" t="s">
        <v>369</v>
      </c>
      <c r="D2326" t="s">
        <v>4378</v>
      </c>
      <c r="E2326" t="s">
        <v>1830</v>
      </c>
      <c r="F2326" s="120" t="s">
        <v>1830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LS</v>
      </c>
      <c r="L2326" s="125" t="s">
        <v>2563</v>
      </c>
      <c r="M2326" s="109">
        <v>45838.524548611109</v>
      </c>
      <c r="N2326" s="109">
        <v>45840</v>
      </c>
      <c r="O2326" s="109">
        <v>45840</v>
      </c>
      <c r="P2326" s="110" t="str">
        <f ca="1">IF(Proc[[#This Row],[DaysAgeing]]&gt;5,"yep","on track")</f>
        <v>on track</v>
      </c>
      <c r="Q2326" s="3">
        <f ca="1">IF(Proc[[#This Row],[DateClosed]]="",ABS(NETWORKDAYS(Proc[[#This Row],[DateOpened]],TODAY()))-1,ABS(NETWORKDAYS(Proc[[#This Row],[DateOpened]],Proc[[#This Row],[DateClosed]]))-1)</f>
        <v>2</v>
      </c>
      <c r="R2326" s="110" t="s">
        <v>972</v>
      </c>
      <c r="S2326" s="94"/>
    </row>
    <row r="2327" spans="1:19" hidden="1">
      <c r="A2327" s="103" t="s">
        <v>4335</v>
      </c>
      <c r="B2327" s="149" t="str">
        <f>IFERROR(VLOOKUP(Proc[[#This Row],[App]],Table2[],3,0),"open")</f>
        <v>ok</v>
      </c>
      <c r="C2327" s="103" t="s">
        <v>369</v>
      </c>
      <c r="D2327" t="s">
        <v>4379</v>
      </c>
      <c r="E2327" t="s">
        <v>1830</v>
      </c>
      <c r="F2327" s="120" t="s">
        <v>1830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LS</v>
      </c>
      <c r="L2327" s="125" t="s">
        <v>2563</v>
      </c>
      <c r="M2327" s="109">
        <v>45838.524548611109</v>
      </c>
      <c r="N2327" s="109">
        <v>45840</v>
      </c>
      <c r="O2327" s="109">
        <v>45840</v>
      </c>
      <c r="P2327" s="110" t="str">
        <f ca="1">IF(Proc[[#This Row],[DaysAgeing]]&gt;5,"yep","on track")</f>
        <v>on track</v>
      </c>
      <c r="Q2327" s="3">
        <f ca="1">IF(Proc[[#This Row],[DateClosed]]="",ABS(NETWORKDAYS(Proc[[#This Row],[DateOpened]],TODAY()))-1,ABS(NETWORKDAYS(Proc[[#This Row],[DateOpened]],Proc[[#This Row],[DateClosed]]))-1)</f>
        <v>2</v>
      </c>
      <c r="R2327" s="110" t="s">
        <v>972</v>
      </c>
      <c r="S2327" s="94"/>
    </row>
    <row r="2328" spans="1:19" hidden="1">
      <c r="A2328" s="103" t="s">
        <v>4335</v>
      </c>
      <c r="B2328" s="149" t="str">
        <f>IFERROR(VLOOKUP(Proc[[#This Row],[App]],Table2[],3,0),"open")</f>
        <v>ok</v>
      </c>
      <c r="C2328" s="103" t="s">
        <v>369</v>
      </c>
      <c r="D2328" t="s">
        <v>4380</v>
      </c>
      <c r="E2328" t="s">
        <v>1830</v>
      </c>
      <c r="F2328" s="120" t="s">
        <v>1830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LS</v>
      </c>
      <c r="L2328" s="125" t="s">
        <v>2563</v>
      </c>
      <c r="M2328" s="109">
        <v>45838.524548611109</v>
      </c>
      <c r="N2328" s="109">
        <v>45840</v>
      </c>
      <c r="O2328" s="109">
        <v>45840</v>
      </c>
      <c r="P2328" s="110" t="str">
        <f ca="1">IF(Proc[[#This Row],[DaysAgeing]]&gt;5,"yep","on track")</f>
        <v>on track</v>
      </c>
      <c r="Q2328" s="3">
        <f ca="1">IF(Proc[[#This Row],[DateClosed]]="",ABS(NETWORKDAYS(Proc[[#This Row],[DateOpened]],TODAY()))-1,ABS(NETWORKDAYS(Proc[[#This Row],[DateOpened]],Proc[[#This Row],[DateClosed]]))-1)</f>
        <v>2</v>
      </c>
      <c r="R2328" s="110" t="s">
        <v>972</v>
      </c>
      <c r="S2328" s="94"/>
    </row>
    <row r="2329" spans="1:19" hidden="1">
      <c r="A2329" s="103" t="s">
        <v>4335</v>
      </c>
      <c r="B2329" s="149" t="str">
        <f>IFERROR(VLOOKUP(Proc[[#This Row],[App]],Table2[],3,0),"open")</f>
        <v>ok</v>
      </c>
      <c r="C2329" s="103" t="s">
        <v>369</v>
      </c>
      <c r="D2329" t="s">
        <v>4381</v>
      </c>
      <c r="E2329" t="s">
        <v>1830</v>
      </c>
      <c r="F2329" s="120" t="s">
        <v>1830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LS</v>
      </c>
      <c r="L2329" s="125" t="s">
        <v>2563</v>
      </c>
      <c r="M2329" s="109">
        <v>45838.524548611109</v>
      </c>
      <c r="N2329" s="109">
        <v>45840</v>
      </c>
      <c r="O2329" s="109">
        <v>45840</v>
      </c>
      <c r="P2329" s="110" t="str">
        <f ca="1">IF(Proc[[#This Row],[DaysAgeing]]&gt;5,"yep","on track")</f>
        <v>on track</v>
      </c>
      <c r="Q2329" s="3">
        <f ca="1">IF(Proc[[#This Row],[DateClosed]]="",ABS(NETWORKDAYS(Proc[[#This Row],[DateOpened]],TODAY()))-1,ABS(NETWORKDAYS(Proc[[#This Row],[DateOpened]],Proc[[#This Row],[DateClosed]]))-1)</f>
        <v>2</v>
      </c>
      <c r="R2329" s="110" t="s">
        <v>972</v>
      </c>
      <c r="S2329" s="94"/>
    </row>
    <row r="2330" spans="1:19" hidden="1">
      <c r="A2330" s="103" t="s">
        <v>4335</v>
      </c>
      <c r="B2330" s="149" t="str">
        <f>IFERROR(VLOOKUP(Proc[[#This Row],[App]],Table2[],3,0),"open")</f>
        <v>ok</v>
      </c>
      <c r="C2330" s="103" t="s">
        <v>369</v>
      </c>
      <c r="D2330" t="s">
        <v>4382</v>
      </c>
      <c r="E2330" t="s">
        <v>1830</v>
      </c>
      <c r="F2330" s="120" t="s">
        <v>1830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LS</v>
      </c>
      <c r="L2330" s="125" t="s">
        <v>2563</v>
      </c>
      <c r="M2330" s="109">
        <v>45838.524548611109</v>
      </c>
      <c r="N2330" s="109">
        <v>45840</v>
      </c>
      <c r="O2330" s="109">
        <v>45840</v>
      </c>
      <c r="P2330" s="110" t="str">
        <f ca="1">IF(Proc[[#This Row],[DaysAgeing]]&gt;5,"yep","on track")</f>
        <v>on track</v>
      </c>
      <c r="Q2330" s="3">
        <f ca="1">IF(Proc[[#This Row],[DateClosed]]="",ABS(NETWORKDAYS(Proc[[#This Row],[DateOpened]],TODAY()))-1,ABS(NETWORKDAYS(Proc[[#This Row],[DateOpened]],Proc[[#This Row],[DateClosed]]))-1)</f>
        <v>2</v>
      </c>
      <c r="R2330" s="110" t="s">
        <v>972</v>
      </c>
      <c r="S2330" s="94"/>
    </row>
    <row r="2331" spans="1:19" hidden="1">
      <c r="A2331" s="103" t="s">
        <v>4335</v>
      </c>
      <c r="B2331" s="149" t="str">
        <f>IFERROR(VLOOKUP(Proc[[#This Row],[App]],Table2[],3,0),"open")</f>
        <v>ok</v>
      </c>
      <c r="C2331" s="103" t="s">
        <v>369</v>
      </c>
      <c r="D2331" t="s">
        <v>4383</v>
      </c>
      <c r="E2331" t="s">
        <v>4384</v>
      </c>
      <c r="F2331" s="120" t="s">
        <v>4384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LS</v>
      </c>
      <c r="L2331" s="125" t="s">
        <v>2563</v>
      </c>
      <c r="M2331" s="109">
        <v>45838.524548611109</v>
      </c>
      <c r="N2331" s="109">
        <v>45840</v>
      </c>
      <c r="O2331" s="109">
        <v>45840</v>
      </c>
      <c r="P2331" s="110" t="str">
        <f ca="1">IF(Proc[[#This Row],[DaysAgeing]]&gt;5,"yep","on track")</f>
        <v>on track</v>
      </c>
      <c r="Q2331" s="3">
        <f ca="1">IF(Proc[[#This Row],[DateClosed]]="",ABS(NETWORKDAYS(Proc[[#This Row],[DateOpened]],TODAY()))-1,ABS(NETWORKDAYS(Proc[[#This Row],[DateOpened]],Proc[[#This Row],[DateClosed]]))-1)</f>
        <v>2</v>
      </c>
      <c r="R2331" s="110" t="s">
        <v>972</v>
      </c>
      <c r="S2331" s="94"/>
    </row>
    <row r="2332" spans="1:19" hidden="1">
      <c r="A2332" s="103" t="s">
        <v>4335</v>
      </c>
      <c r="B2332" s="149" t="str">
        <f>IFERROR(VLOOKUP(Proc[[#This Row],[App]],Table2[],3,0),"open")</f>
        <v>ok</v>
      </c>
      <c r="C2332" s="103" t="s">
        <v>369</v>
      </c>
      <c r="D2332" t="s">
        <v>4385</v>
      </c>
      <c r="E2332" t="s">
        <v>2370</v>
      </c>
      <c r="F2332" s="120" t="s">
        <v>2370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LS</v>
      </c>
      <c r="L2332" s="125" t="s">
        <v>2563</v>
      </c>
      <c r="M2332" s="109">
        <v>45838.524548611109</v>
      </c>
      <c r="N2332" s="109">
        <v>45840</v>
      </c>
      <c r="O2332" s="109">
        <v>45840</v>
      </c>
      <c r="P2332" s="110" t="str">
        <f ca="1">IF(Proc[[#This Row],[DaysAgeing]]&gt;5,"yep","on track")</f>
        <v>on track</v>
      </c>
      <c r="Q2332" s="3">
        <f ca="1">IF(Proc[[#This Row],[DateClosed]]="",ABS(NETWORKDAYS(Proc[[#This Row],[DateOpened]],TODAY()))-1,ABS(NETWORKDAYS(Proc[[#This Row],[DateOpened]],Proc[[#This Row],[DateClosed]]))-1)</f>
        <v>2</v>
      </c>
      <c r="R2332" s="110" t="s">
        <v>972</v>
      </c>
      <c r="S2332" s="94"/>
    </row>
    <row r="2333" spans="1:19" hidden="1">
      <c r="A2333" s="103" t="s">
        <v>4335</v>
      </c>
      <c r="B2333" s="149" t="str">
        <f>IFERROR(VLOOKUP(Proc[[#This Row],[App]],Table2[],3,0),"open")</f>
        <v>ok</v>
      </c>
      <c r="C2333" s="103" t="s">
        <v>369</v>
      </c>
      <c r="D2333" t="s">
        <v>4386</v>
      </c>
      <c r="E2333" t="s">
        <v>4387</v>
      </c>
      <c r="F2333" s="120" t="s">
        <v>4387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LS</v>
      </c>
      <c r="L2333" s="125" t="s">
        <v>2563</v>
      </c>
      <c r="M2333" s="109">
        <v>45838.524548611109</v>
      </c>
      <c r="N2333" s="109">
        <v>45840</v>
      </c>
      <c r="O2333" s="109">
        <v>45840</v>
      </c>
      <c r="P2333" s="110" t="str">
        <f ca="1">IF(Proc[[#This Row],[DaysAgeing]]&gt;5,"yep","on track")</f>
        <v>on track</v>
      </c>
      <c r="Q2333" s="3">
        <f ca="1">IF(Proc[[#This Row],[DateClosed]]="",ABS(NETWORKDAYS(Proc[[#This Row],[DateOpened]],TODAY()))-1,ABS(NETWORKDAYS(Proc[[#This Row],[DateOpened]],Proc[[#This Row],[DateClosed]]))-1)</f>
        <v>2</v>
      </c>
      <c r="R2333" s="110" t="s">
        <v>972</v>
      </c>
      <c r="S2333" s="94"/>
    </row>
    <row r="2334" spans="1:19" hidden="1">
      <c r="A2334" s="103" t="s">
        <v>4335</v>
      </c>
      <c r="B2334" s="149" t="str">
        <f>IFERROR(VLOOKUP(Proc[[#This Row],[App]],Table2[],3,0),"open")</f>
        <v>ok</v>
      </c>
      <c r="C2334" s="103" t="s">
        <v>369</v>
      </c>
      <c r="D2334" t="s">
        <v>4388</v>
      </c>
      <c r="E2334" t="s">
        <v>4389</v>
      </c>
      <c r="F2334" s="120" t="s">
        <v>4389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LS</v>
      </c>
      <c r="L2334" s="125" t="s">
        <v>2563</v>
      </c>
      <c r="M2334" s="109">
        <v>45838.524548611109</v>
      </c>
      <c r="N2334" s="109">
        <v>45840</v>
      </c>
      <c r="O2334" s="109">
        <v>45840</v>
      </c>
      <c r="P2334" s="110" t="str">
        <f ca="1">IF(Proc[[#This Row],[DaysAgeing]]&gt;5,"yep","on track")</f>
        <v>on track</v>
      </c>
      <c r="Q2334" s="3">
        <f ca="1">IF(Proc[[#This Row],[DateClosed]]="",ABS(NETWORKDAYS(Proc[[#This Row],[DateOpened]],TODAY()))-1,ABS(NETWORKDAYS(Proc[[#This Row],[DateOpened]],Proc[[#This Row],[DateClosed]]))-1)</f>
        <v>2</v>
      </c>
      <c r="R2334" s="110" t="s">
        <v>972</v>
      </c>
      <c r="S2334" s="94"/>
    </row>
    <row r="2335" spans="1:19" hidden="1">
      <c r="A2335" s="103" t="s">
        <v>4335</v>
      </c>
      <c r="B2335" s="149" t="str">
        <f>IFERROR(VLOOKUP(Proc[[#This Row],[App]],Table2[],3,0),"open")</f>
        <v>ok</v>
      </c>
      <c r="C2335" s="103" t="s">
        <v>369</v>
      </c>
      <c r="D2335" t="s">
        <v>4390</v>
      </c>
      <c r="E2335" t="s">
        <v>4391</v>
      </c>
      <c r="F2335" s="120" t="s">
        <v>4391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LS</v>
      </c>
      <c r="L2335" s="125" t="s">
        <v>2563</v>
      </c>
      <c r="M2335" s="109">
        <v>45838.524548611109</v>
      </c>
      <c r="N2335" s="109">
        <v>45840</v>
      </c>
      <c r="O2335" s="109">
        <v>45840</v>
      </c>
      <c r="P2335" s="110" t="str">
        <f ca="1">IF(Proc[[#This Row],[DaysAgeing]]&gt;5,"yep","on track")</f>
        <v>on track</v>
      </c>
      <c r="Q2335" s="3">
        <f ca="1">IF(Proc[[#This Row],[DateClosed]]="",ABS(NETWORKDAYS(Proc[[#This Row],[DateOpened]],TODAY()))-1,ABS(NETWORKDAYS(Proc[[#This Row],[DateOpened]],Proc[[#This Row],[DateClosed]]))-1)</f>
        <v>2</v>
      </c>
      <c r="R2335" s="110" t="s">
        <v>972</v>
      </c>
      <c r="S2335" s="94"/>
    </row>
    <row r="2336" spans="1:19" hidden="1">
      <c r="A2336" s="103" t="s">
        <v>4335</v>
      </c>
      <c r="B2336" s="149" t="str">
        <f>IFERROR(VLOOKUP(Proc[[#This Row],[App]],Table2[],3,0),"open")</f>
        <v>ok</v>
      </c>
      <c r="C2336" s="103" t="s">
        <v>369</v>
      </c>
      <c r="D2336" t="s">
        <v>4392</v>
      </c>
      <c r="E2336" t="s">
        <v>524</v>
      </c>
      <c r="F2336" s="120" t="s">
        <v>524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LS</v>
      </c>
      <c r="L2336" s="125" t="s">
        <v>2563</v>
      </c>
      <c r="M2336" s="109">
        <v>45838.524548611109</v>
      </c>
      <c r="N2336" s="109">
        <v>45840</v>
      </c>
      <c r="O2336" s="109">
        <v>45840</v>
      </c>
      <c r="P2336" s="110" t="str">
        <f ca="1">IF(Proc[[#This Row],[DaysAgeing]]&gt;5,"yep","on track")</f>
        <v>on track</v>
      </c>
      <c r="Q2336" s="3">
        <f ca="1">IF(Proc[[#This Row],[DateClosed]]="",ABS(NETWORKDAYS(Proc[[#This Row],[DateOpened]],TODAY()))-1,ABS(NETWORKDAYS(Proc[[#This Row],[DateOpened]],Proc[[#This Row],[DateClosed]]))-1)</f>
        <v>2</v>
      </c>
      <c r="R2336" s="110" t="s">
        <v>972</v>
      </c>
      <c r="S2336" s="94"/>
    </row>
    <row r="2337" spans="1:19" hidden="1">
      <c r="A2337" s="103" t="s">
        <v>4335</v>
      </c>
      <c r="B2337" s="149" t="str">
        <f>IFERROR(VLOOKUP(Proc[[#This Row],[App]],Table2[],3,0),"open")</f>
        <v>ok</v>
      </c>
      <c r="C2337" s="103" t="s">
        <v>369</v>
      </c>
      <c r="D2337" t="s">
        <v>4393</v>
      </c>
      <c r="E2337" t="s">
        <v>524</v>
      </c>
      <c r="F2337" s="120" t="s">
        <v>524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LS</v>
      </c>
      <c r="L2337" s="125" t="s">
        <v>2563</v>
      </c>
      <c r="M2337" s="109">
        <v>45838.524548611109</v>
      </c>
      <c r="N2337" s="109">
        <v>45840</v>
      </c>
      <c r="O2337" s="109">
        <v>45840</v>
      </c>
      <c r="P2337" s="110" t="str">
        <f ca="1">IF(Proc[[#This Row],[DaysAgeing]]&gt;5,"yep","on track")</f>
        <v>on track</v>
      </c>
      <c r="Q2337" s="3">
        <f ca="1">IF(Proc[[#This Row],[DateClosed]]="",ABS(NETWORKDAYS(Proc[[#This Row],[DateOpened]],TODAY()))-1,ABS(NETWORKDAYS(Proc[[#This Row],[DateOpened]],Proc[[#This Row],[DateClosed]]))-1)</f>
        <v>2</v>
      </c>
      <c r="R2337" s="110" t="s">
        <v>972</v>
      </c>
      <c r="S2337" s="94"/>
    </row>
    <row r="2338" spans="1:19" hidden="1">
      <c r="A2338" s="103" t="s">
        <v>4335</v>
      </c>
      <c r="B2338" s="149" t="str">
        <f>IFERROR(VLOOKUP(Proc[[#This Row],[App]],Table2[],3,0),"open")</f>
        <v>ok</v>
      </c>
      <c r="C2338" s="103" t="s">
        <v>369</v>
      </c>
      <c r="D2338" t="s">
        <v>4394</v>
      </c>
      <c r="E2338" t="s">
        <v>4395</v>
      </c>
      <c r="F2338" s="120" t="s">
        <v>4395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LS</v>
      </c>
      <c r="L2338" s="125" t="s">
        <v>2563</v>
      </c>
      <c r="M2338" s="109">
        <v>45838.524548611109</v>
      </c>
      <c r="N2338" s="109">
        <v>45840</v>
      </c>
      <c r="O2338" s="109">
        <v>45840</v>
      </c>
      <c r="P2338" s="110" t="str">
        <f ca="1">IF(Proc[[#This Row],[DaysAgeing]]&gt;5,"yep","on track")</f>
        <v>on track</v>
      </c>
      <c r="Q2338" s="3">
        <f ca="1">IF(Proc[[#This Row],[DateClosed]]="",ABS(NETWORKDAYS(Proc[[#This Row],[DateOpened]],TODAY()))-1,ABS(NETWORKDAYS(Proc[[#This Row],[DateOpened]],Proc[[#This Row],[DateClosed]]))-1)</f>
        <v>2</v>
      </c>
      <c r="R2338" s="110" t="s">
        <v>972</v>
      </c>
      <c r="S2338" s="94"/>
    </row>
    <row r="2339" spans="1:19" hidden="1">
      <c r="A2339" s="103" t="s">
        <v>4335</v>
      </c>
      <c r="B2339" s="149" t="str">
        <f>IFERROR(VLOOKUP(Proc[[#This Row],[App]],Table2[],3,0),"open")</f>
        <v>ok</v>
      </c>
      <c r="C2339" s="103" t="s">
        <v>369</v>
      </c>
      <c r="D2339" t="s">
        <v>4396</v>
      </c>
      <c r="E2339" t="s">
        <v>3528</v>
      </c>
      <c r="F2339" s="120" t="s">
        <v>3528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LS</v>
      </c>
      <c r="L2339" s="125" t="s">
        <v>2563</v>
      </c>
      <c r="M2339" s="109">
        <v>45838.524548611109</v>
      </c>
      <c r="N2339" s="109">
        <v>45840</v>
      </c>
      <c r="O2339" s="109">
        <v>45840</v>
      </c>
      <c r="P2339" s="110" t="str">
        <f ca="1">IF(Proc[[#This Row],[DaysAgeing]]&gt;5,"yep","on track")</f>
        <v>on track</v>
      </c>
      <c r="Q2339" s="3">
        <f ca="1">IF(Proc[[#This Row],[DateClosed]]="",ABS(NETWORKDAYS(Proc[[#This Row],[DateOpened]],TODAY()))-1,ABS(NETWORKDAYS(Proc[[#This Row],[DateOpened]],Proc[[#This Row],[DateClosed]]))-1)</f>
        <v>2</v>
      </c>
      <c r="R2339" s="110" t="s">
        <v>972</v>
      </c>
      <c r="S2339" s="94"/>
    </row>
    <row r="2340" spans="1:19" hidden="1">
      <c r="A2340" s="103" t="s">
        <v>4335</v>
      </c>
      <c r="B2340" s="149" t="str">
        <f>IFERROR(VLOOKUP(Proc[[#This Row],[App]],Table2[],3,0),"open")</f>
        <v>ok</v>
      </c>
      <c r="C2340" s="103" t="s">
        <v>369</v>
      </c>
      <c r="D2340" t="s">
        <v>4397</v>
      </c>
      <c r="E2340" t="s">
        <v>3528</v>
      </c>
      <c r="F2340" s="120" t="s">
        <v>3528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LS</v>
      </c>
      <c r="L2340" s="125" t="s">
        <v>2563</v>
      </c>
      <c r="M2340" s="109">
        <v>45838.524548611109</v>
      </c>
      <c r="N2340" s="109">
        <v>45840</v>
      </c>
      <c r="O2340" s="109">
        <v>45840</v>
      </c>
      <c r="P2340" s="110" t="str">
        <f ca="1">IF(Proc[[#This Row],[DaysAgeing]]&gt;5,"yep","on track")</f>
        <v>on track</v>
      </c>
      <c r="Q2340" s="3">
        <f ca="1">IF(Proc[[#This Row],[DateClosed]]="",ABS(NETWORKDAYS(Proc[[#This Row],[DateOpened]],TODAY()))-1,ABS(NETWORKDAYS(Proc[[#This Row],[DateOpened]],Proc[[#This Row],[DateClosed]]))-1)</f>
        <v>2</v>
      </c>
      <c r="R2340" s="110" t="s">
        <v>972</v>
      </c>
      <c r="S2340" s="94"/>
    </row>
    <row r="2341" spans="1:19" hidden="1">
      <c r="A2341" s="103" t="s">
        <v>4335</v>
      </c>
      <c r="B2341" s="149" t="str">
        <f>IFERROR(VLOOKUP(Proc[[#This Row],[App]],Table2[],3,0),"open")</f>
        <v>ok</v>
      </c>
      <c r="C2341" s="103" t="s">
        <v>369</v>
      </c>
      <c r="D2341" t="s">
        <v>4398</v>
      </c>
      <c r="E2341" t="s">
        <v>4399</v>
      </c>
      <c r="F2341" s="120" t="s">
        <v>4399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LS</v>
      </c>
      <c r="L2341" s="125" t="s">
        <v>2563</v>
      </c>
      <c r="M2341" s="109">
        <v>45838.524548611109</v>
      </c>
      <c r="N2341" s="109">
        <v>45840</v>
      </c>
      <c r="O2341" s="109">
        <v>45840</v>
      </c>
      <c r="P2341" s="110" t="str">
        <f ca="1">IF(Proc[[#This Row],[DaysAgeing]]&gt;5,"yep","on track")</f>
        <v>on track</v>
      </c>
      <c r="Q2341" s="3">
        <f ca="1">IF(Proc[[#This Row],[DateClosed]]="",ABS(NETWORKDAYS(Proc[[#This Row],[DateOpened]],TODAY()))-1,ABS(NETWORKDAYS(Proc[[#This Row],[DateOpened]],Proc[[#This Row],[DateClosed]]))-1)</f>
        <v>2</v>
      </c>
      <c r="R2341" s="110" t="s">
        <v>972</v>
      </c>
      <c r="S2341" s="94"/>
    </row>
    <row r="2342" spans="1:19" hidden="1">
      <c r="A2342" t="s">
        <v>4412</v>
      </c>
      <c r="B2342" s="149" t="str">
        <f>IFERROR(VLOOKUP(Proc[[#This Row],[App]],Table2[],3,0),"open")</f>
        <v>ok</v>
      </c>
      <c r="C2342" s="117" t="s">
        <v>369</v>
      </c>
      <c r="D2342" t="s">
        <v>4400</v>
      </c>
      <c r="E2342" t="s">
        <v>4409</v>
      </c>
      <c r="F2342" s="117" t="s">
        <v>4409</v>
      </c>
      <c r="G2342" s="103" t="s">
        <v>406</v>
      </c>
      <c r="H2342" s="94" t="str">
        <f>IF(Proc[[#This Row],[type]]="LFF (MDG-F)",MID(Proc[[#This Row],[Obj]],13,10),"")</f>
        <v>DE10677800</v>
      </c>
      <c r="I2342" t="s">
        <v>4413</v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MGF</v>
      </c>
      <c r="L2342" s="125" t="s">
        <v>4894</v>
      </c>
      <c r="M2342" s="109">
        <v>45839.516793981478</v>
      </c>
      <c r="N2342" s="109">
        <v>45841</v>
      </c>
      <c r="O2342" s="109"/>
      <c r="P2342" s="110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112</v>
      </c>
      <c r="R2342" s="110" t="s">
        <v>1459</v>
      </c>
      <c r="S2342" s="94"/>
    </row>
    <row r="2343" spans="1:19" hidden="1">
      <c r="A2343" s="103" t="s">
        <v>4412</v>
      </c>
      <c r="B2343" s="149" t="str">
        <f>IFERROR(VLOOKUP(Proc[[#This Row],[App]],Table2[],3,0),"open")</f>
        <v>ok</v>
      </c>
      <c r="C2343" s="117" t="s">
        <v>377</v>
      </c>
      <c r="D2343" t="s">
        <v>2319</v>
      </c>
      <c r="E2343" t="s">
        <v>430</v>
      </c>
      <c r="F2343" s="94" t="s">
        <v>5569</v>
      </c>
      <c r="G2343" s="103" t="s">
        <v>406</v>
      </c>
      <c r="H2343" s="94" t="str">
        <f>IF(Proc[[#This Row],[type]]="LFF (MDG-F)",MID(Proc[[#This Row],[Obj]],13,10),"")</f>
        <v>DE65GIT032</v>
      </c>
      <c r="I2343" s="103" t="s">
        <v>4832</v>
      </c>
      <c r="J2343" s="94" t="b">
        <f>Proc[[#This Row],[Requested]]=Proc[[#This Row],[CurrentParent]]</f>
        <v>0</v>
      </c>
      <c r="K2343" s="144" t="str">
        <f>IF(Proc[[#This Row],[Author]]="Marcela Urrego",VLOOKUP(LEFT(Proc[[#This Row],[Requested]],1),Table3[#All],2,0),VLOOKUP(Proc[[#This Row],[Author]],Table4[],2,0))</f>
        <v>MGF</v>
      </c>
      <c r="L2343" s="125" t="s">
        <v>4894</v>
      </c>
      <c r="M2343" s="109">
        <v>45839.516793981478</v>
      </c>
      <c r="N2343" s="115"/>
      <c r="O2343" s="115"/>
      <c r="P2343" s="110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112</v>
      </c>
      <c r="R2343" s="110" t="s">
        <v>1459</v>
      </c>
      <c r="S2343" s="94"/>
    </row>
    <row r="2344" spans="1:19" hidden="1">
      <c r="A2344" s="103" t="s">
        <v>4412</v>
      </c>
      <c r="B2344" s="149" t="str">
        <f>IFERROR(VLOOKUP(Proc[[#This Row],[App]],Table2[],3,0),"open")</f>
        <v>ok</v>
      </c>
      <c r="C2344" s="124" t="s">
        <v>369</v>
      </c>
      <c r="D2344" t="s">
        <v>4401</v>
      </c>
      <c r="E2344" t="s">
        <v>4410</v>
      </c>
      <c r="F2344" s="124" t="s">
        <v>4410</v>
      </c>
      <c r="G2344" s="103" t="s">
        <v>406</v>
      </c>
      <c r="H2344" s="94" t="str">
        <f>IF(Proc[[#This Row],[type]]="LFF (MDG-F)",MID(Proc[[#This Row],[Obj]],13,10),"")</f>
        <v>ES50GIT40L</v>
      </c>
      <c r="I2344" s="103" t="s">
        <v>4413</v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MGF</v>
      </c>
      <c r="L2344" s="125" t="s">
        <v>4894</v>
      </c>
      <c r="M2344" s="109">
        <v>45839.516793981478</v>
      </c>
      <c r="N2344" s="109">
        <v>45841</v>
      </c>
      <c r="O2344" s="109"/>
      <c r="P2344" s="110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112</v>
      </c>
      <c r="R2344" s="110" t="s">
        <v>1459</v>
      </c>
      <c r="S2344" s="94"/>
    </row>
    <row r="2345" spans="1:19" hidden="1">
      <c r="A2345" s="103" t="s">
        <v>4412</v>
      </c>
      <c r="B2345" s="149" t="str">
        <f>IFERROR(VLOOKUP(Proc[[#This Row],[App]],Table2[],3,0),"open")</f>
        <v>ok</v>
      </c>
      <c r="C2345" s="124" t="s">
        <v>369</v>
      </c>
      <c r="D2345" t="s">
        <v>4402</v>
      </c>
      <c r="E2345" t="s">
        <v>2616</v>
      </c>
      <c r="F2345" s="124" t="s">
        <v>2616</v>
      </c>
      <c r="G2345" t="s">
        <v>406</v>
      </c>
      <c r="H2345" s="94" t="str">
        <f>IF(Proc[[#This Row],[type]]="LFF (MDG-F)",MID(Proc[[#This Row],[Obj]],13,10),"")</f>
        <v>IT50GIT025</v>
      </c>
      <c r="I2345" s="103" t="s">
        <v>4413</v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MGF</v>
      </c>
      <c r="L2345" s="125" t="s">
        <v>4894</v>
      </c>
      <c r="M2345" s="109">
        <v>45839.516793981478</v>
      </c>
      <c r="N2345" s="109">
        <v>45841</v>
      </c>
      <c r="O2345" s="109"/>
      <c r="P2345" s="110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112</v>
      </c>
      <c r="R2345" s="110" t="s">
        <v>1459</v>
      </c>
      <c r="S2345" s="94"/>
    </row>
    <row r="2346" spans="1:19" hidden="1">
      <c r="A2346" s="103" t="s">
        <v>4412</v>
      </c>
      <c r="B2346" s="149" t="str">
        <f>IFERROR(VLOOKUP(Proc[[#This Row],[App]],Table2[],3,0),"open")</f>
        <v>ok</v>
      </c>
      <c r="C2346" s="124" t="s">
        <v>369</v>
      </c>
      <c r="D2346" t="s">
        <v>4403</v>
      </c>
      <c r="E2346" t="s">
        <v>427</v>
      </c>
      <c r="F2346" s="124" t="s">
        <v>427</v>
      </c>
      <c r="G2346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MGF</v>
      </c>
      <c r="L2346" s="125" t="s">
        <v>4894</v>
      </c>
      <c r="M2346" s="109">
        <v>45839.516793981478</v>
      </c>
      <c r="N2346" s="109">
        <v>45841</v>
      </c>
      <c r="O2346" s="109"/>
      <c r="P2346" s="110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112</v>
      </c>
      <c r="R2346" s="110" t="s">
        <v>1459</v>
      </c>
      <c r="S2346" s="94"/>
    </row>
    <row r="2347" spans="1:19" hidden="1">
      <c r="A2347" s="103" t="s">
        <v>4412</v>
      </c>
      <c r="B2347" s="149" t="str">
        <f>IFERROR(VLOOKUP(Proc[[#This Row],[App]],Table2[],3,0),"open")</f>
        <v>ok</v>
      </c>
      <c r="C2347" s="124" t="s">
        <v>369</v>
      </c>
      <c r="D2347" t="s">
        <v>4404</v>
      </c>
      <c r="E2347" t="s">
        <v>4411</v>
      </c>
      <c r="F2347" s="124" t="s">
        <v>4411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MGF</v>
      </c>
      <c r="L2347" s="125" t="s">
        <v>4894</v>
      </c>
      <c r="M2347" s="109">
        <v>45839.516793981478</v>
      </c>
      <c r="N2347" s="109">
        <v>45841</v>
      </c>
      <c r="O2347" s="109"/>
      <c r="P2347" s="110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112</v>
      </c>
      <c r="R2347" s="110" t="s">
        <v>1459</v>
      </c>
      <c r="S2347" s="94"/>
    </row>
    <row r="2348" spans="1:19" hidden="1">
      <c r="A2348" s="103" t="s">
        <v>4412</v>
      </c>
      <c r="B2348" s="149" t="str">
        <f>IFERROR(VLOOKUP(Proc[[#This Row],[App]],Table2[],3,0),"open")</f>
        <v>ok</v>
      </c>
      <c r="C2348" s="124" t="s">
        <v>369</v>
      </c>
      <c r="D2348" t="s">
        <v>4405</v>
      </c>
      <c r="E2348" t="s">
        <v>427</v>
      </c>
      <c r="F2348" s="124" t="s">
        <v>427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MGF</v>
      </c>
      <c r="L2348" s="125" t="s">
        <v>4894</v>
      </c>
      <c r="M2348" s="109">
        <v>45839.516793981478</v>
      </c>
      <c r="N2348" s="109">
        <v>45841</v>
      </c>
      <c r="O2348" s="109"/>
      <c r="P2348" s="110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112</v>
      </c>
      <c r="R2348" s="110" t="s">
        <v>1459</v>
      </c>
      <c r="S2348" s="94"/>
    </row>
    <row r="2349" spans="1:19" hidden="1">
      <c r="A2349" s="103" t="s">
        <v>4412</v>
      </c>
      <c r="B2349" s="149" t="str">
        <f>IFERROR(VLOOKUP(Proc[[#This Row],[App]],Table2[],3,0),"open")</f>
        <v>ok</v>
      </c>
      <c r="C2349" s="124" t="s">
        <v>369</v>
      </c>
      <c r="D2349" t="s">
        <v>4406</v>
      </c>
      <c r="E2349" t="s">
        <v>4411</v>
      </c>
      <c r="F2349" s="124" t="s">
        <v>4411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MGF</v>
      </c>
      <c r="L2349" s="125" t="s">
        <v>4894</v>
      </c>
      <c r="M2349" s="109">
        <v>45839.516793981478</v>
      </c>
      <c r="N2349" s="109">
        <v>45841</v>
      </c>
      <c r="O2349" s="109"/>
      <c r="P2349" s="110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112</v>
      </c>
      <c r="R2349" s="110" t="s">
        <v>1459</v>
      </c>
      <c r="S2349" s="94"/>
    </row>
    <row r="2350" spans="1:19" hidden="1">
      <c r="A2350" s="103" t="s">
        <v>4412</v>
      </c>
      <c r="B2350" s="149" t="str">
        <f>IFERROR(VLOOKUP(Proc[[#This Row],[App]],Table2[],3,0),"open")</f>
        <v>ok</v>
      </c>
      <c r="C2350" s="124" t="s">
        <v>369</v>
      </c>
      <c r="D2350" t="s">
        <v>4407</v>
      </c>
      <c r="E2350" t="s">
        <v>4411</v>
      </c>
      <c r="F2350" s="124" t="s">
        <v>4411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MGF</v>
      </c>
      <c r="L2350" s="125" t="s">
        <v>4894</v>
      </c>
      <c r="M2350" s="109">
        <v>45839.516793981478</v>
      </c>
      <c r="N2350" s="109">
        <v>45841</v>
      </c>
      <c r="O2350" s="109"/>
      <c r="P2350" s="110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112</v>
      </c>
      <c r="R2350" s="110" t="s">
        <v>1459</v>
      </c>
      <c r="S2350" s="94"/>
    </row>
    <row r="2351" spans="1:19" hidden="1">
      <c r="A2351" s="103" t="s">
        <v>4412</v>
      </c>
      <c r="B2351" s="149" t="str">
        <f>IFERROR(VLOOKUP(Proc[[#This Row],[App]],Table2[],3,0),"open")</f>
        <v>ok</v>
      </c>
      <c r="C2351" s="124" t="s">
        <v>369</v>
      </c>
      <c r="D2351" t="s">
        <v>4408</v>
      </c>
      <c r="E2351" t="s">
        <v>425</v>
      </c>
      <c r="F2351" s="124" t="s">
        <v>425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MGF</v>
      </c>
      <c r="L2351" s="125" t="s">
        <v>4894</v>
      </c>
      <c r="M2351" s="109">
        <v>45839.516793981478</v>
      </c>
      <c r="N2351" s="109">
        <v>45841</v>
      </c>
      <c r="O2351" s="109"/>
      <c r="P2351" s="110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112</v>
      </c>
      <c r="R2351" s="110" t="s">
        <v>1459</v>
      </c>
      <c r="S2351" s="94"/>
    </row>
    <row r="2352" spans="1:19" hidden="1">
      <c r="A2352" s="103" t="s">
        <v>4412</v>
      </c>
      <c r="B2352" s="149" t="str">
        <f>IFERROR(VLOOKUP(Proc[[#This Row],[App]],Table2[],3,0),"open")</f>
        <v>ok</v>
      </c>
      <c r="C2352" s="124" t="s">
        <v>369</v>
      </c>
      <c r="D2352" t="s">
        <v>2609</v>
      </c>
      <c r="E2352" t="s">
        <v>2616</v>
      </c>
      <c r="F2352" s="124" t="s">
        <v>2616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MGF</v>
      </c>
      <c r="L2352" s="125" t="s">
        <v>4894</v>
      </c>
      <c r="M2352" s="109">
        <v>45839.516793981478</v>
      </c>
      <c r="N2352" s="109">
        <v>45841</v>
      </c>
      <c r="O2352" s="109"/>
      <c r="P2352" s="110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112</v>
      </c>
      <c r="R2352" s="110" t="s">
        <v>1459</v>
      </c>
      <c r="S2352" s="94"/>
    </row>
    <row r="2353" spans="1:19" hidden="1">
      <c r="A2353" t="s">
        <v>4415</v>
      </c>
      <c r="B2353" s="149" t="str">
        <f>IFERROR(VLOOKUP(Proc[[#This Row],[App]],Table2[],3,0),"open")</f>
        <v>ok</v>
      </c>
      <c r="C2353" s="103" t="s">
        <v>369</v>
      </c>
      <c r="D2353" t="s">
        <v>4414</v>
      </c>
      <c r="E2353" t="s">
        <v>2522</v>
      </c>
      <c r="F2353" s="120" t="s">
        <v>2522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HC</v>
      </c>
      <c r="L2353" s="125" t="s">
        <v>4894</v>
      </c>
      <c r="M2353" s="109">
        <v>45840.384687500002</v>
      </c>
      <c r="N2353" s="109">
        <v>45841</v>
      </c>
      <c r="O2353" s="109">
        <v>45841</v>
      </c>
      <c r="P2353" s="110" t="str">
        <f ca="1">IF(Proc[[#This Row],[DaysAgeing]]&gt;5,"yep","on track")</f>
        <v>on track</v>
      </c>
      <c r="Q2353" s="3">
        <f ca="1">IF(Proc[[#This Row],[DateClosed]]="",ABS(NETWORKDAYS(Proc[[#This Row],[DateOpened]],TODAY()))-1,ABS(NETWORKDAYS(Proc[[#This Row],[DateOpened]],Proc[[#This Row],[DateClosed]]))-1)</f>
        <v>1</v>
      </c>
      <c r="R2353" s="110" t="s">
        <v>4416</v>
      </c>
      <c r="S2353" s="94"/>
    </row>
    <row r="2354" spans="1:19" hidden="1">
      <c r="A2354" t="s">
        <v>4418</v>
      </c>
      <c r="B2354" s="149" t="str">
        <f>IFERROR(VLOOKUP(Proc[[#This Row],[App]],Table2[],3,0),"open")</f>
        <v>ok</v>
      </c>
      <c r="C2354" s="103" t="s">
        <v>369</v>
      </c>
      <c r="D2354" t="s">
        <v>4417</v>
      </c>
      <c r="E2354" t="s">
        <v>4803</v>
      </c>
      <c r="F2354" s="94" t="s">
        <v>4803</v>
      </c>
      <c r="G2354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LS</v>
      </c>
      <c r="L2354" s="125" t="s">
        <v>4894</v>
      </c>
      <c r="M2354" s="109">
        <v>45841.242280092592</v>
      </c>
      <c r="N2354" s="109"/>
      <c r="O2354" s="109"/>
      <c r="P2354" s="110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110</v>
      </c>
      <c r="R2354" s="110" t="s">
        <v>489</v>
      </c>
      <c r="S2354" s="94"/>
    </row>
    <row r="2355" spans="1:19" hidden="1">
      <c r="A2355" t="s">
        <v>4420</v>
      </c>
      <c r="B2355" s="149" t="str">
        <f>IFERROR(VLOOKUP(Proc[[#This Row],[App]],Table2[],3,0),"open")</f>
        <v>ok</v>
      </c>
      <c r="C2355" s="103" t="s">
        <v>369</v>
      </c>
      <c r="D2355" t="s">
        <v>4419</v>
      </c>
      <c r="E2355" t="s">
        <v>4421</v>
      </c>
      <c r="F2355" s="94" t="s">
        <v>4421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LS</v>
      </c>
      <c r="L2355" s="125" t="s">
        <v>4894</v>
      </c>
      <c r="M2355" s="109">
        <v>45841.224687499998</v>
      </c>
      <c r="N2355" s="109"/>
      <c r="O2355" s="109"/>
      <c r="P2355" s="110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110</v>
      </c>
      <c r="R2355" s="110" t="s">
        <v>489</v>
      </c>
      <c r="S2355" s="94"/>
    </row>
    <row r="2356" spans="1:19" hidden="1">
      <c r="A2356" t="s">
        <v>4422</v>
      </c>
      <c r="B2356" s="149" t="str">
        <f>IFERROR(VLOOKUP(Proc[[#This Row],[App]],Table2[],3,0),"open")</f>
        <v>ok</v>
      </c>
      <c r="C2356" s="117" t="s">
        <v>369</v>
      </c>
      <c r="D2356" t="s">
        <v>4423</v>
      </c>
      <c r="E2356" t="s">
        <v>4734</v>
      </c>
      <c r="F2356" s="94" t="s">
        <v>4734</v>
      </c>
      <c r="G2356" s="103" t="s">
        <v>406</v>
      </c>
      <c r="H2356" s="94" t="str">
        <f>IF(Proc[[#This Row],[type]]="LFF (MDG-F)",MID(Proc[[#This Row],[Obj]],13,10),"")</f>
        <v>DE20122000</v>
      </c>
      <c r="I2356" t="s">
        <v>4784</v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MGF</v>
      </c>
      <c r="L2356" s="125" t="s">
        <v>4894</v>
      </c>
      <c r="M2356" s="109">
        <v>45841.453541666669</v>
      </c>
      <c r="N2356" s="109"/>
      <c r="O2356" s="109"/>
      <c r="P2356" s="110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110</v>
      </c>
      <c r="R2356" s="110" t="s">
        <v>485</v>
      </c>
      <c r="S2356" s="94"/>
    </row>
    <row r="2357" spans="1:19" hidden="1">
      <c r="A2357" s="103" t="s">
        <v>4422</v>
      </c>
      <c r="B2357" s="149" t="str">
        <f>IFERROR(VLOOKUP(Proc[[#This Row],[App]],Table2[],3,0),"open")</f>
        <v>ok</v>
      </c>
      <c r="C2357" s="117" t="s">
        <v>369</v>
      </c>
      <c r="D2357" t="s">
        <v>4424</v>
      </c>
      <c r="E2357" t="s">
        <v>4734</v>
      </c>
      <c r="F2357" s="94" t="s">
        <v>4734</v>
      </c>
      <c r="G2357" s="103" t="s">
        <v>406</v>
      </c>
      <c r="H2357" s="94" t="str">
        <f>IF(Proc[[#This Row],[type]]="LFF (MDG-F)",MID(Proc[[#This Row],[Obj]],13,10),"")</f>
        <v>DE20123000</v>
      </c>
      <c r="I2357" s="103" t="s">
        <v>4784</v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MGF</v>
      </c>
      <c r="L2357" s="125" t="s">
        <v>4894</v>
      </c>
      <c r="M2357" s="109">
        <v>45841.453541666669</v>
      </c>
      <c r="N2357" s="109"/>
      <c r="O2357" s="109"/>
      <c r="P2357" s="110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110</v>
      </c>
      <c r="R2357" s="110" t="s">
        <v>485</v>
      </c>
      <c r="S2357" s="94"/>
    </row>
    <row r="2358" spans="1:19" hidden="1">
      <c r="A2358" s="103" t="s">
        <v>4422</v>
      </c>
      <c r="B2358" s="149" t="str">
        <f>IFERROR(VLOOKUP(Proc[[#This Row],[App]],Table2[],3,0),"open")</f>
        <v>ok</v>
      </c>
      <c r="C2358" s="117" t="s">
        <v>369</v>
      </c>
      <c r="D2358" t="s">
        <v>4425</v>
      </c>
      <c r="E2358" t="s">
        <v>4735</v>
      </c>
      <c r="F2358" s="94" t="s">
        <v>4735</v>
      </c>
      <c r="G2358" s="103" t="s">
        <v>406</v>
      </c>
      <c r="H2358" s="94" t="str">
        <f>IF(Proc[[#This Row],[type]]="LFF (MDG-F)",MID(Proc[[#This Row],[Obj]],13,10),"")</f>
        <v>DE10515800</v>
      </c>
      <c r="I2358" s="103" t="s">
        <v>4784</v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MGF</v>
      </c>
      <c r="L2358" s="125" t="s">
        <v>4894</v>
      </c>
      <c r="M2358" s="109">
        <v>45841.453541666669</v>
      </c>
      <c r="N2358" s="109"/>
      <c r="O2358" s="109"/>
      <c r="P2358" s="110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110</v>
      </c>
      <c r="R2358" s="110" t="s">
        <v>485</v>
      </c>
      <c r="S2358" s="94"/>
    </row>
    <row r="2359" spans="1:19" hidden="1">
      <c r="A2359" s="103" t="s">
        <v>4422</v>
      </c>
      <c r="B2359" s="149" t="str">
        <f>IFERROR(VLOOKUP(Proc[[#This Row],[App]],Table2[],3,0),"open")</f>
        <v>ok</v>
      </c>
      <c r="C2359" s="117" t="s">
        <v>369</v>
      </c>
      <c r="D2359" t="s">
        <v>4426</v>
      </c>
      <c r="E2359" t="s">
        <v>4735</v>
      </c>
      <c r="F2359" s="94" t="s">
        <v>4735</v>
      </c>
      <c r="G2359" s="103" t="s">
        <v>406</v>
      </c>
      <c r="H2359" s="94" t="str">
        <f>IF(Proc[[#This Row],[type]]="LFF (MDG-F)",MID(Proc[[#This Row],[Obj]],13,10),"")</f>
        <v>DE10538021</v>
      </c>
      <c r="I2359" s="103" t="s">
        <v>4784</v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MGF</v>
      </c>
      <c r="L2359" s="125" t="s">
        <v>4894</v>
      </c>
      <c r="M2359" s="109">
        <v>45841.453541666669</v>
      </c>
      <c r="N2359" s="109"/>
      <c r="O2359" s="109"/>
      <c r="P2359" s="110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110</v>
      </c>
      <c r="R2359" s="110" t="s">
        <v>485</v>
      </c>
      <c r="S2359" s="94"/>
    </row>
    <row r="2360" spans="1:19" hidden="1">
      <c r="A2360" s="103" t="s">
        <v>4422</v>
      </c>
      <c r="B2360" s="149" t="str">
        <f>IFERROR(VLOOKUP(Proc[[#This Row],[App]],Table2[],3,0),"open")</f>
        <v>ok</v>
      </c>
      <c r="C2360" s="117" t="s">
        <v>369</v>
      </c>
      <c r="D2360" t="s">
        <v>4427</v>
      </c>
      <c r="E2360" t="s">
        <v>4735</v>
      </c>
      <c r="F2360" s="94" t="s">
        <v>4735</v>
      </c>
      <c r="G2360" s="103" t="s">
        <v>406</v>
      </c>
      <c r="H2360" s="94" t="str">
        <f>IF(Proc[[#This Row],[type]]="LFF (MDG-F)",MID(Proc[[#This Row],[Obj]],13,10),"")</f>
        <v>DE10566000</v>
      </c>
      <c r="I2360" s="103" t="s">
        <v>4784</v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MGF</v>
      </c>
      <c r="L2360" s="125" t="s">
        <v>4894</v>
      </c>
      <c r="M2360" s="109">
        <v>45841.453541666669</v>
      </c>
      <c r="N2360" s="109"/>
      <c r="O2360" s="109"/>
      <c r="P2360" s="110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110</v>
      </c>
      <c r="R2360" s="110" t="s">
        <v>485</v>
      </c>
      <c r="S2360" s="94"/>
    </row>
    <row r="2361" spans="1:19" hidden="1">
      <c r="A2361" s="103" t="s">
        <v>4422</v>
      </c>
      <c r="B2361" s="149" t="str">
        <f>IFERROR(VLOOKUP(Proc[[#This Row],[App]],Table2[],3,0),"open")</f>
        <v>ok</v>
      </c>
      <c r="C2361" s="117" t="s">
        <v>369</v>
      </c>
      <c r="D2361" t="s">
        <v>4428</v>
      </c>
      <c r="E2361" t="s">
        <v>4736</v>
      </c>
      <c r="F2361" s="94" t="s">
        <v>4736</v>
      </c>
      <c r="G2361" s="103" t="s">
        <v>406</v>
      </c>
      <c r="H2361" s="94" t="str">
        <f>IF(Proc[[#This Row],[type]]="LFF (MDG-F)",MID(Proc[[#This Row],[Obj]],13,10),"")</f>
        <v>DE10537833</v>
      </c>
      <c r="I2361" s="103" t="s">
        <v>4784</v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MGF</v>
      </c>
      <c r="L2361" s="125" t="s">
        <v>4894</v>
      </c>
      <c r="M2361" s="109">
        <v>45841.453541666669</v>
      </c>
      <c r="N2361" s="109"/>
      <c r="O2361" s="109"/>
      <c r="P2361" s="110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110</v>
      </c>
      <c r="R2361" s="110" t="s">
        <v>485</v>
      </c>
      <c r="S2361" s="94"/>
    </row>
    <row r="2362" spans="1:19" hidden="1">
      <c r="A2362" s="103" t="s">
        <v>4422</v>
      </c>
      <c r="B2362" s="149" t="str">
        <f>IFERROR(VLOOKUP(Proc[[#This Row],[App]],Table2[],3,0),"open")</f>
        <v>ok</v>
      </c>
      <c r="C2362" s="117" t="s">
        <v>369</v>
      </c>
      <c r="D2362" t="s">
        <v>4429</v>
      </c>
      <c r="E2362" t="s">
        <v>4736</v>
      </c>
      <c r="F2362" s="94" t="s">
        <v>4736</v>
      </c>
      <c r="G2362" s="103" t="s">
        <v>406</v>
      </c>
      <c r="H2362" s="94" t="str">
        <f>IF(Proc[[#This Row],[type]]="LFF (MDG-F)",MID(Proc[[#This Row],[Obj]],13,10),"")</f>
        <v>DE10538012</v>
      </c>
      <c r="I2362" s="103" t="s">
        <v>4784</v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MGF</v>
      </c>
      <c r="L2362" s="125" t="s">
        <v>4894</v>
      </c>
      <c r="M2362" s="109">
        <v>45841.453541666669</v>
      </c>
      <c r="N2362" s="109"/>
      <c r="O2362" s="109"/>
      <c r="P2362" s="110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110</v>
      </c>
      <c r="R2362" s="110" t="s">
        <v>485</v>
      </c>
      <c r="S2362" s="94"/>
    </row>
    <row r="2363" spans="1:19" hidden="1">
      <c r="A2363" s="103" t="s">
        <v>4422</v>
      </c>
      <c r="B2363" s="149" t="str">
        <f>IFERROR(VLOOKUP(Proc[[#This Row],[App]],Table2[],3,0),"open")</f>
        <v>ok</v>
      </c>
      <c r="C2363" s="117" t="s">
        <v>369</v>
      </c>
      <c r="D2363" t="s">
        <v>4430</v>
      </c>
      <c r="E2363" t="s">
        <v>4736</v>
      </c>
      <c r="F2363" s="94" t="s">
        <v>4736</v>
      </c>
      <c r="G2363" s="103" t="s">
        <v>406</v>
      </c>
      <c r="H2363" s="94" t="str">
        <f>IF(Proc[[#This Row],[type]]="LFF (MDG-F)",MID(Proc[[#This Row],[Obj]],13,10),"")</f>
        <v>DE10538014</v>
      </c>
      <c r="I2363" s="103" t="s">
        <v>4784</v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MGF</v>
      </c>
      <c r="L2363" s="125" t="s">
        <v>4894</v>
      </c>
      <c r="M2363" s="109">
        <v>45841.453541666669</v>
      </c>
      <c r="N2363" s="109"/>
      <c r="O2363" s="109"/>
      <c r="P2363" s="110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110</v>
      </c>
      <c r="R2363" s="110" t="s">
        <v>485</v>
      </c>
      <c r="S2363" s="94"/>
    </row>
    <row r="2364" spans="1:19" hidden="1">
      <c r="A2364" s="103" t="s">
        <v>4422</v>
      </c>
      <c r="B2364" s="149" t="str">
        <f>IFERROR(VLOOKUP(Proc[[#This Row],[App]],Table2[],3,0),"open")</f>
        <v>ok</v>
      </c>
      <c r="C2364" s="117" t="s">
        <v>369</v>
      </c>
      <c r="D2364" t="s">
        <v>4431</v>
      </c>
      <c r="E2364" t="s">
        <v>4736</v>
      </c>
      <c r="F2364" s="94" t="s">
        <v>4736</v>
      </c>
      <c r="G2364" s="103" t="s">
        <v>406</v>
      </c>
      <c r="H2364" s="94" t="str">
        <f>IF(Proc[[#This Row],[type]]="LFF (MDG-F)",MID(Proc[[#This Row],[Obj]],13,10),"")</f>
        <v>DE10538015</v>
      </c>
      <c r="I2364" s="103" t="s">
        <v>4784</v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MGF</v>
      </c>
      <c r="L2364" s="125" t="s">
        <v>4894</v>
      </c>
      <c r="M2364" s="109">
        <v>45841.453541666669</v>
      </c>
      <c r="N2364" s="109"/>
      <c r="O2364" s="109"/>
      <c r="P2364" s="110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110</v>
      </c>
      <c r="R2364" s="110" t="s">
        <v>485</v>
      </c>
      <c r="S2364" s="94"/>
    </row>
    <row r="2365" spans="1:19" hidden="1">
      <c r="A2365" s="103" t="s">
        <v>4422</v>
      </c>
      <c r="B2365" s="149" t="str">
        <f>IFERROR(VLOOKUP(Proc[[#This Row],[App]],Table2[],3,0),"open")</f>
        <v>ok</v>
      </c>
      <c r="C2365" s="117" t="s">
        <v>369</v>
      </c>
      <c r="D2365" t="s">
        <v>4432</v>
      </c>
      <c r="E2365" t="s">
        <v>4736</v>
      </c>
      <c r="F2365" s="94" t="s">
        <v>4736</v>
      </c>
      <c r="G2365" s="103" t="s">
        <v>406</v>
      </c>
      <c r="H2365" s="94" t="str">
        <f>IF(Proc[[#This Row],[type]]="LFF (MDG-F)",MID(Proc[[#This Row],[Obj]],13,10),"")</f>
        <v>DE10538017</v>
      </c>
      <c r="I2365" s="103" t="s">
        <v>4784</v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MGF</v>
      </c>
      <c r="L2365" s="125" t="s">
        <v>4894</v>
      </c>
      <c r="M2365" s="109">
        <v>45841.453541666669</v>
      </c>
      <c r="N2365" s="109"/>
      <c r="O2365" s="109"/>
      <c r="P2365" s="110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110</v>
      </c>
      <c r="R2365" s="110" t="s">
        <v>485</v>
      </c>
      <c r="S2365" s="94"/>
    </row>
    <row r="2366" spans="1:19" hidden="1">
      <c r="A2366" s="103" t="s">
        <v>4422</v>
      </c>
      <c r="B2366" s="149" t="str">
        <f>IFERROR(VLOOKUP(Proc[[#This Row],[App]],Table2[],3,0),"open")</f>
        <v>ok</v>
      </c>
      <c r="C2366" s="117" t="s">
        <v>369</v>
      </c>
      <c r="D2366" t="s">
        <v>4433</v>
      </c>
      <c r="E2366" t="s">
        <v>4736</v>
      </c>
      <c r="F2366" s="94" t="s">
        <v>4736</v>
      </c>
      <c r="G2366" s="103" t="s">
        <v>406</v>
      </c>
      <c r="H2366" s="94" t="str">
        <f>IF(Proc[[#This Row],[type]]="LFF (MDG-F)",MID(Proc[[#This Row],[Obj]],13,10),"")</f>
        <v>DE10538018</v>
      </c>
      <c r="I2366" s="103" t="s">
        <v>4784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MGF</v>
      </c>
      <c r="L2366" s="125" t="s">
        <v>4894</v>
      </c>
      <c r="M2366" s="109">
        <v>45841.453541666669</v>
      </c>
      <c r="N2366" s="109"/>
      <c r="O2366" s="109"/>
      <c r="P2366" s="110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110</v>
      </c>
      <c r="R2366" s="110" t="s">
        <v>485</v>
      </c>
      <c r="S2366" s="94"/>
    </row>
    <row r="2367" spans="1:19" hidden="1">
      <c r="A2367" s="103" t="s">
        <v>4422</v>
      </c>
      <c r="B2367" s="149" t="str">
        <f>IFERROR(VLOOKUP(Proc[[#This Row],[App]],Table2[],3,0),"open")</f>
        <v>ok</v>
      </c>
      <c r="C2367" s="117" t="s">
        <v>369</v>
      </c>
      <c r="D2367" t="s">
        <v>4434</v>
      </c>
      <c r="E2367" t="s">
        <v>4736</v>
      </c>
      <c r="F2367" s="94" t="s">
        <v>4736</v>
      </c>
      <c r="G2367" s="103" t="s">
        <v>406</v>
      </c>
      <c r="H2367" s="94" t="str">
        <f>IF(Proc[[#This Row],[type]]="LFF (MDG-F)",MID(Proc[[#This Row],[Obj]],13,10),"")</f>
        <v>DE10538132</v>
      </c>
      <c r="I2367" s="103" t="s">
        <v>4784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MGF</v>
      </c>
      <c r="L2367" s="125" t="s">
        <v>4894</v>
      </c>
      <c r="M2367" s="109">
        <v>45841.453541666669</v>
      </c>
      <c r="N2367" s="109"/>
      <c r="O2367" s="109"/>
      <c r="P2367" s="110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110</v>
      </c>
      <c r="R2367" s="110" t="s">
        <v>485</v>
      </c>
      <c r="S2367" s="94"/>
    </row>
    <row r="2368" spans="1:19" hidden="1">
      <c r="A2368" s="103" t="s">
        <v>4422</v>
      </c>
      <c r="B2368" s="149" t="str">
        <f>IFERROR(VLOOKUP(Proc[[#This Row],[App]],Table2[],3,0),"open")</f>
        <v>ok</v>
      </c>
      <c r="C2368" s="117" t="s">
        <v>369</v>
      </c>
      <c r="D2368" t="s">
        <v>4435</v>
      </c>
      <c r="E2368" t="s">
        <v>4737</v>
      </c>
      <c r="F2368" s="94" t="s">
        <v>4737</v>
      </c>
      <c r="G2368" s="103" t="s">
        <v>406</v>
      </c>
      <c r="H2368" s="94" t="str">
        <f>IF(Proc[[#This Row],[type]]="LFF (MDG-F)",MID(Proc[[#This Row],[Obj]],13,10),"")</f>
        <v>DE10538101</v>
      </c>
      <c r="I2368" s="103" t="s">
        <v>4784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MGF</v>
      </c>
      <c r="L2368" s="125" t="s">
        <v>4894</v>
      </c>
      <c r="M2368" s="109">
        <v>45841.453541666669</v>
      </c>
      <c r="N2368" s="109"/>
      <c r="O2368" s="109"/>
      <c r="P2368" s="110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110</v>
      </c>
      <c r="R2368" s="110" t="s">
        <v>485</v>
      </c>
      <c r="S2368" s="94"/>
    </row>
    <row r="2369" spans="1:19" hidden="1">
      <c r="A2369" s="103" t="s">
        <v>4422</v>
      </c>
      <c r="B2369" s="149" t="str">
        <f>IFERROR(VLOOKUP(Proc[[#This Row],[App]],Table2[],3,0),"open")</f>
        <v>ok</v>
      </c>
      <c r="C2369" s="117" t="s">
        <v>369</v>
      </c>
      <c r="D2369" t="s">
        <v>4436</v>
      </c>
      <c r="E2369" t="s">
        <v>4737</v>
      </c>
      <c r="F2369" s="94" t="s">
        <v>4737</v>
      </c>
      <c r="G2369" s="103" t="s">
        <v>406</v>
      </c>
      <c r="H2369" s="94" t="str">
        <f>IF(Proc[[#This Row],[type]]="LFF (MDG-F)",MID(Proc[[#This Row],[Obj]],13,10),"")</f>
        <v>DE10538102</v>
      </c>
      <c r="I2369" s="103" t="s">
        <v>4784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MGF</v>
      </c>
      <c r="L2369" s="125" t="s">
        <v>4894</v>
      </c>
      <c r="M2369" s="109">
        <v>45841.453541666669</v>
      </c>
      <c r="N2369" s="109"/>
      <c r="O2369" s="109"/>
      <c r="P2369" s="110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110</v>
      </c>
      <c r="R2369" s="110" t="s">
        <v>485</v>
      </c>
      <c r="S2369" s="94"/>
    </row>
    <row r="2370" spans="1:19" hidden="1">
      <c r="A2370" s="103" t="s">
        <v>4422</v>
      </c>
      <c r="B2370" s="149" t="str">
        <f>IFERROR(VLOOKUP(Proc[[#This Row],[App]],Table2[],3,0),"open")</f>
        <v>ok</v>
      </c>
      <c r="C2370" s="117" t="s">
        <v>369</v>
      </c>
      <c r="D2370" t="s">
        <v>4437</v>
      </c>
      <c r="E2370" t="s">
        <v>4737</v>
      </c>
      <c r="F2370" s="94" t="s">
        <v>4737</v>
      </c>
      <c r="G2370" s="103" t="s">
        <v>406</v>
      </c>
      <c r="H2370" s="94" t="str">
        <f>IF(Proc[[#This Row],[type]]="LFF (MDG-F)",MID(Proc[[#This Row],[Obj]],13,10),"")</f>
        <v>DE10538104</v>
      </c>
      <c r="I2370" s="103" t="s">
        <v>4784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MGF</v>
      </c>
      <c r="L2370" s="125" t="s">
        <v>4894</v>
      </c>
      <c r="M2370" s="109">
        <v>45841.453541666669</v>
      </c>
      <c r="N2370" s="109"/>
      <c r="O2370" s="109"/>
      <c r="P2370" s="110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110</v>
      </c>
      <c r="R2370" s="110" t="s">
        <v>485</v>
      </c>
      <c r="S2370" s="94"/>
    </row>
    <row r="2371" spans="1:19" hidden="1">
      <c r="A2371" s="103" t="s">
        <v>4422</v>
      </c>
      <c r="B2371" s="149" t="str">
        <f>IFERROR(VLOOKUP(Proc[[#This Row],[App]],Table2[],3,0),"open")</f>
        <v>ok</v>
      </c>
      <c r="C2371" s="117" t="s">
        <v>369</v>
      </c>
      <c r="D2371" t="s">
        <v>4438</v>
      </c>
      <c r="E2371" t="s">
        <v>4738</v>
      </c>
      <c r="F2371" s="94" t="s">
        <v>4738</v>
      </c>
      <c r="G2371" s="103" t="s">
        <v>406</v>
      </c>
      <c r="H2371" s="94" t="str">
        <f>IF(Proc[[#This Row],[type]]="LFF (MDG-F)",MID(Proc[[#This Row],[Obj]],13,10),"")</f>
        <v>DE10538109</v>
      </c>
      <c r="I2371" s="103" t="s">
        <v>4784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MGF</v>
      </c>
      <c r="L2371" s="125" t="s">
        <v>4894</v>
      </c>
      <c r="M2371" s="109">
        <v>45841.453541666669</v>
      </c>
      <c r="N2371" s="109"/>
      <c r="O2371" s="109"/>
      <c r="P2371" s="110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110</v>
      </c>
      <c r="R2371" s="110" t="s">
        <v>485</v>
      </c>
      <c r="S2371" s="94"/>
    </row>
    <row r="2372" spans="1:19" hidden="1">
      <c r="A2372" s="103" t="s">
        <v>4422</v>
      </c>
      <c r="B2372" s="149" t="str">
        <f>IFERROR(VLOOKUP(Proc[[#This Row],[App]],Table2[],3,0),"open")</f>
        <v>ok</v>
      </c>
      <c r="C2372" s="117" t="s">
        <v>369</v>
      </c>
      <c r="D2372" t="s">
        <v>4439</v>
      </c>
      <c r="E2372" t="s">
        <v>4737</v>
      </c>
      <c r="F2372" s="94" t="s">
        <v>4737</v>
      </c>
      <c r="G2372" s="103" t="s">
        <v>406</v>
      </c>
      <c r="H2372" s="94" t="str">
        <f>IF(Proc[[#This Row],[type]]="LFF (MDG-F)",MID(Proc[[#This Row],[Obj]],13,10),"")</f>
        <v>DE10538116</v>
      </c>
      <c r="I2372" s="103" t="s">
        <v>4784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MGF</v>
      </c>
      <c r="L2372" s="125" t="s">
        <v>4894</v>
      </c>
      <c r="M2372" s="109">
        <v>45841.453541666669</v>
      </c>
      <c r="N2372" s="109"/>
      <c r="O2372" s="109"/>
      <c r="P2372" s="110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110</v>
      </c>
      <c r="R2372" s="110" t="s">
        <v>485</v>
      </c>
      <c r="S2372" s="94"/>
    </row>
    <row r="2373" spans="1:19" hidden="1">
      <c r="A2373" s="103" t="s">
        <v>4422</v>
      </c>
      <c r="B2373" s="149" t="str">
        <f>IFERROR(VLOOKUP(Proc[[#This Row],[App]],Table2[],3,0),"open")</f>
        <v>ok</v>
      </c>
      <c r="C2373" s="117" t="s">
        <v>369</v>
      </c>
      <c r="D2373" t="s">
        <v>4440</v>
      </c>
      <c r="E2373" t="s">
        <v>4738</v>
      </c>
      <c r="F2373" s="94" t="s">
        <v>4738</v>
      </c>
      <c r="G2373" s="103" t="s">
        <v>406</v>
      </c>
      <c r="H2373" s="94" t="str">
        <f>IF(Proc[[#This Row],[type]]="LFF (MDG-F)",MID(Proc[[#This Row],[Obj]],13,10),"")</f>
        <v>DE10538123</v>
      </c>
      <c r="I2373" s="103" t="s">
        <v>4784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MGF</v>
      </c>
      <c r="L2373" s="125" t="s">
        <v>4894</v>
      </c>
      <c r="M2373" s="109">
        <v>45841.453541666669</v>
      </c>
      <c r="N2373" s="109"/>
      <c r="O2373" s="109"/>
      <c r="P2373" s="110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110</v>
      </c>
      <c r="R2373" s="110" t="s">
        <v>485</v>
      </c>
      <c r="S2373" s="94"/>
    </row>
    <row r="2374" spans="1:19" hidden="1">
      <c r="A2374" s="103" t="s">
        <v>4422</v>
      </c>
      <c r="B2374" s="149" t="str">
        <f>IFERROR(VLOOKUP(Proc[[#This Row],[App]],Table2[],3,0),"open")</f>
        <v>ok</v>
      </c>
      <c r="C2374" s="117" t="s">
        <v>369</v>
      </c>
      <c r="D2374" t="s">
        <v>4441</v>
      </c>
      <c r="E2374" t="s">
        <v>4739</v>
      </c>
      <c r="F2374" s="94" t="s">
        <v>4739</v>
      </c>
      <c r="G2374" s="103" t="s">
        <v>406</v>
      </c>
      <c r="H2374" s="94" t="str">
        <f>IF(Proc[[#This Row],[type]]="LFF (MDG-F)",MID(Proc[[#This Row],[Obj]],13,10),"")</f>
        <v>DE10538128</v>
      </c>
      <c r="I2374" s="103" t="s">
        <v>4784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MGF</v>
      </c>
      <c r="L2374" s="125" t="s">
        <v>4894</v>
      </c>
      <c r="M2374" s="109">
        <v>45841.453541666669</v>
      </c>
      <c r="N2374" s="109"/>
      <c r="O2374" s="109"/>
      <c r="P2374" s="110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110</v>
      </c>
      <c r="R2374" s="110" t="s">
        <v>485</v>
      </c>
      <c r="S2374" s="94"/>
    </row>
    <row r="2375" spans="1:19" hidden="1">
      <c r="A2375" s="103" t="s">
        <v>4422</v>
      </c>
      <c r="B2375" s="149" t="str">
        <f>IFERROR(VLOOKUP(Proc[[#This Row],[App]],Table2[],3,0),"open")</f>
        <v>ok</v>
      </c>
      <c r="C2375" s="117" t="s">
        <v>369</v>
      </c>
      <c r="D2375" t="s">
        <v>4442</v>
      </c>
      <c r="E2375" t="s">
        <v>4738</v>
      </c>
      <c r="F2375" s="94" t="s">
        <v>4738</v>
      </c>
      <c r="G2375" s="103" t="s">
        <v>406</v>
      </c>
      <c r="H2375" s="94" t="str">
        <f>IF(Proc[[#This Row],[type]]="LFF (MDG-F)",MID(Proc[[#This Row],[Obj]],13,10),"")</f>
        <v>DE10538146</v>
      </c>
      <c r="I2375" s="103" t="s">
        <v>4784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MGF</v>
      </c>
      <c r="L2375" s="125" t="s">
        <v>4894</v>
      </c>
      <c r="M2375" s="109">
        <v>45841.453541666669</v>
      </c>
      <c r="N2375" s="109"/>
      <c r="O2375" s="109"/>
      <c r="P2375" s="110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110</v>
      </c>
      <c r="R2375" s="110" t="s">
        <v>485</v>
      </c>
      <c r="S2375" s="94"/>
    </row>
    <row r="2376" spans="1:19" hidden="1">
      <c r="A2376" s="103" t="s">
        <v>4422</v>
      </c>
      <c r="B2376" s="149" t="str">
        <f>IFERROR(VLOOKUP(Proc[[#This Row],[App]],Table2[],3,0),"open")</f>
        <v>ok</v>
      </c>
      <c r="C2376" s="117" t="s">
        <v>369</v>
      </c>
      <c r="D2376" t="s">
        <v>4443</v>
      </c>
      <c r="E2376" t="s">
        <v>4738</v>
      </c>
      <c r="F2376" s="94" t="s">
        <v>4738</v>
      </c>
      <c r="G2376" s="103" t="s">
        <v>406</v>
      </c>
      <c r="H2376" s="94" t="str">
        <f>IF(Proc[[#This Row],[type]]="LFF (MDG-F)",MID(Proc[[#This Row],[Obj]],13,10),"")</f>
        <v>DE10538150</v>
      </c>
      <c r="I2376" s="103" t="s">
        <v>4784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MGF</v>
      </c>
      <c r="L2376" s="125" t="s">
        <v>4894</v>
      </c>
      <c r="M2376" s="109">
        <v>45841.453541666669</v>
      </c>
      <c r="N2376" s="109"/>
      <c r="O2376" s="109"/>
      <c r="P2376" s="110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110</v>
      </c>
      <c r="R2376" s="110" t="s">
        <v>485</v>
      </c>
      <c r="S2376" s="94"/>
    </row>
    <row r="2377" spans="1:19" hidden="1">
      <c r="A2377" s="103" t="s">
        <v>4422</v>
      </c>
      <c r="B2377" s="149" t="str">
        <f>IFERROR(VLOOKUP(Proc[[#This Row],[App]],Table2[],3,0),"open")</f>
        <v>ok</v>
      </c>
      <c r="C2377" s="117" t="s">
        <v>369</v>
      </c>
      <c r="D2377" t="s">
        <v>4444</v>
      </c>
      <c r="E2377" t="s">
        <v>4737</v>
      </c>
      <c r="F2377" s="94" t="s">
        <v>4737</v>
      </c>
      <c r="G2377" s="103" t="s">
        <v>406</v>
      </c>
      <c r="H2377" s="94" t="str">
        <f>IF(Proc[[#This Row],[type]]="LFF (MDG-F)",MID(Proc[[#This Row],[Obj]],13,10),"")</f>
        <v>DE10538152</v>
      </c>
      <c r="I2377" s="103" t="s">
        <v>4784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MGF</v>
      </c>
      <c r="L2377" s="125" t="s">
        <v>4894</v>
      </c>
      <c r="M2377" s="109">
        <v>45841.453541666669</v>
      </c>
      <c r="N2377" s="109"/>
      <c r="O2377" s="109"/>
      <c r="P2377" s="110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110</v>
      </c>
      <c r="R2377" s="110" t="s">
        <v>485</v>
      </c>
      <c r="S2377" s="94"/>
    </row>
    <row r="2378" spans="1:19" hidden="1">
      <c r="A2378" s="103" t="s">
        <v>4422</v>
      </c>
      <c r="B2378" s="149" t="str">
        <f>IFERROR(VLOOKUP(Proc[[#This Row],[App]],Table2[],3,0),"open")</f>
        <v>ok</v>
      </c>
      <c r="C2378" s="117" t="s">
        <v>369</v>
      </c>
      <c r="D2378" t="s">
        <v>4445</v>
      </c>
      <c r="E2378" t="s">
        <v>4737</v>
      </c>
      <c r="F2378" s="94" t="s">
        <v>4737</v>
      </c>
      <c r="G2378" s="103" t="s">
        <v>406</v>
      </c>
      <c r="H2378" s="94" t="str">
        <f>IF(Proc[[#This Row],[type]]="LFF (MDG-F)",MID(Proc[[#This Row],[Obj]],13,10),"")</f>
        <v>DE10538157</v>
      </c>
      <c r="I2378" s="103" t="s">
        <v>4784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MGF</v>
      </c>
      <c r="L2378" s="125" t="s">
        <v>4894</v>
      </c>
      <c r="M2378" s="109">
        <v>45841.453541666669</v>
      </c>
      <c r="N2378" s="109"/>
      <c r="O2378" s="109"/>
      <c r="P2378" s="110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110</v>
      </c>
      <c r="R2378" s="110" t="s">
        <v>485</v>
      </c>
      <c r="S2378" s="94"/>
    </row>
    <row r="2379" spans="1:19" hidden="1">
      <c r="A2379" s="103" t="s">
        <v>4422</v>
      </c>
      <c r="B2379" s="149" t="str">
        <f>IFERROR(VLOOKUP(Proc[[#This Row],[App]],Table2[],3,0),"open")</f>
        <v>ok</v>
      </c>
      <c r="C2379" s="117" t="s">
        <v>369</v>
      </c>
      <c r="D2379" t="s">
        <v>4446</v>
      </c>
      <c r="E2379" t="s">
        <v>4737</v>
      </c>
      <c r="F2379" s="94" t="s">
        <v>4737</v>
      </c>
      <c r="G2379" s="103" t="s">
        <v>406</v>
      </c>
      <c r="H2379" s="94" t="str">
        <f>IF(Proc[[#This Row],[type]]="LFF (MDG-F)",MID(Proc[[#This Row],[Obj]],13,10),"")</f>
        <v>DE10538158</v>
      </c>
      <c r="I2379" s="103" t="s">
        <v>4784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MGF</v>
      </c>
      <c r="L2379" s="125" t="s">
        <v>4894</v>
      </c>
      <c r="M2379" s="109">
        <v>45841.453541666669</v>
      </c>
      <c r="N2379" s="109"/>
      <c r="O2379" s="109"/>
      <c r="P2379" s="110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110</v>
      </c>
      <c r="R2379" s="110" t="s">
        <v>485</v>
      </c>
      <c r="S2379" s="94"/>
    </row>
    <row r="2380" spans="1:19" hidden="1">
      <c r="A2380" s="103" t="s">
        <v>4422</v>
      </c>
      <c r="B2380" s="149" t="str">
        <f>IFERROR(VLOOKUP(Proc[[#This Row],[App]],Table2[],3,0),"open")</f>
        <v>ok</v>
      </c>
      <c r="C2380" s="117" t="s">
        <v>369</v>
      </c>
      <c r="D2380" t="s">
        <v>4447</v>
      </c>
      <c r="E2380" t="s">
        <v>4737</v>
      </c>
      <c r="F2380" s="94" t="s">
        <v>4737</v>
      </c>
      <c r="G2380" s="103" t="s">
        <v>406</v>
      </c>
      <c r="H2380" s="94" t="str">
        <f>IF(Proc[[#This Row],[type]]="LFF (MDG-F)",MID(Proc[[#This Row],[Obj]],13,10),"")</f>
        <v>DE10538159</v>
      </c>
      <c r="I2380" s="103" t="s">
        <v>4784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MGF</v>
      </c>
      <c r="L2380" s="125" t="s">
        <v>4894</v>
      </c>
      <c r="M2380" s="109">
        <v>45841.453541666669</v>
      </c>
      <c r="N2380" s="109"/>
      <c r="O2380" s="109"/>
      <c r="P2380" s="110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110</v>
      </c>
      <c r="R2380" s="110" t="s">
        <v>485</v>
      </c>
      <c r="S2380" s="94"/>
    </row>
    <row r="2381" spans="1:19" hidden="1">
      <c r="A2381" s="103" t="s">
        <v>4422</v>
      </c>
      <c r="B2381" s="149" t="str">
        <f>IFERROR(VLOOKUP(Proc[[#This Row],[App]],Table2[],3,0),"open")</f>
        <v>ok</v>
      </c>
      <c r="C2381" s="117" t="s">
        <v>369</v>
      </c>
      <c r="D2381" t="s">
        <v>4448</v>
      </c>
      <c r="E2381" t="s">
        <v>4737</v>
      </c>
      <c r="F2381" s="94" t="s">
        <v>4737</v>
      </c>
      <c r="G2381" s="103" t="s">
        <v>406</v>
      </c>
      <c r="H2381" s="94" t="str">
        <f>IF(Proc[[#This Row],[type]]="LFF (MDG-F)",MID(Proc[[#This Row],[Obj]],13,10),"")</f>
        <v>DE10538179</v>
      </c>
      <c r="I2381" s="103" t="s">
        <v>4784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MGF</v>
      </c>
      <c r="L2381" s="125" t="s">
        <v>4894</v>
      </c>
      <c r="M2381" s="109">
        <v>45841.453541666669</v>
      </c>
      <c r="N2381" s="109"/>
      <c r="O2381" s="109"/>
      <c r="P2381" s="110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110</v>
      </c>
      <c r="R2381" s="110" t="s">
        <v>485</v>
      </c>
      <c r="S2381" s="94"/>
    </row>
    <row r="2382" spans="1:19" hidden="1">
      <c r="A2382" s="103" t="s">
        <v>4422</v>
      </c>
      <c r="B2382" s="149" t="str">
        <f>IFERROR(VLOOKUP(Proc[[#This Row],[App]],Table2[],3,0),"open")</f>
        <v>ok</v>
      </c>
      <c r="C2382" s="117" t="s">
        <v>369</v>
      </c>
      <c r="D2382" t="s">
        <v>4449</v>
      </c>
      <c r="E2382" t="s">
        <v>4739</v>
      </c>
      <c r="F2382" s="94" t="s">
        <v>4739</v>
      </c>
      <c r="G2382" s="103" t="s">
        <v>406</v>
      </c>
      <c r="H2382" s="94" t="str">
        <f>IF(Proc[[#This Row],[type]]="LFF (MDG-F)",MID(Proc[[#This Row],[Obj]],13,10),"")</f>
        <v>DE10538180</v>
      </c>
      <c r="I2382" s="103" t="s">
        <v>4784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MGF</v>
      </c>
      <c r="L2382" s="125" t="s">
        <v>4894</v>
      </c>
      <c r="M2382" s="109">
        <v>45841.453541666669</v>
      </c>
      <c r="N2382" s="109"/>
      <c r="O2382" s="109"/>
      <c r="P2382" s="110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110</v>
      </c>
      <c r="R2382" s="110" t="s">
        <v>485</v>
      </c>
      <c r="S2382" s="94"/>
    </row>
    <row r="2383" spans="1:19" hidden="1">
      <c r="A2383" s="103" t="s">
        <v>4422</v>
      </c>
      <c r="B2383" s="149" t="str">
        <f>IFERROR(VLOOKUP(Proc[[#This Row],[App]],Table2[],3,0),"open")</f>
        <v>ok</v>
      </c>
      <c r="C2383" s="117" t="s">
        <v>369</v>
      </c>
      <c r="D2383" t="s">
        <v>4450</v>
      </c>
      <c r="E2383" t="s">
        <v>4737</v>
      </c>
      <c r="F2383" s="94" t="s">
        <v>4737</v>
      </c>
      <c r="G2383" s="103" t="s">
        <v>406</v>
      </c>
      <c r="H2383" s="94" t="str">
        <f>IF(Proc[[#This Row],[type]]="LFF (MDG-F)",MID(Proc[[#This Row],[Obj]],13,10),"")</f>
        <v>DE10538181</v>
      </c>
      <c r="I2383" s="103" t="s">
        <v>4784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MGF</v>
      </c>
      <c r="L2383" s="125" t="s">
        <v>4894</v>
      </c>
      <c r="M2383" s="109">
        <v>45841.453541666669</v>
      </c>
      <c r="N2383" s="109"/>
      <c r="O2383" s="109"/>
      <c r="P2383" s="110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110</v>
      </c>
      <c r="R2383" s="110" t="s">
        <v>485</v>
      </c>
      <c r="S2383" s="94"/>
    </row>
    <row r="2384" spans="1:19" hidden="1">
      <c r="A2384" s="103" t="s">
        <v>4422</v>
      </c>
      <c r="B2384" s="149" t="str">
        <f>IFERROR(VLOOKUP(Proc[[#This Row],[App]],Table2[],3,0),"open")</f>
        <v>ok</v>
      </c>
      <c r="C2384" s="117" t="s">
        <v>369</v>
      </c>
      <c r="D2384" t="s">
        <v>4451</v>
      </c>
      <c r="E2384" t="s">
        <v>4737</v>
      </c>
      <c r="F2384" s="94" t="s">
        <v>4737</v>
      </c>
      <c r="G2384" s="103" t="s">
        <v>406</v>
      </c>
      <c r="H2384" s="94" t="str">
        <f>IF(Proc[[#This Row],[type]]="LFF (MDG-F)",MID(Proc[[#This Row],[Obj]],13,10),"")</f>
        <v>DE10538182</v>
      </c>
      <c r="I2384" s="103" t="s">
        <v>4784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MGF</v>
      </c>
      <c r="L2384" s="125" t="s">
        <v>4894</v>
      </c>
      <c r="M2384" s="109">
        <v>45841.453541666669</v>
      </c>
      <c r="N2384" s="109"/>
      <c r="O2384" s="109"/>
      <c r="P2384" s="110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110</v>
      </c>
      <c r="R2384" s="110" t="s">
        <v>485</v>
      </c>
      <c r="S2384" s="94"/>
    </row>
    <row r="2385" spans="1:19" hidden="1">
      <c r="A2385" s="103" t="s">
        <v>4422</v>
      </c>
      <c r="B2385" s="149" t="str">
        <f>IFERROR(VLOOKUP(Proc[[#This Row],[App]],Table2[],3,0),"open")</f>
        <v>ok</v>
      </c>
      <c r="C2385" s="117" t="s">
        <v>369</v>
      </c>
      <c r="D2385" t="s">
        <v>4452</v>
      </c>
      <c r="E2385" t="s">
        <v>4737</v>
      </c>
      <c r="F2385" s="94" t="s">
        <v>4737</v>
      </c>
      <c r="G2385" s="103" t="s">
        <v>406</v>
      </c>
      <c r="H2385" s="94" t="str">
        <f>IF(Proc[[#This Row],[type]]="LFF (MDG-F)",MID(Proc[[#This Row],[Obj]],13,10),"")</f>
        <v>DE10538183</v>
      </c>
      <c r="I2385" s="103" t="s">
        <v>4784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MGF</v>
      </c>
      <c r="L2385" s="125" t="s">
        <v>4894</v>
      </c>
      <c r="M2385" s="109">
        <v>45841.453541666669</v>
      </c>
      <c r="N2385" s="109"/>
      <c r="O2385" s="109"/>
      <c r="P2385" s="110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110</v>
      </c>
      <c r="R2385" s="110" t="s">
        <v>485</v>
      </c>
      <c r="S2385" s="94"/>
    </row>
    <row r="2386" spans="1:19" hidden="1">
      <c r="A2386" s="103" t="s">
        <v>4422</v>
      </c>
      <c r="B2386" s="149" t="str">
        <f>IFERROR(VLOOKUP(Proc[[#This Row],[App]],Table2[],3,0),"open")</f>
        <v>ok</v>
      </c>
      <c r="C2386" s="117" t="s">
        <v>369</v>
      </c>
      <c r="D2386" t="s">
        <v>4453</v>
      </c>
      <c r="E2386" t="s">
        <v>4739</v>
      </c>
      <c r="F2386" s="94" t="s">
        <v>4739</v>
      </c>
      <c r="G2386" s="103" t="s">
        <v>406</v>
      </c>
      <c r="H2386" s="94" t="str">
        <f>IF(Proc[[#This Row],[type]]="LFF (MDG-F)",MID(Proc[[#This Row],[Obj]],13,10),"")</f>
        <v>DE10538187</v>
      </c>
      <c r="I2386" s="103" t="s">
        <v>4784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MGF</v>
      </c>
      <c r="L2386" s="125" t="s">
        <v>4894</v>
      </c>
      <c r="M2386" s="109">
        <v>45841.453541666669</v>
      </c>
      <c r="N2386" s="109"/>
      <c r="O2386" s="109"/>
      <c r="P2386" s="110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110</v>
      </c>
      <c r="R2386" s="110" t="s">
        <v>485</v>
      </c>
      <c r="S2386" s="94"/>
    </row>
    <row r="2387" spans="1:19" hidden="1">
      <c r="A2387" s="103" t="s">
        <v>4422</v>
      </c>
      <c r="B2387" s="149" t="str">
        <f>IFERROR(VLOOKUP(Proc[[#This Row],[App]],Table2[],3,0),"open")</f>
        <v>ok</v>
      </c>
      <c r="C2387" s="117" t="s">
        <v>369</v>
      </c>
      <c r="D2387" t="s">
        <v>4454</v>
      </c>
      <c r="E2387" t="s">
        <v>4737</v>
      </c>
      <c r="F2387" s="94" t="s">
        <v>4737</v>
      </c>
      <c r="G2387" s="103" t="s">
        <v>406</v>
      </c>
      <c r="H2387" s="94" t="str">
        <f>IF(Proc[[#This Row],[type]]="LFF (MDG-F)",MID(Proc[[#This Row],[Obj]],13,10),"")</f>
        <v>DE10538188</v>
      </c>
      <c r="I2387" s="103" t="s">
        <v>4784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MGF</v>
      </c>
      <c r="L2387" s="125" t="s">
        <v>4894</v>
      </c>
      <c r="M2387" s="109">
        <v>45841.453541666669</v>
      </c>
      <c r="N2387" s="109"/>
      <c r="O2387" s="109"/>
      <c r="P2387" s="110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110</v>
      </c>
      <c r="R2387" s="110" t="s">
        <v>485</v>
      </c>
      <c r="S2387" s="94"/>
    </row>
    <row r="2388" spans="1:19" hidden="1">
      <c r="A2388" s="103" t="s">
        <v>4422</v>
      </c>
      <c r="B2388" s="149" t="str">
        <f>IFERROR(VLOOKUP(Proc[[#This Row],[App]],Table2[],3,0),"open")</f>
        <v>ok</v>
      </c>
      <c r="C2388" s="117" t="s">
        <v>369</v>
      </c>
      <c r="D2388" t="s">
        <v>4455</v>
      </c>
      <c r="E2388" t="s">
        <v>4737</v>
      </c>
      <c r="F2388" s="94" t="s">
        <v>4737</v>
      </c>
      <c r="G2388" s="103" t="s">
        <v>406</v>
      </c>
      <c r="H2388" s="94" t="str">
        <f>IF(Proc[[#This Row],[type]]="LFF (MDG-F)",MID(Proc[[#This Row],[Obj]],13,10),"")</f>
        <v>DE10538189</v>
      </c>
      <c r="I2388" s="103" t="s">
        <v>4784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MGF</v>
      </c>
      <c r="L2388" s="125" t="s">
        <v>4894</v>
      </c>
      <c r="M2388" s="109">
        <v>45841.453541666669</v>
      </c>
      <c r="N2388" s="109"/>
      <c r="O2388" s="109"/>
      <c r="P2388" s="110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110</v>
      </c>
      <c r="R2388" s="110" t="s">
        <v>485</v>
      </c>
      <c r="S2388" s="94"/>
    </row>
    <row r="2389" spans="1:19" hidden="1">
      <c r="A2389" s="103" t="s">
        <v>4422</v>
      </c>
      <c r="B2389" s="149" t="str">
        <f>IFERROR(VLOOKUP(Proc[[#This Row],[App]],Table2[],3,0),"open")</f>
        <v>ok</v>
      </c>
      <c r="C2389" s="117" t="s">
        <v>369</v>
      </c>
      <c r="D2389" t="s">
        <v>4456</v>
      </c>
      <c r="E2389" t="s">
        <v>4737</v>
      </c>
      <c r="F2389" s="94" t="s">
        <v>4737</v>
      </c>
      <c r="G2389" s="103" t="s">
        <v>406</v>
      </c>
      <c r="H2389" s="94" t="str">
        <f>IF(Proc[[#This Row],[type]]="LFF (MDG-F)",MID(Proc[[#This Row],[Obj]],13,10),"")</f>
        <v>DE10538196</v>
      </c>
      <c r="I2389" s="103" t="s">
        <v>4784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MGF</v>
      </c>
      <c r="L2389" s="125" t="s">
        <v>4894</v>
      </c>
      <c r="M2389" s="109">
        <v>45841.453541666669</v>
      </c>
      <c r="N2389" s="109"/>
      <c r="O2389" s="109"/>
      <c r="P2389" s="110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110</v>
      </c>
      <c r="R2389" s="110" t="s">
        <v>485</v>
      </c>
      <c r="S2389" s="94"/>
    </row>
    <row r="2390" spans="1:19" hidden="1">
      <c r="A2390" s="103" t="s">
        <v>4422</v>
      </c>
      <c r="B2390" s="149" t="str">
        <f>IFERROR(VLOOKUP(Proc[[#This Row],[App]],Table2[],3,0),"open")</f>
        <v>ok</v>
      </c>
      <c r="C2390" s="117" t="s">
        <v>369</v>
      </c>
      <c r="D2390" t="s">
        <v>4457</v>
      </c>
      <c r="E2390" t="s">
        <v>4738</v>
      </c>
      <c r="F2390" s="94" t="s">
        <v>4738</v>
      </c>
      <c r="G2390" s="103" t="s">
        <v>406</v>
      </c>
      <c r="H2390" s="94" t="str">
        <f>IF(Proc[[#This Row],[type]]="LFF (MDG-F)",MID(Proc[[#This Row],[Obj]],13,10),"")</f>
        <v>DE10538236</v>
      </c>
      <c r="I2390" s="103" t="s">
        <v>4784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MGF</v>
      </c>
      <c r="L2390" s="125" t="s">
        <v>4894</v>
      </c>
      <c r="M2390" s="109">
        <v>45841.453541666669</v>
      </c>
      <c r="N2390" s="109"/>
      <c r="O2390" s="109"/>
      <c r="P2390" s="110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110</v>
      </c>
      <c r="R2390" s="110" t="s">
        <v>485</v>
      </c>
      <c r="S2390" s="94"/>
    </row>
    <row r="2391" spans="1:19" hidden="1">
      <c r="A2391" s="103" t="s">
        <v>4422</v>
      </c>
      <c r="B2391" s="149" t="str">
        <f>IFERROR(VLOOKUP(Proc[[#This Row],[App]],Table2[],3,0),"open")</f>
        <v>ok</v>
      </c>
      <c r="C2391" s="117" t="s">
        <v>369</v>
      </c>
      <c r="D2391" t="s">
        <v>4458</v>
      </c>
      <c r="E2391" t="s">
        <v>4737</v>
      </c>
      <c r="F2391" s="94" t="s">
        <v>4737</v>
      </c>
      <c r="G2391" s="103" t="s">
        <v>406</v>
      </c>
      <c r="H2391" s="94" t="str">
        <f>IF(Proc[[#This Row],[type]]="LFF (MDG-F)",MID(Proc[[#This Row],[Obj]],13,10),"")</f>
        <v>DE10538470</v>
      </c>
      <c r="I2391" s="103" t="s">
        <v>4784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MGF</v>
      </c>
      <c r="L2391" s="125" t="s">
        <v>4894</v>
      </c>
      <c r="M2391" s="109">
        <v>45841.453541666669</v>
      </c>
      <c r="N2391" s="109"/>
      <c r="O2391" s="109"/>
      <c r="P2391" s="110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110</v>
      </c>
      <c r="R2391" s="110" t="s">
        <v>485</v>
      </c>
      <c r="S2391" s="94"/>
    </row>
    <row r="2392" spans="1:19" hidden="1">
      <c r="A2392" s="103" t="s">
        <v>4422</v>
      </c>
      <c r="B2392" s="149" t="str">
        <f>IFERROR(VLOOKUP(Proc[[#This Row],[App]],Table2[],3,0),"open")</f>
        <v>ok</v>
      </c>
      <c r="C2392" s="117" t="s">
        <v>369</v>
      </c>
      <c r="D2392" t="s">
        <v>4459</v>
      </c>
      <c r="E2392" t="s">
        <v>4739</v>
      </c>
      <c r="F2392" s="94" t="s">
        <v>4739</v>
      </c>
      <c r="G2392" s="103" t="s">
        <v>406</v>
      </c>
      <c r="H2392" s="94" t="str">
        <f>IF(Proc[[#This Row],[type]]="LFF (MDG-F)",MID(Proc[[#This Row],[Obj]],13,10),"")</f>
        <v>DE10538472</v>
      </c>
      <c r="I2392" s="103" t="s">
        <v>4784</v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MGF</v>
      </c>
      <c r="L2392" s="125" t="s">
        <v>4894</v>
      </c>
      <c r="M2392" s="109">
        <v>45841.453541666669</v>
      </c>
      <c r="N2392" s="109"/>
      <c r="O2392" s="109"/>
      <c r="P2392" s="110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110</v>
      </c>
      <c r="R2392" s="110" t="s">
        <v>485</v>
      </c>
      <c r="S2392" s="94"/>
    </row>
    <row r="2393" spans="1:19" hidden="1">
      <c r="A2393" s="103" t="s">
        <v>4422</v>
      </c>
      <c r="B2393" s="149" t="str">
        <f>IFERROR(VLOOKUP(Proc[[#This Row],[App]],Table2[],3,0),"open")</f>
        <v>ok</v>
      </c>
      <c r="C2393" s="117" t="s">
        <v>369</v>
      </c>
      <c r="D2393" t="s">
        <v>4460</v>
      </c>
      <c r="E2393" t="s">
        <v>4739</v>
      </c>
      <c r="F2393" s="94" t="s">
        <v>4739</v>
      </c>
      <c r="G2393" s="103" t="s">
        <v>406</v>
      </c>
      <c r="H2393" s="94" t="str">
        <f>IF(Proc[[#This Row],[type]]="LFF (MDG-F)",MID(Proc[[#This Row],[Obj]],13,10),"")</f>
        <v>DE10538473</v>
      </c>
      <c r="I2393" s="103" t="s">
        <v>4784</v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MGF</v>
      </c>
      <c r="L2393" s="125" t="s">
        <v>4894</v>
      </c>
      <c r="M2393" s="109">
        <v>45841.453541666669</v>
      </c>
      <c r="N2393" s="109"/>
      <c r="O2393" s="109"/>
      <c r="P2393" s="110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110</v>
      </c>
      <c r="R2393" s="110" t="s">
        <v>485</v>
      </c>
      <c r="S2393" s="94"/>
    </row>
    <row r="2394" spans="1:19" hidden="1">
      <c r="A2394" s="103" t="s">
        <v>4422</v>
      </c>
      <c r="B2394" s="149" t="str">
        <f>IFERROR(VLOOKUP(Proc[[#This Row],[App]],Table2[],3,0),"open")</f>
        <v>ok</v>
      </c>
      <c r="C2394" s="117" t="s">
        <v>369</v>
      </c>
      <c r="D2394" t="s">
        <v>4461</v>
      </c>
      <c r="E2394" t="s">
        <v>4737</v>
      </c>
      <c r="F2394" s="94" t="s">
        <v>4737</v>
      </c>
      <c r="G2394" s="103" t="s">
        <v>406</v>
      </c>
      <c r="H2394" s="94" t="str">
        <f>IF(Proc[[#This Row],[type]]="LFF (MDG-F)",MID(Proc[[#This Row],[Obj]],13,10),"")</f>
        <v>DE10538762</v>
      </c>
      <c r="I2394" s="103" t="s">
        <v>4784</v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MGF</v>
      </c>
      <c r="L2394" s="125" t="s">
        <v>4894</v>
      </c>
      <c r="M2394" s="109">
        <v>45841.453541666669</v>
      </c>
      <c r="N2394" s="109"/>
      <c r="O2394" s="109"/>
      <c r="P2394" s="110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110</v>
      </c>
      <c r="R2394" s="110" t="s">
        <v>485</v>
      </c>
      <c r="S2394" s="94"/>
    </row>
    <row r="2395" spans="1:19" hidden="1">
      <c r="A2395" s="103" t="s">
        <v>4422</v>
      </c>
      <c r="B2395" s="149" t="str">
        <f>IFERROR(VLOOKUP(Proc[[#This Row],[App]],Table2[],3,0),"open")</f>
        <v>ok</v>
      </c>
      <c r="C2395" s="117" t="s">
        <v>369</v>
      </c>
      <c r="D2395" t="s">
        <v>4462</v>
      </c>
      <c r="E2395" t="s">
        <v>4737</v>
      </c>
      <c r="F2395" s="94" t="s">
        <v>4737</v>
      </c>
      <c r="G2395" s="103" t="s">
        <v>406</v>
      </c>
      <c r="H2395" s="94" t="str">
        <f>IF(Proc[[#This Row],[type]]="LFF (MDG-F)",MID(Proc[[#This Row],[Obj]],13,10),"")</f>
        <v>DE10538961</v>
      </c>
      <c r="I2395" s="103" t="s">
        <v>4784</v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MGF</v>
      </c>
      <c r="L2395" s="125" t="s">
        <v>4894</v>
      </c>
      <c r="M2395" s="109">
        <v>45841.453541666669</v>
      </c>
      <c r="N2395" s="109"/>
      <c r="O2395" s="109"/>
      <c r="P2395" s="110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110</v>
      </c>
      <c r="R2395" s="110" t="s">
        <v>485</v>
      </c>
      <c r="S2395" s="94"/>
    </row>
    <row r="2396" spans="1:19" hidden="1">
      <c r="A2396" s="103" t="s">
        <v>4422</v>
      </c>
      <c r="B2396" s="149" t="str">
        <f>IFERROR(VLOOKUP(Proc[[#This Row],[App]],Table2[],3,0),"open")</f>
        <v>ok</v>
      </c>
      <c r="C2396" s="117" t="s">
        <v>369</v>
      </c>
      <c r="D2396" t="s">
        <v>4463</v>
      </c>
      <c r="E2396" t="s">
        <v>4737</v>
      </c>
      <c r="F2396" s="94" t="s">
        <v>4737</v>
      </c>
      <c r="G2396" s="103" t="s">
        <v>406</v>
      </c>
      <c r="H2396" s="94" t="str">
        <f>IF(Proc[[#This Row],[type]]="LFF (MDG-F)",MID(Proc[[#This Row],[Obj]],13,10),"")</f>
        <v>DE10538962</v>
      </c>
      <c r="I2396" s="103" t="s">
        <v>4784</v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MGF</v>
      </c>
      <c r="L2396" s="125" t="s">
        <v>4894</v>
      </c>
      <c r="M2396" s="109">
        <v>45841.453541666669</v>
      </c>
      <c r="N2396" s="109"/>
      <c r="O2396" s="109"/>
      <c r="P2396" s="110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110</v>
      </c>
      <c r="R2396" s="110" t="s">
        <v>485</v>
      </c>
      <c r="S2396" s="94"/>
    </row>
    <row r="2397" spans="1:19" hidden="1">
      <c r="A2397" s="103" t="s">
        <v>4422</v>
      </c>
      <c r="B2397" s="149" t="str">
        <f>IFERROR(VLOOKUP(Proc[[#This Row],[App]],Table2[],3,0),"open")</f>
        <v>ok</v>
      </c>
      <c r="C2397" s="117" t="s">
        <v>369</v>
      </c>
      <c r="D2397" t="s">
        <v>4464</v>
      </c>
      <c r="E2397" t="s">
        <v>4738</v>
      </c>
      <c r="F2397" s="94" t="s">
        <v>4738</v>
      </c>
      <c r="G2397" s="103" t="s">
        <v>406</v>
      </c>
      <c r="H2397" s="94" t="str">
        <f>IF(Proc[[#This Row],[type]]="LFF (MDG-F)",MID(Proc[[#This Row],[Obj]],13,10),"")</f>
        <v>DE10538963</v>
      </c>
      <c r="I2397" s="103" t="s">
        <v>4784</v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MGF</v>
      </c>
      <c r="L2397" s="125" t="s">
        <v>4894</v>
      </c>
      <c r="M2397" s="109">
        <v>45841.453541666669</v>
      </c>
      <c r="N2397" s="109"/>
      <c r="O2397" s="109"/>
      <c r="P2397" s="110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110</v>
      </c>
      <c r="R2397" s="110" t="s">
        <v>485</v>
      </c>
      <c r="S2397" s="94"/>
    </row>
    <row r="2398" spans="1:19" hidden="1">
      <c r="A2398" s="103" t="s">
        <v>4422</v>
      </c>
      <c r="B2398" s="149" t="str">
        <f>IFERROR(VLOOKUP(Proc[[#This Row],[App]],Table2[],3,0),"open")</f>
        <v>ok</v>
      </c>
      <c r="C2398" s="117" t="s">
        <v>369</v>
      </c>
      <c r="D2398" t="s">
        <v>4465</v>
      </c>
      <c r="E2398" t="s">
        <v>4738</v>
      </c>
      <c r="F2398" s="94" t="s">
        <v>4738</v>
      </c>
      <c r="G2398" s="103" t="s">
        <v>406</v>
      </c>
      <c r="H2398" s="94" t="str">
        <f>IF(Proc[[#This Row],[type]]="LFF (MDG-F)",MID(Proc[[#This Row],[Obj]],13,10),"")</f>
        <v>DE10538964</v>
      </c>
      <c r="I2398" s="103" t="s">
        <v>4784</v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MGF</v>
      </c>
      <c r="L2398" s="125" t="s">
        <v>4894</v>
      </c>
      <c r="M2398" s="109">
        <v>45841.453541666669</v>
      </c>
      <c r="N2398" s="109"/>
      <c r="O2398" s="109"/>
      <c r="P2398" s="110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110</v>
      </c>
      <c r="R2398" s="110" t="s">
        <v>485</v>
      </c>
      <c r="S2398" s="94"/>
    </row>
    <row r="2399" spans="1:19" hidden="1">
      <c r="A2399" s="103" t="s">
        <v>4422</v>
      </c>
      <c r="B2399" s="149" t="str">
        <f>IFERROR(VLOOKUP(Proc[[#This Row],[App]],Table2[],3,0),"open")</f>
        <v>ok</v>
      </c>
      <c r="C2399" s="117" t="s">
        <v>369</v>
      </c>
      <c r="D2399" t="s">
        <v>4466</v>
      </c>
      <c r="E2399" t="s">
        <v>4738</v>
      </c>
      <c r="F2399" s="94" t="s">
        <v>4738</v>
      </c>
      <c r="G2399" s="103" t="s">
        <v>406</v>
      </c>
      <c r="H2399" s="94" t="str">
        <f>IF(Proc[[#This Row],[type]]="LFF (MDG-F)",MID(Proc[[#This Row],[Obj]],13,10),"")</f>
        <v>DE10538965</v>
      </c>
      <c r="I2399" s="103" t="s">
        <v>4784</v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MGF</v>
      </c>
      <c r="L2399" s="125" t="s">
        <v>4894</v>
      </c>
      <c r="M2399" s="109">
        <v>45841.453541666669</v>
      </c>
      <c r="N2399" s="109"/>
      <c r="O2399" s="109"/>
      <c r="P2399" s="110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110</v>
      </c>
      <c r="R2399" s="110" t="s">
        <v>485</v>
      </c>
      <c r="S2399" s="94"/>
    </row>
    <row r="2400" spans="1:19" hidden="1">
      <c r="A2400" s="103" t="s">
        <v>4422</v>
      </c>
      <c r="B2400" s="149" t="str">
        <f>IFERROR(VLOOKUP(Proc[[#This Row],[App]],Table2[],3,0),"open")</f>
        <v>ok</v>
      </c>
      <c r="C2400" s="117" t="s">
        <v>369</v>
      </c>
      <c r="D2400" t="s">
        <v>4467</v>
      </c>
      <c r="E2400" t="s">
        <v>4738</v>
      </c>
      <c r="F2400" s="94" t="s">
        <v>4738</v>
      </c>
      <c r="G2400" s="103" t="s">
        <v>406</v>
      </c>
      <c r="H2400" s="94" t="str">
        <f>IF(Proc[[#This Row],[type]]="LFF (MDG-F)",MID(Proc[[#This Row],[Obj]],13,10),"")</f>
        <v>DE10538966</v>
      </c>
      <c r="I2400" s="103" t="s">
        <v>4784</v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MGF</v>
      </c>
      <c r="L2400" s="125" t="s">
        <v>4894</v>
      </c>
      <c r="M2400" s="109">
        <v>45841.453541666669</v>
      </c>
      <c r="N2400" s="109"/>
      <c r="O2400" s="109"/>
      <c r="P2400" s="110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110</v>
      </c>
      <c r="R2400" s="110" t="s">
        <v>485</v>
      </c>
      <c r="S2400" s="94"/>
    </row>
    <row r="2401" spans="1:19" hidden="1">
      <c r="A2401" s="103" t="s">
        <v>4422</v>
      </c>
      <c r="B2401" s="149" t="str">
        <f>IFERROR(VLOOKUP(Proc[[#This Row],[App]],Table2[],3,0),"open")</f>
        <v>ok</v>
      </c>
      <c r="C2401" s="117" t="s">
        <v>369</v>
      </c>
      <c r="D2401" t="s">
        <v>4468</v>
      </c>
      <c r="E2401" t="s">
        <v>4738</v>
      </c>
      <c r="F2401" s="94" t="s">
        <v>4738</v>
      </c>
      <c r="G2401" s="103" t="s">
        <v>406</v>
      </c>
      <c r="H2401" s="94" t="str">
        <f>IF(Proc[[#This Row],[type]]="LFF (MDG-F)",MID(Proc[[#This Row],[Obj]],13,10),"")</f>
        <v>DE10538967</v>
      </c>
      <c r="I2401" s="103" t="s">
        <v>4784</v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MGF</v>
      </c>
      <c r="L2401" s="125" t="s">
        <v>4894</v>
      </c>
      <c r="M2401" s="109">
        <v>45841.453541666669</v>
      </c>
      <c r="N2401" s="109"/>
      <c r="O2401" s="109"/>
      <c r="P2401" s="110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110</v>
      </c>
      <c r="R2401" s="110" t="s">
        <v>485</v>
      </c>
      <c r="S2401" s="94"/>
    </row>
    <row r="2402" spans="1:19" hidden="1">
      <c r="A2402" s="103" t="s">
        <v>4422</v>
      </c>
      <c r="B2402" s="149" t="str">
        <f>IFERROR(VLOOKUP(Proc[[#This Row],[App]],Table2[],3,0),"open")</f>
        <v>ok</v>
      </c>
      <c r="C2402" s="117" t="s">
        <v>369</v>
      </c>
      <c r="D2402" t="s">
        <v>4469</v>
      </c>
      <c r="E2402" t="s">
        <v>4738</v>
      </c>
      <c r="F2402" s="94" t="s">
        <v>4738</v>
      </c>
      <c r="G2402" s="103" t="s">
        <v>406</v>
      </c>
      <c r="H2402" s="94" t="str">
        <f>IF(Proc[[#This Row],[type]]="LFF (MDG-F)",MID(Proc[[#This Row],[Obj]],13,10),"")</f>
        <v>DE10538968</v>
      </c>
      <c r="I2402" s="103" t="s">
        <v>4784</v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MGF</v>
      </c>
      <c r="L2402" s="125" t="s">
        <v>4894</v>
      </c>
      <c r="M2402" s="109">
        <v>45841.453541666669</v>
      </c>
      <c r="N2402" s="109"/>
      <c r="O2402" s="109"/>
      <c r="P2402" s="110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110</v>
      </c>
      <c r="R2402" s="110" t="s">
        <v>485</v>
      </c>
      <c r="S2402" s="94"/>
    </row>
    <row r="2403" spans="1:19" hidden="1">
      <c r="A2403" s="103" t="s">
        <v>4422</v>
      </c>
      <c r="B2403" s="149" t="str">
        <f>IFERROR(VLOOKUP(Proc[[#This Row],[App]],Table2[],3,0),"open")</f>
        <v>ok</v>
      </c>
      <c r="C2403" s="117" t="s">
        <v>369</v>
      </c>
      <c r="D2403" t="s">
        <v>4470</v>
      </c>
      <c r="E2403" t="s">
        <v>4738</v>
      </c>
      <c r="F2403" s="94" t="s">
        <v>4738</v>
      </c>
      <c r="G2403" s="103" t="s">
        <v>406</v>
      </c>
      <c r="H2403" s="94" t="str">
        <f>IF(Proc[[#This Row],[type]]="LFF (MDG-F)",MID(Proc[[#This Row],[Obj]],13,10),"")</f>
        <v>DE10538969</v>
      </c>
      <c r="I2403" s="103" t="s">
        <v>4784</v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MGF</v>
      </c>
      <c r="L2403" s="125" t="s">
        <v>4894</v>
      </c>
      <c r="M2403" s="109">
        <v>45841.453541666669</v>
      </c>
      <c r="N2403" s="109"/>
      <c r="O2403" s="109"/>
      <c r="P2403" s="110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110</v>
      </c>
      <c r="R2403" s="110" t="s">
        <v>485</v>
      </c>
      <c r="S2403" s="94"/>
    </row>
    <row r="2404" spans="1:19" hidden="1">
      <c r="A2404" s="103" t="s">
        <v>4422</v>
      </c>
      <c r="B2404" s="149" t="str">
        <f>IFERROR(VLOOKUP(Proc[[#This Row],[App]],Table2[],3,0),"open")</f>
        <v>ok</v>
      </c>
      <c r="C2404" s="117" t="s">
        <v>369</v>
      </c>
      <c r="D2404" t="s">
        <v>4471</v>
      </c>
      <c r="E2404" t="s">
        <v>4738</v>
      </c>
      <c r="F2404" s="94" t="s">
        <v>4738</v>
      </c>
      <c r="G2404" s="103" t="s">
        <v>406</v>
      </c>
      <c r="H2404" s="94" t="str">
        <f>IF(Proc[[#This Row],[type]]="LFF (MDG-F)",MID(Proc[[#This Row],[Obj]],13,10),"")</f>
        <v>DE10538970</v>
      </c>
      <c r="I2404" s="103" t="s">
        <v>4784</v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MGF</v>
      </c>
      <c r="L2404" s="125" t="s">
        <v>4894</v>
      </c>
      <c r="M2404" s="109">
        <v>45841.453541666669</v>
      </c>
      <c r="N2404" s="109"/>
      <c r="O2404" s="109"/>
      <c r="P2404" s="110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110</v>
      </c>
      <c r="R2404" s="110" t="s">
        <v>485</v>
      </c>
      <c r="S2404" s="94"/>
    </row>
    <row r="2405" spans="1:19" hidden="1">
      <c r="A2405" s="103" t="s">
        <v>4422</v>
      </c>
      <c r="B2405" s="149" t="str">
        <f>IFERROR(VLOOKUP(Proc[[#This Row],[App]],Table2[],3,0),"open")</f>
        <v>ok</v>
      </c>
      <c r="C2405" s="117" t="s">
        <v>369</v>
      </c>
      <c r="D2405" t="s">
        <v>4472</v>
      </c>
      <c r="E2405" t="s">
        <v>4738</v>
      </c>
      <c r="F2405" s="94" t="s">
        <v>4738</v>
      </c>
      <c r="G2405" s="103" t="s">
        <v>406</v>
      </c>
      <c r="H2405" s="94" t="str">
        <f>IF(Proc[[#This Row],[type]]="LFF (MDG-F)",MID(Proc[[#This Row],[Obj]],13,10),"")</f>
        <v>DE10538971</v>
      </c>
      <c r="I2405" s="103" t="s">
        <v>4784</v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MGF</v>
      </c>
      <c r="L2405" s="125" t="s">
        <v>4894</v>
      </c>
      <c r="M2405" s="109">
        <v>45841.453541666669</v>
      </c>
      <c r="N2405" s="109"/>
      <c r="O2405" s="109"/>
      <c r="P2405" s="110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110</v>
      </c>
      <c r="R2405" s="110" t="s">
        <v>485</v>
      </c>
      <c r="S2405" s="94"/>
    </row>
    <row r="2406" spans="1:19" hidden="1">
      <c r="A2406" s="103" t="s">
        <v>4422</v>
      </c>
      <c r="B2406" s="149" t="str">
        <f>IFERROR(VLOOKUP(Proc[[#This Row],[App]],Table2[],3,0),"open")</f>
        <v>ok</v>
      </c>
      <c r="C2406" s="117" t="s">
        <v>369</v>
      </c>
      <c r="D2406" t="s">
        <v>4473</v>
      </c>
      <c r="E2406" t="s">
        <v>4738</v>
      </c>
      <c r="F2406" s="94" t="s">
        <v>4738</v>
      </c>
      <c r="G2406" s="103" t="s">
        <v>406</v>
      </c>
      <c r="H2406" s="94" t="str">
        <f>IF(Proc[[#This Row],[type]]="LFF (MDG-F)",MID(Proc[[#This Row],[Obj]],13,10),"")</f>
        <v>DE10538972</v>
      </c>
      <c r="I2406" s="103" t="s">
        <v>4784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MGF</v>
      </c>
      <c r="L2406" s="125" t="s">
        <v>4894</v>
      </c>
      <c r="M2406" s="109">
        <v>45841.453541666669</v>
      </c>
      <c r="N2406" s="109"/>
      <c r="O2406" s="109"/>
      <c r="P2406" s="110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110</v>
      </c>
      <c r="R2406" s="110" t="s">
        <v>485</v>
      </c>
      <c r="S2406" s="94"/>
    </row>
    <row r="2407" spans="1:19" hidden="1">
      <c r="A2407" s="103" t="s">
        <v>4422</v>
      </c>
      <c r="B2407" s="149" t="str">
        <f>IFERROR(VLOOKUP(Proc[[#This Row],[App]],Table2[],3,0),"open")</f>
        <v>ok</v>
      </c>
      <c r="C2407" s="117" t="s">
        <v>369</v>
      </c>
      <c r="D2407" t="s">
        <v>4474</v>
      </c>
      <c r="E2407" t="s">
        <v>4738</v>
      </c>
      <c r="F2407" s="94" t="s">
        <v>4738</v>
      </c>
      <c r="G2407" s="103" t="s">
        <v>406</v>
      </c>
      <c r="H2407" s="94" t="str">
        <f>IF(Proc[[#This Row],[type]]="LFF (MDG-F)",MID(Proc[[#This Row],[Obj]],13,10),"")</f>
        <v>DE10538973</v>
      </c>
      <c r="I2407" s="103" t="s">
        <v>4784</v>
      </c>
      <c r="J2407" s="94" t="b">
        <f>Proc[[#This Row],[Requested]]=Proc[[#This Row],[CurrentParent]]</f>
        <v>1</v>
      </c>
      <c r="K2407" s="144" t="str">
        <f>IF(Proc[[#This Row],[Author]]="Marcela Urrego",VLOOKUP(LEFT(Proc[[#This Row],[Requested]],1),Table3[#All],2,0),VLOOKUP(Proc[[#This Row],[Author]],Table4[],2,0))</f>
        <v>MGF</v>
      </c>
      <c r="L2407" s="125" t="s">
        <v>4894</v>
      </c>
      <c r="M2407" s="109">
        <v>45841.453541666669</v>
      </c>
      <c r="N2407" s="109"/>
      <c r="O2407" s="109"/>
      <c r="P2407" s="110" t="str">
        <f ca="1">IF(Proc[[#This Row],[DaysAgeing]]&gt;5,"yep","on track")</f>
        <v>yep</v>
      </c>
      <c r="Q2407" s="3">
        <f ca="1">IF(Proc[[#This Row],[DateClosed]]="",ABS(NETWORKDAYS(Proc[[#This Row],[DateOpened]],TODAY()))-1,ABS(NETWORKDAYS(Proc[[#This Row],[DateOpened]],Proc[[#This Row],[DateClosed]]))-1)</f>
        <v>110</v>
      </c>
      <c r="R2407" s="110" t="s">
        <v>485</v>
      </c>
      <c r="S2407" s="94"/>
    </row>
    <row r="2408" spans="1:19" hidden="1">
      <c r="A2408" s="103" t="s">
        <v>4422</v>
      </c>
      <c r="B2408" s="149" t="str">
        <f>IFERROR(VLOOKUP(Proc[[#This Row],[App]],Table2[],3,0),"open")</f>
        <v>ok</v>
      </c>
      <c r="C2408" s="117" t="s">
        <v>369</v>
      </c>
      <c r="D2408" t="s">
        <v>4475</v>
      </c>
      <c r="E2408" t="s">
        <v>4738</v>
      </c>
      <c r="F2408" s="94" t="s">
        <v>4738</v>
      </c>
      <c r="G2408" s="103" t="s">
        <v>406</v>
      </c>
      <c r="H2408" s="94" t="str">
        <f>IF(Proc[[#This Row],[type]]="LFF (MDG-F)",MID(Proc[[#This Row],[Obj]],13,10),"")</f>
        <v>DE10538974</v>
      </c>
      <c r="I2408" s="103" t="s">
        <v>4784</v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MGF</v>
      </c>
      <c r="L2408" s="125" t="s">
        <v>4894</v>
      </c>
      <c r="M2408" s="109">
        <v>45841.453541666669</v>
      </c>
      <c r="N2408" s="109"/>
      <c r="O2408" s="109"/>
      <c r="P2408" s="110" t="str">
        <f ca="1">IF(Proc[[#This Row],[DaysAgeing]]&gt;5,"yep","on track")</f>
        <v>yep</v>
      </c>
      <c r="Q2408" s="3">
        <f ca="1">IF(Proc[[#This Row],[DateClosed]]="",ABS(NETWORKDAYS(Proc[[#This Row],[DateOpened]],TODAY()))-1,ABS(NETWORKDAYS(Proc[[#This Row],[DateOpened]],Proc[[#This Row],[DateClosed]]))-1)</f>
        <v>110</v>
      </c>
      <c r="R2408" s="110" t="s">
        <v>485</v>
      </c>
      <c r="S2408" s="94"/>
    </row>
    <row r="2409" spans="1:19" hidden="1">
      <c r="A2409" s="103" t="s">
        <v>4422</v>
      </c>
      <c r="B2409" s="149" t="str">
        <f>IFERROR(VLOOKUP(Proc[[#This Row],[App]],Table2[],3,0),"open")</f>
        <v>ok</v>
      </c>
      <c r="C2409" s="117" t="s">
        <v>369</v>
      </c>
      <c r="D2409" t="s">
        <v>4476</v>
      </c>
      <c r="E2409" t="s">
        <v>4738</v>
      </c>
      <c r="F2409" s="94" t="s">
        <v>4738</v>
      </c>
      <c r="G2409" s="103" t="s">
        <v>406</v>
      </c>
      <c r="H2409" s="94" t="str">
        <f>IF(Proc[[#This Row],[type]]="LFF (MDG-F)",MID(Proc[[#This Row],[Obj]],13,10),"")</f>
        <v>DE10538975</v>
      </c>
      <c r="I2409" s="103" t="s">
        <v>4784</v>
      </c>
      <c r="J2409" s="94" t="b">
        <f>Proc[[#This Row],[Requested]]=Proc[[#This Row],[CurrentParent]]</f>
        <v>1</v>
      </c>
      <c r="K2409" s="144" t="str">
        <f>IF(Proc[[#This Row],[Author]]="Marcela Urrego",VLOOKUP(LEFT(Proc[[#This Row],[Requested]],1),Table3[#All],2,0),VLOOKUP(Proc[[#This Row],[Author]],Table4[],2,0))</f>
        <v>MGF</v>
      </c>
      <c r="L2409" s="125" t="s">
        <v>4894</v>
      </c>
      <c r="M2409" s="109">
        <v>45841.453541666669</v>
      </c>
      <c r="N2409" s="109"/>
      <c r="O2409" s="109"/>
      <c r="P2409" s="110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110</v>
      </c>
      <c r="R2409" s="110" t="s">
        <v>485</v>
      </c>
      <c r="S2409" s="94"/>
    </row>
    <row r="2410" spans="1:19" hidden="1">
      <c r="A2410" s="103" t="s">
        <v>4422</v>
      </c>
      <c r="B2410" s="149" t="str">
        <f>IFERROR(VLOOKUP(Proc[[#This Row],[App]],Table2[],3,0),"open")</f>
        <v>ok</v>
      </c>
      <c r="C2410" s="117" t="s">
        <v>369</v>
      </c>
      <c r="D2410" t="s">
        <v>4477</v>
      </c>
      <c r="E2410" t="s">
        <v>4738</v>
      </c>
      <c r="F2410" s="94" t="s">
        <v>4738</v>
      </c>
      <c r="G2410" s="103" t="s">
        <v>406</v>
      </c>
      <c r="H2410" s="94" t="str">
        <f>IF(Proc[[#This Row],[type]]="LFF (MDG-F)",MID(Proc[[#This Row],[Obj]],13,10),"")</f>
        <v>DE10538977</v>
      </c>
      <c r="I2410" s="103" t="s">
        <v>4784</v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MGF</v>
      </c>
      <c r="L2410" s="125" t="s">
        <v>4894</v>
      </c>
      <c r="M2410" s="109">
        <v>45841.453541666669</v>
      </c>
      <c r="N2410" s="109"/>
      <c r="O2410" s="109"/>
      <c r="P2410" s="110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110</v>
      </c>
      <c r="R2410" s="110" t="s">
        <v>485</v>
      </c>
      <c r="S2410" s="94"/>
    </row>
    <row r="2411" spans="1:19" hidden="1">
      <c r="A2411" s="103" t="s">
        <v>4422</v>
      </c>
      <c r="B2411" s="149" t="str">
        <f>IFERROR(VLOOKUP(Proc[[#This Row],[App]],Table2[],3,0),"open")</f>
        <v>ok</v>
      </c>
      <c r="C2411" s="117" t="s">
        <v>369</v>
      </c>
      <c r="D2411" t="s">
        <v>4478</v>
      </c>
      <c r="E2411" t="s">
        <v>4737</v>
      </c>
      <c r="F2411" s="94" t="s">
        <v>4737</v>
      </c>
      <c r="G2411" s="103" t="s">
        <v>406</v>
      </c>
      <c r="H2411" s="94" t="str">
        <f>IF(Proc[[#This Row],[type]]="LFF (MDG-F)",MID(Proc[[#This Row],[Obj]],13,10),"")</f>
        <v>DE10538979</v>
      </c>
      <c r="I2411" s="103" t="s">
        <v>4784</v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MGF</v>
      </c>
      <c r="L2411" s="125" t="s">
        <v>4894</v>
      </c>
      <c r="M2411" s="109">
        <v>45841.453541666669</v>
      </c>
      <c r="N2411" s="109"/>
      <c r="O2411" s="109"/>
      <c r="P2411" s="110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110</v>
      </c>
      <c r="R2411" s="110" t="s">
        <v>485</v>
      </c>
      <c r="S2411" s="94"/>
    </row>
    <row r="2412" spans="1:19" hidden="1">
      <c r="A2412" s="103" t="s">
        <v>4422</v>
      </c>
      <c r="B2412" s="149" t="str">
        <f>IFERROR(VLOOKUP(Proc[[#This Row],[App]],Table2[],3,0),"open")</f>
        <v>ok</v>
      </c>
      <c r="C2412" s="117" t="s">
        <v>369</v>
      </c>
      <c r="D2412" t="s">
        <v>4479</v>
      </c>
      <c r="E2412" t="s">
        <v>4737</v>
      </c>
      <c r="F2412" s="94" t="s">
        <v>4737</v>
      </c>
      <c r="G2412" s="103" t="s">
        <v>406</v>
      </c>
      <c r="H2412" s="94" t="str">
        <f>IF(Proc[[#This Row],[type]]="LFF (MDG-F)",MID(Proc[[#This Row],[Obj]],13,10),"")</f>
        <v>DE10538980</v>
      </c>
      <c r="I2412" s="103" t="s">
        <v>4784</v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MGF</v>
      </c>
      <c r="L2412" s="125" t="s">
        <v>4894</v>
      </c>
      <c r="M2412" s="109">
        <v>45841.453541666669</v>
      </c>
      <c r="N2412" s="109"/>
      <c r="O2412" s="109"/>
      <c r="P2412" s="110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110</v>
      </c>
      <c r="R2412" s="110" t="s">
        <v>485</v>
      </c>
      <c r="S2412" s="94"/>
    </row>
    <row r="2413" spans="1:19" hidden="1">
      <c r="A2413" s="103" t="s">
        <v>4422</v>
      </c>
      <c r="B2413" s="149" t="str">
        <f>IFERROR(VLOOKUP(Proc[[#This Row],[App]],Table2[],3,0),"open")</f>
        <v>ok</v>
      </c>
      <c r="C2413" s="117" t="s">
        <v>369</v>
      </c>
      <c r="D2413" t="s">
        <v>4480</v>
      </c>
      <c r="E2413" t="s">
        <v>4737</v>
      </c>
      <c r="F2413" s="94" t="s">
        <v>4737</v>
      </c>
      <c r="G2413" s="103" t="s">
        <v>406</v>
      </c>
      <c r="H2413" s="94" t="str">
        <f>IF(Proc[[#This Row],[type]]="LFF (MDG-F)",MID(Proc[[#This Row],[Obj]],13,10),"")</f>
        <v>DE10538982</v>
      </c>
      <c r="I2413" s="103" t="s">
        <v>4784</v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MGF</v>
      </c>
      <c r="L2413" s="125" t="s">
        <v>4894</v>
      </c>
      <c r="M2413" s="109">
        <v>45841.453541666669</v>
      </c>
      <c r="N2413" s="109"/>
      <c r="O2413" s="109"/>
      <c r="P2413" s="110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110</v>
      </c>
      <c r="R2413" s="110" t="s">
        <v>485</v>
      </c>
      <c r="S2413" s="94"/>
    </row>
    <row r="2414" spans="1:19" hidden="1">
      <c r="A2414" s="103" t="s">
        <v>4422</v>
      </c>
      <c r="B2414" s="149" t="str">
        <f>IFERROR(VLOOKUP(Proc[[#This Row],[App]],Table2[],3,0),"open")</f>
        <v>ok</v>
      </c>
      <c r="C2414" s="117" t="s">
        <v>369</v>
      </c>
      <c r="D2414" t="s">
        <v>4481</v>
      </c>
      <c r="E2414" t="s">
        <v>4738</v>
      </c>
      <c r="F2414" s="94" t="s">
        <v>4738</v>
      </c>
      <c r="G2414" s="103" t="s">
        <v>406</v>
      </c>
      <c r="H2414" s="94" t="str">
        <f>IF(Proc[[#This Row],[type]]="LFF (MDG-F)",MID(Proc[[#This Row],[Obj]],13,10),"")</f>
        <v>DE10538984</v>
      </c>
      <c r="I2414" s="103" t="s">
        <v>4784</v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MGF</v>
      </c>
      <c r="L2414" s="125" t="s">
        <v>4894</v>
      </c>
      <c r="M2414" s="109">
        <v>45841.453541666669</v>
      </c>
      <c r="N2414" s="109"/>
      <c r="O2414" s="109"/>
      <c r="P2414" s="110" t="str">
        <f ca="1">IF(Proc[[#This Row],[DaysAgeing]]&gt;5,"yep","on track")</f>
        <v>yep</v>
      </c>
      <c r="Q2414" s="3">
        <f ca="1">IF(Proc[[#This Row],[DateClosed]]="",ABS(NETWORKDAYS(Proc[[#This Row],[DateOpened]],TODAY()))-1,ABS(NETWORKDAYS(Proc[[#This Row],[DateOpened]],Proc[[#This Row],[DateClosed]]))-1)</f>
        <v>110</v>
      </c>
      <c r="R2414" s="110" t="s">
        <v>485</v>
      </c>
      <c r="S2414" s="94"/>
    </row>
    <row r="2415" spans="1:19" hidden="1">
      <c r="A2415" s="103" t="s">
        <v>4422</v>
      </c>
      <c r="B2415" s="149" t="str">
        <f>IFERROR(VLOOKUP(Proc[[#This Row],[App]],Table2[],3,0),"open")</f>
        <v>ok</v>
      </c>
      <c r="C2415" s="117" t="s">
        <v>369</v>
      </c>
      <c r="D2415" t="s">
        <v>4482</v>
      </c>
      <c r="E2415" t="s">
        <v>4738</v>
      </c>
      <c r="F2415" s="94" t="s">
        <v>4738</v>
      </c>
      <c r="G2415" s="103" t="s">
        <v>406</v>
      </c>
      <c r="H2415" s="94" t="str">
        <f>IF(Proc[[#This Row],[type]]="LFF (MDG-F)",MID(Proc[[#This Row],[Obj]],13,10),"")</f>
        <v>DE10538985</v>
      </c>
      <c r="I2415" s="103" t="s">
        <v>4784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MGF</v>
      </c>
      <c r="L2415" s="125" t="s">
        <v>4894</v>
      </c>
      <c r="M2415" s="109">
        <v>45841.453541666669</v>
      </c>
      <c r="N2415" s="109"/>
      <c r="O2415" s="109"/>
      <c r="P2415" s="110" t="str">
        <f ca="1">IF(Proc[[#This Row],[DaysAgeing]]&gt;5,"yep","on track")</f>
        <v>yep</v>
      </c>
      <c r="Q2415" s="3">
        <f ca="1">IF(Proc[[#This Row],[DateClosed]]="",ABS(NETWORKDAYS(Proc[[#This Row],[DateOpened]],TODAY()))-1,ABS(NETWORKDAYS(Proc[[#This Row],[DateOpened]],Proc[[#This Row],[DateClosed]]))-1)</f>
        <v>110</v>
      </c>
      <c r="R2415" s="110" t="s">
        <v>485</v>
      </c>
      <c r="S2415" s="94"/>
    </row>
    <row r="2416" spans="1:19" hidden="1">
      <c r="A2416" s="103" t="s">
        <v>4422</v>
      </c>
      <c r="B2416" s="149" t="str">
        <f>IFERROR(VLOOKUP(Proc[[#This Row],[App]],Table2[],3,0),"open")</f>
        <v>ok</v>
      </c>
      <c r="C2416" s="117" t="s">
        <v>369</v>
      </c>
      <c r="D2416" t="s">
        <v>4483</v>
      </c>
      <c r="E2416" t="s">
        <v>4738</v>
      </c>
      <c r="F2416" s="94" t="s">
        <v>4738</v>
      </c>
      <c r="G2416" s="103" t="s">
        <v>406</v>
      </c>
      <c r="H2416" s="94" t="str">
        <f>IF(Proc[[#This Row],[type]]="LFF (MDG-F)",MID(Proc[[#This Row],[Obj]],13,10),"")</f>
        <v>DE10538994</v>
      </c>
      <c r="I2416" s="103" t="s">
        <v>4784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4894</v>
      </c>
      <c r="M2416" s="109">
        <v>45841.453541666669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110</v>
      </c>
      <c r="R2416" s="110" t="s">
        <v>485</v>
      </c>
      <c r="S2416" s="94"/>
    </row>
    <row r="2417" spans="1:19" hidden="1">
      <c r="A2417" s="103" t="s">
        <v>4422</v>
      </c>
      <c r="B2417" s="149" t="str">
        <f>IFERROR(VLOOKUP(Proc[[#This Row],[App]],Table2[],3,0),"open")</f>
        <v>ok</v>
      </c>
      <c r="C2417" s="117" t="s">
        <v>369</v>
      </c>
      <c r="D2417" t="s">
        <v>4484</v>
      </c>
      <c r="E2417" t="s">
        <v>4738</v>
      </c>
      <c r="F2417" s="94" t="s">
        <v>4738</v>
      </c>
      <c r="G2417" s="103" t="s">
        <v>406</v>
      </c>
      <c r="H2417" s="94" t="str">
        <f>IF(Proc[[#This Row],[type]]="LFF (MDG-F)",MID(Proc[[#This Row],[Obj]],13,10),"")</f>
        <v>DE10539930</v>
      </c>
      <c r="I2417" s="103" t="s">
        <v>4784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4894</v>
      </c>
      <c r="M2417" s="109">
        <v>45841.453541666669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110</v>
      </c>
      <c r="R2417" s="110" t="s">
        <v>485</v>
      </c>
      <c r="S2417" s="94"/>
    </row>
    <row r="2418" spans="1:19" hidden="1">
      <c r="A2418" s="103" t="s">
        <v>4422</v>
      </c>
      <c r="B2418" s="149" t="str">
        <f>IFERROR(VLOOKUP(Proc[[#This Row],[App]],Table2[],3,0),"open")</f>
        <v>ok</v>
      </c>
      <c r="C2418" s="117" t="s">
        <v>369</v>
      </c>
      <c r="D2418" t="s">
        <v>4485</v>
      </c>
      <c r="E2418" t="s">
        <v>4738</v>
      </c>
      <c r="F2418" s="94" t="s">
        <v>4738</v>
      </c>
      <c r="G2418" s="103" t="s">
        <v>406</v>
      </c>
      <c r="H2418" s="94" t="str">
        <f>IF(Proc[[#This Row],[type]]="LFF (MDG-F)",MID(Proc[[#This Row],[Obj]],13,10),"")</f>
        <v>DE10539931</v>
      </c>
      <c r="I2418" s="103" t="s">
        <v>4784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MGF</v>
      </c>
      <c r="L2418" s="125" t="s">
        <v>4894</v>
      </c>
      <c r="M2418" s="109">
        <v>45841.453541666669</v>
      </c>
      <c r="N2418" s="109"/>
      <c r="O2418" s="109"/>
      <c r="P2418" s="110" t="str">
        <f ca="1">IF(Proc[[#This Row],[DaysAgeing]]&gt;5,"yep","on track")</f>
        <v>yep</v>
      </c>
      <c r="Q2418" s="3">
        <f ca="1">IF(Proc[[#This Row],[DateClosed]]="",ABS(NETWORKDAYS(Proc[[#This Row],[DateOpened]],TODAY()))-1,ABS(NETWORKDAYS(Proc[[#This Row],[DateOpened]],Proc[[#This Row],[DateClosed]]))-1)</f>
        <v>110</v>
      </c>
      <c r="R2418" s="110" t="s">
        <v>485</v>
      </c>
      <c r="S2418" s="94"/>
    </row>
    <row r="2419" spans="1:19" hidden="1">
      <c r="A2419" s="103" t="s">
        <v>4422</v>
      </c>
      <c r="B2419" s="149" t="str">
        <f>IFERROR(VLOOKUP(Proc[[#This Row],[App]],Table2[],3,0),"open")</f>
        <v>ok</v>
      </c>
      <c r="C2419" s="117" t="s">
        <v>369</v>
      </c>
      <c r="D2419" t="s">
        <v>4486</v>
      </c>
      <c r="E2419" t="s">
        <v>4738</v>
      </c>
      <c r="F2419" s="94" t="s">
        <v>4738</v>
      </c>
      <c r="G2419" s="103" t="s">
        <v>406</v>
      </c>
      <c r="H2419" s="94" t="str">
        <f>IF(Proc[[#This Row],[type]]="LFF (MDG-F)",MID(Proc[[#This Row],[Obj]],13,10),"")</f>
        <v>DE10539932</v>
      </c>
      <c r="I2419" s="103" t="s">
        <v>4784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MGF</v>
      </c>
      <c r="L2419" s="125" t="s">
        <v>4894</v>
      </c>
      <c r="M2419" s="109">
        <v>45841.453541666669</v>
      </c>
      <c r="N2419" s="109"/>
      <c r="O2419" s="109"/>
      <c r="P2419" s="110" t="str">
        <f ca="1">IF(Proc[[#This Row],[DaysAgeing]]&gt;5,"yep","on track")</f>
        <v>yep</v>
      </c>
      <c r="Q2419" s="3">
        <f ca="1">IF(Proc[[#This Row],[DateClosed]]="",ABS(NETWORKDAYS(Proc[[#This Row],[DateOpened]],TODAY()))-1,ABS(NETWORKDAYS(Proc[[#This Row],[DateOpened]],Proc[[#This Row],[DateClosed]]))-1)</f>
        <v>110</v>
      </c>
      <c r="R2419" s="110" t="s">
        <v>485</v>
      </c>
      <c r="S2419" s="94"/>
    </row>
    <row r="2420" spans="1:19" hidden="1">
      <c r="A2420" s="103" t="s">
        <v>4422</v>
      </c>
      <c r="B2420" s="149" t="str">
        <f>IFERROR(VLOOKUP(Proc[[#This Row],[App]],Table2[],3,0),"open")</f>
        <v>ok</v>
      </c>
      <c r="C2420" s="117" t="s">
        <v>369</v>
      </c>
      <c r="D2420" t="s">
        <v>4487</v>
      </c>
      <c r="E2420" t="s">
        <v>4738</v>
      </c>
      <c r="F2420" s="94" t="s">
        <v>4738</v>
      </c>
      <c r="G2420" s="103" t="s">
        <v>406</v>
      </c>
      <c r="H2420" s="94" t="str">
        <f>IF(Proc[[#This Row],[type]]="LFF (MDG-F)",MID(Proc[[#This Row],[Obj]],13,10),"")</f>
        <v>DE10539934</v>
      </c>
      <c r="I2420" s="103" t="s">
        <v>4784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MGF</v>
      </c>
      <c r="L2420" s="125" t="s">
        <v>4894</v>
      </c>
      <c r="M2420" s="109">
        <v>45841.453541666669</v>
      </c>
      <c r="N2420" s="109"/>
      <c r="O2420" s="109"/>
      <c r="P2420" s="110" t="str">
        <f ca="1">IF(Proc[[#This Row],[DaysAgeing]]&gt;5,"yep","on track")</f>
        <v>yep</v>
      </c>
      <c r="Q2420" s="3">
        <f ca="1">IF(Proc[[#This Row],[DateClosed]]="",ABS(NETWORKDAYS(Proc[[#This Row],[DateOpened]],TODAY()))-1,ABS(NETWORKDAYS(Proc[[#This Row],[DateOpened]],Proc[[#This Row],[DateClosed]]))-1)</f>
        <v>110</v>
      </c>
      <c r="R2420" s="110" t="s">
        <v>485</v>
      </c>
      <c r="S2420" s="94"/>
    </row>
    <row r="2421" spans="1:19" hidden="1">
      <c r="A2421" s="103" t="s">
        <v>4422</v>
      </c>
      <c r="B2421" s="149" t="str">
        <f>IFERROR(VLOOKUP(Proc[[#This Row],[App]],Table2[],3,0),"open")</f>
        <v>ok</v>
      </c>
      <c r="C2421" s="117" t="s">
        <v>369</v>
      </c>
      <c r="D2421" t="s">
        <v>4488</v>
      </c>
      <c r="E2421" t="s">
        <v>4738</v>
      </c>
      <c r="F2421" s="94" t="s">
        <v>4738</v>
      </c>
      <c r="G2421" s="103" t="s">
        <v>406</v>
      </c>
      <c r="H2421" s="94" t="str">
        <f>IF(Proc[[#This Row],[type]]="LFF (MDG-F)",MID(Proc[[#This Row],[Obj]],13,10),"")</f>
        <v>DE10539935</v>
      </c>
      <c r="I2421" s="103" t="s">
        <v>4784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MGF</v>
      </c>
      <c r="L2421" s="125" t="s">
        <v>4894</v>
      </c>
      <c r="M2421" s="109">
        <v>45841.453541666669</v>
      </c>
      <c r="N2421" s="109"/>
      <c r="O2421" s="109"/>
      <c r="P2421" s="110" t="str">
        <f ca="1">IF(Proc[[#This Row],[DaysAgeing]]&gt;5,"yep","on track")</f>
        <v>yep</v>
      </c>
      <c r="Q2421" s="3">
        <f ca="1">IF(Proc[[#This Row],[DateClosed]]="",ABS(NETWORKDAYS(Proc[[#This Row],[DateOpened]],TODAY()))-1,ABS(NETWORKDAYS(Proc[[#This Row],[DateOpened]],Proc[[#This Row],[DateClosed]]))-1)</f>
        <v>110</v>
      </c>
      <c r="R2421" s="110" t="s">
        <v>485</v>
      </c>
      <c r="S2421" s="94"/>
    </row>
    <row r="2422" spans="1:19" hidden="1">
      <c r="A2422" s="103" t="s">
        <v>4422</v>
      </c>
      <c r="B2422" s="149" t="str">
        <f>IFERROR(VLOOKUP(Proc[[#This Row],[App]],Table2[],3,0),"open")</f>
        <v>ok</v>
      </c>
      <c r="C2422" s="117" t="s">
        <v>369</v>
      </c>
      <c r="D2422" t="s">
        <v>4489</v>
      </c>
      <c r="E2422" t="s">
        <v>4738</v>
      </c>
      <c r="F2422" s="94" t="s">
        <v>4738</v>
      </c>
      <c r="G2422" s="103" t="s">
        <v>406</v>
      </c>
      <c r="H2422" s="94" t="str">
        <f>IF(Proc[[#This Row],[type]]="LFF (MDG-F)",MID(Proc[[#This Row],[Obj]],13,10),"")</f>
        <v>DE10539936</v>
      </c>
      <c r="I2422" s="103" t="s">
        <v>4784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MGF</v>
      </c>
      <c r="L2422" s="125" t="s">
        <v>4894</v>
      </c>
      <c r="M2422" s="109">
        <v>45841.453541666669</v>
      </c>
      <c r="N2422" s="109"/>
      <c r="O2422" s="109"/>
      <c r="P2422" s="110" t="str">
        <f ca="1">IF(Proc[[#This Row],[DaysAgeing]]&gt;5,"yep","on track")</f>
        <v>yep</v>
      </c>
      <c r="Q2422" s="3">
        <f ca="1">IF(Proc[[#This Row],[DateClosed]]="",ABS(NETWORKDAYS(Proc[[#This Row],[DateOpened]],TODAY()))-1,ABS(NETWORKDAYS(Proc[[#This Row],[DateOpened]],Proc[[#This Row],[DateClosed]]))-1)</f>
        <v>110</v>
      </c>
      <c r="R2422" s="110" t="s">
        <v>485</v>
      </c>
      <c r="S2422" s="94"/>
    </row>
    <row r="2423" spans="1:19" hidden="1">
      <c r="A2423" s="103" t="s">
        <v>4422</v>
      </c>
      <c r="B2423" s="149" t="str">
        <f>IFERROR(VLOOKUP(Proc[[#This Row],[App]],Table2[],3,0),"open")</f>
        <v>ok</v>
      </c>
      <c r="C2423" s="117" t="s">
        <v>369</v>
      </c>
      <c r="D2423" t="s">
        <v>4490</v>
      </c>
      <c r="E2423" t="s">
        <v>4738</v>
      </c>
      <c r="F2423" s="94" t="s">
        <v>4738</v>
      </c>
      <c r="G2423" s="103" t="s">
        <v>406</v>
      </c>
      <c r="H2423" s="94" t="str">
        <f>IF(Proc[[#This Row],[type]]="LFF (MDG-F)",MID(Proc[[#This Row],[Obj]],13,10),"")</f>
        <v>DE10539937</v>
      </c>
      <c r="I2423" s="103" t="s">
        <v>4784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MGF</v>
      </c>
      <c r="L2423" s="125" t="s">
        <v>4894</v>
      </c>
      <c r="M2423" s="109">
        <v>45841.453541666669</v>
      </c>
      <c r="N2423" s="109"/>
      <c r="O2423" s="109"/>
      <c r="P2423" s="110" t="str">
        <f ca="1">IF(Proc[[#This Row],[DaysAgeing]]&gt;5,"yep","on track")</f>
        <v>yep</v>
      </c>
      <c r="Q2423" s="3">
        <f ca="1">IF(Proc[[#This Row],[DateClosed]]="",ABS(NETWORKDAYS(Proc[[#This Row],[DateOpened]],TODAY()))-1,ABS(NETWORKDAYS(Proc[[#This Row],[DateOpened]],Proc[[#This Row],[DateClosed]]))-1)</f>
        <v>110</v>
      </c>
      <c r="R2423" s="110" t="s">
        <v>485</v>
      </c>
      <c r="S2423" s="94"/>
    </row>
    <row r="2424" spans="1:19" hidden="1">
      <c r="A2424" s="103" t="s">
        <v>4422</v>
      </c>
      <c r="B2424" s="149" t="str">
        <f>IFERROR(VLOOKUP(Proc[[#This Row],[App]],Table2[],3,0),"open")</f>
        <v>ok</v>
      </c>
      <c r="C2424" s="117" t="s">
        <v>369</v>
      </c>
      <c r="D2424" t="s">
        <v>4491</v>
      </c>
      <c r="E2424" t="s">
        <v>4738</v>
      </c>
      <c r="F2424" s="94" t="s">
        <v>4738</v>
      </c>
      <c r="G2424" s="103" t="s">
        <v>406</v>
      </c>
      <c r="H2424" s="94" t="str">
        <f>IF(Proc[[#This Row],[type]]="LFF (MDG-F)",MID(Proc[[#This Row],[Obj]],13,10),"")</f>
        <v>DE10539938</v>
      </c>
      <c r="I2424" s="103" t="s">
        <v>4784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MGF</v>
      </c>
      <c r="L2424" s="125" t="s">
        <v>4894</v>
      </c>
      <c r="M2424" s="109">
        <v>45841.453541666669</v>
      </c>
      <c r="N2424" s="109"/>
      <c r="O2424" s="109"/>
      <c r="P2424" s="110" t="str">
        <f ca="1">IF(Proc[[#This Row],[DaysAgeing]]&gt;5,"yep","on track")</f>
        <v>yep</v>
      </c>
      <c r="Q2424" s="3">
        <f ca="1">IF(Proc[[#This Row],[DateClosed]]="",ABS(NETWORKDAYS(Proc[[#This Row],[DateOpened]],TODAY()))-1,ABS(NETWORKDAYS(Proc[[#This Row],[DateOpened]],Proc[[#This Row],[DateClosed]]))-1)</f>
        <v>110</v>
      </c>
      <c r="R2424" s="110" t="s">
        <v>485</v>
      </c>
      <c r="S2424" s="94"/>
    </row>
    <row r="2425" spans="1:19" hidden="1">
      <c r="A2425" s="103" t="s">
        <v>4422</v>
      </c>
      <c r="B2425" s="149" t="str">
        <f>IFERROR(VLOOKUP(Proc[[#This Row],[App]],Table2[],3,0),"open")</f>
        <v>ok</v>
      </c>
      <c r="C2425" s="117" t="s">
        <v>369</v>
      </c>
      <c r="D2425" t="s">
        <v>4492</v>
      </c>
      <c r="E2425" t="s">
        <v>4738</v>
      </c>
      <c r="F2425" s="94" t="s">
        <v>4738</v>
      </c>
      <c r="G2425" s="103" t="s">
        <v>406</v>
      </c>
      <c r="H2425" s="94" t="str">
        <f>IF(Proc[[#This Row],[type]]="LFF (MDG-F)",MID(Proc[[#This Row],[Obj]],13,10),"")</f>
        <v>DE10539939</v>
      </c>
      <c r="I2425" s="103" t="s">
        <v>4784</v>
      </c>
      <c r="J2425" s="94" t="b">
        <f>Proc[[#This Row],[Requested]]=Proc[[#This Row],[CurrentParent]]</f>
        <v>1</v>
      </c>
      <c r="K2425" s="144" t="str">
        <f>IF(Proc[[#This Row],[Author]]="Marcela Urrego",VLOOKUP(LEFT(Proc[[#This Row],[Requested]],1),Table3[#All],2,0),VLOOKUP(Proc[[#This Row],[Author]],Table4[],2,0))</f>
        <v>MGF</v>
      </c>
      <c r="L2425" s="125" t="s">
        <v>4894</v>
      </c>
      <c r="M2425" s="109">
        <v>45841.453541666669</v>
      </c>
      <c r="N2425" s="109"/>
      <c r="O2425" s="109"/>
      <c r="P2425" s="110" t="str">
        <f ca="1">IF(Proc[[#This Row],[DaysAgeing]]&gt;5,"yep","on track")</f>
        <v>yep</v>
      </c>
      <c r="Q2425" s="3">
        <f ca="1">IF(Proc[[#This Row],[DateClosed]]="",ABS(NETWORKDAYS(Proc[[#This Row],[DateOpened]],TODAY()))-1,ABS(NETWORKDAYS(Proc[[#This Row],[DateOpened]],Proc[[#This Row],[DateClosed]]))-1)</f>
        <v>110</v>
      </c>
      <c r="R2425" s="110" t="s">
        <v>485</v>
      </c>
      <c r="S2425" s="94"/>
    </row>
    <row r="2426" spans="1:19" hidden="1">
      <c r="A2426" s="103" t="s">
        <v>4422</v>
      </c>
      <c r="B2426" s="149" t="str">
        <f>IFERROR(VLOOKUP(Proc[[#This Row],[App]],Table2[],3,0),"open")</f>
        <v>ok</v>
      </c>
      <c r="C2426" s="117" t="s">
        <v>369</v>
      </c>
      <c r="D2426" t="s">
        <v>4493</v>
      </c>
      <c r="E2426" t="s">
        <v>4738</v>
      </c>
      <c r="F2426" s="94" t="s">
        <v>4738</v>
      </c>
      <c r="G2426" s="103" t="s">
        <v>406</v>
      </c>
      <c r="H2426" s="94" t="str">
        <f>IF(Proc[[#This Row],[type]]="LFF (MDG-F)",MID(Proc[[#This Row],[Obj]],13,10),"")</f>
        <v>DE10539940</v>
      </c>
      <c r="I2426" s="103" t="s">
        <v>4784</v>
      </c>
      <c r="J2426" s="94" t="b">
        <f>Proc[[#This Row],[Requested]]=Proc[[#This Row],[CurrentParent]]</f>
        <v>1</v>
      </c>
      <c r="K2426" s="144" t="str">
        <f>IF(Proc[[#This Row],[Author]]="Marcela Urrego",VLOOKUP(LEFT(Proc[[#This Row],[Requested]],1),Table3[#All],2,0),VLOOKUP(Proc[[#This Row],[Author]],Table4[],2,0))</f>
        <v>MGF</v>
      </c>
      <c r="L2426" s="125" t="s">
        <v>4894</v>
      </c>
      <c r="M2426" s="109">
        <v>45841.453541666669</v>
      </c>
      <c r="N2426" s="109"/>
      <c r="O2426" s="109"/>
      <c r="P2426" s="110" t="str">
        <f ca="1">IF(Proc[[#This Row],[DaysAgeing]]&gt;5,"yep","on track")</f>
        <v>yep</v>
      </c>
      <c r="Q2426" s="3">
        <f ca="1">IF(Proc[[#This Row],[DateClosed]]="",ABS(NETWORKDAYS(Proc[[#This Row],[DateOpened]],TODAY()))-1,ABS(NETWORKDAYS(Proc[[#This Row],[DateOpened]],Proc[[#This Row],[DateClosed]]))-1)</f>
        <v>110</v>
      </c>
      <c r="R2426" s="110" t="s">
        <v>485</v>
      </c>
      <c r="S2426" s="94"/>
    </row>
    <row r="2427" spans="1:19" hidden="1">
      <c r="A2427" s="103" t="s">
        <v>4422</v>
      </c>
      <c r="B2427" s="149" t="str">
        <f>IFERROR(VLOOKUP(Proc[[#This Row],[App]],Table2[],3,0),"open")</f>
        <v>ok</v>
      </c>
      <c r="C2427" s="117" t="s">
        <v>369</v>
      </c>
      <c r="D2427" t="s">
        <v>4494</v>
      </c>
      <c r="E2427" t="s">
        <v>4738</v>
      </c>
      <c r="F2427" s="94" t="s">
        <v>4738</v>
      </c>
      <c r="G2427" s="103" t="s">
        <v>406</v>
      </c>
      <c r="H2427" s="94" t="str">
        <f>IF(Proc[[#This Row],[type]]="LFF (MDG-F)",MID(Proc[[#This Row],[Obj]],13,10),"")</f>
        <v>DE10539941</v>
      </c>
      <c r="I2427" s="103" t="s">
        <v>4784</v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4894</v>
      </c>
      <c r="M2427" s="109">
        <v>45841.453541666669</v>
      </c>
      <c r="N2427" s="109"/>
      <c r="O2427" s="109"/>
      <c r="P2427" s="110" t="str">
        <f ca="1">IF(Proc[[#This Row],[DaysAgeing]]&gt;5,"yep","on track")</f>
        <v>yep</v>
      </c>
      <c r="Q2427" s="3">
        <f ca="1">IF(Proc[[#This Row],[DateClosed]]="",ABS(NETWORKDAYS(Proc[[#This Row],[DateOpened]],TODAY()))-1,ABS(NETWORKDAYS(Proc[[#This Row],[DateOpened]],Proc[[#This Row],[DateClosed]]))-1)</f>
        <v>110</v>
      </c>
      <c r="R2427" s="110" t="s">
        <v>485</v>
      </c>
      <c r="S2427" s="94"/>
    </row>
    <row r="2428" spans="1:19" hidden="1">
      <c r="A2428" s="103" t="s">
        <v>4422</v>
      </c>
      <c r="B2428" s="149" t="str">
        <f>IFERROR(VLOOKUP(Proc[[#This Row],[App]],Table2[],3,0),"open")</f>
        <v>ok</v>
      </c>
      <c r="C2428" s="117" t="s">
        <v>369</v>
      </c>
      <c r="D2428" t="s">
        <v>4495</v>
      </c>
      <c r="E2428" t="s">
        <v>4738</v>
      </c>
      <c r="F2428" s="94" t="s">
        <v>4738</v>
      </c>
      <c r="G2428" s="103" t="s">
        <v>406</v>
      </c>
      <c r="H2428" s="94" t="str">
        <f>IF(Proc[[#This Row],[type]]="LFF (MDG-F)",MID(Proc[[#This Row],[Obj]],13,10),"")</f>
        <v>DE10539942</v>
      </c>
      <c r="I2428" s="103" t="s">
        <v>4784</v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4894</v>
      </c>
      <c r="M2428" s="109">
        <v>45841.453541666669</v>
      </c>
      <c r="N2428" s="109"/>
      <c r="O2428" s="109"/>
      <c r="P2428" s="110" t="str">
        <f ca="1">IF(Proc[[#This Row],[DaysAgeing]]&gt;5,"yep","on track")</f>
        <v>yep</v>
      </c>
      <c r="Q2428" s="3">
        <f ca="1">IF(Proc[[#This Row],[DateClosed]]="",ABS(NETWORKDAYS(Proc[[#This Row],[DateOpened]],TODAY()))-1,ABS(NETWORKDAYS(Proc[[#This Row],[DateOpened]],Proc[[#This Row],[DateClosed]]))-1)</f>
        <v>110</v>
      </c>
      <c r="R2428" s="110" t="s">
        <v>485</v>
      </c>
      <c r="S2428" s="94"/>
    </row>
    <row r="2429" spans="1:19" hidden="1">
      <c r="A2429" s="103" t="s">
        <v>4422</v>
      </c>
      <c r="B2429" s="149" t="str">
        <f>IFERROR(VLOOKUP(Proc[[#This Row],[App]],Table2[],3,0),"open")</f>
        <v>ok</v>
      </c>
      <c r="C2429" s="117" t="s">
        <v>369</v>
      </c>
      <c r="D2429" t="s">
        <v>4496</v>
      </c>
      <c r="E2429" t="s">
        <v>4738</v>
      </c>
      <c r="F2429" s="94" t="s">
        <v>4738</v>
      </c>
      <c r="G2429" s="103" t="s">
        <v>406</v>
      </c>
      <c r="H2429" s="94" t="str">
        <f>IF(Proc[[#This Row],[type]]="LFF (MDG-F)",MID(Proc[[#This Row],[Obj]],13,10),"")</f>
        <v>DE10539943</v>
      </c>
      <c r="I2429" s="103" t="s">
        <v>4784</v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MGF</v>
      </c>
      <c r="L2429" s="125" t="s">
        <v>4894</v>
      </c>
      <c r="M2429" s="109">
        <v>45841.453541666669</v>
      </c>
      <c r="N2429" s="109"/>
      <c r="O2429" s="109"/>
      <c r="P2429" s="110" t="str">
        <f ca="1">IF(Proc[[#This Row],[DaysAgeing]]&gt;5,"yep","on track")</f>
        <v>yep</v>
      </c>
      <c r="Q2429" s="3">
        <f ca="1">IF(Proc[[#This Row],[DateClosed]]="",ABS(NETWORKDAYS(Proc[[#This Row],[DateOpened]],TODAY()))-1,ABS(NETWORKDAYS(Proc[[#This Row],[DateOpened]],Proc[[#This Row],[DateClosed]]))-1)</f>
        <v>110</v>
      </c>
      <c r="R2429" s="110" t="s">
        <v>485</v>
      </c>
      <c r="S2429" s="94"/>
    </row>
    <row r="2430" spans="1:19" hidden="1">
      <c r="A2430" s="103" t="s">
        <v>4422</v>
      </c>
      <c r="B2430" s="149" t="str">
        <f>IFERROR(VLOOKUP(Proc[[#This Row],[App]],Table2[],3,0),"open")</f>
        <v>ok</v>
      </c>
      <c r="C2430" s="117" t="s">
        <v>369</v>
      </c>
      <c r="D2430" t="s">
        <v>4497</v>
      </c>
      <c r="E2430" t="s">
        <v>4738</v>
      </c>
      <c r="F2430" s="94" t="s">
        <v>4738</v>
      </c>
      <c r="G2430" s="103" t="s">
        <v>406</v>
      </c>
      <c r="H2430" s="94" t="str">
        <f>IF(Proc[[#This Row],[type]]="LFF (MDG-F)",MID(Proc[[#This Row],[Obj]],13,10),"")</f>
        <v>DE10539944</v>
      </c>
      <c r="I2430" s="103" t="s">
        <v>4784</v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MGF</v>
      </c>
      <c r="L2430" s="125" t="s">
        <v>4894</v>
      </c>
      <c r="M2430" s="109">
        <v>45841.453541666669</v>
      </c>
      <c r="N2430" s="109"/>
      <c r="O2430" s="109"/>
      <c r="P2430" s="110" t="str">
        <f ca="1">IF(Proc[[#This Row],[DaysAgeing]]&gt;5,"yep","on track")</f>
        <v>yep</v>
      </c>
      <c r="Q2430" s="3">
        <f ca="1">IF(Proc[[#This Row],[DateClosed]]="",ABS(NETWORKDAYS(Proc[[#This Row],[DateOpened]],TODAY()))-1,ABS(NETWORKDAYS(Proc[[#This Row],[DateOpened]],Proc[[#This Row],[DateClosed]]))-1)</f>
        <v>110</v>
      </c>
      <c r="R2430" s="110" t="s">
        <v>485</v>
      </c>
      <c r="S2430" s="94"/>
    </row>
    <row r="2431" spans="1:19" hidden="1">
      <c r="A2431" s="103" t="s">
        <v>4422</v>
      </c>
      <c r="B2431" s="149" t="str">
        <f>IFERROR(VLOOKUP(Proc[[#This Row],[App]],Table2[],3,0),"open")</f>
        <v>ok</v>
      </c>
      <c r="C2431" s="117" t="s">
        <v>369</v>
      </c>
      <c r="D2431" t="s">
        <v>4498</v>
      </c>
      <c r="E2431" t="s">
        <v>4738</v>
      </c>
      <c r="F2431" s="94" t="s">
        <v>4738</v>
      </c>
      <c r="G2431" s="103" t="s">
        <v>406</v>
      </c>
      <c r="H2431" s="94" t="str">
        <f>IF(Proc[[#This Row],[type]]="LFF (MDG-F)",MID(Proc[[#This Row],[Obj]],13,10),"")</f>
        <v>DE10539995</v>
      </c>
      <c r="I2431" s="103" t="s">
        <v>4784</v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MGF</v>
      </c>
      <c r="L2431" s="125" t="s">
        <v>4894</v>
      </c>
      <c r="M2431" s="109">
        <v>45841.453541666669</v>
      </c>
      <c r="N2431" s="109"/>
      <c r="O2431" s="109"/>
      <c r="P2431" s="110" t="str">
        <f ca="1">IF(Proc[[#This Row],[DaysAgeing]]&gt;5,"yep","on track")</f>
        <v>yep</v>
      </c>
      <c r="Q2431" s="3">
        <f ca="1">IF(Proc[[#This Row],[DateClosed]]="",ABS(NETWORKDAYS(Proc[[#This Row],[DateOpened]],TODAY()))-1,ABS(NETWORKDAYS(Proc[[#This Row],[DateOpened]],Proc[[#This Row],[DateClosed]]))-1)</f>
        <v>110</v>
      </c>
      <c r="R2431" s="110" t="s">
        <v>485</v>
      </c>
      <c r="S2431" s="94"/>
    </row>
    <row r="2432" spans="1:19" hidden="1">
      <c r="A2432" s="103" t="s">
        <v>4422</v>
      </c>
      <c r="B2432" s="149" t="str">
        <f>IFERROR(VLOOKUP(Proc[[#This Row],[App]],Table2[],3,0),"open")</f>
        <v>ok</v>
      </c>
      <c r="C2432" s="117" t="s">
        <v>369</v>
      </c>
      <c r="D2432" t="s">
        <v>4499</v>
      </c>
      <c r="E2432" t="s">
        <v>4740</v>
      </c>
      <c r="F2432" s="94" t="s">
        <v>4740</v>
      </c>
      <c r="G2432" s="103" t="s">
        <v>406</v>
      </c>
      <c r="H2432" s="94" t="str">
        <f>IF(Proc[[#This Row],[type]]="LFF (MDG-F)",MID(Proc[[#This Row],[Obj]],13,10),"")</f>
        <v>DE10538103</v>
      </c>
      <c r="I2432" s="103" t="s">
        <v>4784</v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MGF</v>
      </c>
      <c r="L2432" s="125" t="s">
        <v>4894</v>
      </c>
      <c r="M2432" s="109">
        <v>45841.453541666669</v>
      </c>
      <c r="N2432" s="109"/>
      <c r="O2432" s="109"/>
      <c r="P2432" s="110" t="str">
        <f ca="1">IF(Proc[[#This Row],[DaysAgeing]]&gt;5,"yep","on track")</f>
        <v>yep</v>
      </c>
      <c r="Q2432" s="3">
        <f ca="1">IF(Proc[[#This Row],[DateClosed]]="",ABS(NETWORKDAYS(Proc[[#This Row],[DateOpened]],TODAY()))-1,ABS(NETWORKDAYS(Proc[[#This Row],[DateOpened]],Proc[[#This Row],[DateClosed]]))-1)</f>
        <v>110</v>
      </c>
      <c r="R2432" s="110" t="s">
        <v>485</v>
      </c>
      <c r="S2432" s="94"/>
    </row>
    <row r="2433" spans="1:19" hidden="1">
      <c r="A2433" s="103" t="s">
        <v>4422</v>
      </c>
      <c r="B2433" s="149" t="str">
        <f>IFERROR(VLOOKUP(Proc[[#This Row],[App]],Table2[],3,0),"open")</f>
        <v>ok</v>
      </c>
      <c r="C2433" s="117" t="s">
        <v>369</v>
      </c>
      <c r="D2433" t="s">
        <v>4500</v>
      </c>
      <c r="E2433" t="s">
        <v>4741</v>
      </c>
      <c r="F2433" s="94" t="s">
        <v>4741</v>
      </c>
      <c r="G2433" s="103" t="s">
        <v>406</v>
      </c>
      <c r="H2433" s="94" t="str">
        <f>IF(Proc[[#This Row],[type]]="LFF (MDG-F)",MID(Proc[[#This Row],[Obj]],13,10),"")</f>
        <v>DE10538108</v>
      </c>
      <c r="I2433" s="103" t="s">
        <v>4784</v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MGF</v>
      </c>
      <c r="L2433" s="125" t="s">
        <v>4894</v>
      </c>
      <c r="M2433" s="109">
        <v>45841.453541666669</v>
      </c>
      <c r="N2433" s="109"/>
      <c r="O2433" s="109"/>
      <c r="P2433" s="110" t="str">
        <f ca="1">IF(Proc[[#This Row],[DaysAgeing]]&gt;5,"yep","on track")</f>
        <v>yep</v>
      </c>
      <c r="Q2433" s="3">
        <f ca="1">IF(Proc[[#This Row],[DateClosed]]="",ABS(NETWORKDAYS(Proc[[#This Row],[DateOpened]],TODAY()))-1,ABS(NETWORKDAYS(Proc[[#This Row],[DateOpened]],Proc[[#This Row],[DateClosed]]))-1)</f>
        <v>110</v>
      </c>
      <c r="R2433" s="110" t="s">
        <v>485</v>
      </c>
      <c r="S2433" s="94"/>
    </row>
    <row r="2434" spans="1:19" hidden="1">
      <c r="A2434" s="103" t="s">
        <v>4422</v>
      </c>
      <c r="B2434" s="149" t="str">
        <f>IFERROR(VLOOKUP(Proc[[#This Row],[App]],Table2[],3,0),"open")</f>
        <v>ok</v>
      </c>
      <c r="C2434" s="117" t="s">
        <v>369</v>
      </c>
      <c r="D2434" t="s">
        <v>4501</v>
      </c>
      <c r="E2434" t="s">
        <v>4740</v>
      </c>
      <c r="F2434" s="94" t="s">
        <v>4740</v>
      </c>
      <c r="G2434" s="103" t="s">
        <v>406</v>
      </c>
      <c r="H2434" s="94" t="str">
        <f>IF(Proc[[#This Row],[type]]="LFF (MDG-F)",MID(Proc[[#This Row],[Obj]],13,10),"")</f>
        <v>DE10538110</v>
      </c>
      <c r="I2434" s="103" t="s">
        <v>4784</v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MGF</v>
      </c>
      <c r="L2434" s="125" t="s">
        <v>4894</v>
      </c>
      <c r="M2434" s="109">
        <v>45841.453541666669</v>
      </c>
      <c r="N2434" s="109"/>
      <c r="O2434" s="109"/>
      <c r="P2434" s="110" t="str">
        <f ca="1">IF(Proc[[#This Row],[DaysAgeing]]&gt;5,"yep","on track")</f>
        <v>yep</v>
      </c>
      <c r="Q2434" s="3">
        <f ca="1">IF(Proc[[#This Row],[DateClosed]]="",ABS(NETWORKDAYS(Proc[[#This Row],[DateOpened]],TODAY()))-1,ABS(NETWORKDAYS(Proc[[#This Row],[DateOpened]],Proc[[#This Row],[DateClosed]]))-1)</f>
        <v>110</v>
      </c>
      <c r="R2434" s="110" t="s">
        <v>485</v>
      </c>
      <c r="S2434" s="94"/>
    </row>
    <row r="2435" spans="1:19" hidden="1">
      <c r="A2435" s="103" t="s">
        <v>4422</v>
      </c>
      <c r="B2435" s="149" t="str">
        <f>IFERROR(VLOOKUP(Proc[[#This Row],[App]],Table2[],3,0),"open")</f>
        <v>ok</v>
      </c>
      <c r="C2435" s="117" t="s">
        <v>369</v>
      </c>
      <c r="D2435" t="s">
        <v>4502</v>
      </c>
      <c r="E2435" t="s">
        <v>4742</v>
      </c>
      <c r="F2435" s="94" t="s">
        <v>4742</v>
      </c>
      <c r="G2435" s="103" t="s">
        <v>406</v>
      </c>
      <c r="H2435" s="94" t="str">
        <f>IF(Proc[[#This Row],[type]]="LFF (MDG-F)",MID(Proc[[#This Row],[Obj]],13,10),"")</f>
        <v>DE10538111</v>
      </c>
      <c r="I2435" s="103" t="s">
        <v>4784</v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MGF</v>
      </c>
      <c r="L2435" s="125" t="s">
        <v>4894</v>
      </c>
      <c r="M2435" s="109">
        <v>45841.453541666669</v>
      </c>
      <c r="N2435" s="109"/>
      <c r="O2435" s="109"/>
      <c r="P2435" s="110" t="str">
        <f ca="1">IF(Proc[[#This Row],[DaysAgeing]]&gt;5,"yep","on track")</f>
        <v>yep</v>
      </c>
      <c r="Q2435" s="3">
        <f ca="1">IF(Proc[[#This Row],[DateClosed]]="",ABS(NETWORKDAYS(Proc[[#This Row],[DateOpened]],TODAY()))-1,ABS(NETWORKDAYS(Proc[[#This Row],[DateOpened]],Proc[[#This Row],[DateClosed]]))-1)</f>
        <v>110</v>
      </c>
      <c r="R2435" s="110" t="s">
        <v>485</v>
      </c>
      <c r="S2435" s="94"/>
    </row>
    <row r="2436" spans="1:19" hidden="1">
      <c r="A2436" s="103" t="s">
        <v>4422</v>
      </c>
      <c r="B2436" s="149" t="str">
        <f>IFERROR(VLOOKUP(Proc[[#This Row],[App]],Table2[],3,0),"open")</f>
        <v>ok</v>
      </c>
      <c r="C2436" s="117" t="s">
        <v>369</v>
      </c>
      <c r="D2436" t="s">
        <v>4503</v>
      </c>
      <c r="E2436" t="s">
        <v>4740</v>
      </c>
      <c r="F2436" s="94" t="s">
        <v>4740</v>
      </c>
      <c r="G2436" s="103" t="s">
        <v>406</v>
      </c>
      <c r="H2436" s="94" t="str">
        <f>IF(Proc[[#This Row],[type]]="LFF (MDG-F)",MID(Proc[[#This Row],[Obj]],13,10),"")</f>
        <v>DE10538112</v>
      </c>
      <c r="I2436" s="103" t="s">
        <v>4784</v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MGF</v>
      </c>
      <c r="L2436" s="125" t="s">
        <v>4894</v>
      </c>
      <c r="M2436" s="109">
        <v>45841.453541666669</v>
      </c>
      <c r="N2436" s="109"/>
      <c r="O2436" s="109"/>
      <c r="P2436" s="110" t="str">
        <f ca="1">IF(Proc[[#This Row],[DaysAgeing]]&gt;5,"yep","on track")</f>
        <v>yep</v>
      </c>
      <c r="Q2436" s="3">
        <f ca="1">IF(Proc[[#This Row],[DateClosed]]="",ABS(NETWORKDAYS(Proc[[#This Row],[DateOpened]],TODAY()))-1,ABS(NETWORKDAYS(Proc[[#This Row],[DateOpened]],Proc[[#This Row],[DateClosed]]))-1)</f>
        <v>110</v>
      </c>
      <c r="R2436" s="110" t="s">
        <v>485</v>
      </c>
      <c r="S2436" s="94"/>
    </row>
    <row r="2437" spans="1:19" hidden="1">
      <c r="A2437" s="103" t="s">
        <v>4422</v>
      </c>
      <c r="B2437" s="149" t="str">
        <f>IFERROR(VLOOKUP(Proc[[#This Row],[App]],Table2[],3,0),"open")</f>
        <v>ok</v>
      </c>
      <c r="C2437" s="117" t="s">
        <v>369</v>
      </c>
      <c r="D2437" t="s">
        <v>4504</v>
      </c>
      <c r="E2437" t="s">
        <v>4740</v>
      </c>
      <c r="F2437" s="94" t="s">
        <v>4740</v>
      </c>
      <c r="G2437" s="103" t="s">
        <v>406</v>
      </c>
      <c r="H2437" s="94" t="str">
        <f>IF(Proc[[#This Row],[type]]="LFF (MDG-F)",MID(Proc[[#This Row],[Obj]],13,10),"")</f>
        <v>DE10538113</v>
      </c>
      <c r="I2437" s="103" t="s">
        <v>4784</v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MGF</v>
      </c>
      <c r="L2437" s="125" t="s">
        <v>4894</v>
      </c>
      <c r="M2437" s="109">
        <v>45841.453541666669</v>
      </c>
      <c r="N2437" s="109"/>
      <c r="O2437" s="109"/>
      <c r="P2437" s="110" t="str">
        <f ca="1">IF(Proc[[#This Row],[DaysAgeing]]&gt;5,"yep","on track")</f>
        <v>yep</v>
      </c>
      <c r="Q2437" s="3">
        <f ca="1">IF(Proc[[#This Row],[DateClosed]]="",ABS(NETWORKDAYS(Proc[[#This Row],[DateOpened]],TODAY()))-1,ABS(NETWORKDAYS(Proc[[#This Row],[DateOpened]],Proc[[#This Row],[DateClosed]]))-1)</f>
        <v>110</v>
      </c>
      <c r="R2437" s="110" t="s">
        <v>485</v>
      </c>
      <c r="S2437" s="94"/>
    </row>
    <row r="2438" spans="1:19" hidden="1">
      <c r="A2438" s="103" t="s">
        <v>4422</v>
      </c>
      <c r="B2438" s="149" t="str">
        <f>IFERROR(VLOOKUP(Proc[[#This Row],[App]],Table2[],3,0),"open")</f>
        <v>ok</v>
      </c>
      <c r="C2438" s="117" t="s">
        <v>369</v>
      </c>
      <c r="D2438" t="s">
        <v>4505</v>
      </c>
      <c r="E2438" t="s">
        <v>4740</v>
      </c>
      <c r="F2438" s="94" t="s">
        <v>4740</v>
      </c>
      <c r="G2438" s="103" t="s">
        <v>406</v>
      </c>
      <c r="H2438" s="94" t="str">
        <f>IF(Proc[[#This Row],[type]]="LFF (MDG-F)",MID(Proc[[#This Row],[Obj]],13,10),"")</f>
        <v>DE10538114</v>
      </c>
      <c r="I2438" s="103" t="s">
        <v>4784</v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MGF</v>
      </c>
      <c r="L2438" s="125" t="s">
        <v>4894</v>
      </c>
      <c r="M2438" s="109">
        <v>45841.453541666669</v>
      </c>
      <c r="N2438" s="109"/>
      <c r="O2438" s="109"/>
      <c r="P2438" s="110" t="str">
        <f ca="1">IF(Proc[[#This Row],[DaysAgeing]]&gt;5,"yep","on track")</f>
        <v>yep</v>
      </c>
      <c r="Q2438" s="3">
        <f ca="1">IF(Proc[[#This Row],[DateClosed]]="",ABS(NETWORKDAYS(Proc[[#This Row],[DateOpened]],TODAY()))-1,ABS(NETWORKDAYS(Proc[[#This Row],[DateOpened]],Proc[[#This Row],[DateClosed]]))-1)</f>
        <v>110</v>
      </c>
      <c r="R2438" s="110" t="s">
        <v>485</v>
      </c>
      <c r="S2438" s="94"/>
    </row>
    <row r="2439" spans="1:19" hidden="1">
      <c r="A2439" s="103" t="s">
        <v>4422</v>
      </c>
      <c r="B2439" s="149" t="str">
        <f>IFERROR(VLOOKUP(Proc[[#This Row],[App]],Table2[],3,0),"open")</f>
        <v>ok</v>
      </c>
      <c r="C2439" s="117" t="s">
        <v>369</v>
      </c>
      <c r="D2439" t="s">
        <v>4506</v>
      </c>
      <c r="E2439" t="s">
        <v>4742</v>
      </c>
      <c r="F2439" s="94" t="s">
        <v>4742</v>
      </c>
      <c r="G2439" s="103" t="s">
        <v>406</v>
      </c>
      <c r="H2439" s="94" t="str">
        <f>IF(Proc[[#This Row],[type]]="LFF (MDG-F)",MID(Proc[[#This Row],[Obj]],13,10),"")</f>
        <v>DE10538115</v>
      </c>
      <c r="I2439" s="103" t="s">
        <v>4784</v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MGF</v>
      </c>
      <c r="L2439" s="125" t="s">
        <v>4894</v>
      </c>
      <c r="M2439" s="109">
        <v>45841.453541666669</v>
      </c>
      <c r="N2439" s="109"/>
      <c r="O2439" s="109"/>
      <c r="P2439" s="110" t="str">
        <f ca="1">IF(Proc[[#This Row],[DaysAgeing]]&gt;5,"yep","on track")</f>
        <v>yep</v>
      </c>
      <c r="Q2439" s="3">
        <f ca="1">IF(Proc[[#This Row],[DateClosed]]="",ABS(NETWORKDAYS(Proc[[#This Row],[DateOpened]],TODAY()))-1,ABS(NETWORKDAYS(Proc[[#This Row],[DateOpened]],Proc[[#This Row],[DateClosed]]))-1)</f>
        <v>110</v>
      </c>
      <c r="R2439" s="110" t="s">
        <v>485</v>
      </c>
      <c r="S2439" s="94"/>
    </row>
    <row r="2440" spans="1:19" hidden="1">
      <c r="A2440" s="103" t="s">
        <v>4422</v>
      </c>
      <c r="B2440" s="149" t="str">
        <f>IFERROR(VLOOKUP(Proc[[#This Row],[App]],Table2[],3,0),"open")</f>
        <v>ok</v>
      </c>
      <c r="C2440" s="117" t="s">
        <v>369</v>
      </c>
      <c r="D2440" t="s">
        <v>4507</v>
      </c>
      <c r="E2440" t="s">
        <v>4741</v>
      </c>
      <c r="F2440" s="94" t="s">
        <v>4741</v>
      </c>
      <c r="G2440" s="103" t="s">
        <v>406</v>
      </c>
      <c r="H2440" s="94" t="str">
        <f>IF(Proc[[#This Row],[type]]="LFF (MDG-F)",MID(Proc[[#This Row],[Obj]],13,10),"")</f>
        <v>DE10538117</v>
      </c>
      <c r="I2440" s="103" t="s">
        <v>4784</v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MGF</v>
      </c>
      <c r="L2440" s="125" t="s">
        <v>4894</v>
      </c>
      <c r="M2440" s="109">
        <v>45841.453541666669</v>
      </c>
      <c r="N2440" s="109"/>
      <c r="O2440" s="109"/>
      <c r="P2440" s="110" t="str">
        <f ca="1">IF(Proc[[#This Row],[DaysAgeing]]&gt;5,"yep","on track")</f>
        <v>yep</v>
      </c>
      <c r="Q2440" s="3">
        <f ca="1">IF(Proc[[#This Row],[DateClosed]]="",ABS(NETWORKDAYS(Proc[[#This Row],[DateOpened]],TODAY()))-1,ABS(NETWORKDAYS(Proc[[#This Row],[DateOpened]],Proc[[#This Row],[DateClosed]]))-1)</f>
        <v>110</v>
      </c>
      <c r="R2440" s="110" t="s">
        <v>485</v>
      </c>
      <c r="S2440" s="94"/>
    </row>
    <row r="2441" spans="1:19" hidden="1">
      <c r="A2441" s="103" t="s">
        <v>4422</v>
      </c>
      <c r="B2441" s="149" t="str">
        <f>IFERROR(VLOOKUP(Proc[[#This Row],[App]],Table2[],3,0),"open")</f>
        <v>ok</v>
      </c>
      <c r="C2441" s="117" t="s">
        <v>369</v>
      </c>
      <c r="D2441" t="s">
        <v>4508</v>
      </c>
      <c r="E2441" t="s">
        <v>4740</v>
      </c>
      <c r="F2441" s="94" t="s">
        <v>4740</v>
      </c>
      <c r="G2441" s="103" t="s">
        <v>406</v>
      </c>
      <c r="H2441" s="94" t="str">
        <f>IF(Proc[[#This Row],[type]]="LFF (MDG-F)",MID(Proc[[#This Row],[Obj]],13,10),"")</f>
        <v>DE10538119</v>
      </c>
      <c r="I2441" s="103" t="s">
        <v>4784</v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MGF</v>
      </c>
      <c r="L2441" s="125" t="s">
        <v>4894</v>
      </c>
      <c r="M2441" s="109">
        <v>45841.453541666669</v>
      </c>
      <c r="N2441" s="109"/>
      <c r="O2441" s="109"/>
      <c r="P2441" s="110" t="str">
        <f ca="1">IF(Proc[[#This Row],[DaysAgeing]]&gt;5,"yep","on track")</f>
        <v>yep</v>
      </c>
      <c r="Q2441" s="3">
        <f ca="1">IF(Proc[[#This Row],[DateClosed]]="",ABS(NETWORKDAYS(Proc[[#This Row],[DateOpened]],TODAY()))-1,ABS(NETWORKDAYS(Proc[[#This Row],[DateOpened]],Proc[[#This Row],[DateClosed]]))-1)</f>
        <v>110</v>
      </c>
      <c r="R2441" s="110" t="s">
        <v>485</v>
      </c>
      <c r="S2441" s="94"/>
    </row>
    <row r="2442" spans="1:19" hidden="1">
      <c r="A2442" s="103" t="s">
        <v>4422</v>
      </c>
      <c r="B2442" s="149" t="str">
        <f>IFERROR(VLOOKUP(Proc[[#This Row],[App]],Table2[],3,0),"open")</f>
        <v>ok</v>
      </c>
      <c r="C2442" s="117" t="s">
        <v>369</v>
      </c>
      <c r="D2442" t="s">
        <v>4509</v>
      </c>
      <c r="E2442" t="s">
        <v>4740</v>
      </c>
      <c r="F2442" s="94" t="s">
        <v>4740</v>
      </c>
      <c r="G2442" s="103" t="s">
        <v>406</v>
      </c>
      <c r="H2442" s="94" t="str">
        <f>IF(Proc[[#This Row],[type]]="LFF (MDG-F)",MID(Proc[[#This Row],[Obj]],13,10),"")</f>
        <v>DE10538120</v>
      </c>
      <c r="I2442" s="103" t="s">
        <v>4784</v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MGF</v>
      </c>
      <c r="L2442" s="125" t="s">
        <v>4894</v>
      </c>
      <c r="M2442" s="109">
        <v>45841.453541666669</v>
      </c>
      <c r="N2442" s="109"/>
      <c r="O2442" s="109"/>
      <c r="P2442" s="110" t="str">
        <f ca="1">IF(Proc[[#This Row],[DaysAgeing]]&gt;5,"yep","on track")</f>
        <v>yep</v>
      </c>
      <c r="Q2442" s="3">
        <f ca="1">IF(Proc[[#This Row],[DateClosed]]="",ABS(NETWORKDAYS(Proc[[#This Row],[DateOpened]],TODAY()))-1,ABS(NETWORKDAYS(Proc[[#This Row],[DateOpened]],Proc[[#This Row],[DateClosed]]))-1)</f>
        <v>110</v>
      </c>
      <c r="R2442" s="110" t="s">
        <v>485</v>
      </c>
      <c r="S2442" s="94"/>
    </row>
    <row r="2443" spans="1:19" hidden="1">
      <c r="A2443" s="103" t="s">
        <v>4422</v>
      </c>
      <c r="B2443" s="149" t="str">
        <f>IFERROR(VLOOKUP(Proc[[#This Row],[App]],Table2[],3,0),"open")</f>
        <v>ok</v>
      </c>
      <c r="C2443" s="117" t="s">
        <v>369</v>
      </c>
      <c r="D2443" t="s">
        <v>4510</v>
      </c>
      <c r="E2443" t="s">
        <v>4740</v>
      </c>
      <c r="F2443" s="94" t="s">
        <v>4740</v>
      </c>
      <c r="G2443" s="103" t="s">
        <v>406</v>
      </c>
      <c r="H2443" s="94" t="str">
        <f>IF(Proc[[#This Row],[type]]="LFF (MDG-F)",MID(Proc[[#This Row],[Obj]],13,10),"")</f>
        <v>DE10538121</v>
      </c>
      <c r="I2443" s="103" t="s">
        <v>4784</v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MGF</v>
      </c>
      <c r="L2443" s="125" t="s">
        <v>4894</v>
      </c>
      <c r="M2443" s="109">
        <v>45841.453541666669</v>
      </c>
      <c r="N2443" s="109"/>
      <c r="O2443" s="109"/>
      <c r="P2443" s="110" t="str">
        <f ca="1">IF(Proc[[#This Row],[DaysAgeing]]&gt;5,"yep","on track")</f>
        <v>yep</v>
      </c>
      <c r="Q2443" s="3">
        <f ca="1">IF(Proc[[#This Row],[DateClosed]]="",ABS(NETWORKDAYS(Proc[[#This Row],[DateOpened]],TODAY()))-1,ABS(NETWORKDAYS(Proc[[#This Row],[DateOpened]],Proc[[#This Row],[DateClosed]]))-1)</f>
        <v>110</v>
      </c>
      <c r="R2443" s="110" t="s">
        <v>485</v>
      </c>
      <c r="S2443" s="94"/>
    </row>
    <row r="2444" spans="1:19" hidden="1">
      <c r="A2444" s="103" t="s">
        <v>4422</v>
      </c>
      <c r="B2444" s="149" t="str">
        <f>IFERROR(VLOOKUP(Proc[[#This Row],[App]],Table2[],3,0),"open")</f>
        <v>ok</v>
      </c>
      <c r="C2444" s="117" t="s">
        <v>369</v>
      </c>
      <c r="D2444" t="s">
        <v>4511</v>
      </c>
      <c r="E2444" t="s">
        <v>4740</v>
      </c>
      <c r="F2444" s="94" t="s">
        <v>4740</v>
      </c>
      <c r="G2444" s="103" t="s">
        <v>406</v>
      </c>
      <c r="H2444" s="94" t="str">
        <f>IF(Proc[[#This Row],[type]]="LFF (MDG-F)",MID(Proc[[#This Row],[Obj]],13,10),"")</f>
        <v>DE10538122</v>
      </c>
      <c r="I2444" s="103" t="s">
        <v>4784</v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MGF</v>
      </c>
      <c r="L2444" s="125" t="s">
        <v>4894</v>
      </c>
      <c r="M2444" s="109">
        <v>45841.453541666669</v>
      </c>
      <c r="N2444" s="109"/>
      <c r="O2444" s="109"/>
      <c r="P2444" s="110" t="str">
        <f ca="1">IF(Proc[[#This Row],[DaysAgeing]]&gt;5,"yep","on track")</f>
        <v>yep</v>
      </c>
      <c r="Q2444" s="3">
        <f ca="1">IF(Proc[[#This Row],[DateClosed]]="",ABS(NETWORKDAYS(Proc[[#This Row],[DateOpened]],TODAY()))-1,ABS(NETWORKDAYS(Proc[[#This Row],[DateOpened]],Proc[[#This Row],[DateClosed]]))-1)</f>
        <v>110</v>
      </c>
      <c r="R2444" s="110" t="s">
        <v>485</v>
      </c>
      <c r="S2444" s="94"/>
    </row>
    <row r="2445" spans="1:19" hidden="1">
      <c r="A2445" s="103" t="s">
        <v>4422</v>
      </c>
      <c r="B2445" s="149" t="str">
        <f>IFERROR(VLOOKUP(Proc[[#This Row],[App]],Table2[],3,0),"open")</f>
        <v>ok</v>
      </c>
      <c r="C2445" s="117" t="s">
        <v>369</v>
      </c>
      <c r="D2445" t="s">
        <v>4512</v>
      </c>
      <c r="E2445" t="s">
        <v>4740</v>
      </c>
      <c r="F2445" s="94" t="s">
        <v>4740</v>
      </c>
      <c r="G2445" s="103" t="s">
        <v>406</v>
      </c>
      <c r="H2445" s="94" t="str">
        <f>IF(Proc[[#This Row],[type]]="LFF (MDG-F)",MID(Proc[[#This Row],[Obj]],13,10),"")</f>
        <v>DE10538124</v>
      </c>
      <c r="I2445" s="103" t="s">
        <v>4784</v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MGF</v>
      </c>
      <c r="L2445" s="125" t="s">
        <v>4894</v>
      </c>
      <c r="M2445" s="109">
        <v>45841.453541666669</v>
      </c>
      <c r="N2445" s="109"/>
      <c r="O2445" s="109"/>
      <c r="P2445" s="110" t="str">
        <f ca="1">IF(Proc[[#This Row],[DaysAgeing]]&gt;5,"yep","on track")</f>
        <v>yep</v>
      </c>
      <c r="Q2445" s="3">
        <f ca="1">IF(Proc[[#This Row],[DateClosed]]="",ABS(NETWORKDAYS(Proc[[#This Row],[DateOpened]],TODAY()))-1,ABS(NETWORKDAYS(Proc[[#This Row],[DateOpened]],Proc[[#This Row],[DateClosed]]))-1)</f>
        <v>110</v>
      </c>
      <c r="R2445" s="110" t="s">
        <v>485</v>
      </c>
      <c r="S2445" s="94"/>
    </row>
    <row r="2446" spans="1:19" hidden="1">
      <c r="A2446" s="103" t="s">
        <v>4422</v>
      </c>
      <c r="B2446" s="149" t="str">
        <f>IFERROR(VLOOKUP(Proc[[#This Row],[App]],Table2[],3,0),"open")</f>
        <v>ok</v>
      </c>
      <c r="C2446" s="117" t="s">
        <v>369</v>
      </c>
      <c r="D2446" t="s">
        <v>4513</v>
      </c>
      <c r="E2446" t="s">
        <v>4740</v>
      </c>
      <c r="F2446" s="94" t="s">
        <v>4740</v>
      </c>
      <c r="G2446" s="103" t="s">
        <v>406</v>
      </c>
      <c r="H2446" s="94" t="str">
        <f>IF(Proc[[#This Row],[type]]="LFF (MDG-F)",MID(Proc[[#This Row],[Obj]],13,10),"")</f>
        <v>DE10538129</v>
      </c>
      <c r="I2446" s="103" t="s">
        <v>4784</v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MGF</v>
      </c>
      <c r="L2446" s="125" t="s">
        <v>4894</v>
      </c>
      <c r="M2446" s="109">
        <v>45841.453541666669</v>
      </c>
      <c r="N2446" s="109"/>
      <c r="O2446" s="109"/>
      <c r="P2446" s="110" t="str">
        <f ca="1">IF(Proc[[#This Row],[DaysAgeing]]&gt;5,"yep","on track")</f>
        <v>yep</v>
      </c>
      <c r="Q2446" s="3">
        <f ca="1">IF(Proc[[#This Row],[DateClosed]]="",ABS(NETWORKDAYS(Proc[[#This Row],[DateOpened]],TODAY()))-1,ABS(NETWORKDAYS(Proc[[#This Row],[DateOpened]],Proc[[#This Row],[DateClosed]]))-1)</f>
        <v>110</v>
      </c>
      <c r="R2446" s="110" t="s">
        <v>485</v>
      </c>
      <c r="S2446" s="94"/>
    </row>
    <row r="2447" spans="1:19" hidden="1">
      <c r="A2447" s="103" t="s">
        <v>4422</v>
      </c>
      <c r="B2447" s="149" t="str">
        <f>IFERROR(VLOOKUP(Proc[[#This Row],[App]],Table2[],3,0),"open")</f>
        <v>ok</v>
      </c>
      <c r="C2447" s="117" t="s">
        <v>369</v>
      </c>
      <c r="D2447" t="s">
        <v>4514</v>
      </c>
      <c r="E2447" t="s">
        <v>4740</v>
      </c>
      <c r="F2447" s="94" t="s">
        <v>4740</v>
      </c>
      <c r="G2447" s="103" t="s">
        <v>406</v>
      </c>
      <c r="H2447" s="94" t="str">
        <f>IF(Proc[[#This Row],[type]]="LFF (MDG-F)",MID(Proc[[#This Row],[Obj]],13,10),"")</f>
        <v>DE10538130</v>
      </c>
      <c r="I2447" s="103" t="s">
        <v>4784</v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MGF</v>
      </c>
      <c r="L2447" s="125" t="s">
        <v>4894</v>
      </c>
      <c r="M2447" s="109">
        <v>45841.453541666669</v>
      </c>
      <c r="N2447" s="109"/>
      <c r="O2447" s="109"/>
      <c r="P2447" s="110" t="str">
        <f ca="1">IF(Proc[[#This Row],[DaysAgeing]]&gt;5,"yep","on track")</f>
        <v>yep</v>
      </c>
      <c r="Q2447" s="3">
        <f ca="1">IF(Proc[[#This Row],[DateClosed]]="",ABS(NETWORKDAYS(Proc[[#This Row],[DateOpened]],TODAY()))-1,ABS(NETWORKDAYS(Proc[[#This Row],[DateOpened]],Proc[[#This Row],[DateClosed]]))-1)</f>
        <v>110</v>
      </c>
      <c r="R2447" s="110" t="s">
        <v>485</v>
      </c>
      <c r="S2447" s="94"/>
    </row>
    <row r="2448" spans="1:19" hidden="1">
      <c r="A2448" s="103" t="s">
        <v>4422</v>
      </c>
      <c r="B2448" s="149" t="str">
        <f>IFERROR(VLOOKUP(Proc[[#This Row],[App]],Table2[],3,0),"open")</f>
        <v>ok</v>
      </c>
      <c r="C2448" s="117" t="s">
        <v>369</v>
      </c>
      <c r="D2448" t="s">
        <v>4515</v>
      </c>
      <c r="E2448" t="s">
        <v>4740</v>
      </c>
      <c r="F2448" s="94" t="s">
        <v>4740</v>
      </c>
      <c r="G2448" s="103" t="s">
        <v>406</v>
      </c>
      <c r="H2448" s="94" t="str">
        <f>IF(Proc[[#This Row],[type]]="LFF (MDG-F)",MID(Proc[[#This Row],[Obj]],13,10),"")</f>
        <v>DE10538131</v>
      </c>
      <c r="I2448" s="103" t="s">
        <v>4784</v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MGF</v>
      </c>
      <c r="L2448" s="125" t="s">
        <v>4894</v>
      </c>
      <c r="M2448" s="109">
        <v>45841.453541666669</v>
      </c>
      <c r="N2448" s="109"/>
      <c r="O2448" s="109"/>
      <c r="P2448" s="110" t="str">
        <f ca="1">IF(Proc[[#This Row],[DaysAgeing]]&gt;5,"yep","on track")</f>
        <v>yep</v>
      </c>
      <c r="Q2448" s="3">
        <f ca="1">IF(Proc[[#This Row],[DateClosed]]="",ABS(NETWORKDAYS(Proc[[#This Row],[DateOpened]],TODAY()))-1,ABS(NETWORKDAYS(Proc[[#This Row],[DateOpened]],Proc[[#This Row],[DateClosed]]))-1)</f>
        <v>110</v>
      </c>
      <c r="R2448" s="110" t="s">
        <v>485</v>
      </c>
      <c r="S2448" s="94"/>
    </row>
    <row r="2449" spans="1:19" hidden="1">
      <c r="A2449" s="103" t="s">
        <v>4422</v>
      </c>
      <c r="B2449" s="149" t="str">
        <f>IFERROR(VLOOKUP(Proc[[#This Row],[App]],Table2[],3,0),"open")</f>
        <v>ok</v>
      </c>
      <c r="C2449" s="117" t="s">
        <v>369</v>
      </c>
      <c r="D2449" t="s">
        <v>4516</v>
      </c>
      <c r="E2449" t="s">
        <v>4740</v>
      </c>
      <c r="F2449" s="94" t="s">
        <v>4740</v>
      </c>
      <c r="G2449" s="103" t="s">
        <v>406</v>
      </c>
      <c r="H2449" s="94" t="str">
        <f>IF(Proc[[#This Row],[type]]="LFF (MDG-F)",MID(Proc[[#This Row],[Obj]],13,10),"")</f>
        <v>DE10538133</v>
      </c>
      <c r="I2449" s="103" t="s">
        <v>4784</v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MGF</v>
      </c>
      <c r="L2449" s="125" t="s">
        <v>4894</v>
      </c>
      <c r="M2449" s="109">
        <v>45841.453541666669</v>
      </c>
      <c r="N2449" s="109"/>
      <c r="O2449" s="109"/>
      <c r="P2449" s="110" t="str">
        <f ca="1">IF(Proc[[#This Row],[DaysAgeing]]&gt;5,"yep","on track")</f>
        <v>yep</v>
      </c>
      <c r="Q2449" s="3">
        <f ca="1">IF(Proc[[#This Row],[DateClosed]]="",ABS(NETWORKDAYS(Proc[[#This Row],[DateOpened]],TODAY()))-1,ABS(NETWORKDAYS(Proc[[#This Row],[DateOpened]],Proc[[#This Row],[DateClosed]]))-1)</f>
        <v>110</v>
      </c>
      <c r="R2449" s="110" t="s">
        <v>485</v>
      </c>
      <c r="S2449" s="94"/>
    </row>
    <row r="2450" spans="1:19" hidden="1">
      <c r="A2450" s="103" t="s">
        <v>4422</v>
      </c>
      <c r="B2450" s="149" t="str">
        <f>IFERROR(VLOOKUP(Proc[[#This Row],[App]],Table2[],3,0),"open")</f>
        <v>ok</v>
      </c>
      <c r="C2450" s="117" t="s">
        <v>369</v>
      </c>
      <c r="D2450" t="s">
        <v>4517</v>
      </c>
      <c r="E2450" t="s">
        <v>4740</v>
      </c>
      <c r="F2450" s="94" t="s">
        <v>4740</v>
      </c>
      <c r="G2450" s="103" t="s">
        <v>406</v>
      </c>
      <c r="H2450" s="94" t="str">
        <f>IF(Proc[[#This Row],[type]]="LFF (MDG-F)",MID(Proc[[#This Row],[Obj]],13,10),"")</f>
        <v>DE10538134</v>
      </c>
      <c r="I2450" s="103" t="s">
        <v>4784</v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MGF</v>
      </c>
      <c r="L2450" s="125" t="s">
        <v>4894</v>
      </c>
      <c r="M2450" s="109">
        <v>45841.453541666669</v>
      </c>
      <c r="N2450" s="109"/>
      <c r="O2450" s="109"/>
      <c r="P2450" s="110" t="str">
        <f ca="1">IF(Proc[[#This Row],[DaysAgeing]]&gt;5,"yep","on track")</f>
        <v>yep</v>
      </c>
      <c r="Q2450" s="3">
        <f ca="1">IF(Proc[[#This Row],[DateClosed]]="",ABS(NETWORKDAYS(Proc[[#This Row],[DateOpened]],TODAY()))-1,ABS(NETWORKDAYS(Proc[[#This Row],[DateOpened]],Proc[[#This Row],[DateClosed]]))-1)</f>
        <v>110</v>
      </c>
      <c r="R2450" s="110" t="s">
        <v>485</v>
      </c>
      <c r="S2450" s="94"/>
    </row>
    <row r="2451" spans="1:19" hidden="1">
      <c r="A2451" s="103" t="s">
        <v>4422</v>
      </c>
      <c r="B2451" s="149" t="str">
        <f>IFERROR(VLOOKUP(Proc[[#This Row],[App]],Table2[],3,0),"open")</f>
        <v>ok</v>
      </c>
      <c r="C2451" s="117" t="s">
        <v>369</v>
      </c>
      <c r="D2451" t="s">
        <v>4518</v>
      </c>
      <c r="E2451" t="s">
        <v>4740</v>
      </c>
      <c r="F2451" s="94" t="s">
        <v>4740</v>
      </c>
      <c r="G2451" s="103" t="s">
        <v>406</v>
      </c>
      <c r="H2451" s="94" t="str">
        <f>IF(Proc[[#This Row],[type]]="LFF (MDG-F)",MID(Proc[[#This Row],[Obj]],13,10),"")</f>
        <v>DE10538135</v>
      </c>
      <c r="I2451" s="103" t="s">
        <v>4784</v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MGF</v>
      </c>
      <c r="L2451" s="125" t="s">
        <v>4894</v>
      </c>
      <c r="M2451" s="109">
        <v>45841.453541666669</v>
      </c>
      <c r="N2451" s="109"/>
      <c r="O2451" s="109"/>
      <c r="P2451" s="110" t="str">
        <f ca="1">IF(Proc[[#This Row],[DaysAgeing]]&gt;5,"yep","on track")</f>
        <v>yep</v>
      </c>
      <c r="Q2451" s="3">
        <f ca="1">IF(Proc[[#This Row],[DateClosed]]="",ABS(NETWORKDAYS(Proc[[#This Row],[DateOpened]],TODAY()))-1,ABS(NETWORKDAYS(Proc[[#This Row],[DateOpened]],Proc[[#This Row],[DateClosed]]))-1)</f>
        <v>110</v>
      </c>
      <c r="R2451" s="110" t="s">
        <v>485</v>
      </c>
      <c r="S2451" s="94"/>
    </row>
    <row r="2452" spans="1:19" hidden="1">
      <c r="A2452" s="103" t="s">
        <v>4422</v>
      </c>
      <c r="B2452" s="149" t="str">
        <f>IFERROR(VLOOKUP(Proc[[#This Row],[App]],Table2[],3,0),"open")</f>
        <v>ok</v>
      </c>
      <c r="C2452" s="117" t="s">
        <v>369</v>
      </c>
      <c r="D2452" t="s">
        <v>4519</v>
      </c>
      <c r="E2452" t="s">
        <v>4740</v>
      </c>
      <c r="F2452" s="94" t="s">
        <v>4740</v>
      </c>
      <c r="G2452" s="103" t="s">
        <v>406</v>
      </c>
      <c r="H2452" s="94" t="str">
        <f>IF(Proc[[#This Row],[type]]="LFF (MDG-F)",MID(Proc[[#This Row],[Obj]],13,10),"")</f>
        <v>DE10538138</v>
      </c>
      <c r="I2452" s="103" t="s">
        <v>4784</v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MGF</v>
      </c>
      <c r="L2452" s="125" t="s">
        <v>4894</v>
      </c>
      <c r="M2452" s="109">
        <v>45841.453541666669</v>
      </c>
      <c r="N2452" s="109"/>
      <c r="O2452" s="109"/>
      <c r="P2452" s="110" t="str">
        <f ca="1">IF(Proc[[#This Row],[DaysAgeing]]&gt;5,"yep","on track")</f>
        <v>yep</v>
      </c>
      <c r="Q2452" s="3">
        <f ca="1">IF(Proc[[#This Row],[DateClosed]]="",ABS(NETWORKDAYS(Proc[[#This Row],[DateOpened]],TODAY()))-1,ABS(NETWORKDAYS(Proc[[#This Row],[DateOpened]],Proc[[#This Row],[DateClosed]]))-1)</f>
        <v>110</v>
      </c>
      <c r="R2452" s="110" t="s">
        <v>485</v>
      </c>
      <c r="S2452" s="94"/>
    </row>
    <row r="2453" spans="1:19" hidden="1">
      <c r="A2453" s="103" t="s">
        <v>4422</v>
      </c>
      <c r="B2453" s="149" t="str">
        <f>IFERROR(VLOOKUP(Proc[[#This Row],[App]],Table2[],3,0),"open")</f>
        <v>ok</v>
      </c>
      <c r="C2453" s="117" t="s">
        <v>369</v>
      </c>
      <c r="D2453" t="s">
        <v>4520</v>
      </c>
      <c r="E2453" t="s">
        <v>4740</v>
      </c>
      <c r="F2453" s="94" t="s">
        <v>4740</v>
      </c>
      <c r="G2453" s="103" t="s">
        <v>406</v>
      </c>
      <c r="H2453" s="94" t="str">
        <f>IF(Proc[[#This Row],[type]]="LFF (MDG-F)",MID(Proc[[#This Row],[Obj]],13,10),"")</f>
        <v>DE10538139</v>
      </c>
      <c r="I2453" s="103" t="s">
        <v>4784</v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MGF</v>
      </c>
      <c r="L2453" s="125" t="s">
        <v>4894</v>
      </c>
      <c r="M2453" s="109">
        <v>45841.453541666669</v>
      </c>
      <c r="N2453" s="109"/>
      <c r="O2453" s="109"/>
      <c r="P2453" s="110" t="str">
        <f ca="1">IF(Proc[[#This Row],[DaysAgeing]]&gt;5,"yep","on track")</f>
        <v>yep</v>
      </c>
      <c r="Q2453" s="3">
        <f ca="1">IF(Proc[[#This Row],[DateClosed]]="",ABS(NETWORKDAYS(Proc[[#This Row],[DateOpened]],TODAY()))-1,ABS(NETWORKDAYS(Proc[[#This Row],[DateOpened]],Proc[[#This Row],[DateClosed]]))-1)</f>
        <v>110</v>
      </c>
      <c r="R2453" s="110" t="s">
        <v>485</v>
      </c>
      <c r="S2453" s="94"/>
    </row>
    <row r="2454" spans="1:19" hidden="1">
      <c r="A2454" s="103" t="s">
        <v>4422</v>
      </c>
      <c r="B2454" s="149" t="str">
        <f>IFERROR(VLOOKUP(Proc[[#This Row],[App]],Table2[],3,0),"open")</f>
        <v>ok</v>
      </c>
      <c r="C2454" s="117" t="s">
        <v>369</v>
      </c>
      <c r="D2454" t="s">
        <v>4521</v>
      </c>
      <c r="E2454" t="s">
        <v>4740</v>
      </c>
      <c r="F2454" s="94" t="s">
        <v>4740</v>
      </c>
      <c r="G2454" s="103" t="s">
        <v>406</v>
      </c>
      <c r="H2454" s="94" t="str">
        <f>IF(Proc[[#This Row],[type]]="LFF (MDG-F)",MID(Proc[[#This Row],[Obj]],13,10),"")</f>
        <v>DE10538142</v>
      </c>
      <c r="I2454" s="103" t="s">
        <v>4784</v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MGF</v>
      </c>
      <c r="L2454" s="125" t="s">
        <v>4894</v>
      </c>
      <c r="M2454" s="109">
        <v>45841.453541666669</v>
      </c>
      <c r="N2454" s="109"/>
      <c r="O2454" s="109"/>
      <c r="P2454" s="110" t="str">
        <f ca="1">IF(Proc[[#This Row],[DaysAgeing]]&gt;5,"yep","on track")</f>
        <v>yep</v>
      </c>
      <c r="Q2454" s="3">
        <f ca="1">IF(Proc[[#This Row],[DateClosed]]="",ABS(NETWORKDAYS(Proc[[#This Row],[DateOpened]],TODAY()))-1,ABS(NETWORKDAYS(Proc[[#This Row],[DateOpened]],Proc[[#This Row],[DateClosed]]))-1)</f>
        <v>110</v>
      </c>
      <c r="R2454" s="110" t="s">
        <v>485</v>
      </c>
      <c r="S2454" s="94"/>
    </row>
    <row r="2455" spans="1:19" hidden="1">
      <c r="A2455" s="103" t="s">
        <v>4422</v>
      </c>
      <c r="B2455" s="149" t="str">
        <f>IFERROR(VLOOKUP(Proc[[#This Row],[App]],Table2[],3,0),"open")</f>
        <v>ok</v>
      </c>
      <c r="C2455" s="117" t="s">
        <v>369</v>
      </c>
      <c r="D2455" t="s">
        <v>4522</v>
      </c>
      <c r="E2455" t="s">
        <v>4740</v>
      </c>
      <c r="F2455" s="94" t="s">
        <v>4740</v>
      </c>
      <c r="G2455" s="103" t="s">
        <v>406</v>
      </c>
      <c r="H2455" s="94" t="str">
        <f>IF(Proc[[#This Row],[type]]="LFF (MDG-F)",MID(Proc[[#This Row],[Obj]],13,10),"")</f>
        <v>DE10538144</v>
      </c>
      <c r="I2455" s="103" t="s">
        <v>4784</v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MGF</v>
      </c>
      <c r="L2455" s="125" t="s">
        <v>4894</v>
      </c>
      <c r="M2455" s="109">
        <v>45841.453541666669</v>
      </c>
      <c r="N2455" s="109"/>
      <c r="O2455" s="109"/>
      <c r="P2455" s="110" t="str">
        <f ca="1">IF(Proc[[#This Row],[DaysAgeing]]&gt;5,"yep","on track")</f>
        <v>yep</v>
      </c>
      <c r="Q2455" s="3">
        <f ca="1">IF(Proc[[#This Row],[DateClosed]]="",ABS(NETWORKDAYS(Proc[[#This Row],[DateOpened]],TODAY()))-1,ABS(NETWORKDAYS(Proc[[#This Row],[DateOpened]],Proc[[#This Row],[DateClosed]]))-1)</f>
        <v>110</v>
      </c>
      <c r="R2455" s="110" t="s">
        <v>485</v>
      </c>
      <c r="S2455" s="94"/>
    </row>
    <row r="2456" spans="1:19" hidden="1">
      <c r="A2456" s="103" t="s">
        <v>4422</v>
      </c>
      <c r="B2456" s="149" t="str">
        <f>IFERROR(VLOOKUP(Proc[[#This Row],[App]],Table2[],3,0),"open")</f>
        <v>ok</v>
      </c>
      <c r="C2456" s="117" t="s">
        <v>369</v>
      </c>
      <c r="D2456" t="s">
        <v>4523</v>
      </c>
      <c r="E2456" t="s">
        <v>4740</v>
      </c>
      <c r="F2456" s="94" t="s">
        <v>4740</v>
      </c>
      <c r="G2456" s="103" t="s">
        <v>406</v>
      </c>
      <c r="H2456" s="94" t="str">
        <f>IF(Proc[[#This Row],[type]]="LFF (MDG-F)",MID(Proc[[#This Row],[Obj]],13,10),"")</f>
        <v>DE10538161</v>
      </c>
      <c r="I2456" t="s">
        <v>4785</v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MGF</v>
      </c>
      <c r="L2456" s="125" t="s">
        <v>4894</v>
      </c>
      <c r="M2456" s="109">
        <v>45841.453541666669</v>
      </c>
      <c r="N2456" s="109"/>
      <c r="O2456" s="109"/>
      <c r="P2456" s="110" t="str">
        <f ca="1">IF(Proc[[#This Row],[DaysAgeing]]&gt;5,"yep","on track")</f>
        <v>yep</v>
      </c>
      <c r="Q2456" s="3">
        <f ca="1">IF(Proc[[#This Row],[DateClosed]]="",ABS(NETWORKDAYS(Proc[[#This Row],[DateOpened]],TODAY()))-1,ABS(NETWORKDAYS(Proc[[#This Row],[DateOpened]],Proc[[#This Row],[DateClosed]]))-1)</f>
        <v>110</v>
      </c>
      <c r="R2456" s="110" t="s">
        <v>485</v>
      </c>
      <c r="S2456" s="94"/>
    </row>
    <row r="2457" spans="1:19" hidden="1">
      <c r="A2457" s="103" t="s">
        <v>4422</v>
      </c>
      <c r="B2457" s="149" t="str">
        <f>IFERROR(VLOOKUP(Proc[[#This Row],[App]],Table2[],3,0),"open")</f>
        <v>ok</v>
      </c>
      <c r="C2457" s="117" t="s">
        <v>369</v>
      </c>
      <c r="D2457" t="s">
        <v>4524</v>
      </c>
      <c r="E2457" t="s">
        <v>4741</v>
      </c>
      <c r="F2457" s="94" t="s">
        <v>4741</v>
      </c>
      <c r="G2457" s="103" t="s">
        <v>406</v>
      </c>
      <c r="H2457" s="94" t="str">
        <f>IF(Proc[[#This Row],[type]]="LFF (MDG-F)",MID(Proc[[#This Row],[Obj]],13,10),"")</f>
        <v>DE10538174</v>
      </c>
      <c r="I2457" s="103" t="s">
        <v>4785</v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MGF</v>
      </c>
      <c r="L2457" s="125" t="s">
        <v>4894</v>
      </c>
      <c r="M2457" s="109">
        <v>45841.453541666669</v>
      </c>
      <c r="N2457" s="109"/>
      <c r="O2457" s="109"/>
      <c r="P2457" s="110" t="str">
        <f ca="1">IF(Proc[[#This Row],[DaysAgeing]]&gt;5,"yep","on track")</f>
        <v>yep</v>
      </c>
      <c r="Q2457" s="3">
        <f ca="1">IF(Proc[[#This Row],[DateClosed]]="",ABS(NETWORKDAYS(Proc[[#This Row],[DateOpened]],TODAY()))-1,ABS(NETWORKDAYS(Proc[[#This Row],[DateOpened]],Proc[[#This Row],[DateClosed]]))-1)</f>
        <v>110</v>
      </c>
      <c r="R2457" s="110" t="s">
        <v>485</v>
      </c>
      <c r="S2457" s="94"/>
    </row>
    <row r="2458" spans="1:19" hidden="1">
      <c r="A2458" s="103" t="s">
        <v>4422</v>
      </c>
      <c r="B2458" s="149" t="str">
        <f>IFERROR(VLOOKUP(Proc[[#This Row],[App]],Table2[],3,0),"open")</f>
        <v>ok</v>
      </c>
      <c r="C2458" s="117" t="s">
        <v>369</v>
      </c>
      <c r="D2458" t="s">
        <v>4525</v>
      </c>
      <c r="E2458" t="s">
        <v>4741</v>
      </c>
      <c r="F2458" s="94" t="s">
        <v>4741</v>
      </c>
      <c r="G2458" s="103" t="s">
        <v>406</v>
      </c>
      <c r="H2458" s="94" t="str">
        <f>IF(Proc[[#This Row],[type]]="LFF (MDG-F)",MID(Proc[[#This Row],[Obj]],13,10),"")</f>
        <v>DE10538178</v>
      </c>
      <c r="I2458" s="103" t="s">
        <v>4785</v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MGF</v>
      </c>
      <c r="L2458" s="125" t="s">
        <v>4894</v>
      </c>
      <c r="M2458" s="109">
        <v>45841.453541666669</v>
      </c>
      <c r="N2458" s="109"/>
      <c r="O2458" s="109"/>
      <c r="P2458" s="110" t="str">
        <f ca="1">IF(Proc[[#This Row],[DaysAgeing]]&gt;5,"yep","on track")</f>
        <v>yep</v>
      </c>
      <c r="Q2458" s="3">
        <f ca="1">IF(Proc[[#This Row],[DateClosed]]="",ABS(NETWORKDAYS(Proc[[#This Row],[DateOpened]],TODAY()))-1,ABS(NETWORKDAYS(Proc[[#This Row],[DateOpened]],Proc[[#This Row],[DateClosed]]))-1)</f>
        <v>110</v>
      </c>
      <c r="R2458" s="110" t="s">
        <v>485</v>
      </c>
      <c r="S2458" s="94"/>
    </row>
    <row r="2459" spans="1:19" hidden="1">
      <c r="A2459" s="103" t="s">
        <v>4422</v>
      </c>
      <c r="B2459" s="149" t="str">
        <f>IFERROR(VLOOKUP(Proc[[#This Row],[App]],Table2[],3,0),"open")</f>
        <v>ok</v>
      </c>
      <c r="C2459" s="117" t="s">
        <v>369</v>
      </c>
      <c r="D2459" t="s">
        <v>4526</v>
      </c>
      <c r="E2459" t="s">
        <v>4740</v>
      </c>
      <c r="F2459" s="94" t="s">
        <v>4740</v>
      </c>
      <c r="G2459" s="103" t="s">
        <v>406</v>
      </c>
      <c r="H2459" s="94" t="str">
        <f>IF(Proc[[#This Row],[type]]="LFF (MDG-F)",MID(Proc[[#This Row],[Obj]],13,10),"")</f>
        <v>DE10538192</v>
      </c>
      <c r="I2459" s="103" t="s">
        <v>4785</v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MGF</v>
      </c>
      <c r="L2459" s="125" t="s">
        <v>4894</v>
      </c>
      <c r="M2459" s="109">
        <v>45841.453541666669</v>
      </c>
      <c r="N2459" s="109"/>
      <c r="O2459" s="109"/>
      <c r="P2459" s="110" t="str">
        <f ca="1">IF(Proc[[#This Row],[DaysAgeing]]&gt;5,"yep","on track")</f>
        <v>yep</v>
      </c>
      <c r="Q2459" s="3">
        <f ca="1">IF(Proc[[#This Row],[DateClosed]]="",ABS(NETWORKDAYS(Proc[[#This Row],[DateOpened]],TODAY()))-1,ABS(NETWORKDAYS(Proc[[#This Row],[DateOpened]],Proc[[#This Row],[DateClosed]]))-1)</f>
        <v>110</v>
      </c>
      <c r="R2459" s="110" t="s">
        <v>485</v>
      </c>
      <c r="S2459" s="94"/>
    </row>
    <row r="2460" spans="1:19" hidden="1">
      <c r="A2460" s="103" t="s">
        <v>4422</v>
      </c>
      <c r="B2460" s="149" t="str">
        <f>IFERROR(VLOOKUP(Proc[[#This Row],[App]],Table2[],3,0),"open")</f>
        <v>ok</v>
      </c>
      <c r="C2460" s="117" t="s">
        <v>369</v>
      </c>
      <c r="D2460" t="s">
        <v>4527</v>
      </c>
      <c r="E2460" t="s">
        <v>4741</v>
      </c>
      <c r="F2460" s="94" t="s">
        <v>4741</v>
      </c>
      <c r="G2460" s="103" t="s">
        <v>406</v>
      </c>
      <c r="H2460" s="94" t="str">
        <f>IF(Proc[[#This Row],[type]]="LFF (MDG-F)",MID(Proc[[#This Row],[Obj]],13,10),"")</f>
        <v>DE10538397</v>
      </c>
      <c r="I2460" s="103" t="s">
        <v>4785</v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MGF</v>
      </c>
      <c r="L2460" s="125" t="s">
        <v>4894</v>
      </c>
      <c r="M2460" s="109">
        <v>45841.453541666669</v>
      </c>
      <c r="N2460" s="109"/>
      <c r="O2460" s="109"/>
      <c r="P2460" s="110" t="str">
        <f ca="1">IF(Proc[[#This Row],[DaysAgeing]]&gt;5,"yep","on track")</f>
        <v>yep</v>
      </c>
      <c r="Q2460" s="3">
        <f ca="1">IF(Proc[[#This Row],[DateClosed]]="",ABS(NETWORKDAYS(Proc[[#This Row],[DateOpened]],TODAY()))-1,ABS(NETWORKDAYS(Proc[[#This Row],[DateOpened]],Proc[[#This Row],[DateClosed]]))-1)</f>
        <v>110</v>
      </c>
      <c r="R2460" s="110" t="s">
        <v>485</v>
      </c>
      <c r="S2460" s="94"/>
    </row>
    <row r="2461" spans="1:19" hidden="1">
      <c r="A2461" s="103" t="s">
        <v>4422</v>
      </c>
      <c r="B2461" s="149" t="str">
        <f>IFERROR(VLOOKUP(Proc[[#This Row],[App]],Table2[],3,0),"open")</f>
        <v>ok</v>
      </c>
      <c r="C2461" s="117" t="s">
        <v>369</v>
      </c>
      <c r="D2461" t="s">
        <v>4528</v>
      </c>
      <c r="E2461" t="s">
        <v>4740</v>
      </c>
      <c r="F2461" s="94" t="s">
        <v>4740</v>
      </c>
      <c r="G2461" s="103" t="s">
        <v>406</v>
      </c>
      <c r="H2461" s="94" t="str">
        <f>IF(Proc[[#This Row],[type]]="LFF (MDG-F)",MID(Proc[[#This Row],[Obj]],13,10),"")</f>
        <v>DE10538556</v>
      </c>
      <c r="I2461" s="103" t="s">
        <v>4785</v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MGF</v>
      </c>
      <c r="L2461" s="125" t="s">
        <v>4894</v>
      </c>
      <c r="M2461" s="109">
        <v>45841.453541666669</v>
      </c>
      <c r="N2461" s="109"/>
      <c r="O2461" s="109"/>
      <c r="P2461" s="110" t="str">
        <f ca="1">IF(Proc[[#This Row],[DaysAgeing]]&gt;5,"yep","on track")</f>
        <v>yep</v>
      </c>
      <c r="Q2461" s="3">
        <f ca="1">IF(Proc[[#This Row],[DateClosed]]="",ABS(NETWORKDAYS(Proc[[#This Row],[DateOpened]],TODAY()))-1,ABS(NETWORKDAYS(Proc[[#This Row],[DateOpened]],Proc[[#This Row],[DateClosed]]))-1)</f>
        <v>110</v>
      </c>
      <c r="R2461" s="110" t="s">
        <v>485</v>
      </c>
      <c r="S2461" s="94"/>
    </row>
    <row r="2462" spans="1:19" hidden="1">
      <c r="A2462" s="103" t="s">
        <v>4422</v>
      </c>
      <c r="B2462" s="149" t="str">
        <f>IFERROR(VLOOKUP(Proc[[#This Row],[App]],Table2[],3,0),"open")</f>
        <v>ok</v>
      </c>
      <c r="C2462" s="117" t="s">
        <v>369</v>
      </c>
      <c r="D2462" t="s">
        <v>4529</v>
      </c>
      <c r="E2462" t="s">
        <v>4741</v>
      </c>
      <c r="F2462" s="94" t="s">
        <v>4741</v>
      </c>
      <c r="G2462" s="103" t="s">
        <v>406</v>
      </c>
      <c r="H2462" s="94" t="str">
        <f>IF(Proc[[#This Row],[type]]="LFF (MDG-F)",MID(Proc[[#This Row],[Obj]],13,10),"")</f>
        <v>DE10538654</v>
      </c>
      <c r="I2462" s="103" t="s">
        <v>4785</v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MGF</v>
      </c>
      <c r="L2462" s="125" t="s">
        <v>4894</v>
      </c>
      <c r="M2462" s="109">
        <v>45841.453541666669</v>
      </c>
      <c r="N2462" s="109"/>
      <c r="O2462" s="109"/>
      <c r="P2462" s="110" t="str">
        <f ca="1">IF(Proc[[#This Row],[DaysAgeing]]&gt;5,"yep","on track")</f>
        <v>yep</v>
      </c>
      <c r="Q2462" s="3">
        <f ca="1">IF(Proc[[#This Row],[DateClosed]]="",ABS(NETWORKDAYS(Proc[[#This Row],[DateOpened]],TODAY()))-1,ABS(NETWORKDAYS(Proc[[#This Row],[DateOpened]],Proc[[#This Row],[DateClosed]]))-1)</f>
        <v>110</v>
      </c>
      <c r="R2462" s="110" t="s">
        <v>485</v>
      </c>
      <c r="S2462" s="94"/>
    </row>
    <row r="2463" spans="1:19" hidden="1">
      <c r="A2463" s="103" t="s">
        <v>4422</v>
      </c>
      <c r="B2463" s="149" t="str">
        <f>IFERROR(VLOOKUP(Proc[[#This Row],[App]],Table2[],3,0),"open")</f>
        <v>ok</v>
      </c>
      <c r="C2463" s="117" t="s">
        <v>369</v>
      </c>
      <c r="D2463" t="s">
        <v>4530</v>
      </c>
      <c r="E2463" t="s">
        <v>4740</v>
      </c>
      <c r="F2463" s="94" t="s">
        <v>4740</v>
      </c>
      <c r="G2463" s="103" t="s">
        <v>406</v>
      </c>
      <c r="H2463" s="94" t="str">
        <f>IF(Proc[[#This Row],[type]]="LFF (MDG-F)",MID(Proc[[#This Row],[Obj]],13,10),"")</f>
        <v>DE10579990</v>
      </c>
      <c r="I2463" s="103" t="s">
        <v>4785</v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MGF</v>
      </c>
      <c r="L2463" s="125" t="s">
        <v>4894</v>
      </c>
      <c r="M2463" s="109">
        <v>45841.453541666669</v>
      </c>
      <c r="N2463" s="109"/>
      <c r="O2463" s="109"/>
      <c r="P2463" s="110" t="str">
        <f ca="1">IF(Proc[[#This Row],[DaysAgeing]]&gt;5,"yep","on track")</f>
        <v>yep</v>
      </c>
      <c r="Q2463" s="3">
        <f ca="1">IF(Proc[[#This Row],[DateClosed]]="",ABS(NETWORKDAYS(Proc[[#This Row],[DateOpened]],TODAY()))-1,ABS(NETWORKDAYS(Proc[[#This Row],[DateOpened]],Proc[[#This Row],[DateClosed]]))-1)</f>
        <v>110</v>
      </c>
      <c r="R2463" s="110" t="s">
        <v>485</v>
      </c>
      <c r="S2463" s="94"/>
    </row>
    <row r="2464" spans="1:19" hidden="1">
      <c r="A2464" s="103" t="s">
        <v>4422</v>
      </c>
      <c r="B2464" s="149" t="str">
        <f>IFERROR(VLOOKUP(Proc[[#This Row],[App]],Table2[],3,0),"open")</f>
        <v>ok</v>
      </c>
      <c r="C2464" s="117" t="s">
        <v>369</v>
      </c>
      <c r="D2464" t="s">
        <v>4531</v>
      </c>
      <c r="E2464" t="s">
        <v>4741</v>
      </c>
      <c r="F2464" s="94" t="s">
        <v>4741</v>
      </c>
      <c r="G2464" s="103" t="s">
        <v>406</v>
      </c>
      <c r="H2464" s="94" t="str">
        <f>IF(Proc[[#This Row],[type]]="LFF (MDG-F)",MID(Proc[[#This Row],[Obj]],13,10),"")</f>
        <v>DE10538107</v>
      </c>
      <c r="I2464" s="103" t="s">
        <v>4785</v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MGF</v>
      </c>
      <c r="L2464" s="125" t="s">
        <v>4894</v>
      </c>
      <c r="M2464" s="109">
        <v>45841.453541666669</v>
      </c>
      <c r="N2464" s="109"/>
      <c r="O2464" s="109"/>
      <c r="P2464" s="110" t="str">
        <f ca="1">IF(Proc[[#This Row],[DaysAgeing]]&gt;5,"yep","on track")</f>
        <v>yep</v>
      </c>
      <c r="Q2464" s="3">
        <f ca="1">IF(Proc[[#This Row],[DateClosed]]="",ABS(NETWORKDAYS(Proc[[#This Row],[DateOpened]],TODAY()))-1,ABS(NETWORKDAYS(Proc[[#This Row],[DateOpened]],Proc[[#This Row],[DateClosed]]))-1)</f>
        <v>110</v>
      </c>
      <c r="R2464" s="110" t="s">
        <v>485</v>
      </c>
      <c r="S2464" s="94"/>
    </row>
    <row r="2465" spans="1:19" hidden="1">
      <c r="A2465" s="103" t="s">
        <v>4422</v>
      </c>
      <c r="B2465" s="149" t="str">
        <f>IFERROR(VLOOKUP(Proc[[#This Row],[App]],Table2[],3,0),"open")</f>
        <v>ok</v>
      </c>
      <c r="C2465" s="117" t="s">
        <v>369</v>
      </c>
      <c r="D2465" t="s">
        <v>4532</v>
      </c>
      <c r="E2465" t="s">
        <v>4743</v>
      </c>
      <c r="F2465" s="94" t="s">
        <v>4743</v>
      </c>
      <c r="G2465" s="103" t="s">
        <v>406</v>
      </c>
      <c r="H2465" s="94" t="str">
        <f>IF(Proc[[#This Row],[type]]="LFF (MDG-F)",MID(Proc[[#This Row],[Obj]],13,10),"")</f>
        <v>DE10538118</v>
      </c>
      <c r="I2465" s="103" t="s">
        <v>4785</v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MGF</v>
      </c>
      <c r="L2465" s="125" t="s">
        <v>4894</v>
      </c>
      <c r="M2465" s="109">
        <v>45841.453541666669</v>
      </c>
      <c r="N2465" s="109"/>
      <c r="O2465" s="109"/>
      <c r="P2465" s="110" t="str">
        <f ca="1">IF(Proc[[#This Row],[DaysAgeing]]&gt;5,"yep","on track")</f>
        <v>yep</v>
      </c>
      <c r="Q2465" s="3">
        <f ca="1">IF(Proc[[#This Row],[DateClosed]]="",ABS(NETWORKDAYS(Proc[[#This Row],[DateOpened]],TODAY()))-1,ABS(NETWORKDAYS(Proc[[#This Row],[DateOpened]],Proc[[#This Row],[DateClosed]]))-1)</f>
        <v>110</v>
      </c>
      <c r="R2465" s="110" t="s">
        <v>485</v>
      </c>
      <c r="S2465" s="94"/>
    </row>
    <row r="2466" spans="1:19" hidden="1">
      <c r="A2466" s="103" t="s">
        <v>4422</v>
      </c>
      <c r="B2466" s="149" t="str">
        <f>IFERROR(VLOOKUP(Proc[[#This Row],[App]],Table2[],3,0),"open")</f>
        <v>ok</v>
      </c>
      <c r="C2466" s="117" t="s">
        <v>369</v>
      </c>
      <c r="D2466" t="s">
        <v>4533</v>
      </c>
      <c r="E2466" t="s">
        <v>4741</v>
      </c>
      <c r="F2466" s="94" t="s">
        <v>4741</v>
      </c>
      <c r="G2466" s="103" t="s">
        <v>406</v>
      </c>
      <c r="H2466" s="94" t="str">
        <f>IF(Proc[[#This Row],[type]]="LFF (MDG-F)",MID(Proc[[#This Row],[Obj]],13,10),"")</f>
        <v>DE10538136</v>
      </c>
      <c r="I2466" s="103" t="s">
        <v>4785</v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MGF</v>
      </c>
      <c r="L2466" s="125" t="s">
        <v>4894</v>
      </c>
      <c r="M2466" s="109">
        <v>45841.453541666669</v>
      </c>
      <c r="N2466" s="109"/>
      <c r="O2466" s="109"/>
      <c r="P2466" s="110" t="str">
        <f ca="1">IF(Proc[[#This Row],[DaysAgeing]]&gt;5,"yep","on track")</f>
        <v>yep</v>
      </c>
      <c r="Q2466" s="3">
        <f ca="1">IF(Proc[[#This Row],[DateClosed]]="",ABS(NETWORKDAYS(Proc[[#This Row],[DateOpened]],TODAY()))-1,ABS(NETWORKDAYS(Proc[[#This Row],[DateOpened]],Proc[[#This Row],[DateClosed]]))-1)</f>
        <v>110</v>
      </c>
      <c r="R2466" s="110" t="s">
        <v>485</v>
      </c>
      <c r="S2466" s="94"/>
    </row>
    <row r="2467" spans="1:19" hidden="1">
      <c r="A2467" s="103" t="s">
        <v>4422</v>
      </c>
      <c r="B2467" s="149" t="str">
        <f>IFERROR(VLOOKUP(Proc[[#This Row],[App]],Table2[],3,0),"open")</f>
        <v>ok</v>
      </c>
      <c r="C2467" s="117" t="s">
        <v>369</v>
      </c>
      <c r="D2467" t="s">
        <v>4534</v>
      </c>
      <c r="E2467" t="s">
        <v>4741</v>
      </c>
      <c r="F2467" s="94" t="s">
        <v>4741</v>
      </c>
      <c r="G2467" s="103" t="s">
        <v>406</v>
      </c>
      <c r="H2467" s="94" t="str">
        <f>IF(Proc[[#This Row],[type]]="LFF (MDG-F)",MID(Proc[[#This Row],[Obj]],13,10),"")</f>
        <v>DE10538137</v>
      </c>
      <c r="I2467" s="103" t="s">
        <v>4785</v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MGF</v>
      </c>
      <c r="L2467" s="125" t="s">
        <v>4894</v>
      </c>
      <c r="M2467" s="109">
        <v>45841.453541666669</v>
      </c>
      <c r="N2467" s="109"/>
      <c r="O2467" s="109"/>
      <c r="P2467" s="110" t="str">
        <f ca="1">IF(Proc[[#This Row],[DaysAgeing]]&gt;5,"yep","on track")</f>
        <v>yep</v>
      </c>
      <c r="Q2467" s="3">
        <f ca="1">IF(Proc[[#This Row],[DateClosed]]="",ABS(NETWORKDAYS(Proc[[#This Row],[DateOpened]],TODAY()))-1,ABS(NETWORKDAYS(Proc[[#This Row],[DateOpened]],Proc[[#This Row],[DateClosed]]))-1)</f>
        <v>110</v>
      </c>
      <c r="R2467" s="110" t="s">
        <v>485</v>
      </c>
      <c r="S2467" s="94"/>
    </row>
    <row r="2468" spans="1:19" hidden="1">
      <c r="A2468" s="103" t="s">
        <v>4422</v>
      </c>
      <c r="B2468" s="149" t="str">
        <f>IFERROR(VLOOKUP(Proc[[#This Row],[App]],Table2[],3,0),"open")</f>
        <v>ok</v>
      </c>
      <c r="C2468" s="117" t="s">
        <v>369</v>
      </c>
      <c r="D2468" t="s">
        <v>4535</v>
      </c>
      <c r="E2468" t="s">
        <v>4741</v>
      </c>
      <c r="F2468" s="94" t="s">
        <v>4741</v>
      </c>
      <c r="G2468" s="103" t="s">
        <v>406</v>
      </c>
      <c r="H2468" s="94" t="str">
        <f>IF(Proc[[#This Row],[type]]="LFF (MDG-F)",MID(Proc[[#This Row],[Obj]],13,10),"")</f>
        <v>DE10538141</v>
      </c>
      <c r="I2468" s="103" t="s">
        <v>4785</v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MGF</v>
      </c>
      <c r="L2468" s="125" t="s">
        <v>4894</v>
      </c>
      <c r="M2468" s="109">
        <v>45841.453541666669</v>
      </c>
      <c r="N2468" s="109"/>
      <c r="O2468" s="109"/>
      <c r="P2468" s="110" t="str">
        <f ca="1">IF(Proc[[#This Row],[DaysAgeing]]&gt;5,"yep","on track")</f>
        <v>yep</v>
      </c>
      <c r="Q2468" s="3">
        <f ca="1">IF(Proc[[#This Row],[DateClosed]]="",ABS(NETWORKDAYS(Proc[[#This Row],[DateOpened]],TODAY()))-1,ABS(NETWORKDAYS(Proc[[#This Row],[DateOpened]],Proc[[#This Row],[DateClosed]]))-1)</f>
        <v>110</v>
      </c>
      <c r="R2468" s="110" t="s">
        <v>485</v>
      </c>
      <c r="S2468" s="94"/>
    </row>
    <row r="2469" spans="1:19" hidden="1">
      <c r="A2469" s="103" t="s">
        <v>4422</v>
      </c>
      <c r="B2469" s="149" t="str">
        <f>IFERROR(VLOOKUP(Proc[[#This Row],[App]],Table2[],3,0),"open")</f>
        <v>ok</v>
      </c>
      <c r="C2469" s="117" t="s">
        <v>369</v>
      </c>
      <c r="D2469" t="s">
        <v>4536</v>
      </c>
      <c r="E2469" t="s">
        <v>4741</v>
      </c>
      <c r="F2469" s="94" t="s">
        <v>4741</v>
      </c>
      <c r="G2469" s="103" t="s">
        <v>406</v>
      </c>
      <c r="H2469" s="94" t="str">
        <f>IF(Proc[[#This Row],[type]]="LFF (MDG-F)",MID(Proc[[#This Row],[Obj]],13,10),"")</f>
        <v>DE10538143</v>
      </c>
      <c r="I2469" s="103" t="s">
        <v>4785</v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MGF</v>
      </c>
      <c r="L2469" s="125" t="s">
        <v>4894</v>
      </c>
      <c r="M2469" s="109">
        <v>45841.453541666669</v>
      </c>
      <c r="N2469" s="109"/>
      <c r="O2469" s="109"/>
      <c r="P2469" s="110" t="str">
        <f ca="1">IF(Proc[[#This Row],[DaysAgeing]]&gt;5,"yep","on track")</f>
        <v>yep</v>
      </c>
      <c r="Q2469" s="3">
        <f ca="1">IF(Proc[[#This Row],[DateClosed]]="",ABS(NETWORKDAYS(Proc[[#This Row],[DateOpened]],TODAY()))-1,ABS(NETWORKDAYS(Proc[[#This Row],[DateOpened]],Proc[[#This Row],[DateClosed]]))-1)</f>
        <v>110</v>
      </c>
      <c r="R2469" s="110" t="s">
        <v>485</v>
      </c>
      <c r="S2469" s="94"/>
    </row>
    <row r="2470" spans="1:19" hidden="1">
      <c r="A2470" s="103" t="s">
        <v>4422</v>
      </c>
      <c r="B2470" s="149" t="str">
        <f>IFERROR(VLOOKUP(Proc[[#This Row],[App]],Table2[],3,0),"open")</f>
        <v>ok</v>
      </c>
      <c r="C2470" s="117" t="s">
        <v>369</v>
      </c>
      <c r="D2470" t="s">
        <v>4537</v>
      </c>
      <c r="E2470" t="s">
        <v>4741</v>
      </c>
      <c r="F2470" s="94" t="s">
        <v>4741</v>
      </c>
      <c r="G2470" s="103" t="s">
        <v>406</v>
      </c>
      <c r="H2470" s="94" t="str">
        <f>IF(Proc[[#This Row],[type]]="LFF (MDG-F)",MID(Proc[[#This Row],[Obj]],13,10),"")</f>
        <v>DE10538147</v>
      </c>
      <c r="I2470" s="103" t="s">
        <v>4785</v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MGF</v>
      </c>
      <c r="L2470" s="125" t="s">
        <v>4894</v>
      </c>
      <c r="M2470" s="109">
        <v>45841.453541666669</v>
      </c>
      <c r="N2470" s="109"/>
      <c r="O2470" s="109"/>
      <c r="P2470" s="110" t="str">
        <f ca="1">IF(Proc[[#This Row],[DaysAgeing]]&gt;5,"yep","on track")</f>
        <v>yep</v>
      </c>
      <c r="Q2470" s="3">
        <f ca="1">IF(Proc[[#This Row],[DateClosed]]="",ABS(NETWORKDAYS(Proc[[#This Row],[DateOpened]],TODAY()))-1,ABS(NETWORKDAYS(Proc[[#This Row],[DateOpened]],Proc[[#This Row],[DateClosed]]))-1)</f>
        <v>110</v>
      </c>
      <c r="R2470" s="110" t="s">
        <v>485</v>
      </c>
      <c r="S2470" s="94"/>
    </row>
    <row r="2471" spans="1:19" hidden="1">
      <c r="A2471" s="103" t="s">
        <v>4422</v>
      </c>
      <c r="B2471" s="149" t="str">
        <f>IFERROR(VLOOKUP(Proc[[#This Row],[App]],Table2[],3,0),"open")</f>
        <v>ok</v>
      </c>
      <c r="C2471" s="117" t="s">
        <v>369</v>
      </c>
      <c r="D2471" t="s">
        <v>4538</v>
      </c>
      <c r="E2471" t="s">
        <v>4744</v>
      </c>
      <c r="F2471" s="94" t="s">
        <v>4744</v>
      </c>
      <c r="G2471" s="103" t="s">
        <v>406</v>
      </c>
      <c r="H2471" s="94" t="str">
        <f>IF(Proc[[#This Row],[type]]="LFF (MDG-F)",MID(Proc[[#This Row],[Obj]],13,10),"")</f>
        <v>DE10538148</v>
      </c>
      <c r="I2471" s="103" t="s">
        <v>4785</v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MGF</v>
      </c>
      <c r="L2471" s="125" t="s">
        <v>4894</v>
      </c>
      <c r="M2471" s="109">
        <v>45841.453541666669</v>
      </c>
      <c r="N2471" s="109"/>
      <c r="O2471" s="109"/>
      <c r="P2471" s="110" t="str">
        <f ca="1">IF(Proc[[#This Row],[DaysAgeing]]&gt;5,"yep","on track")</f>
        <v>yep</v>
      </c>
      <c r="Q2471" s="3">
        <f ca="1">IF(Proc[[#This Row],[DateClosed]]="",ABS(NETWORKDAYS(Proc[[#This Row],[DateOpened]],TODAY()))-1,ABS(NETWORKDAYS(Proc[[#This Row],[DateOpened]],Proc[[#This Row],[DateClosed]]))-1)</f>
        <v>110</v>
      </c>
      <c r="R2471" s="110" t="s">
        <v>485</v>
      </c>
      <c r="S2471" s="94"/>
    </row>
    <row r="2472" spans="1:19" hidden="1">
      <c r="A2472" s="103" t="s">
        <v>4422</v>
      </c>
      <c r="B2472" s="149" t="str">
        <f>IFERROR(VLOOKUP(Proc[[#This Row],[App]],Table2[],3,0),"open")</f>
        <v>ok</v>
      </c>
      <c r="C2472" s="117" t="s">
        <v>369</v>
      </c>
      <c r="D2472" t="s">
        <v>4539</v>
      </c>
      <c r="E2472" t="s">
        <v>4741</v>
      </c>
      <c r="F2472" s="94" t="s">
        <v>4741</v>
      </c>
      <c r="G2472" s="103" t="s">
        <v>406</v>
      </c>
      <c r="H2472" s="94" t="str">
        <f>IF(Proc[[#This Row],[type]]="LFF (MDG-F)",MID(Proc[[#This Row],[Obj]],13,10),"")</f>
        <v>DE10538151</v>
      </c>
      <c r="I2472" s="103" t="s">
        <v>4785</v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MGF</v>
      </c>
      <c r="L2472" s="125" t="s">
        <v>4894</v>
      </c>
      <c r="M2472" s="109">
        <v>45841.453541666669</v>
      </c>
      <c r="N2472" s="109"/>
      <c r="O2472" s="109"/>
      <c r="P2472" s="110" t="str">
        <f ca="1">IF(Proc[[#This Row],[DaysAgeing]]&gt;5,"yep","on track")</f>
        <v>yep</v>
      </c>
      <c r="Q2472" s="3">
        <f ca="1">IF(Proc[[#This Row],[DateClosed]]="",ABS(NETWORKDAYS(Proc[[#This Row],[DateOpened]],TODAY()))-1,ABS(NETWORKDAYS(Proc[[#This Row],[DateOpened]],Proc[[#This Row],[DateClosed]]))-1)</f>
        <v>110</v>
      </c>
      <c r="R2472" s="110" t="s">
        <v>485</v>
      </c>
      <c r="S2472" s="94"/>
    </row>
    <row r="2473" spans="1:19" hidden="1">
      <c r="A2473" s="103" t="s">
        <v>4422</v>
      </c>
      <c r="B2473" s="149" t="str">
        <f>IFERROR(VLOOKUP(Proc[[#This Row],[App]],Table2[],3,0),"open")</f>
        <v>ok</v>
      </c>
      <c r="C2473" s="117" t="s">
        <v>369</v>
      </c>
      <c r="D2473" t="s">
        <v>4540</v>
      </c>
      <c r="E2473" t="s">
        <v>4741</v>
      </c>
      <c r="F2473" s="94" t="s">
        <v>4741</v>
      </c>
      <c r="G2473" s="103" t="s">
        <v>406</v>
      </c>
      <c r="H2473" s="94" t="str">
        <f>IF(Proc[[#This Row],[type]]="LFF (MDG-F)",MID(Proc[[#This Row],[Obj]],13,10),"")</f>
        <v>DE10538153</v>
      </c>
      <c r="I2473" s="103" t="s">
        <v>4785</v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MGF</v>
      </c>
      <c r="L2473" s="125" t="s">
        <v>4894</v>
      </c>
      <c r="M2473" s="109">
        <v>45841.453541666669</v>
      </c>
      <c r="N2473" s="109"/>
      <c r="O2473" s="109"/>
      <c r="P2473" s="110" t="str">
        <f ca="1">IF(Proc[[#This Row],[DaysAgeing]]&gt;5,"yep","on track")</f>
        <v>yep</v>
      </c>
      <c r="Q2473" s="3">
        <f ca="1">IF(Proc[[#This Row],[DateClosed]]="",ABS(NETWORKDAYS(Proc[[#This Row],[DateOpened]],TODAY()))-1,ABS(NETWORKDAYS(Proc[[#This Row],[DateOpened]],Proc[[#This Row],[DateClosed]]))-1)</f>
        <v>110</v>
      </c>
      <c r="R2473" s="110" t="s">
        <v>485</v>
      </c>
      <c r="S2473" s="94"/>
    </row>
    <row r="2474" spans="1:19" hidden="1">
      <c r="A2474" s="103" t="s">
        <v>4422</v>
      </c>
      <c r="B2474" s="149" t="str">
        <f>IFERROR(VLOOKUP(Proc[[#This Row],[App]],Table2[],3,0),"open")</f>
        <v>ok</v>
      </c>
      <c r="C2474" s="117" t="s">
        <v>369</v>
      </c>
      <c r="D2474" t="s">
        <v>4541</v>
      </c>
      <c r="E2474" t="s">
        <v>4741</v>
      </c>
      <c r="F2474" s="94" t="s">
        <v>4741</v>
      </c>
      <c r="G2474" s="103" t="s">
        <v>406</v>
      </c>
      <c r="H2474" s="94" t="str">
        <f>IF(Proc[[#This Row],[type]]="LFF (MDG-F)",MID(Proc[[#This Row],[Obj]],13,10),"")</f>
        <v>DE10538160</v>
      </c>
      <c r="I2474" s="103" t="s">
        <v>4785</v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MGF</v>
      </c>
      <c r="L2474" s="125" t="s">
        <v>4894</v>
      </c>
      <c r="M2474" s="109">
        <v>45841.453541666669</v>
      </c>
      <c r="N2474" s="109"/>
      <c r="O2474" s="109"/>
      <c r="P2474" s="110" t="str">
        <f ca="1">IF(Proc[[#This Row],[DaysAgeing]]&gt;5,"yep","on track")</f>
        <v>yep</v>
      </c>
      <c r="Q2474" s="3">
        <f ca="1">IF(Proc[[#This Row],[DateClosed]]="",ABS(NETWORKDAYS(Proc[[#This Row],[DateOpened]],TODAY()))-1,ABS(NETWORKDAYS(Proc[[#This Row],[DateOpened]],Proc[[#This Row],[DateClosed]]))-1)</f>
        <v>110</v>
      </c>
      <c r="R2474" s="110" t="s">
        <v>485</v>
      </c>
      <c r="S2474" s="94"/>
    </row>
    <row r="2475" spans="1:19" hidden="1">
      <c r="A2475" s="103" t="s">
        <v>4422</v>
      </c>
      <c r="B2475" s="149" t="str">
        <f>IFERROR(VLOOKUP(Proc[[#This Row],[App]],Table2[],3,0),"open")</f>
        <v>ok</v>
      </c>
      <c r="C2475" s="117" t="s">
        <v>369</v>
      </c>
      <c r="D2475" t="s">
        <v>4542</v>
      </c>
      <c r="E2475" t="s">
        <v>4741</v>
      </c>
      <c r="F2475" s="94" t="s">
        <v>4741</v>
      </c>
      <c r="G2475" s="103" t="s">
        <v>406</v>
      </c>
      <c r="H2475" s="94" t="str">
        <f>IF(Proc[[#This Row],[type]]="LFF (MDG-F)",MID(Proc[[#This Row],[Obj]],13,10),"")</f>
        <v>DE10538162</v>
      </c>
      <c r="I2475" s="103" t="s">
        <v>4785</v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MGF</v>
      </c>
      <c r="L2475" s="125" t="s">
        <v>4894</v>
      </c>
      <c r="M2475" s="109">
        <v>45841.453541666669</v>
      </c>
      <c r="N2475" s="109"/>
      <c r="O2475" s="109"/>
      <c r="P2475" s="110" t="str">
        <f ca="1">IF(Proc[[#This Row],[DaysAgeing]]&gt;5,"yep","on track")</f>
        <v>yep</v>
      </c>
      <c r="Q2475" s="3">
        <f ca="1">IF(Proc[[#This Row],[DateClosed]]="",ABS(NETWORKDAYS(Proc[[#This Row],[DateOpened]],TODAY()))-1,ABS(NETWORKDAYS(Proc[[#This Row],[DateOpened]],Proc[[#This Row],[DateClosed]]))-1)</f>
        <v>110</v>
      </c>
      <c r="R2475" s="110" t="s">
        <v>485</v>
      </c>
      <c r="S2475" s="94"/>
    </row>
    <row r="2476" spans="1:19" hidden="1">
      <c r="A2476" s="103" t="s">
        <v>4422</v>
      </c>
      <c r="B2476" s="149" t="str">
        <f>IFERROR(VLOOKUP(Proc[[#This Row],[App]],Table2[],3,0),"open")</f>
        <v>ok</v>
      </c>
      <c r="C2476" s="117" t="s">
        <v>369</v>
      </c>
      <c r="D2476" t="s">
        <v>4543</v>
      </c>
      <c r="E2476" t="s">
        <v>4744</v>
      </c>
      <c r="F2476" s="94" t="s">
        <v>4744</v>
      </c>
      <c r="G2476" s="103" t="s">
        <v>406</v>
      </c>
      <c r="H2476" s="94" t="str">
        <f>IF(Proc[[#This Row],[type]]="LFF (MDG-F)",MID(Proc[[#This Row],[Obj]],13,10),"")</f>
        <v>DE10538163</v>
      </c>
      <c r="I2476" s="103" t="s">
        <v>4785</v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MGF</v>
      </c>
      <c r="L2476" s="125" t="s">
        <v>4894</v>
      </c>
      <c r="M2476" s="109">
        <v>45841.453541666669</v>
      </c>
      <c r="N2476" s="109"/>
      <c r="O2476" s="109"/>
      <c r="P2476" s="110" t="str">
        <f ca="1">IF(Proc[[#This Row],[DaysAgeing]]&gt;5,"yep","on track")</f>
        <v>yep</v>
      </c>
      <c r="Q2476" s="3">
        <f ca="1">IF(Proc[[#This Row],[DateClosed]]="",ABS(NETWORKDAYS(Proc[[#This Row],[DateOpened]],TODAY()))-1,ABS(NETWORKDAYS(Proc[[#This Row],[DateOpened]],Proc[[#This Row],[DateClosed]]))-1)</f>
        <v>110</v>
      </c>
      <c r="R2476" s="110" t="s">
        <v>485</v>
      </c>
      <c r="S2476" s="94"/>
    </row>
    <row r="2477" spans="1:19" hidden="1">
      <c r="A2477" s="103" t="s">
        <v>4422</v>
      </c>
      <c r="B2477" s="149" t="str">
        <f>IFERROR(VLOOKUP(Proc[[#This Row],[App]],Table2[],3,0),"open")</f>
        <v>ok</v>
      </c>
      <c r="C2477" s="117" t="s">
        <v>369</v>
      </c>
      <c r="D2477" t="s">
        <v>4544</v>
      </c>
      <c r="E2477" t="s">
        <v>4741</v>
      </c>
      <c r="F2477" s="94" t="s">
        <v>4741</v>
      </c>
      <c r="G2477" s="103" t="s">
        <v>406</v>
      </c>
      <c r="H2477" s="94" t="str">
        <f>IF(Proc[[#This Row],[type]]="LFF (MDG-F)",MID(Proc[[#This Row],[Obj]],13,10),"")</f>
        <v>DE10538164</v>
      </c>
      <c r="I2477" s="103" t="s">
        <v>4785</v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MGF</v>
      </c>
      <c r="L2477" s="125" t="s">
        <v>4894</v>
      </c>
      <c r="M2477" s="109">
        <v>45841.453541666669</v>
      </c>
      <c r="N2477" s="109"/>
      <c r="O2477" s="109"/>
      <c r="P2477" s="110" t="str">
        <f ca="1">IF(Proc[[#This Row],[DaysAgeing]]&gt;5,"yep","on track")</f>
        <v>yep</v>
      </c>
      <c r="Q2477" s="3">
        <f ca="1">IF(Proc[[#This Row],[DateClosed]]="",ABS(NETWORKDAYS(Proc[[#This Row],[DateOpened]],TODAY()))-1,ABS(NETWORKDAYS(Proc[[#This Row],[DateOpened]],Proc[[#This Row],[DateClosed]]))-1)</f>
        <v>110</v>
      </c>
      <c r="R2477" s="110" t="s">
        <v>485</v>
      </c>
      <c r="S2477" s="94"/>
    </row>
    <row r="2478" spans="1:19" hidden="1">
      <c r="A2478" s="103" t="s">
        <v>4422</v>
      </c>
      <c r="B2478" s="149" t="str">
        <f>IFERROR(VLOOKUP(Proc[[#This Row],[App]],Table2[],3,0),"open")</f>
        <v>ok</v>
      </c>
      <c r="C2478" s="117" t="s">
        <v>369</v>
      </c>
      <c r="D2478" t="s">
        <v>4545</v>
      </c>
      <c r="E2478" t="s">
        <v>4741</v>
      </c>
      <c r="F2478" s="94" t="s">
        <v>4741</v>
      </c>
      <c r="G2478" s="103" t="s">
        <v>406</v>
      </c>
      <c r="H2478" s="94" t="str">
        <f>IF(Proc[[#This Row],[type]]="LFF (MDG-F)",MID(Proc[[#This Row],[Obj]],13,10),"")</f>
        <v>DE10538166</v>
      </c>
      <c r="I2478" s="103" t="s">
        <v>4785</v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MGF</v>
      </c>
      <c r="L2478" s="125" t="s">
        <v>4894</v>
      </c>
      <c r="M2478" s="109">
        <v>45841.453541666669</v>
      </c>
      <c r="N2478" s="109"/>
      <c r="O2478" s="109"/>
      <c r="P2478" s="110" t="str">
        <f ca="1">IF(Proc[[#This Row],[DaysAgeing]]&gt;5,"yep","on track")</f>
        <v>yep</v>
      </c>
      <c r="Q2478" s="3">
        <f ca="1">IF(Proc[[#This Row],[DateClosed]]="",ABS(NETWORKDAYS(Proc[[#This Row],[DateOpened]],TODAY()))-1,ABS(NETWORKDAYS(Proc[[#This Row],[DateOpened]],Proc[[#This Row],[DateClosed]]))-1)</f>
        <v>110</v>
      </c>
      <c r="R2478" s="110" t="s">
        <v>485</v>
      </c>
      <c r="S2478" s="94"/>
    </row>
    <row r="2479" spans="1:19" hidden="1">
      <c r="A2479" s="103" t="s">
        <v>4422</v>
      </c>
      <c r="B2479" s="149" t="str">
        <f>IFERROR(VLOOKUP(Proc[[#This Row],[App]],Table2[],3,0),"open")</f>
        <v>ok</v>
      </c>
      <c r="C2479" s="117" t="s">
        <v>369</v>
      </c>
      <c r="D2479" t="s">
        <v>4546</v>
      </c>
      <c r="E2479" t="s">
        <v>4740</v>
      </c>
      <c r="F2479" s="94" t="s">
        <v>4740</v>
      </c>
      <c r="G2479" s="103" t="s">
        <v>406</v>
      </c>
      <c r="H2479" s="94" t="str">
        <f>IF(Proc[[#This Row],[type]]="LFF (MDG-F)",MID(Proc[[#This Row],[Obj]],13,10),"")</f>
        <v>DE10538167</v>
      </c>
      <c r="I2479" s="103" t="s">
        <v>4785</v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MGF</v>
      </c>
      <c r="L2479" s="125" t="s">
        <v>4894</v>
      </c>
      <c r="M2479" s="109">
        <v>45841.453541666669</v>
      </c>
      <c r="N2479" s="109"/>
      <c r="O2479" s="109"/>
      <c r="P2479" s="110" t="str">
        <f ca="1">IF(Proc[[#This Row],[DaysAgeing]]&gt;5,"yep","on track")</f>
        <v>yep</v>
      </c>
      <c r="Q2479" s="3">
        <f ca="1">IF(Proc[[#This Row],[DateClosed]]="",ABS(NETWORKDAYS(Proc[[#This Row],[DateOpened]],TODAY()))-1,ABS(NETWORKDAYS(Proc[[#This Row],[DateOpened]],Proc[[#This Row],[DateClosed]]))-1)</f>
        <v>110</v>
      </c>
      <c r="R2479" s="110" t="s">
        <v>485</v>
      </c>
      <c r="S2479" s="94"/>
    </row>
    <row r="2480" spans="1:19" hidden="1">
      <c r="A2480" s="103" t="s">
        <v>4422</v>
      </c>
      <c r="B2480" s="149" t="str">
        <f>IFERROR(VLOOKUP(Proc[[#This Row],[App]],Table2[],3,0),"open")</f>
        <v>ok</v>
      </c>
      <c r="C2480" s="117" t="s">
        <v>369</v>
      </c>
      <c r="D2480" t="s">
        <v>4547</v>
      </c>
      <c r="E2480" t="s">
        <v>4741</v>
      </c>
      <c r="F2480" s="94" t="s">
        <v>4741</v>
      </c>
      <c r="G2480" s="103" t="s">
        <v>406</v>
      </c>
      <c r="H2480" s="94" t="str">
        <f>IF(Proc[[#This Row],[type]]="LFF (MDG-F)",MID(Proc[[#This Row],[Obj]],13,10),"")</f>
        <v>DE10538168</v>
      </c>
      <c r="I2480" s="103" t="s">
        <v>4785</v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MGF</v>
      </c>
      <c r="L2480" s="125" t="s">
        <v>4894</v>
      </c>
      <c r="M2480" s="109">
        <v>45841.453541666669</v>
      </c>
      <c r="N2480" s="109"/>
      <c r="O2480" s="109"/>
      <c r="P2480" s="110" t="str">
        <f ca="1">IF(Proc[[#This Row],[DaysAgeing]]&gt;5,"yep","on track")</f>
        <v>yep</v>
      </c>
      <c r="Q2480" s="3">
        <f ca="1">IF(Proc[[#This Row],[DateClosed]]="",ABS(NETWORKDAYS(Proc[[#This Row],[DateOpened]],TODAY()))-1,ABS(NETWORKDAYS(Proc[[#This Row],[DateOpened]],Proc[[#This Row],[DateClosed]]))-1)</f>
        <v>110</v>
      </c>
      <c r="R2480" s="110" t="s">
        <v>485</v>
      </c>
      <c r="S2480" s="94"/>
    </row>
    <row r="2481" spans="1:19" hidden="1">
      <c r="A2481" s="103" t="s">
        <v>4422</v>
      </c>
      <c r="B2481" s="149" t="str">
        <f>IFERROR(VLOOKUP(Proc[[#This Row],[App]],Table2[],3,0),"open")</f>
        <v>ok</v>
      </c>
      <c r="C2481" s="117" t="s">
        <v>369</v>
      </c>
      <c r="D2481" t="s">
        <v>4548</v>
      </c>
      <c r="E2481" t="s">
        <v>4741</v>
      </c>
      <c r="F2481" s="94" t="s">
        <v>4741</v>
      </c>
      <c r="G2481" s="103" t="s">
        <v>406</v>
      </c>
      <c r="H2481" s="94" t="str">
        <f>IF(Proc[[#This Row],[type]]="LFF (MDG-F)",MID(Proc[[#This Row],[Obj]],13,10),"")</f>
        <v>DE10538171</v>
      </c>
      <c r="I2481" s="103" t="s">
        <v>4785</v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MGF</v>
      </c>
      <c r="L2481" s="125" t="s">
        <v>4894</v>
      </c>
      <c r="M2481" s="109">
        <v>45841.453541666669</v>
      </c>
      <c r="N2481" s="109"/>
      <c r="O2481" s="109"/>
      <c r="P2481" s="110" t="str">
        <f ca="1">IF(Proc[[#This Row],[DaysAgeing]]&gt;5,"yep","on track")</f>
        <v>yep</v>
      </c>
      <c r="Q2481" s="3">
        <f ca="1">IF(Proc[[#This Row],[DateClosed]]="",ABS(NETWORKDAYS(Proc[[#This Row],[DateOpened]],TODAY()))-1,ABS(NETWORKDAYS(Proc[[#This Row],[DateOpened]],Proc[[#This Row],[DateClosed]]))-1)</f>
        <v>110</v>
      </c>
      <c r="R2481" s="110" t="s">
        <v>485</v>
      </c>
      <c r="S2481" s="94"/>
    </row>
    <row r="2482" spans="1:19" hidden="1">
      <c r="A2482" s="103" t="s">
        <v>4422</v>
      </c>
      <c r="B2482" s="149" t="str">
        <f>IFERROR(VLOOKUP(Proc[[#This Row],[App]],Table2[],3,0),"open")</f>
        <v>ok</v>
      </c>
      <c r="C2482" s="117" t="s">
        <v>369</v>
      </c>
      <c r="D2482" t="s">
        <v>4549</v>
      </c>
      <c r="E2482" t="s">
        <v>4743</v>
      </c>
      <c r="F2482" s="94" t="s">
        <v>4743</v>
      </c>
      <c r="G2482" s="103" t="s">
        <v>406</v>
      </c>
      <c r="H2482" s="94" t="str">
        <f>IF(Proc[[#This Row],[type]]="LFF (MDG-F)",MID(Proc[[#This Row],[Obj]],13,10),"")</f>
        <v>DE10538175</v>
      </c>
      <c r="I2482" s="103" t="s">
        <v>4785</v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MGF</v>
      </c>
      <c r="L2482" s="125" t="s">
        <v>4894</v>
      </c>
      <c r="M2482" s="109">
        <v>45841.453541666669</v>
      </c>
      <c r="N2482" s="109"/>
      <c r="O2482" s="109"/>
      <c r="P2482" s="110" t="str">
        <f ca="1">IF(Proc[[#This Row],[DaysAgeing]]&gt;5,"yep","on track")</f>
        <v>yep</v>
      </c>
      <c r="Q2482" s="3">
        <f ca="1">IF(Proc[[#This Row],[DateClosed]]="",ABS(NETWORKDAYS(Proc[[#This Row],[DateOpened]],TODAY()))-1,ABS(NETWORKDAYS(Proc[[#This Row],[DateOpened]],Proc[[#This Row],[DateClosed]]))-1)</f>
        <v>110</v>
      </c>
      <c r="R2482" s="110" t="s">
        <v>485</v>
      </c>
      <c r="S2482" s="94"/>
    </row>
    <row r="2483" spans="1:19" hidden="1">
      <c r="A2483" s="103" t="s">
        <v>4422</v>
      </c>
      <c r="B2483" s="149" t="str">
        <f>IFERROR(VLOOKUP(Proc[[#This Row],[App]],Table2[],3,0),"open")</f>
        <v>ok</v>
      </c>
      <c r="C2483" s="117" t="s">
        <v>369</v>
      </c>
      <c r="D2483" t="s">
        <v>4550</v>
      </c>
      <c r="E2483" t="s">
        <v>4741</v>
      </c>
      <c r="F2483" s="94" t="s">
        <v>4741</v>
      </c>
      <c r="G2483" s="103" t="s">
        <v>406</v>
      </c>
      <c r="H2483" s="94" t="str">
        <f>IF(Proc[[#This Row],[type]]="LFF (MDG-F)",MID(Proc[[#This Row],[Obj]],13,10),"")</f>
        <v>DE10538176</v>
      </c>
      <c r="I2483" s="103" t="s">
        <v>4785</v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MGF</v>
      </c>
      <c r="L2483" s="125" t="s">
        <v>4894</v>
      </c>
      <c r="M2483" s="109">
        <v>45841.453541666669</v>
      </c>
      <c r="N2483" s="109"/>
      <c r="O2483" s="109"/>
      <c r="P2483" s="110" t="str">
        <f ca="1">IF(Proc[[#This Row],[DaysAgeing]]&gt;5,"yep","on track")</f>
        <v>yep</v>
      </c>
      <c r="Q2483" s="3">
        <f ca="1">IF(Proc[[#This Row],[DateClosed]]="",ABS(NETWORKDAYS(Proc[[#This Row],[DateOpened]],TODAY()))-1,ABS(NETWORKDAYS(Proc[[#This Row],[DateOpened]],Proc[[#This Row],[DateClosed]]))-1)</f>
        <v>110</v>
      </c>
      <c r="R2483" s="110" t="s">
        <v>485</v>
      </c>
      <c r="S2483" s="94"/>
    </row>
    <row r="2484" spans="1:19" hidden="1">
      <c r="A2484" s="103" t="s">
        <v>4422</v>
      </c>
      <c r="B2484" s="149" t="str">
        <f>IFERROR(VLOOKUP(Proc[[#This Row],[App]],Table2[],3,0),"open")</f>
        <v>ok</v>
      </c>
      <c r="C2484" s="117" t="s">
        <v>369</v>
      </c>
      <c r="D2484" t="s">
        <v>4551</v>
      </c>
      <c r="E2484" t="s">
        <v>4741</v>
      </c>
      <c r="F2484" s="94" t="s">
        <v>4741</v>
      </c>
      <c r="G2484" s="103" t="s">
        <v>406</v>
      </c>
      <c r="H2484" s="94" t="str">
        <f>IF(Proc[[#This Row],[type]]="LFF (MDG-F)",MID(Proc[[#This Row],[Obj]],13,10),"")</f>
        <v>DE10538177</v>
      </c>
      <c r="I2484" s="103" t="s">
        <v>4785</v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MGF</v>
      </c>
      <c r="L2484" s="125" t="s">
        <v>4894</v>
      </c>
      <c r="M2484" s="109">
        <v>45841.453541666669</v>
      </c>
      <c r="N2484" s="109"/>
      <c r="O2484" s="109"/>
      <c r="P2484" s="110" t="str">
        <f ca="1">IF(Proc[[#This Row],[DaysAgeing]]&gt;5,"yep","on track")</f>
        <v>yep</v>
      </c>
      <c r="Q2484" s="3">
        <f ca="1">IF(Proc[[#This Row],[DateClosed]]="",ABS(NETWORKDAYS(Proc[[#This Row],[DateOpened]],TODAY()))-1,ABS(NETWORKDAYS(Proc[[#This Row],[DateOpened]],Proc[[#This Row],[DateClosed]]))-1)</f>
        <v>110</v>
      </c>
      <c r="R2484" s="110" t="s">
        <v>485</v>
      </c>
      <c r="S2484" s="94"/>
    </row>
    <row r="2485" spans="1:19" hidden="1">
      <c r="A2485" s="103" t="s">
        <v>4422</v>
      </c>
      <c r="B2485" s="149" t="str">
        <f>IFERROR(VLOOKUP(Proc[[#This Row],[App]],Table2[],3,0),"open")</f>
        <v>ok</v>
      </c>
      <c r="C2485" s="117" t="s">
        <v>369</v>
      </c>
      <c r="D2485" t="s">
        <v>4552</v>
      </c>
      <c r="E2485" t="s">
        <v>4741</v>
      </c>
      <c r="F2485" s="94" t="s">
        <v>4741</v>
      </c>
      <c r="G2485" s="103" t="s">
        <v>406</v>
      </c>
      <c r="H2485" s="94" t="str">
        <f>IF(Proc[[#This Row],[type]]="LFF (MDG-F)",MID(Proc[[#This Row],[Obj]],13,10),"")</f>
        <v>DE10538184</v>
      </c>
      <c r="I2485" s="103" t="s">
        <v>4785</v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MGF</v>
      </c>
      <c r="L2485" s="125" t="s">
        <v>4894</v>
      </c>
      <c r="M2485" s="109">
        <v>45841.453541666669</v>
      </c>
      <c r="N2485" s="109"/>
      <c r="O2485" s="109"/>
      <c r="P2485" s="110" t="str">
        <f ca="1">IF(Proc[[#This Row],[DaysAgeing]]&gt;5,"yep","on track")</f>
        <v>yep</v>
      </c>
      <c r="Q2485" s="3">
        <f ca="1">IF(Proc[[#This Row],[DateClosed]]="",ABS(NETWORKDAYS(Proc[[#This Row],[DateOpened]],TODAY()))-1,ABS(NETWORKDAYS(Proc[[#This Row],[DateOpened]],Proc[[#This Row],[DateClosed]]))-1)</f>
        <v>110</v>
      </c>
      <c r="R2485" s="110" t="s">
        <v>485</v>
      </c>
      <c r="S2485" s="94"/>
    </row>
    <row r="2486" spans="1:19" hidden="1">
      <c r="A2486" s="103" t="s">
        <v>4422</v>
      </c>
      <c r="B2486" s="149" t="str">
        <f>IFERROR(VLOOKUP(Proc[[#This Row],[App]],Table2[],3,0),"open")</f>
        <v>ok</v>
      </c>
      <c r="C2486" s="117" t="s">
        <v>369</v>
      </c>
      <c r="D2486" t="s">
        <v>4553</v>
      </c>
      <c r="E2486" t="s">
        <v>4743</v>
      </c>
      <c r="F2486" s="94" t="s">
        <v>4743</v>
      </c>
      <c r="G2486" s="103" t="s">
        <v>406</v>
      </c>
      <c r="H2486" s="94" t="str">
        <f>IF(Proc[[#This Row],[type]]="LFF (MDG-F)",MID(Proc[[#This Row],[Obj]],13,10),"")</f>
        <v>DE10538185</v>
      </c>
      <c r="I2486" s="103" t="s">
        <v>4785</v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MGF</v>
      </c>
      <c r="L2486" s="125" t="s">
        <v>4894</v>
      </c>
      <c r="M2486" s="109">
        <v>45841.453541666669</v>
      </c>
      <c r="N2486" s="109"/>
      <c r="O2486" s="109"/>
      <c r="P2486" s="110" t="str">
        <f ca="1">IF(Proc[[#This Row],[DaysAgeing]]&gt;5,"yep","on track")</f>
        <v>yep</v>
      </c>
      <c r="Q2486" s="3">
        <f ca="1">IF(Proc[[#This Row],[DateClosed]]="",ABS(NETWORKDAYS(Proc[[#This Row],[DateOpened]],TODAY()))-1,ABS(NETWORKDAYS(Proc[[#This Row],[DateOpened]],Proc[[#This Row],[DateClosed]]))-1)</f>
        <v>110</v>
      </c>
      <c r="R2486" s="110" t="s">
        <v>485</v>
      </c>
      <c r="S2486" s="94"/>
    </row>
    <row r="2487" spans="1:19" hidden="1">
      <c r="A2487" s="103" t="s">
        <v>4422</v>
      </c>
      <c r="B2487" s="149" t="str">
        <f>IFERROR(VLOOKUP(Proc[[#This Row],[App]],Table2[],3,0),"open")</f>
        <v>ok</v>
      </c>
      <c r="C2487" s="117" t="s">
        <v>369</v>
      </c>
      <c r="D2487" t="s">
        <v>4554</v>
      </c>
      <c r="E2487" t="s">
        <v>4743</v>
      </c>
      <c r="F2487" s="94" t="s">
        <v>4743</v>
      </c>
      <c r="G2487" s="103" t="s">
        <v>406</v>
      </c>
      <c r="H2487" s="94" t="str">
        <f>IF(Proc[[#This Row],[type]]="LFF (MDG-F)",MID(Proc[[#This Row],[Obj]],13,10),"")</f>
        <v>DE10538186</v>
      </c>
      <c r="I2487" s="103" t="s">
        <v>4785</v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MGF</v>
      </c>
      <c r="L2487" s="125" t="s">
        <v>4894</v>
      </c>
      <c r="M2487" s="109">
        <v>45841.453541666669</v>
      </c>
      <c r="N2487" s="109"/>
      <c r="O2487" s="109"/>
      <c r="P2487" s="110" t="str">
        <f ca="1">IF(Proc[[#This Row],[DaysAgeing]]&gt;5,"yep","on track")</f>
        <v>yep</v>
      </c>
      <c r="Q2487" s="3">
        <f ca="1">IF(Proc[[#This Row],[DateClosed]]="",ABS(NETWORKDAYS(Proc[[#This Row],[DateOpened]],TODAY()))-1,ABS(NETWORKDAYS(Proc[[#This Row],[DateOpened]],Proc[[#This Row],[DateClosed]]))-1)</f>
        <v>110</v>
      </c>
      <c r="R2487" s="110" t="s">
        <v>485</v>
      </c>
      <c r="S2487" s="94"/>
    </row>
    <row r="2488" spans="1:19" hidden="1">
      <c r="A2488" s="103" t="s">
        <v>4422</v>
      </c>
      <c r="B2488" s="149" t="str">
        <f>IFERROR(VLOOKUP(Proc[[#This Row],[App]],Table2[],3,0),"open")</f>
        <v>ok</v>
      </c>
      <c r="C2488" s="117" t="s">
        <v>369</v>
      </c>
      <c r="D2488" t="s">
        <v>4555</v>
      </c>
      <c r="E2488" t="s">
        <v>4744</v>
      </c>
      <c r="F2488" s="94" t="s">
        <v>4744</v>
      </c>
      <c r="G2488" s="103" t="s">
        <v>406</v>
      </c>
      <c r="H2488" s="94" t="str">
        <f>IF(Proc[[#This Row],[type]]="LFF (MDG-F)",MID(Proc[[#This Row],[Obj]],13,10),"")</f>
        <v>DE10538193</v>
      </c>
      <c r="I2488" s="103" t="s">
        <v>4785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45841.453541666669</v>
      </c>
      <c r="N2488" s="109"/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110</v>
      </c>
      <c r="R2488" s="110" t="s">
        <v>485</v>
      </c>
      <c r="S2488" s="94"/>
    </row>
    <row r="2489" spans="1:19" hidden="1">
      <c r="A2489" s="103" t="s">
        <v>4422</v>
      </c>
      <c r="B2489" s="149" t="str">
        <f>IFERROR(VLOOKUP(Proc[[#This Row],[App]],Table2[],3,0),"open")</f>
        <v>ok</v>
      </c>
      <c r="C2489" s="117" t="s">
        <v>369</v>
      </c>
      <c r="D2489" t="s">
        <v>4556</v>
      </c>
      <c r="E2489" t="s">
        <v>4744</v>
      </c>
      <c r="F2489" s="94" t="s">
        <v>4744</v>
      </c>
      <c r="G2489" s="103" t="s">
        <v>406</v>
      </c>
      <c r="H2489" s="94" t="str">
        <f>IF(Proc[[#This Row],[type]]="LFF (MDG-F)",MID(Proc[[#This Row],[Obj]],13,10),"")</f>
        <v>DE10538194</v>
      </c>
      <c r="I2489" s="103" t="s">
        <v>4785</v>
      </c>
      <c r="J2489" s="94" t="b">
        <f>Proc[[#This Row],[Requested]]=Proc[[#This Row],[CurrentParent]]</f>
        <v>1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45841.453541666669</v>
      </c>
      <c r="N2489" s="109"/>
      <c r="O2489" s="109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110</v>
      </c>
      <c r="R2489" s="110" t="s">
        <v>485</v>
      </c>
      <c r="S2489" s="94"/>
    </row>
    <row r="2490" spans="1:19" hidden="1">
      <c r="A2490" s="103" t="s">
        <v>4422</v>
      </c>
      <c r="B2490" s="149" t="str">
        <f>IFERROR(VLOOKUP(Proc[[#This Row],[App]],Table2[],3,0),"open")</f>
        <v>ok</v>
      </c>
      <c r="C2490" s="117" t="s">
        <v>369</v>
      </c>
      <c r="D2490" t="s">
        <v>4557</v>
      </c>
      <c r="E2490" t="s">
        <v>4744</v>
      </c>
      <c r="F2490" s="94" t="s">
        <v>4744</v>
      </c>
      <c r="G2490" s="103" t="s">
        <v>406</v>
      </c>
      <c r="H2490" s="94" t="str">
        <f>IF(Proc[[#This Row],[type]]="LFF (MDG-F)",MID(Proc[[#This Row],[Obj]],13,10),"")</f>
        <v>DE10538195</v>
      </c>
      <c r="I2490" s="103" t="s">
        <v>4785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45841.453541666669</v>
      </c>
      <c r="N2490" s="109"/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110</v>
      </c>
      <c r="R2490" s="110" t="s">
        <v>485</v>
      </c>
      <c r="S2490" s="94"/>
    </row>
    <row r="2491" spans="1:19" hidden="1">
      <c r="A2491" s="103" t="s">
        <v>4422</v>
      </c>
      <c r="B2491" s="149" t="str">
        <f>IFERROR(VLOOKUP(Proc[[#This Row],[App]],Table2[],3,0),"open")</f>
        <v>ok</v>
      </c>
      <c r="C2491" s="117" t="s">
        <v>369</v>
      </c>
      <c r="D2491" t="s">
        <v>4558</v>
      </c>
      <c r="E2491" t="s">
        <v>4741</v>
      </c>
      <c r="F2491" s="94" t="s">
        <v>4741</v>
      </c>
      <c r="G2491" s="103" t="s">
        <v>406</v>
      </c>
      <c r="H2491" s="94" t="str">
        <f>IF(Proc[[#This Row],[type]]="LFF (MDG-F)",MID(Proc[[#This Row],[Obj]],13,10),"")</f>
        <v>DE10538197</v>
      </c>
      <c r="I2491" s="103" t="s">
        <v>4785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45841.453541666669</v>
      </c>
      <c r="N2491" s="109"/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110</v>
      </c>
      <c r="R2491" s="110" t="s">
        <v>485</v>
      </c>
      <c r="S2491" s="94"/>
    </row>
    <row r="2492" spans="1:19" hidden="1">
      <c r="A2492" s="103" t="s">
        <v>4422</v>
      </c>
      <c r="B2492" s="149" t="str">
        <f>IFERROR(VLOOKUP(Proc[[#This Row],[App]],Table2[],3,0),"open")</f>
        <v>ok</v>
      </c>
      <c r="C2492" s="117" t="s">
        <v>369</v>
      </c>
      <c r="D2492" t="s">
        <v>4559</v>
      </c>
      <c r="E2492" t="s">
        <v>4741</v>
      </c>
      <c r="F2492" s="94" t="s">
        <v>4741</v>
      </c>
      <c r="G2492" s="103" t="s">
        <v>406</v>
      </c>
      <c r="H2492" s="94" t="str">
        <f>IF(Proc[[#This Row],[type]]="LFF (MDG-F)",MID(Proc[[#This Row],[Obj]],13,10),"")</f>
        <v>DE10538712</v>
      </c>
      <c r="I2492" s="103" t="s">
        <v>4785</v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45841.453541666669</v>
      </c>
      <c r="N2492" s="109"/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110</v>
      </c>
      <c r="R2492" s="110" t="s">
        <v>485</v>
      </c>
      <c r="S2492" s="94"/>
    </row>
    <row r="2493" spans="1:19" hidden="1">
      <c r="A2493" s="103" t="s">
        <v>4422</v>
      </c>
      <c r="B2493" s="149" t="str">
        <f>IFERROR(VLOOKUP(Proc[[#This Row],[App]],Table2[],3,0),"open")</f>
        <v>ok</v>
      </c>
      <c r="C2493" s="117" t="s">
        <v>369</v>
      </c>
      <c r="D2493" t="s">
        <v>4560</v>
      </c>
      <c r="E2493" t="s">
        <v>4743</v>
      </c>
      <c r="F2493" s="94" t="s">
        <v>4743</v>
      </c>
      <c r="G2493" s="103" t="s">
        <v>406</v>
      </c>
      <c r="H2493" s="94" t="str">
        <f>IF(Proc[[#This Row],[type]]="LFF (MDG-F)",MID(Proc[[#This Row],[Obj]],13,10),"")</f>
        <v>DE10538713</v>
      </c>
      <c r="I2493" s="103" t="s">
        <v>4785</v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45841.453541666669</v>
      </c>
      <c r="N2493" s="109"/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110</v>
      </c>
      <c r="R2493" s="110" t="s">
        <v>485</v>
      </c>
      <c r="S2493" s="94"/>
    </row>
    <row r="2494" spans="1:19" hidden="1">
      <c r="A2494" s="103" t="s">
        <v>4422</v>
      </c>
      <c r="B2494" s="149" t="str">
        <f>IFERROR(VLOOKUP(Proc[[#This Row],[App]],Table2[],3,0),"open")</f>
        <v>ok</v>
      </c>
      <c r="C2494" s="117" t="s">
        <v>369</v>
      </c>
      <c r="D2494" t="s">
        <v>4561</v>
      </c>
      <c r="E2494" t="s">
        <v>4743</v>
      </c>
      <c r="F2494" s="94" t="s">
        <v>4743</v>
      </c>
      <c r="G2494" s="103" t="s">
        <v>406</v>
      </c>
      <c r="H2494" s="94" t="str">
        <f>IF(Proc[[#This Row],[type]]="LFF (MDG-F)",MID(Proc[[#This Row],[Obj]],13,10),"")</f>
        <v>DE10538714</v>
      </c>
      <c r="I2494" s="103" t="s">
        <v>4785</v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45841.453541666669</v>
      </c>
      <c r="N2494" s="109"/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110</v>
      </c>
      <c r="R2494" s="110" t="s">
        <v>485</v>
      </c>
      <c r="S2494" s="94"/>
    </row>
    <row r="2495" spans="1:19" hidden="1">
      <c r="A2495" s="103" t="s">
        <v>4422</v>
      </c>
      <c r="B2495" s="149" t="str">
        <f>IFERROR(VLOOKUP(Proc[[#This Row],[App]],Table2[],3,0),"open")</f>
        <v>ok</v>
      </c>
      <c r="C2495" s="117" t="s">
        <v>369</v>
      </c>
      <c r="D2495" t="s">
        <v>4562</v>
      </c>
      <c r="E2495" t="s">
        <v>4743</v>
      </c>
      <c r="F2495" s="94" t="s">
        <v>4743</v>
      </c>
      <c r="G2495" s="103" t="s">
        <v>406</v>
      </c>
      <c r="H2495" s="94" t="str">
        <f>IF(Proc[[#This Row],[type]]="LFF (MDG-F)",MID(Proc[[#This Row],[Obj]],13,10),"")</f>
        <v>DE10538715</v>
      </c>
      <c r="I2495" s="103" t="s">
        <v>4785</v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45841.453541666669</v>
      </c>
      <c r="N2495" s="109"/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110</v>
      </c>
      <c r="R2495" s="110" t="s">
        <v>485</v>
      </c>
      <c r="S2495" s="94"/>
    </row>
    <row r="2496" spans="1:19" hidden="1">
      <c r="A2496" s="103" t="s">
        <v>4422</v>
      </c>
      <c r="B2496" s="149" t="str">
        <f>IFERROR(VLOOKUP(Proc[[#This Row],[App]],Table2[],3,0),"open")</f>
        <v>ok</v>
      </c>
      <c r="C2496" s="117" t="s">
        <v>369</v>
      </c>
      <c r="D2496" t="s">
        <v>4563</v>
      </c>
      <c r="E2496" t="s">
        <v>4743</v>
      </c>
      <c r="F2496" s="94" t="s">
        <v>4743</v>
      </c>
      <c r="G2496" s="103" t="s">
        <v>406</v>
      </c>
      <c r="H2496" s="94" t="str">
        <f>IF(Proc[[#This Row],[type]]="LFF (MDG-F)",MID(Proc[[#This Row],[Obj]],13,10),"")</f>
        <v>DE10538716</v>
      </c>
      <c r="I2496" s="103" t="s">
        <v>4785</v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45841.453541666669</v>
      </c>
      <c r="N2496" s="109"/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110</v>
      </c>
      <c r="R2496" s="110" t="s">
        <v>485</v>
      </c>
      <c r="S2496" s="94"/>
    </row>
    <row r="2497" spans="1:19" hidden="1">
      <c r="A2497" s="103" t="s">
        <v>4422</v>
      </c>
      <c r="B2497" s="149" t="str">
        <f>IFERROR(VLOOKUP(Proc[[#This Row],[App]],Table2[],3,0),"open")</f>
        <v>ok</v>
      </c>
      <c r="C2497" s="117" t="s">
        <v>369</v>
      </c>
      <c r="D2497" t="s">
        <v>4564</v>
      </c>
      <c r="E2497" t="s">
        <v>4741</v>
      </c>
      <c r="F2497" s="94" t="s">
        <v>4741</v>
      </c>
      <c r="G2497" s="103" t="s">
        <v>406</v>
      </c>
      <c r="H2497" s="94" t="str">
        <f>IF(Proc[[#This Row],[type]]="LFF (MDG-F)",MID(Proc[[#This Row],[Obj]],13,10),"")</f>
        <v>DE10538717</v>
      </c>
      <c r="I2497" s="103" t="s">
        <v>4785</v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45841.453541666669</v>
      </c>
      <c r="N2497" s="109"/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110</v>
      </c>
      <c r="R2497" s="110" t="s">
        <v>485</v>
      </c>
      <c r="S2497" s="94"/>
    </row>
    <row r="2498" spans="1:19" hidden="1">
      <c r="A2498" s="103" t="s">
        <v>4422</v>
      </c>
      <c r="B2498" s="149" t="str">
        <f>IFERROR(VLOOKUP(Proc[[#This Row],[App]],Table2[],3,0),"open")</f>
        <v>ok</v>
      </c>
      <c r="C2498" s="117" t="s">
        <v>369</v>
      </c>
      <c r="D2498" t="s">
        <v>4565</v>
      </c>
      <c r="E2498" t="s">
        <v>4741</v>
      </c>
      <c r="F2498" s="94" t="s">
        <v>4741</v>
      </c>
      <c r="G2498" s="103" t="s">
        <v>406</v>
      </c>
      <c r="H2498" s="94" t="str">
        <f>IF(Proc[[#This Row],[type]]="LFF (MDG-F)",MID(Proc[[#This Row],[Obj]],13,10),"")</f>
        <v>DE10538887</v>
      </c>
      <c r="I2498" s="103" t="s">
        <v>4785</v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45841.453541666669</v>
      </c>
      <c r="N2498" s="109"/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110</v>
      </c>
      <c r="R2498" s="110" t="s">
        <v>485</v>
      </c>
      <c r="S2498" s="94"/>
    </row>
    <row r="2499" spans="1:19" hidden="1">
      <c r="A2499" s="103" t="s">
        <v>4422</v>
      </c>
      <c r="B2499" s="149" t="str">
        <f>IFERROR(VLOOKUP(Proc[[#This Row],[App]],Table2[],3,0),"open")</f>
        <v>ok</v>
      </c>
      <c r="C2499" s="117" t="s">
        <v>369</v>
      </c>
      <c r="D2499" t="s">
        <v>4566</v>
      </c>
      <c r="E2499" t="s">
        <v>4741</v>
      </c>
      <c r="F2499" s="94" t="s">
        <v>4741</v>
      </c>
      <c r="G2499" s="103" t="s">
        <v>406</v>
      </c>
      <c r="H2499" s="94" t="str">
        <f>IF(Proc[[#This Row],[type]]="LFF (MDG-F)",MID(Proc[[#This Row],[Obj]],13,10),"")</f>
        <v>DE10538920</v>
      </c>
      <c r="I2499" s="103" t="s">
        <v>4785</v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MGF</v>
      </c>
      <c r="L2499" s="125" t="s">
        <v>4894</v>
      </c>
      <c r="M2499" s="109">
        <v>45841.453541666669</v>
      </c>
      <c r="N2499" s="109"/>
      <c r="O2499" s="109"/>
      <c r="P2499" s="110" t="str">
        <f ca="1">IF(Proc[[#This Row],[DaysAgeing]]&gt;5,"yep","on track")</f>
        <v>yep</v>
      </c>
      <c r="Q2499" s="3">
        <f ca="1">IF(Proc[[#This Row],[DateClosed]]="",ABS(NETWORKDAYS(Proc[[#This Row],[DateOpened]],TODAY()))-1,ABS(NETWORKDAYS(Proc[[#This Row],[DateOpened]],Proc[[#This Row],[DateClosed]]))-1)</f>
        <v>110</v>
      </c>
      <c r="R2499" s="110" t="s">
        <v>485</v>
      </c>
      <c r="S2499" s="94"/>
    </row>
    <row r="2500" spans="1:19" hidden="1">
      <c r="A2500" s="103" t="s">
        <v>4422</v>
      </c>
      <c r="B2500" s="149" t="str">
        <f>IFERROR(VLOOKUP(Proc[[#This Row],[App]],Table2[],3,0),"open")</f>
        <v>ok</v>
      </c>
      <c r="C2500" s="117" t="s">
        <v>369</v>
      </c>
      <c r="D2500" t="s">
        <v>4567</v>
      </c>
      <c r="E2500" t="s">
        <v>4741</v>
      </c>
      <c r="F2500" s="94" t="s">
        <v>4741</v>
      </c>
      <c r="G2500" s="103" t="s">
        <v>406</v>
      </c>
      <c r="H2500" s="94" t="str">
        <f>IF(Proc[[#This Row],[type]]="LFF (MDG-F)",MID(Proc[[#This Row],[Obj]],13,10),"")</f>
        <v>DE10538921</v>
      </c>
      <c r="I2500" s="103" t="s">
        <v>4785</v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MGF</v>
      </c>
      <c r="L2500" s="125" t="s">
        <v>4894</v>
      </c>
      <c r="M2500" s="109">
        <v>45841.453541666669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110</v>
      </c>
      <c r="R2500" s="110" t="s">
        <v>485</v>
      </c>
      <c r="S2500" s="94"/>
    </row>
    <row r="2501" spans="1:19" hidden="1">
      <c r="A2501" s="103" t="s">
        <v>4422</v>
      </c>
      <c r="B2501" s="149" t="str">
        <f>IFERROR(VLOOKUP(Proc[[#This Row],[App]],Table2[],3,0),"open")</f>
        <v>ok</v>
      </c>
      <c r="C2501" s="117" t="s">
        <v>369</v>
      </c>
      <c r="D2501" t="s">
        <v>4568</v>
      </c>
      <c r="E2501" t="s">
        <v>4743</v>
      </c>
      <c r="F2501" s="94" t="s">
        <v>4743</v>
      </c>
      <c r="G2501" s="103" t="s">
        <v>406</v>
      </c>
      <c r="H2501" s="94" t="str">
        <f>IF(Proc[[#This Row],[type]]="LFF (MDG-F)",MID(Proc[[#This Row],[Obj]],13,10),"")</f>
        <v>DE10538978</v>
      </c>
      <c r="I2501" s="103" t="s">
        <v>4785</v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MGF</v>
      </c>
      <c r="L2501" s="125" t="s">
        <v>4894</v>
      </c>
      <c r="M2501" s="109">
        <v>45841.453541666669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110</v>
      </c>
      <c r="R2501" s="110" t="s">
        <v>485</v>
      </c>
      <c r="S2501" s="94"/>
    </row>
    <row r="2502" spans="1:19" hidden="1">
      <c r="A2502" s="103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4569</v>
      </c>
      <c r="E2502" t="s">
        <v>4744</v>
      </c>
      <c r="F2502" s="94" t="s">
        <v>4744</v>
      </c>
      <c r="G2502" s="103" t="s">
        <v>406</v>
      </c>
      <c r="H2502" s="94" t="str">
        <f>IF(Proc[[#This Row],[type]]="LFF (MDG-F)",MID(Proc[[#This Row],[Obj]],13,10),"")</f>
        <v>DE10539001</v>
      </c>
      <c r="I2502" s="103" t="s">
        <v>4785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110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4570</v>
      </c>
      <c r="E2503" t="s">
        <v>4744</v>
      </c>
      <c r="F2503" s="94" t="s">
        <v>4744</v>
      </c>
      <c r="G2503" s="103" t="s">
        <v>406</v>
      </c>
      <c r="H2503" s="94" t="str">
        <f>IF(Proc[[#This Row],[type]]="LFF (MDG-F)",MID(Proc[[#This Row],[Obj]],13,10),"")</f>
        <v>DE10539002</v>
      </c>
      <c r="I2503" s="103" t="s">
        <v>4785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110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4571</v>
      </c>
      <c r="E2504" t="s">
        <v>4744</v>
      </c>
      <c r="F2504" s="94" t="s">
        <v>4744</v>
      </c>
      <c r="G2504" s="103" t="s">
        <v>406</v>
      </c>
      <c r="H2504" s="94" t="str">
        <f>IF(Proc[[#This Row],[type]]="LFF (MDG-F)",MID(Proc[[#This Row],[Obj]],13,10),"")</f>
        <v>DE10539004</v>
      </c>
      <c r="I2504" s="103" t="s">
        <v>4785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110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4572</v>
      </c>
      <c r="E2505" t="s">
        <v>4744</v>
      </c>
      <c r="F2505" s="94" t="s">
        <v>4744</v>
      </c>
      <c r="G2505" s="103" t="s">
        <v>406</v>
      </c>
      <c r="H2505" s="94" t="str">
        <f>IF(Proc[[#This Row],[type]]="LFF (MDG-F)",MID(Proc[[#This Row],[Obj]],13,10),"")</f>
        <v>DE10567500</v>
      </c>
      <c r="I2505" s="103" t="s">
        <v>4785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110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4573</v>
      </c>
      <c r="E2506" t="s">
        <v>4741</v>
      </c>
      <c r="F2506" s="94" t="s">
        <v>4741</v>
      </c>
      <c r="G2506" s="103" t="s">
        <v>406</v>
      </c>
      <c r="H2506" s="94" t="str">
        <f>IF(Proc[[#This Row],[type]]="LFF (MDG-F)",MID(Proc[[#This Row],[Obj]],13,10),"")</f>
        <v>DE10569401</v>
      </c>
      <c r="I2506" s="103" t="s">
        <v>4785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110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4574</v>
      </c>
      <c r="E2507" t="s">
        <v>4740</v>
      </c>
      <c r="F2507" s="94" t="s">
        <v>4740</v>
      </c>
      <c r="G2507" s="103" t="s">
        <v>406</v>
      </c>
      <c r="H2507" s="94" t="str">
        <f>IF(Proc[[#This Row],[type]]="LFF (MDG-F)",MID(Proc[[#This Row],[Obj]],13,10),"")</f>
        <v>DE10538145</v>
      </c>
      <c r="I2507" s="103" t="s">
        <v>4785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110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4575</v>
      </c>
      <c r="E2508" t="s">
        <v>4740</v>
      </c>
      <c r="F2508" s="94" t="s">
        <v>4740</v>
      </c>
      <c r="G2508" s="103" t="s">
        <v>406</v>
      </c>
      <c r="H2508" s="94" t="str">
        <f>IF(Proc[[#This Row],[type]]="LFF (MDG-F)",MID(Proc[[#This Row],[Obj]],13,10),"")</f>
        <v>DE10538190</v>
      </c>
      <c r="I2508" s="103" t="s">
        <v>4785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110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4576</v>
      </c>
      <c r="E2509" t="s">
        <v>4744</v>
      </c>
      <c r="F2509" s="94" t="s">
        <v>4744</v>
      </c>
      <c r="G2509" s="103" t="s">
        <v>406</v>
      </c>
      <c r="H2509" s="94" t="str">
        <f>IF(Proc[[#This Row],[type]]="LFF (MDG-F)",MID(Proc[[#This Row],[Obj]],13,10),"")</f>
        <v>DE10539003</v>
      </c>
      <c r="I2509" s="103" t="s">
        <v>4785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110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4577</v>
      </c>
      <c r="E2510" t="s">
        <v>4740</v>
      </c>
      <c r="F2510" s="94" t="s">
        <v>4740</v>
      </c>
      <c r="G2510" s="103" t="s">
        <v>406</v>
      </c>
      <c r="H2510" s="94" t="str">
        <f>IF(Proc[[#This Row],[type]]="LFF (MDG-F)",MID(Proc[[#This Row],[Obj]],13,10),"")</f>
        <v>DE10567400</v>
      </c>
      <c r="I2510" s="103" t="s">
        <v>4785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110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4578</v>
      </c>
      <c r="E2511" t="s">
        <v>4745</v>
      </c>
      <c r="F2511" s="94" t="s">
        <v>4745</v>
      </c>
      <c r="G2511" s="103" t="s">
        <v>406</v>
      </c>
      <c r="H2511" s="94" t="str">
        <f>IF(Proc[[#This Row],[type]]="LFF (MDG-F)",MID(Proc[[#This Row],[Obj]],13,10),"")</f>
        <v>DE20510800</v>
      </c>
      <c r="I2511" s="103" t="s">
        <v>4785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110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4579</v>
      </c>
      <c r="E2512" t="s">
        <v>4745</v>
      </c>
      <c r="F2512" s="94" t="s">
        <v>4745</v>
      </c>
      <c r="G2512" s="103" t="s">
        <v>406</v>
      </c>
      <c r="H2512" s="94" t="str">
        <f>IF(Proc[[#This Row],[type]]="LFF (MDG-F)",MID(Proc[[#This Row],[Obj]],13,10),"")</f>
        <v>DE20516800</v>
      </c>
      <c r="I2512" s="103" t="s">
        <v>4785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110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4580</v>
      </c>
      <c r="E2513" t="s">
        <v>4745</v>
      </c>
      <c r="F2513" s="94" t="s">
        <v>4745</v>
      </c>
      <c r="G2513" s="103" t="s">
        <v>406</v>
      </c>
      <c r="H2513" s="94" t="str">
        <f>IF(Proc[[#This Row],[type]]="LFF (MDG-F)",MID(Proc[[#This Row],[Obj]],13,10),"")</f>
        <v>DE20518800</v>
      </c>
      <c r="I2513" s="103" t="s">
        <v>4785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110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4581</v>
      </c>
      <c r="E2514" t="s">
        <v>4745</v>
      </c>
      <c r="F2514" s="94" t="s">
        <v>4745</v>
      </c>
      <c r="G2514" s="103" t="s">
        <v>406</v>
      </c>
      <c r="H2514" s="94" t="str">
        <f>IF(Proc[[#This Row],[type]]="LFF (MDG-F)",MID(Proc[[#This Row],[Obj]],13,10),"")</f>
        <v>DE20518900</v>
      </c>
      <c r="I2514" s="103" t="s">
        <v>4785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110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4582</v>
      </c>
      <c r="E2515" t="s">
        <v>4745</v>
      </c>
      <c r="F2515" s="94" t="s">
        <v>4745</v>
      </c>
      <c r="G2515" s="103" t="s">
        <v>406</v>
      </c>
      <c r="H2515" s="94" t="str">
        <f>IF(Proc[[#This Row],[type]]="LFF (MDG-F)",MID(Proc[[#This Row],[Obj]],13,10),"")</f>
        <v>DE20538199</v>
      </c>
      <c r="I2515" s="103" t="s">
        <v>4785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110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4583</v>
      </c>
      <c r="E2516" t="s">
        <v>4745</v>
      </c>
      <c r="F2516" s="94" t="s">
        <v>4745</v>
      </c>
      <c r="G2516" s="103" t="s">
        <v>406</v>
      </c>
      <c r="H2516" s="94" t="str">
        <f>IF(Proc[[#This Row],[type]]="LFF (MDG-F)",MID(Proc[[#This Row],[Obj]],13,10),"")</f>
        <v>DE20542000</v>
      </c>
      <c r="I2516" s="103" t="s">
        <v>4785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110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4584</v>
      </c>
      <c r="E2517" t="s">
        <v>4746</v>
      </c>
      <c r="F2517" s="94" t="s">
        <v>4746</v>
      </c>
      <c r="G2517" s="103" t="s">
        <v>406</v>
      </c>
      <c r="H2517" s="94" t="str">
        <f>IF(Proc[[#This Row],[type]]="LFF (MDG-F)",MID(Proc[[#This Row],[Obj]],13,10),"")</f>
        <v>DE20537833</v>
      </c>
      <c r="I2517" s="103" t="s">
        <v>4785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110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4585</v>
      </c>
      <c r="E2518" t="s">
        <v>4746</v>
      </c>
      <c r="F2518" s="94" t="s">
        <v>4746</v>
      </c>
      <c r="G2518" s="103" t="s">
        <v>406</v>
      </c>
      <c r="H2518" s="94" t="str">
        <f>IF(Proc[[#This Row],[type]]="LFF (MDG-F)",MID(Proc[[#This Row],[Obj]],13,10),"")</f>
        <v>DE20538012</v>
      </c>
      <c r="I2518" s="103" t="s">
        <v>4785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110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4586</v>
      </c>
      <c r="E2519" t="s">
        <v>4746</v>
      </c>
      <c r="F2519" s="94" t="s">
        <v>4746</v>
      </c>
      <c r="G2519" s="103" t="s">
        <v>406</v>
      </c>
      <c r="H2519" s="94" t="str">
        <f>IF(Proc[[#This Row],[type]]="LFF (MDG-F)",MID(Proc[[#This Row],[Obj]],13,10),"")</f>
        <v>DE20538014</v>
      </c>
      <c r="I2519" s="103" t="s">
        <v>4785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110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4587</v>
      </c>
      <c r="E2520" t="s">
        <v>4746</v>
      </c>
      <c r="F2520" s="94" t="s">
        <v>4746</v>
      </c>
      <c r="G2520" s="103" t="s">
        <v>406</v>
      </c>
      <c r="H2520" s="94" t="str">
        <f>IF(Proc[[#This Row],[type]]="LFF (MDG-F)",MID(Proc[[#This Row],[Obj]],13,10),"")</f>
        <v>DE20538015</v>
      </c>
      <c r="I2520" s="103" t="s">
        <v>4785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110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4588</v>
      </c>
      <c r="E2521" t="s">
        <v>4746</v>
      </c>
      <c r="F2521" s="94" t="s">
        <v>4746</v>
      </c>
      <c r="G2521" s="103" t="s">
        <v>406</v>
      </c>
      <c r="H2521" s="94" t="str">
        <f>IF(Proc[[#This Row],[type]]="LFF (MDG-F)",MID(Proc[[#This Row],[Obj]],13,10),"")</f>
        <v>DE20538017</v>
      </c>
      <c r="I2521" s="103" t="s">
        <v>4785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110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4589</v>
      </c>
      <c r="E2522" t="s">
        <v>4746</v>
      </c>
      <c r="F2522" s="94" t="s">
        <v>4746</v>
      </c>
      <c r="G2522" s="103" t="s">
        <v>406</v>
      </c>
      <c r="H2522" s="94" t="str">
        <f>IF(Proc[[#This Row],[type]]="LFF (MDG-F)",MID(Proc[[#This Row],[Obj]],13,10),"")</f>
        <v>DE20538018</v>
      </c>
      <c r="I2522" s="103" t="s">
        <v>4785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110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4590</v>
      </c>
      <c r="E2523" t="s">
        <v>4746</v>
      </c>
      <c r="F2523" s="94" t="s">
        <v>4746</v>
      </c>
      <c r="G2523" s="103" t="s">
        <v>406</v>
      </c>
      <c r="H2523" s="94" t="str">
        <f>IF(Proc[[#This Row],[type]]="LFF (MDG-F)",MID(Proc[[#This Row],[Obj]],13,10),"")</f>
        <v>DE20538132</v>
      </c>
      <c r="I2523" s="103" t="s">
        <v>4785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110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4591</v>
      </c>
      <c r="E2524" t="s">
        <v>4747</v>
      </c>
      <c r="F2524" s="94" t="s">
        <v>4747</v>
      </c>
      <c r="G2524" s="103" t="s">
        <v>406</v>
      </c>
      <c r="H2524" s="94" t="str">
        <f>IF(Proc[[#This Row],[type]]="LFF (MDG-F)",MID(Proc[[#This Row],[Obj]],13,10),"")</f>
        <v>DE20538101</v>
      </c>
      <c r="I2524" s="103" t="s">
        <v>4785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110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4592</v>
      </c>
      <c r="E2525" t="s">
        <v>4747</v>
      </c>
      <c r="F2525" s="94" t="s">
        <v>4747</v>
      </c>
      <c r="G2525" s="103" t="s">
        <v>406</v>
      </c>
      <c r="H2525" s="94" t="str">
        <f>IF(Proc[[#This Row],[type]]="LFF (MDG-F)",MID(Proc[[#This Row],[Obj]],13,10),"")</f>
        <v>DE20538102</v>
      </c>
      <c r="I2525" s="103" t="s">
        <v>4785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110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4593</v>
      </c>
      <c r="E2526" t="s">
        <v>4747</v>
      </c>
      <c r="F2526" s="94" t="s">
        <v>4747</v>
      </c>
      <c r="G2526" s="103" t="s">
        <v>406</v>
      </c>
      <c r="H2526" s="94" t="str">
        <f>IF(Proc[[#This Row],[type]]="LFF (MDG-F)",MID(Proc[[#This Row],[Obj]],13,10),"")</f>
        <v>DE20538104</v>
      </c>
      <c r="I2526" s="103" t="s">
        <v>4785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110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4594</v>
      </c>
      <c r="E2527" t="s">
        <v>4748</v>
      </c>
      <c r="F2527" s="94" t="s">
        <v>4748</v>
      </c>
      <c r="G2527" s="103" t="s">
        <v>406</v>
      </c>
      <c r="H2527" s="94" t="str">
        <f>IF(Proc[[#This Row],[type]]="LFF (MDG-F)",MID(Proc[[#This Row],[Obj]],13,10),"")</f>
        <v>DE20538109</v>
      </c>
      <c r="I2527" s="103" t="s">
        <v>4785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110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4595</v>
      </c>
      <c r="E2528" t="s">
        <v>4747</v>
      </c>
      <c r="F2528" s="94" t="s">
        <v>4747</v>
      </c>
      <c r="G2528" s="103" t="s">
        <v>406</v>
      </c>
      <c r="H2528" s="94" t="str">
        <f>IF(Proc[[#This Row],[type]]="LFF (MDG-F)",MID(Proc[[#This Row],[Obj]],13,10),"")</f>
        <v>DE20538116</v>
      </c>
      <c r="I2528" s="103" t="s">
        <v>4785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110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4596</v>
      </c>
      <c r="E2529" t="s">
        <v>4748</v>
      </c>
      <c r="F2529" s="94" t="s">
        <v>4748</v>
      </c>
      <c r="G2529" s="103" t="s">
        <v>406</v>
      </c>
      <c r="H2529" s="94" t="str">
        <f>IF(Proc[[#This Row],[type]]="LFF (MDG-F)",MID(Proc[[#This Row],[Obj]],13,10),"")</f>
        <v>DE20538123</v>
      </c>
      <c r="I2529" s="103" t="s">
        <v>4785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110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4597</v>
      </c>
      <c r="E2530" t="s">
        <v>4749</v>
      </c>
      <c r="F2530" s="94" t="s">
        <v>4749</v>
      </c>
      <c r="G2530" s="103" t="s">
        <v>406</v>
      </c>
      <c r="H2530" s="94" t="str">
        <f>IF(Proc[[#This Row],[type]]="LFF (MDG-F)",MID(Proc[[#This Row],[Obj]],13,10),"")</f>
        <v>DE20538128</v>
      </c>
      <c r="I2530" s="103" t="s">
        <v>4785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110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4598</v>
      </c>
      <c r="E2531" t="s">
        <v>4748</v>
      </c>
      <c r="F2531" s="94" t="s">
        <v>4748</v>
      </c>
      <c r="G2531" s="103" t="s">
        <v>406</v>
      </c>
      <c r="H2531" s="94" t="str">
        <f>IF(Proc[[#This Row],[type]]="LFF (MDG-F)",MID(Proc[[#This Row],[Obj]],13,10),"")</f>
        <v>DE20538146</v>
      </c>
      <c r="I2531" s="103" t="s">
        <v>4785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110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4599</v>
      </c>
      <c r="E2532" t="s">
        <v>4748</v>
      </c>
      <c r="F2532" s="94" t="s">
        <v>4748</v>
      </c>
      <c r="G2532" s="103" t="s">
        <v>406</v>
      </c>
      <c r="H2532" s="94" t="str">
        <f>IF(Proc[[#This Row],[type]]="LFF (MDG-F)",MID(Proc[[#This Row],[Obj]],13,10),"")</f>
        <v>DE20538150</v>
      </c>
      <c r="I2532" s="103" t="s">
        <v>4785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110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4600</v>
      </c>
      <c r="E2533" t="s">
        <v>4747</v>
      </c>
      <c r="F2533" s="94" t="s">
        <v>4747</v>
      </c>
      <c r="G2533" s="103" t="s">
        <v>406</v>
      </c>
      <c r="H2533" s="94" t="str">
        <f>IF(Proc[[#This Row],[type]]="LFF (MDG-F)",MID(Proc[[#This Row],[Obj]],13,10),"")</f>
        <v>DE20538152</v>
      </c>
      <c r="I2533" s="103" t="s">
        <v>4785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110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4601</v>
      </c>
      <c r="E2534" t="s">
        <v>4747</v>
      </c>
      <c r="F2534" s="94" t="s">
        <v>4747</v>
      </c>
      <c r="G2534" s="103" t="s">
        <v>406</v>
      </c>
      <c r="H2534" s="94" t="str">
        <f>IF(Proc[[#This Row],[type]]="LFF (MDG-F)",MID(Proc[[#This Row],[Obj]],13,10),"")</f>
        <v>DE20538157</v>
      </c>
      <c r="I2534" s="103" t="s">
        <v>4785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110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4602</v>
      </c>
      <c r="E2535" t="s">
        <v>4747</v>
      </c>
      <c r="F2535" s="94" t="s">
        <v>4747</v>
      </c>
      <c r="G2535" s="103" t="s">
        <v>406</v>
      </c>
      <c r="H2535" s="94" t="str">
        <f>IF(Proc[[#This Row],[type]]="LFF (MDG-F)",MID(Proc[[#This Row],[Obj]],13,10),"")</f>
        <v>DE20538158</v>
      </c>
      <c r="I2535" s="103" t="s">
        <v>4785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110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4603</v>
      </c>
      <c r="E2536" t="s">
        <v>4747</v>
      </c>
      <c r="F2536" s="94" t="s">
        <v>4747</v>
      </c>
      <c r="G2536" s="103" t="s">
        <v>406</v>
      </c>
      <c r="H2536" s="94" t="str">
        <f>IF(Proc[[#This Row],[type]]="LFF (MDG-F)",MID(Proc[[#This Row],[Obj]],13,10),"")</f>
        <v>DE20538159</v>
      </c>
      <c r="I2536" s="103" t="s">
        <v>4785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110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4604</v>
      </c>
      <c r="E2537" t="s">
        <v>4747</v>
      </c>
      <c r="F2537" s="94" t="s">
        <v>4747</v>
      </c>
      <c r="G2537" s="103" t="s">
        <v>406</v>
      </c>
      <c r="H2537" s="94" t="str">
        <f>IF(Proc[[#This Row],[type]]="LFF (MDG-F)",MID(Proc[[#This Row],[Obj]],13,10),"")</f>
        <v>DE20538179</v>
      </c>
      <c r="I2537" s="103" t="s">
        <v>4785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110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4605</v>
      </c>
      <c r="E2538" t="s">
        <v>4749</v>
      </c>
      <c r="F2538" s="94" t="s">
        <v>4749</v>
      </c>
      <c r="G2538" s="103" t="s">
        <v>406</v>
      </c>
      <c r="H2538" s="94" t="str">
        <f>IF(Proc[[#This Row],[type]]="LFF (MDG-F)",MID(Proc[[#This Row],[Obj]],13,10),"")</f>
        <v>DE20538180</v>
      </c>
      <c r="I2538" s="103" t="s">
        <v>4785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110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4606</v>
      </c>
      <c r="E2539" t="s">
        <v>4747</v>
      </c>
      <c r="F2539" s="94" t="s">
        <v>4747</v>
      </c>
      <c r="G2539" s="103" t="s">
        <v>406</v>
      </c>
      <c r="H2539" s="94" t="str">
        <f>IF(Proc[[#This Row],[type]]="LFF (MDG-F)",MID(Proc[[#This Row],[Obj]],13,10),"")</f>
        <v>DE20538181</v>
      </c>
      <c r="I2539" s="103" t="s">
        <v>4785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110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4607</v>
      </c>
      <c r="E2540" t="s">
        <v>4747</v>
      </c>
      <c r="F2540" s="94" t="s">
        <v>4747</v>
      </c>
      <c r="G2540" s="103" t="s">
        <v>406</v>
      </c>
      <c r="H2540" s="94" t="str">
        <f>IF(Proc[[#This Row],[type]]="LFF (MDG-F)",MID(Proc[[#This Row],[Obj]],13,10),"")</f>
        <v>DE20538182</v>
      </c>
      <c r="I2540" s="103" t="s">
        <v>4785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110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4608</v>
      </c>
      <c r="E2541" t="s">
        <v>4747</v>
      </c>
      <c r="F2541" s="94" t="s">
        <v>4747</v>
      </c>
      <c r="G2541" s="103" t="s">
        <v>406</v>
      </c>
      <c r="H2541" s="94" t="str">
        <f>IF(Proc[[#This Row],[type]]="LFF (MDG-F)",MID(Proc[[#This Row],[Obj]],13,10),"")</f>
        <v>DE20538183</v>
      </c>
      <c r="I2541" s="103" t="s">
        <v>4785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110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4609</v>
      </c>
      <c r="E2542" t="s">
        <v>4749</v>
      </c>
      <c r="F2542" s="94" t="s">
        <v>4749</v>
      </c>
      <c r="G2542" s="103" t="s">
        <v>406</v>
      </c>
      <c r="H2542" s="94" t="str">
        <f>IF(Proc[[#This Row],[type]]="LFF (MDG-F)",MID(Proc[[#This Row],[Obj]],13,10),"")</f>
        <v>DE20538187</v>
      </c>
      <c r="I2542" s="103" t="s">
        <v>4785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110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4610</v>
      </c>
      <c r="E2543" t="s">
        <v>4747</v>
      </c>
      <c r="F2543" s="94" t="s">
        <v>4747</v>
      </c>
      <c r="G2543" s="103" t="s">
        <v>406</v>
      </c>
      <c r="H2543" s="94" t="str">
        <f>IF(Proc[[#This Row],[type]]="LFF (MDG-F)",MID(Proc[[#This Row],[Obj]],13,10),"")</f>
        <v>DE20538188</v>
      </c>
      <c r="I2543" s="103" t="s">
        <v>4785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110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4611</v>
      </c>
      <c r="E2544" t="s">
        <v>4747</v>
      </c>
      <c r="F2544" s="94" t="s">
        <v>4747</v>
      </c>
      <c r="G2544" s="103" t="s">
        <v>406</v>
      </c>
      <c r="H2544" s="94" t="str">
        <f>IF(Proc[[#This Row],[type]]="LFF (MDG-F)",MID(Proc[[#This Row],[Obj]],13,10),"")</f>
        <v>DE20538189</v>
      </c>
      <c r="I2544" s="103" t="s">
        <v>4785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110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4612</v>
      </c>
      <c r="E2545" t="s">
        <v>4747</v>
      </c>
      <c r="F2545" s="94" t="s">
        <v>4747</v>
      </c>
      <c r="G2545" s="103" t="s">
        <v>406</v>
      </c>
      <c r="H2545" s="94" t="str">
        <f>IF(Proc[[#This Row],[type]]="LFF (MDG-F)",MID(Proc[[#This Row],[Obj]],13,10),"")</f>
        <v>DE20538196</v>
      </c>
      <c r="I2545" s="103" t="s">
        <v>4785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110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4613</v>
      </c>
      <c r="E2546" t="s">
        <v>4748</v>
      </c>
      <c r="F2546" s="94" t="s">
        <v>4748</v>
      </c>
      <c r="G2546" s="103" t="s">
        <v>406</v>
      </c>
      <c r="H2546" s="94" t="str">
        <f>IF(Proc[[#This Row],[type]]="LFF (MDG-F)",MID(Proc[[#This Row],[Obj]],13,10),"")</f>
        <v>DE20538236</v>
      </c>
      <c r="I2546" s="103" t="s">
        <v>4785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110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4614</v>
      </c>
      <c r="E2547" t="s">
        <v>4747</v>
      </c>
      <c r="F2547" s="94" t="s">
        <v>4747</v>
      </c>
      <c r="G2547" s="103" t="s">
        <v>406</v>
      </c>
      <c r="H2547" s="94" t="str">
        <f>IF(Proc[[#This Row],[type]]="LFF (MDG-F)",MID(Proc[[#This Row],[Obj]],13,10),"")</f>
        <v>DE20538470</v>
      </c>
      <c r="I2547" s="103" t="s">
        <v>4785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110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4615</v>
      </c>
      <c r="E2548" t="s">
        <v>4749</v>
      </c>
      <c r="F2548" s="94" t="s">
        <v>4749</v>
      </c>
      <c r="G2548" s="103" t="s">
        <v>406</v>
      </c>
      <c r="H2548" s="94" t="str">
        <f>IF(Proc[[#This Row],[type]]="LFF (MDG-F)",MID(Proc[[#This Row],[Obj]],13,10),"")</f>
        <v>DE20538472</v>
      </c>
      <c r="I2548" s="103" t="s">
        <v>4785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110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4616</v>
      </c>
      <c r="E2549" t="s">
        <v>4749</v>
      </c>
      <c r="F2549" s="94" t="s">
        <v>4749</v>
      </c>
      <c r="G2549" s="103" t="s">
        <v>406</v>
      </c>
      <c r="H2549" s="94" t="str">
        <f>IF(Proc[[#This Row],[type]]="LFF (MDG-F)",MID(Proc[[#This Row],[Obj]],13,10),"")</f>
        <v>DE20538473</v>
      </c>
      <c r="I2549" s="103" t="s">
        <v>4785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110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4617</v>
      </c>
      <c r="E2550" t="s">
        <v>4747</v>
      </c>
      <c r="F2550" s="94" t="s">
        <v>4747</v>
      </c>
      <c r="G2550" s="103" t="s">
        <v>406</v>
      </c>
      <c r="H2550" s="94" t="str">
        <f>IF(Proc[[#This Row],[type]]="LFF (MDG-F)",MID(Proc[[#This Row],[Obj]],13,10),"")</f>
        <v>DE20538762</v>
      </c>
      <c r="I2550" s="103" t="s">
        <v>4785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110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4618</v>
      </c>
      <c r="E2551" t="s">
        <v>4747</v>
      </c>
      <c r="F2551" s="94" t="s">
        <v>4747</v>
      </c>
      <c r="G2551" s="103" t="s">
        <v>406</v>
      </c>
      <c r="H2551" s="94" t="str">
        <f>IF(Proc[[#This Row],[type]]="LFF (MDG-F)",MID(Proc[[#This Row],[Obj]],13,10),"")</f>
        <v>DE20538961</v>
      </c>
      <c r="I2551" s="103" t="s">
        <v>4785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110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4619</v>
      </c>
      <c r="E2552" t="s">
        <v>4747</v>
      </c>
      <c r="F2552" s="94" t="s">
        <v>4747</v>
      </c>
      <c r="G2552" s="103" t="s">
        <v>406</v>
      </c>
      <c r="H2552" s="94" t="str">
        <f>IF(Proc[[#This Row],[type]]="LFF (MDG-F)",MID(Proc[[#This Row],[Obj]],13,10),"")</f>
        <v>DE20538962</v>
      </c>
      <c r="I2552" s="103" t="s">
        <v>4785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110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4620</v>
      </c>
      <c r="E2553" t="s">
        <v>4748</v>
      </c>
      <c r="F2553" s="94" t="s">
        <v>4748</v>
      </c>
      <c r="G2553" s="103" t="s">
        <v>406</v>
      </c>
      <c r="H2553" s="94" t="str">
        <f>IF(Proc[[#This Row],[type]]="LFF (MDG-F)",MID(Proc[[#This Row],[Obj]],13,10),"")</f>
        <v>DE20538963</v>
      </c>
      <c r="I2553" s="103" t="s">
        <v>4785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110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4621</v>
      </c>
      <c r="E2554" t="s">
        <v>4748</v>
      </c>
      <c r="F2554" s="94" t="s">
        <v>4748</v>
      </c>
      <c r="G2554" s="103" t="s">
        <v>406</v>
      </c>
      <c r="H2554" s="94" t="str">
        <f>IF(Proc[[#This Row],[type]]="LFF (MDG-F)",MID(Proc[[#This Row],[Obj]],13,10),"")</f>
        <v>DE20538964</v>
      </c>
      <c r="I2554" s="103" t="s">
        <v>4785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110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4622</v>
      </c>
      <c r="E2555" t="s">
        <v>4748</v>
      </c>
      <c r="F2555" s="94" t="s">
        <v>4748</v>
      </c>
      <c r="G2555" s="103" t="s">
        <v>406</v>
      </c>
      <c r="H2555" s="94" t="str">
        <f>IF(Proc[[#This Row],[type]]="LFF (MDG-F)",MID(Proc[[#This Row],[Obj]],13,10),"")</f>
        <v>DE20538965</v>
      </c>
      <c r="I2555" s="103" t="s">
        <v>4785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110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4623</v>
      </c>
      <c r="E2556" t="s">
        <v>4748</v>
      </c>
      <c r="F2556" s="94" t="s">
        <v>4748</v>
      </c>
      <c r="G2556" s="103" t="s">
        <v>406</v>
      </c>
      <c r="H2556" s="94" t="str">
        <f>IF(Proc[[#This Row],[type]]="LFF (MDG-F)",MID(Proc[[#This Row],[Obj]],13,10),"")</f>
        <v>DE20538966</v>
      </c>
      <c r="I2556" s="103" t="s">
        <v>4785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110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4624</v>
      </c>
      <c r="E2557" t="s">
        <v>4748</v>
      </c>
      <c r="F2557" s="94" t="s">
        <v>4748</v>
      </c>
      <c r="G2557" s="103" t="s">
        <v>406</v>
      </c>
      <c r="H2557" s="94" t="str">
        <f>IF(Proc[[#This Row],[type]]="LFF (MDG-F)",MID(Proc[[#This Row],[Obj]],13,10),"")</f>
        <v>DE20538967</v>
      </c>
      <c r="I2557" s="103" t="s">
        <v>4785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110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4625</v>
      </c>
      <c r="E2558" t="s">
        <v>4748</v>
      </c>
      <c r="F2558" s="94" t="s">
        <v>4748</v>
      </c>
      <c r="G2558" s="103" t="s">
        <v>406</v>
      </c>
      <c r="H2558" s="94" t="str">
        <f>IF(Proc[[#This Row],[type]]="LFF (MDG-F)",MID(Proc[[#This Row],[Obj]],13,10),"")</f>
        <v>DE20538968</v>
      </c>
      <c r="I2558" s="103" t="s">
        <v>4785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110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4626</v>
      </c>
      <c r="E2559" t="s">
        <v>4748</v>
      </c>
      <c r="F2559" s="94" t="s">
        <v>4748</v>
      </c>
      <c r="G2559" s="103" t="s">
        <v>406</v>
      </c>
      <c r="H2559" s="94" t="str">
        <f>IF(Proc[[#This Row],[type]]="LFF (MDG-F)",MID(Proc[[#This Row],[Obj]],13,10),"")</f>
        <v>DE20538969</v>
      </c>
      <c r="I2559" s="103" t="s">
        <v>4785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110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4627</v>
      </c>
      <c r="E2560" t="s">
        <v>4748</v>
      </c>
      <c r="F2560" s="94" t="s">
        <v>4748</v>
      </c>
      <c r="G2560" s="103" t="s">
        <v>406</v>
      </c>
      <c r="H2560" s="94" t="str">
        <f>IF(Proc[[#This Row],[type]]="LFF (MDG-F)",MID(Proc[[#This Row],[Obj]],13,10),"")</f>
        <v>DE20538970</v>
      </c>
      <c r="I2560" s="103" t="s">
        <v>4785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110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4628</v>
      </c>
      <c r="E2561" t="s">
        <v>4748</v>
      </c>
      <c r="F2561" s="94" t="s">
        <v>4748</v>
      </c>
      <c r="G2561" s="103" t="s">
        <v>406</v>
      </c>
      <c r="H2561" s="94" t="str">
        <f>IF(Proc[[#This Row],[type]]="LFF (MDG-F)",MID(Proc[[#This Row],[Obj]],13,10),"")</f>
        <v>DE20538971</v>
      </c>
      <c r="I2561" s="103" t="s">
        <v>4785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110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4629</v>
      </c>
      <c r="E2562" t="s">
        <v>4748</v>
      </c>
      <c r="F2562" s="94" t="s">
        <v>4748</v>
      </c>
      <c r="G2562" s="103" t="s">
        <v>406</v>
      </c>
      <c r="H2562" s="94" t="str">
        <f>IF(Proc[[#This Row],[type]]="LFF (MDG-F)",MID(Proc[[#This Row],[Obj]],13,10),"")</f>
        <v>DE20538972</v>
      </c>
      <c r="I2562" s="103" t="s">
        <v>4785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110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4630</v>
      </c>
      <c r="E2563" t="s">
        <v>4748</v>
      </c>
      <c r="F2563" s="94" t="s">
        <v>4748</v>
      </c>
      <c r="G2563" s="103" t="s">
        <v>406</v>
      </c>
      <c r="H2563" s="94" t="str">
        <f>IF(Proc[[#This Row],[type]]="LFF (MDG-F)",MID(Proc[[#This Row],[Obj]],13,10),"")</f>
        <v>DE20538973</v>
      </c>
      <c r="I2563" s="103" t="s">
        <v>4785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110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4631</v>
      </c>
      <c r="E2564" t="s">
        <v>4748</v>
      </c>
      <c r="F2564" s="94" t="s">
        <v>4748</v>
      </c>
      <c r="G2564" s="103" t="s">
        <v>406</v>
      </c>
      <c r="H2564" s="94" t="str">
        <f>IF(Proc[[#This Row],[type]]="LFF (MDG-F)",MID(Proc[[#This Row],[Obj]],13,10),"")</f>
        <v>DE20538974</v>
      </c>
      <c r="I2564" s="103" t="s">
        <v>4785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110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4632</v>
      </c>
      <c r="E2565" t="s">
        <v>4748</v>
      </c>
      <c r="F2565" s="94" t="s">
        <v>4748</v>
      </c>
      <c r="G2565" s="103" t="s">
        <v>406</v>
      </c>
      <c r="H2565" s="94" t="str">
        <f>IF(Proc[[#This Row],[type]]="LFF (MDG-F)",MID(Proc[[#This Row],[Obj]],13,10),"")</f>
        <v>DE20538975</v>
      </c>
      <c r="I2565" s="103" t="s">
        <v>4785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110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4633</v>
      </c>
      <c r="E2566" t="s">
        <v>4748</v>
      </c>
      <c r="F2566" s="94" t="s">
        <v>4748</v>
      </c>
      <c r="G2566" s="103" t="s">
        <v>406</v>
      </c>
      <c r="H2566" s="94" t="str">
        <f>IF(Proc[[#This Row],[type]]="LFF (MDG-F)",MID(Proc[[#This Row],[Obj]],13,10),"")</f>
        <v>DE20538977</v>
      </c>
      <c r="I2566" s="103" t="s">
        <v>4785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110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4634</v>
      </c>
      <c r="E2567" t="s">
        <v>4747</v>
      </c>
      <c r="F2567" s="94" t="s">
        <v>4747</v>
      </c>
      <c r="G2567" s="103" t="s">
        <v>406</v>
      </c>
      <c r="H2567" s="94" t="str">
        <f>IF(Proc[[#This Row],[type]]="LFF (MDG-F)",MID(Proc[[#This Row],[Obj]],13,10),"")</f>
        <v>DE20538979</v>
      </c>
      <c r="I2567" s="103" t="s">
        <v>4785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110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4635</v>
      </c>
      <c r="E2568" t="s">
        <v>4747</v>
      </c>
      <c r="F2568" s="94" t="s">
        <v>4747</v>
      </c>
      <c r="G2568" s="103" t="s">
        <v>406</v>
      </c>
      <c r="H2568" s="94" t="str">
        <f>IF(Proc[[#This Row],[type]]="LFF (MDG-F)",MID(Proc[[#This Row],[Obj]],13,10),"")</f>
        <v>DE20538980</v>
      </c>
      <c r="I2568" s="103" t="s">
        <v>4785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110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4636</v>
      </c>
      <c r="E2569" t="s">
        <v>4747</v>
      </c>
      <c r="F2569" s="94" t="s">
        <v>4747</v>
      </c>
      <c r="G2569" s="103" t="s">
        <v>406</v>
      </c>
      <c r="H2569" s="94" t="str">
        <f>IF(Proc[[#This Row],[type]]="LFF (MDG-F)",MID(Proc[[#This Row],[Obj]],13,10),"")</f>
        <v>DE20538982</v>
      </c>
      <c r="I2569" s="103" t="s">
        <v>4785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110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4637</v>
      </c>
      <c r="E2570" t="s">
        <v>4748</v>
      </c>
      <c r="F2570" s="94" t="s">
        <v>4748</v>
      </c>
      <c r="G2570" s="103" t="s">
        <v>406</v>
      </c>
      <c r="H2570" s="94" t="str">
        <f>IF(Proc[[#This Row],[type]]="LFF (MDG-F)",MID(Proc[[#This Row],[Obj]],13,10),"")</f>
        <v>DE20538984</v>
      </c>
      <c r="I2570" s="103" t="s">
        <v>4785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110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4638</v>
      </c>
      <c r="E2571" t="s">
        <v>4748</v>
      </c>
      <c r="F2571" s="94" t="s">
        <v>4748</v>
      </c>
      <c r="G2571" s="103" t="s">
        <v>406</v>
      </c>
      <c r="H2571" s="94" t="str">
        <f>IF(Proc[[#This Row],[type]]="LFF (MDG-F)",MID(Proc[[#This Row],[Obj]],13,10),"")</f>
        <v>DE20538985</v>
      </c>
      <c r="I2571" s="103" t="s">
        <v>4785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110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4639</v>
      </c>
      <c r="E2572" t="s">
        <v>4748</v>
      </c>
      <c r="F2572" s="94" t="s">
        <v>4748</v>
      </c>
      <c r="G2572" s="103" t="s">
        <v>406</v>
      </c>
      <c r="H2572" s="94" t="str">
        <f>IF(Proc[[#This Row],[type]]="LFF (MDG-F)",MID(Proc[[#This Row],[Obj]],13,10),"")</f>
        <v>DE20538994</v>
      </c>
      <c r="I2572" s="103" t="s">
        <v>4785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110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4640</v>
      </c>
      <c r="E2573" t="s">
        <v>4748</v>
      </c>
      <c r="F2573" s="94" t="s">
        <v>4748</v>
      </c>
      <c r="G2573" s="103" t="s">
        <v>406</v>
      </c>
      <c r="H2573" s="94" t="str">
        <f>IF(Proc[[#This Row],[type]]="LFF (MDG-F)",MID(Proc[[#This Row],[Obj]],13,10),"")</f>
        <v>DE20539930</v>
      </c>
      <c r="I2573" s="103" t="s">
        <v>4785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110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4641</v>
      </c>
      <c r="E2574" t="s">
        <v>4748</v>
      </c>
      <c r="F2574" s="94" t="s">
        <v>4748</v>
      </c>
      <c r="G2574" s="103" t="s">
        <v>406</v>
      </c>
      <c r="H2574" s="94" t="str">
        <f>IF(Proc[[#This Row],[type]]="LFF (MDG-F)",MID(Proc[[#This Row],[Obj]],13,10),"")</f>
        <v>DE20539931</v>
      </c>
      <c r="I2574" s="103" t="s">
        <v>4785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110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4642</v>
      </c>
      <c r="E2575" t="s">
        <v>4748</v>
      </c>
      <c r="F2575" s="94" t="s">
        <v>4748</v>
      </c>
      <c r="G2575" s="103" t="s">
        <v>406</v>
      </c>
      <c r="H2575" s="94" t="str">
        <f>IF(Proc[[#This Row],[type]]="LFF (MDG-F)",MID(Proc[[#This Row],[Obj]],13,10),"")</f>
        <v>DE20539932</v>
      </c>
      <c r="I2575" s="103" t="s">
        <v>4785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110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4643</v>
      </c>
      <c r="E2576" t="s">
        <v>4748</v>
      </c>
      <c r="F2576" s="94" t="s">
        <v>4748</v>
      </c>
      <c r="G2576" s="103" t="s">
        <v>406</v>
      </c>
      <c r="H2576" s="94" t="str">
        <f>IF(Proc[[#This Row],[type]]="LFF (MDG-F)",MID(Proc[[#This Row],[Obj]],13,10),"")</f>
        <v>DE20539934</v>
      </c>
      <c r="I2576" s="103" t="s">
        <v>4785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110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4644</v>
      </c>
      <c r="E2577" t="s">
        <v>4748</v>
      </c>
      <c r="F2577" s="94" t="s">
        <v>4748</v>
      </c>
      <c r="G2577" s="103" t="s">
        <v>406</v>
      </c>
      <c r="H2577" s="94" t="str">
        <f>IF(Proc[[#This Row],[type]]="LFF (MDG-F)",MID(Proc[[#This Row],[Obj]],13,10),"")</f>
        <v>DE20539935</v>
      </c>
      <c r="I2577" s="103" t="s">
        <v>4785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110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4645</v>
      </c>
      <c r="E2578" t="s">
        <v>4748</v>
      </c>
      <c r="F2578" s="94" t="s">
        <v>4748</v>
      </c>
      <c r="G2578" s="103" t="s">
        <v>406</v>
      </c>
      <c r="H2578" s="94" t="str">
        <f>IF(Proc[[#This Row],[type]]="LFF (MDG-F)",MID(Proc[[#This Row],[Obj]],13,10),"")</f>
        <v>DE20539936</v>
      </c>
      <c r="I2578" s="103" t="s">
        <v>4785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110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4646</v>
      </c>
      <c r="E2579" t="s">
        <v>4748</v>
      </c>
      <c r="F2579" s="94" t="s">
        <v>4748</v>
      </c>
      <c r="G2579" s="103" t="s">
        <v>406</v>
      </c>
      <c r="H2579" s="94" t="str">
        <f>IF(Proc[[#This Row],[type]]="LFF (MDG-F)",MID(Proc[[#This Row],[Obj]],13,10),"")</f>
        <v>DE20539937</v>
      </c>
      <c r="I2579" s="103" t="s">
        <v>4785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110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4647</v>
      </c>
      <c r="E2580" t="s">
        <v>4748</v>
      </c>
      <c r="F2580" s="94" t="s">
        <v>4748</v>
      </c>
      <c r="G2580" s="103" t="s">
        <v>406</v>
      </c>
      <c r="H2580" s="94" t="str">
        <f>IF(Proc[[#This Row],[type]]="LFF (MDG-F)",MID(Proc[[#This Row],[Obj]],13,10),"")</f>
        <v>DE20539938</v>
      </c>
      <c r="I2580" s="103" t="s">
        <v>4785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110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4648</v>
      </c>
      <c r="E2581" t="s">
        <v>4748</v>
      </c>
      <c r="F2581" s="94" t="s">
        <v>4748</v>
      </c>
      <c r="G2581" s="103" t="s">
        <v>406</v>
      </c>
      <c r="H2581" s="94" t="str">
        <f>IF(Proc[[#This Row],[type]]="LFF (MDG-F)",MID(Proc[[#This Row],[Obj]],13,10),"")</f>
        <v>DE20539939</v>
      </c>
      <c r="I2581" s="103" t="s">
        <v>4785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110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4649</v>
      </c>
      <c r="E2582" t="s">
        <v>4748</v>
      </c>
      <c r="F2582" s="94" t="s">
        <v>4748</v>
      </c>
      <c r="G2582" s="103" t="s">
        <v>406</v>
      </c>
      <c r="H2582" s="94" t="str">
        <f>IF(Proc[[#This Row],[type]]="LFF (MDG-F)",MID(Proc[[#This Row],[Obj]],13,10),"")</f>
        <v>DE20539940</v>
      </c>
      <c r="I2582" s="103" t="s">
        <v>4785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110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4650</v>
      </c>
      <c r="E2583" t="s">
        <v>4748</v>
      </c>
      <c r="F2583" s="94" t="s">
        <v>4748</v>
      </c>
      <c r="G2583" s="103" t="s">
        <v>406</v>
      </c>
      <c r="H2583" s="94" t="str">
        <f>IF(Proc[[#This Row],[type]]="LFF (MDG-F)",MID(Proc[[#This Row],[Obj]],13,10),"")</f>
        <v>DE20539941</v>
      </c>
      <c r="I2583" s="103" t="s">
        <v>4785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110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4651</v>
      </c>
      <c r="E2584" t="s">
        <v>4748</v>
      </c>
      <c r="F2584" s="94" t="s">
        <v>4748</v>
      </c>
      <c r="G2584" s="103" t="s">
        <v>406</v>
      </c>
      <c r="H2584" s="94" t="str">
        <f>IF(Proc[[#This Row],[type]]="LFF (MDG-F)",MID(Proc[[#This Row],[Obj]],13,10),"")</f>
        <v>DE20539942</v>
      </c>
      <c r="I2584" s="103" t="s">
        <v>4785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110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4652</v>
      </c>
      <c r="E2585" t="s">
        <v>4748</v>
      </c>
      <c r="F2585" s="94" t="s">
        <v>4748</v>
      </c>
      <c r="G2585" s="103" t="s">
        <v>406</v>
      </c>
      <c r="H2585" s="94" t="str">
        <f>IF(Proc[[#This Row],[type]]="LFF (MDG-F)",MID(Proc[[#This Row],[Obj]],13,10),"")</f>
        <v>DE20539943</v>
      </c>
      <c r="I2585" s="103" t="s">
        <v>4785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110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4653</v>
      </c>
      <c r="E2586" t="s">
        <v>4748</v>
      </c>
      <c r="F2586" s="94" t="s">
        <v>4748</v>
      </c>
      <c r="G2586" s="103" t="s">
        <v>406</v>
      </c>
      <c r="H2586" s="94" t="str">
        <f>IF(Proc[[#This Row],[type]]="LFF (MDG-F)",MID(Proc[[#This Row],[Obj]],13,10),"")</f>
        <v>DE20539944</v>
      </c>
      <c r="I2586" s="103" t="s">
        <v>4785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110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4654</v>
      </c>
      <c r="E2587" t="s">
        <v>4748</v>
      </c>
      <c r="F2587" s="94" t="s">
        <v>4748</v>
      </c>
      <c r="G2587" s="103" t="s">
        <v>406</v>
      </c>
      <c r="H2587" s="94" t="str">
        <f>IF(Proc[[#This Row],[type]]="LFF (MDG-F)",MID(Proc[[#This Row],[Obj]],13,10),"")</f>
        <v>DE20539995</v>
      </c>
      <c r="I2587" s="103" t="s">
        <v>4785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110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4655</v>
      </c>
      <c r="E2588" t="s">
        <v>4750</v>
      </c>
      <c r="F2588" s="94" t="s">
        <v>4750</v>
      </c>
      <c r="G2588" s="103" t="s">
        <v>406</v>
      </c>
      <c r="H2588" s="94" t="str">
        <f>IF(Proc[[#This Row],[type]]="LFF (MDG-F)",MID(Proc[[#This Row],[Obj]],13,10),"")</f>
        <v>DE20538103</v>
      </c>
      <c r="I2588" s="103" t="s">
        <v>4785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110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4656</v>
      </c>
      <c r="E2589" t="s">
        <v>4751</v>
      </c>
      <c r="F2589" s="94" t="s">
        <v>4751</v>
      </c>
      <c r="G2589" s="103" t="s">
        <v>406</v>
      </c>
      <c r="H2589" s="94" t="str">
        <f>IF(Proc[[#This Row],[type]]="LFF (MDG-F)",MID(Proc[[#This Row],[Obj]],13,10),"")</f>
        <v>DE20538108</v>
      </c>
      <c r="I2589" s="103" t="s">
        <v>4785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110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4657</v>
      </c>
      <c r="E2590" t="s">
        <v>4750</v>
      </c>
      <c r="F2590" s="94" t="s">
        <v>4750</v>
      </c>
      <c r="G2590" s="103" t="s">
        <v>406</v>
      </c>
      <c r="H2590" s="94" t="str">
        <f>IF(Proc[[#This Row],[type]]="LFF (MDG-F)",MID(Proc[[#This Row],[Obj]],13,10),"")</f>
        <v>DE20538110</v>
      </c>
      <c r="I2590" s="103" t="s">
        <v>4785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110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4658</v>
      </c>
      <c r="E2591" t="s">
        <v>4752</v>
      </c>
      <c r="F2591" s="94" t="s">
        <v>4752</v>
      </c>
      <c r="G2591" s="103" t="s">
        <v>406</v>
      </c>
      <c r="H2591" s="94" t="str">
        <f>IF(Proc[[#This Row],[type]]="LFF (MDG-F)",MID(Proc[[#This Row],[Obj]],13,10),"")</f>
        <v>DE20538111</v>
      </c>
      <c r="I2591" s="103" t="s">
        <v>4785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110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4659</v>
      </c>
      <c r="E2592" t="s">
        <v>4750</v>
      </c>
      <c r="F2592" s="94" t="s">
        <v>4750</v>
      </c>
      <c r="G2592" s="103" t="s">
        <v>406</v>
      </c>
      <c r="H2592" s="94" t="str">
        <f>IF(Proc[[#This Row],[type]]="LFF (MDG-F)",MID(Proc[[#This Row],[Obj]],13,10),"")</f>
        <v>DE20538112</v>
      </c>
      <c r="I2592" s="103" t="s">
        <v>4785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110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4660</v>
      </c>
      <c r="E2593" t="s">
        <v>4750</v>
      </c>
      <c r="F2593" s="94" t="s">
        <v>4750</v>
      </c>
      <c r="G2593" s="103" t="s">
        <v>406</v>
      </c>
      <c r="H2593" s="94" t="str">
        <f>IF(Proc[[#This Row],[type]]="LFF (MDG-F)",MID(Proc[[#This Row],[Obj]],13,10),"")</f>
        <v>DE20538113</v>
      </c>
      <c r="I2593" s="103" t="s">
        <v>4785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110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4661</v>
      </c>
      <c r="E2594" t="s">
        <v>4750</v>
      </c>
      <c r="F2594" s="94" t="s">
        <v>4750</v>
      </c>
      <c r="G2594" s="103" t="s">
        <v>406</v>
      </c>
      <c r="H2594" s="94" t="str">
        <f>IF(Proc[[#This Row],[type]]="LFF (MDG-F)",MID(Proc[[#This Row],[Obj]],13,10),"")</f>
        <v>DE20538114</v>
      </c>
      <c r="I2594" s="103" t="s">
        <v>4785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110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4662</v>
      </c>
      <c r="E2595" t="s">
        <v>4752</v>
      </c>
      <c r="F2595" s="94" t="s">
        <v>4752</v>
      </c>
      <c r="G2595" s="103" t="s">
        <v>406</v>
      </c>
      <c r="H2595" s="94" t="str">
        <f>IF(Proc[[#This Row],[type]]="LFF (MDG-F)",MID(Proc[[#This Row],[Obj]],13,10),"")</f>
        <v>DE20538115</v>
      </c>
      <c r="I2595" s="103" t="s">
        <v>4785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110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4663</v>
      </c>
      <c r="E2596" t="s">
        <v>4751</v>
      </c>
      <c r="F2596" s="94" t="s">
        <v>4751</v>
      </c>
      <c r="G2596" s="103" t="s">
        <v>406</v>
      </c>
      <c r="H2596" s="94" t="str">
        <f>IF(Proc[[#This Row],[type]]="LFF (MDG-F)",MID(Proc[[#This Row],[Obj]],13,10),"")</f>
        <v>DE20538117</v>
      </c>
      <c r="I2596" s="103" t="s">
        <v>4785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110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4664</v>
      </c>
      <c r="E2597" t="s">
        <v>4750</v>
      </c>
      <c r="F2597" s="94" t="s">
        <v>4750</v>
      </c>
      <c r="G2597" s="103" t="s">
        <v>406</v>
      </c>
      <c r="H2597" s="94" t="str">
        <f>IF(Proc[[#This Row],[type]]="LFF (MDG-F)",MID(Proc[[#This Row],[Obj]],13,10),"")</f>
        <v>DE20538119</v>
      </c>
      <c r="I2597" s="103" t="s">
        <v>4785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110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4665</v>
      </c>
      <c r="E2598" t="s">
        <v>4750</v>
      </c>
      <c r="F2598" s="94" t="s">
        <v>4750</v>
      </c>
      <c r="G2598" s="103" t="s">
        <v>406</v>
      </c>
      <c r="H2598" s="94" t="str">
        <f>IF(Proc[[#This Row],[type]]="LFF (MDG-F)",MID(Proc[[#This Row],[Obj]],13,10),"")</f>
        <v>DE20538120</v>
      </c>
      <c r="I2598" s="103" t="s">
        <v>4785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110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4666</v>
      </c>
      <c r="E2599" t="s">
        <v>4750</v>
      </c>
      <c r="F2599" s="94" t="s">
        <v>4750</v>
      </c>
      <c r="G2599" s="103" t="s">
        <v>406</v>
      </c>
      <c r="H2599" s="94" t="str">
        <f>IF(Proc[[#This Row],[type]]="LFF (MDG-F)",MID(Proc[[#This Row],[Obj]],13,10),"")</f>
        <v>DE20538121</v>
      </c>
      <c r="I2599" s="103" t="s">
        <v>4785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110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4667</v>
      </c>
      <c r="E2600" t="s">
        <v>4750</v>
      </c>
      <c r="F2600" s="94" t="s">
        <v>4750</v>
      </c>
      <c r="G2600" s="103" t="s">
        <v>406</v>
      </c>
      <c r="H2600" s="94" t="str">
        <f>IF(Proc[[#This Row],[type]]="LFF (MDG-F)",MID(Proc[[#This Row],[Obj]],13,10),"")</f>
        <v>DE20538122</v>
      </c>
      <c r="I2600" s="103" t="s">
        <v>4785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110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4668</v>
      </c>
      <c r="E2601" t="s">
        <v>4750</v>
      </c>
      <c r="F2601" s="94" t="s">
        <v>4750</v>
      </c>
      <c r="G2601" s="103" t="s">
        <v>406</v>
      </c>
      <c r="H2601" s="94" t="str">
        <f>IF(Proc[[#This Row],[type]]="LFF (MDG-F)",MID(Proc[[#This Row],[Obj]],13,10),"")</f>
        <v>DE20538124</v>
      </c>
      <c r="I2601" s="103" t="s">
        <v>4785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110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4669</v>
      </c>
      <c r="E2602" t="s">
        <v>4750</v>
      </c>
      <c r="F2602" s="94" t="s">
        <v>4750</v>
      </c>
      <c r="G2602" s="103" t="s">
        <v>406</v>
      </c>
      <c r="H2602" s="94" t="str">
        <f>IF(Proc[[#This Row],[type]]="LFF (MDG-F)",MID(Proc[[#This Row],[Obj]],13,10),"")</f>
        <v>DE20538129</v>
      </c>
      <c r="I2602" s="103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110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4670</v>
      </c>
      <c r="E2603" t="s">
        <v>4750</v>
      </c>
      <c r="F2603" s="94" t="s">
        <v>4750</v>
      </c>
      <c r="G2603" s="103" t="s">
        <v>406</v>
      </c>
      <c r="H2603" s="94" t="str">
        <f>IF(Proc[[#This Row],[type]]="LFF (MDG-F)",MID(Proc[[#This Row],[Obj]],13,10),"")</f>
        <v>DE20538130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110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4671</v>
      </c>
      <c r="E2604" t="s">
        <v>4750</v>
      </c>
      <c r="F2604" s="94" t="s">
        <v>4750</v>
      </c>
      <c r="G2604" s="103" t="s">
        <v>406</v>
      </c>
      <c r="H2604" s="94" t="str">
        <f>IF(Proc[[#This Row],[type]]="LFF (MDG-F)",MID(Proc[[#This Row],[Obj]],13,10),"")</f>
        <v>DE20538131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110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4672</v>
      </c>
      <c r="E2605" t="s">
        <v>4750</v>
      </c>
      <c r="F2605" s="94" t="s">
        <v>4750</v>
      </c>
      <c r="G2605" s="103" t="s">
        <v>406</v>
      </c>
      <c r="H2605" s="94" t="str">
        <f>IF(Proc[[#This Row],[type]]="LFF (MDG-F)",MID(Proc[[#This Row],[Obj]],13,10),"")</f>
        <v>DE20538133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110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4673</v>
      </c>
      <c r="E2606" t="s">
        <v>4750</v>
      </c>
      <c r="F2606" s="94" t="s">
        <v>4750</v>
      </c>
      <c r="G2606" s="103" t="s">
        <v>406</v>
      </c>
      <c r="H2606" s="94" t="str">
        <f>IF(Proc[[#This Row],[type]]="LFF (MDG-F)",MID(Proc[[#This Row],[Obj]],13,10),"")</f>
        <v>DE20538134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110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4674</v>
      </c>
      <c r="E2607" t="s">
        <v>4750</v>
      </c>
      <c r="F2607" s="94" t="s">
        <v>4750</v>
      </c>
      <c r="G2607" s="103" t="s">
        <v>406</v>
      </c>
      <c r="H2607" s="94" t="str">
        <f>IF(Proc[[#This Row],[type]]="LFF (MDG-F)",MID(Proc[[#This Row],[Obj]],13,10),"")</f>
        <v>DE20538135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110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4675</v>
      </c>
      <c r="E2608" t="s">
        <v>4750</v>
      </c>
      <c r="F2608" s="94" t="s">
        <v>4750</v>
      </c>
      <c r="G2608" s="103" t="s">
        <v>406</v>
      </c>
      <c r="H2608" s="94" t="str">
        <f>IF(Proc[[#This Row],[type]]="LFF (MDG-F)",MID(Proc[[#This Row],[Obj]],13,10),"")</f>
        <v>DE20538138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110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4676</v>
      </c>
      <c r="E2609" t="s">
        <v>4750</v>
      </c>
      <c r="F2609" s="94" t="s">
        <v>4750</v>
      </c>
      <c r="G2609" s="103" t="s">
        <v>406</v>
      </c>
      <c r="H2609" s="94" t="str">
        <f>IF(Proc[[#This Row],[type]]="LFF (MDG-F)",MID(Proc[[#This Row],[Obj]],13,10),"")</f>
        <v>DE20538139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110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4677</v>
      </c>
      <c r="E2610" t="s">
        <v>4750</v>
      </c>
      <c r="F2610" s="94" t="s">
        <v>4750</v>
      </c>
      <c r="G2610" s="103" t="s">
        <v>406</v>
      </c>
      <c r="H2610" s="94" t="str">
        <f>IF(Proc[[#This Row],[type]]="LFF (MDG-F)",MID(Proc[[#This Row],[Obj]],13,10),"")</f>
        <v>DE20538142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110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4678</v>
      </c>
      <c r="E2611" t="s">
        <v>4750</v>
      </c>
      <c r="F2611" s="94" t="s">
        <v>4750</v>
      </c>
      <c r="G2611" s="103" t="s">
        <v>406</v>
      </c>
      <c r="H2611" s="94" t="str">
        <f>IF(Proc[[#This Row],[type]]="LFF (MDG-F)",MID(Proc[[#This Row],[Obj]],13,10),"")</f>
        <v>DE20538144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110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4679</v>
      </c>
      <c r="E2612" t="s">
        <v>4750</v>
      </c>
      <c r="F2612" s="94" t="s">
        <v>4750</v>
      </c>
      <c r="G2612" s="103" t="s">
        <v>406</v>
      </c>
      <c r="H2612" s="94" t="str">
        <f>IF(Proc[[#This Row],[type]]="LFF (MDG-F)",MID(Proc[[#This Row],[Obj]],13,10),"")</f>
        <v>DE20538161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110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4680</v>
      </c>
      <c r="E2613" t="s">
        <v>4751</v>
      </c>
      <c r="F2613" s="94" t="s">
        <v>4751</v>
      </c>
      <c r="G2613" s="103" t="s">
        <v>406</v>
      </c>
      <c r="H2613" s="94" t="str">
        <f>IF(Proc[[#This Row],[type]]="LFF (MDG-F)",MID(Proc[[#This Row],[Obj]],13,10),"")</f>
        <v>DE20538174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110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4681</v>
      </c>
      <c r="E2614" t="s">
        <v>4751</v>
      </c>
      <c r="F2614" s="94" t="s">
        <v>4751</v>
      </c>
      <c r="G2614" s="103" t="s">
        <v>406</v>
      </c>
      <c r="H2614" s="94" t="str">
        <f>IF(Proc[[#This Row],[type]]="LFF (MDG-F)",MID(Proc[[#This Row],[Obj]],13,10),"")</f>
        <v>DE20538178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110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4682</v>
      </c>
      <c r="E2615" t="s">
        <v>4750</v>
      </c>
      <c r="F2615" s="94" t="s">
        <v>4750</v>
      </c>
      <c r="G2615" s="103" t="s">
        <v>406</v>
      </c>
      <c r="H2615" s="94" t="str">
        <f>IF(Proc[[#This Row],[type]]="LFF (MDG-F)",MID(Proc[[#This Row],[Obj]],13,10),"")</f>
        <v>DE20538192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110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4683</v>
      </c>
      <c r="E2616" t="s">
        <v>4751</v>
      </c>
      <c r="F2616" s="94" t="s">
        <v>4751</v>
      </c>
      <c r="G2616" s="103" t="s">
        <v>406</v>
      </c>
      <c r="H2616" s="94" t="str">
        <f>IF(Proc[[#This Row],[type]]="LFF (MDG-F)",MID(Proc[[#This Row],[Obj]],13,10),"")</f>
        <v>DE20538397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110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4684</v>
      </c>
      <c r="E2617" t="s">
        <v>4750</v>
      </c>
      <c r="F2617" s="94" t="s">
        <v>4750</v>
      </c>
      <c r="G2617" s="103" t="s">
        <v>406</v>
      </c>
      <c r="H2617" s="94" t="str">
        <f>IF(Proc[[#This Row],[type]]="LFF (MDG-F)",MID(Proc[[#This Row],[Obj]],13,10),"")</f>
        <v>DE20538556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110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4685</v>
      </c>
      <c r="E2618" t="s">
        <v>4751</v>
      </c>
      <c r="F2618" s="94" t="s">
        <v>4751</v>
      </c>
      <c r="G2618" s="103" t="s">
        <v>406</v>
      </c>
      <c r="H2618" s="94" t="str">
        <f>IF(Proc[[#This Row],[type]]="LFF (MDG-F)",MID(Proc[[#This Row],[Obj]],13,10),"")</f>
        <v>DE20538654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110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4686</v>
      </c>
      <c r="E2619" t="s">
        <v>4750</v>
      </c>
      <c r="F2619" s="94" t="s">
        <v>4750</v>
      </c>
      <c r="G2619" s="103" t="s">
        <v>406</v>
      </c>
      <c r="H2619" s="94" t="str">
        <f>IF(Proc[[#This Row],[type]]="LFF (MDG-F)",MID(Proc[[#This Row],[Obj]],13,10),"")</f>
        <v>DE20579990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110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4687</v>
      </c>
      <c r="E2620" t="s">
        <v>4751</v>
      </c>
      <c r="F2620" s="94" t="s">
        <v>4751</v>
      </c>
      <c r="G2620" s="103" t="s">
        <v>406</v>
      </c>
      <c r="H2620" s="94" t="str">
        <f>IF(Proc[[#This Row],[type]]="LFF (MDG-F)",MID(Proc[[#This Row],[Obj]],13,10),"")</f>
        <v>DE20538107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110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4688</v>
      </c>
      <c r="E2621" t="s">
        <v>4753</v>
      </c>
      <c r="F2621" s="94" t="s">
        <v>4753</v>
      </c>
      <c r="G2621" s="103" t="s">
        <v>406</v>
      </c>
      <c r="H2621" s="94" t="str">
        <f>IF(Proc[[#This Row],[type]]="LFF (MDG-F)",MID(Proc[[#This Row],[Obj]],13,10),"")</f>
        <v>DE20538118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110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4689</v>
      </c>
      <c r="E2622" t="s">
        <v>4751</v>
      </c>
      <c r="F2622" s="94" t="s">
        <v>4751</v>
      </c>
      <c r="G2622" s="103" t="s">
        <v>406</v>
      </c>
      <c r="H2622" s="94" t="str">
        <f>IF(Proc[[#This Row],[type]]="LFF (MDG-F)",MID(Proc[[#This Row],[Obj]],13,10),"")</f>
        <v>DE20538136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110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4690</v>
      </c>
      <c r="E2623" t="s">
        <v>4751</v>
      </c>
      <c r="F2623" s="94" t="s">
        <v>4751</v>
      </c>
      <c r="G2623" s="103" t="s">
        <v>406</v>
      </c>
      <c r="H2623" s="94" t="str">
        <f>IF(Proc[[#This Row],[type]]="LFF (MDG-F)",MID(Proc[[#This Row],[Obj]],13,10),"")</f>
        <v>DE20538137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110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4691</v>
      </c>
      <c r="E2624" t="s">
        <v>4751</v>
      </c>
      <c r="F2624" s="94" t="s">
        <v>4751</v>
      </c>
      <c r="G2624" s="103" t="s">
        <v>406</v>
      </c>
      <c r="H2624" s="94" t="str">
        <f>IF(Proc[[#This Row],[type]]="LFF (MDG-F)",MID(Proc[[#This Row],[Obj]],13,10),"")</f>
        <v>DE20538141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110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4692</v>
      </c>
      <c r="E2625" t="s">
        <v>4751</v>
      </c>
      <c r="F2625" s="94" t="s">
        <v>4751</v>
      </c>
      <c r="G2625" s="103" t="s">
        <v>406</v>
      </c>
      <c r="H2625" s="94" t="str">
        <f>IF(Proc[[#This Row],[type]]="LFF (MDG-F)",MID(Proc[[#This Row],[Obj]],13,10),"")</f>
        <v>DE20538143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110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4693</v>
      </c>
      <c r="E2626" t="s">
        <v>4751</v>
      </c>
      <c r="F2626" s="94" t="s">
        <v>4751</v>
      </c>
      <c r="G2626" s="103" t="s">
        <v>406</v>
      </c>
      <c r="H2626" s="94" t="str">
        <f>IF(Proc[[#This Row],[type]]="LFF (MDG-F)",MID(Proc[[#This Row],[Obj]],13,10),"")</f>
        <v>DE20538147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110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4694</v>
      </c>
      <c r="E2627" t="s">
        <v>4754</v>
      </c>
      <c r="F2627" s="94" t="s">
        <v>4754</v>
      </c>
      <c r="G2627" s="103" t="s">
        <v>406</v>
      </c>
      <c r="H2627" s="94" t="str">
        <f>IF(Proc[[#This Row],[type]]="LFF (MDG-F)",MID(Proc[[#This Row],[Obj]],13,10),"")</f>
        <v>DE20538148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110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4695</v>
      </c>
      <c r="E2628" t="s">
        <v>4751</v>
      </c>
      <c r="F2628" s="94" t="s">
        <v>4751</v>
      </c>
      <c r="G2628" s="103" t="s">
        <v>406</v>
      </c>
      <c r="H2628" s="94" t="str">
        <f>IF(Proc[[#This Row],[type]]="LFF (MDG-F)",MID(Proc[[#This Row],[Obj]],13,10),"")</f>
        <v>DE20538151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110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4696</v>
      </c>
      <c r="E2629" t="s">
        <v>4751</v>
      </c>
      <c r="F2629" s="94" t="s">
        <v>4751</v>
      </c>
      <c r="G2629" s="103" t="s">
        <v>406</v>
      </c>
      <c r="H2629" s="94" t="str">
        <f>IF(Proc[[#This Row],[type]]="LFF (MDG-F)",MID(Proc[[#This Row],[Obj]],13,10),"")</f>
        <v>DE20538153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110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4697</v>
      </c>
      <c r="E2630" t="s">
        <v>4751</v>
      </c>
      <c r="F2630" s="94" t="s">
        <v>4751</v>
      </c>
      <c r="G2630" s="103" t="s">
        <v>406</v>
      </c>
      <c r="H2630" s="94" t="str">
        <f>IF(Proc[[#This Row],[type]]="LFF (MDG-F)",MID(Proc[[#This Row],[Obj]],13,10),"")</f>
        <v>DE20538160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110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4698</v>
      </c>
      <c r="E2631" t="s">
        <v>4751</v>
      </c>
      <c r="F2631" s="94" t="s">
        <v>4751</v>
      </c>
      <c r="G2631" s="103" t="s">
        <v>406</v>
      </c>
      <c r="H2631" s="94" t="str">
        <f>IF(Proc[[#This Row],[type]]="LFF (MDG-F)",MID(Proc[[#This Row],[Obj]],13,10),"")</f>
        <v>DE20538162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110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4699</v>
      </c>
      <c r="E2632" t="s">
        <v>4754</v>
      </c>
      <c r="F2632" s="94" t="s">
        <v>4754</v>
      </c>
      <c r="G2632" s="103" t="s">
        <v>406</v>
      </c>
      <c r="H2632" s="94" t="str">
        <f>IF(Proc[[#This Row],[type]]="LFF (MDG-F)",MID(Proc[[#This Row],[Obj]],13,10),"")</f>
        <v>DE20538163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110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4700</v>
      </c>
      <c r="E2633" t="s">
        <v>4751</v>
      </c>
      <c r="F2633" s="94" t="s">
        <v>4751</v>
      </c>
      <c r="G2633" s="103" t="s">
        <v>406</v>
      </c>
      <c r="H2633" s="94" t="str">
        <f>IF(Proc[[#This Row],[type]]="LFF (MDG-F)",MID(Proc[[#This Row],[Obj]],13,10),"")</f>
        <v>DE20538164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110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4701</v>
      </c>
      <c r="E2634" t="s">
        <v>4751</v>
      </c>
      <c r="F2634" s="94" t="s">
        <v>4751</v>
      </c>
      <c r="G2634" s="103" t="s">
        <v>406</v>
      </c>
      <c r="H2634" s="94" t="str">
        <f>IF(Proc[[#This Row],[type]]="LFF (MDG-F)",MID(Proc[[#This Row],[Obj]],13,10),"")</f>
        <v>DE20538166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110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4702</v>
      </c>
      <c r="E2635" t="s">
        <v>4750</v>
      </c>
      <c r="F2635" s="94" t="s">
        <v>4750</v>
      </c>
      <c r="G2635" s="103" t="s">
        <v>406</v>
      </c>
      <c r="H2635" s="94" t="str">
        <f>IF(Proc[[#This Row],[type]]="LFF (MDG-F)",MID(Proc[[#This Row],[Obj]],13,10),"")</f>
        <v>DE20538167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110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4703</v>
      </c>
      <c r="E2636" t="s">
        <v>4751</v>
      </c>
      <c r="F2636" s="94" t="s">
        <v>4751</v>
      </c>
      <c r="G2636" s="103" t="s">
        <v>406</v>
      </c>
      <c r="H2636" s="94" t="str">
        <f>IF(Proc[[#This Row],[type]]="LFF (MDG-F)",MID(Proc[[#This Row],[Obj]],13,10),"")</f>
        <v>DE20538168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110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4704</v>
      </c>
      <c r="E2637" t="s">
        <v>4751</v>
      </c>
      <c r="F2637" s="94" t="s">
        <v>4751</v>
      </c>
      <c r="G2637" s="103" t="s">
        <v>406</v>
      </c>
      <c r="H2637" s="94" t="str">
        <f>IF(Proc[[#This Row],[type]]="LFF (MDG-F)",MID(Proc[[#This Row],[Obj]],13,10),"")</f>
        <v>DE20538171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110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4705</v>
      </c>
      <c r="E2638" t="s">
        <v>4749</v>
      </c>
      <c r="F2638" s="94" t="s">
        <v>4749</v>
      </c>
      <c r="G2638" s="103" t="s">
        <v>406</v>
      </c>
      <c r="H2638" s="94" t="str">
        <f>IF(Proc[[#This Row],[type]]="LFF (MDG-F)",MID(Proc[[#This Row],[Obj]],13,10),"")</f>
        <v>DE20538175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110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4706</v>
      </c>
      <c r="E2639" t="s">
        <v>4751</v>
      </c>
      <c r="F2639" s="94" t="s">
        <v>4751</v>
      </c>
      <c r="G2639" s="103" t="s">
        <v>406</v>
      </c>
      <c r="H2639" s="94" t="str">
        <f>IF(Proc[[#This Row],[type]]="LFF (MDG-F)",MID(Proc[[#This Row],[Obj]],13,10),"")</f>
        <v>DE20538176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110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4707</v>
      </c>
      <c r="E2640" t="s">
        <v>4751</v>
      </c>
      <c r="F2640" s="94" t="s">
        <v>4751</v>
      </c>
      <c r="G2640" s="103" t="s">
        <v>406</v>
      </c>
      <c r="H2640" s="94" t="str">
        <f>IF(Proc[[#This Row],[type]]="LFF (MDG-F)",MID(Proc[[#This Row],[Obj]],13,10),"")</f>
        <v>DE20538177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110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4708</v>
      </c>
      <c r="E2641" t="s">
        <v>4751</v>
      </c>
      <c r="F2641" s="94" t="s">
        <v>4751</v>
      </c>
      <c r="G2641" s="103" t="s">
        <v>406</v>
      </c>
      <c r="H2641" s="94" t="str">
        <f>IF(Proc[[#This Row],[type]]="LFF (MDG-F)",MID(Proc[[#This Row],[Obj]],13,10),"")</f>
        <v>DE20538184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110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4709</v>
      </c>
      <c r="E2642" t="s">
        <v>4753</v>
      </c>
      <c r="F2642" s="94" t="s">
        <v>4753</v>
      </c>
      <c r="G2642" s="103" t="s">
        <v>406</v>
      </c>
      <c r="H2642" s="94" t="str">
        <f>IF(Proc[[#This Row],[type]]="LFF (MDG-F)",MID(Proc[[#This Row],[Obj]],13,10),"")</f>
        <v>DE20538185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110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4710</v>
      </c>
      <c r="E2643" t="s">
        <v>4753</v>
      </c>
      <c r="F2643" s="94" t="s">
        <v>4753</v>
      </c>
      <c r="G2643" s="103" t="s">
        <v>406</v>
      </c>
      <c r="H2643" s="94" t="str">
        <f>IF(Proc[[#This Row],[type]]="LFF (MDG-F)",MID(Proc[[#This Row],[Obj]],13,10),"")</f>
        <v>DE20538186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110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4711</v>
      </c>
      <c r="E2644" t="s">
        <v>4754</v>
      </c>
      <c r="F2644" s="94" t="s">
        <v>4754</v>
      </c>
      <c r="G2644" s="103" t="s">
        <v>406</v>
      </c>
      <c r="H2644" s="94" t="str">
        <f>IF(Proc[[#This Row],[type]]="LFF (MDG-F)",MID(Proc[[#This Row],[Obj]],13,10),"")</f>
        <v>DE20538193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110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4712</v>
      </c>
      <c r="E2645" t="s">
        <v>4754</v>
      </c>
      <c r="F2645" s="94" t="s">
        <v>4754</v>
      </c>
      <c r="G2645" s="103" t="s">
        <v>406</v>
      </c>
      <c r="H2645" s="94" t="str">
        <f>IF(Proc[[#This Row],[type]]="LFF (MDG-F)",MID(Proc[[#This Row],[Obj]],13,10),"")</f>
        <v>DE20538194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110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4713</v>
      </c>
      <c r="E2646" t="s">
        <v>4744</v>
      </c>
      <c r="F2646" s="94" t="s">
        <v>4744</v>
      </c>
      <c r="G2646" s="103" t="s">
        <v>406</v>
      </c>
      <c r="H2646" s="94" t="str">
        <f>IF(Proc[[#This Row],[type]]="LFF (MDG-F)",MID(Proc[[#This Row],[Obj]],13,10),"")</f>
        <v>DE20538195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110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4714</v>
      </c>
      <c r="E2647" t="s">
        <v>4751</v>
      </c>
      <c r="F2647" s="94" t="s">
        <v>4751</v>
      </c>
      <c r="G2647" s="103" t="s">
        <v>406</v>
      </c>
      <c r="H2647" s="94" t="str">
        <f>IF(Proc[[#This Row],[type]]="LFF (MDG-F)",MID(Proc[[#This Row],[Obj]],13,10),"")</f>
        <v>DE20538197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110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4715</v>
      </c>
      <c r="E2648" t="s">
        <v>4751</v>
      </c>
      <c r="F2648" s="94" t="s">
        <v>4751</v>
      </c>
      <c r="G2648" s="103" t="s">
        <v>406</v>
      </c>
      <c r="H2648" s="94" t="str">
        <f>IF(Proc[[#This Row],[type]]="LFF (MDG-F)",MID(Proc[[#This Row],[Obj]],13,10),"")</f>
        <v>DE20538712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110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4716</v>
      </c>
      <c r="E2649" t="s">
        <v>4749</v>
      </c>
      <c r="F2649" s="94" t="s">
        <v>4749</v>
      </c>
      <c r="G2649" s="103" t="s">
        <v>406</v>
      </c>
      <c r="H2649" s="94" t="str">
        <f>IF(Proc[[#This Row],[type]]="LFF (MDG-F)",MID(Proc[[#This Row],[Obj]],13,10),"")</f>
        <v>DE20538713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110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4717</v>
      </c>
      <c r="E2650" t="s">
        <v>4749</v>
      </c>
      <c r="F2650" s="94" t="s">
        <v>4749</v>
      </c>
      <c r="G2650" s="103" t="s">
        <v>406</v>
      </c>
      <c r="H2650" s="94" t="str">
        <f>IF(Proc[[#This Row],[type]]="LFF (MDG-F)",MID(Proc[[#This Row],[Obj]],13,10),"")</f>
        <v>DE20538714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110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4718</v>
      </c>
      <c r="E2651" t="s">
        <v>4749</v>
      </c>
      <c r="F2651" s="94" t="s">
        <v>4749</v>
      </c>
      <c r="G2651" s="103" t="s">
        <v>406</v>
      </c>
      <c r="H2651" s="94" t="str">
        <f>IF(Proc[[#This Row],[type]]="LFF (MDG-F)",MID(Proc[[#This Row],[Obj]],13,10),"")</f>
        <v>DE20538715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110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4719</v>
      </c>
      <c r="E2652" t="s">
        <v>4749</v>
      </c>
      <c r="F2652" s="94" t="s">
        <v>4749</v>
      </c>
      <c r="G2652" s="103" t="s">
        <v>406</v>
      </c>
      <c r="H2652" s="94" t="str">
        <f>IF(Proc[[#This Row],[type]]="LFF (MDG-F)",MID(Proc[[#This Row],[Obj]],13,10),"")</f>
        <v>DE20538716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110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4720</v>
      </c>
      <c r="E2653" t="s">
        <v>4751</v>
      </c>
      <c r="F2653" s="94" t="s">
        <v>4751</v>
      </c>
      <c r="G2653" s="103" t="s">
        <v>406</v>
      </c>
      <c r="H2653" s="94" t="str">
        <f>IF(Proc[[#This Row],[type]]="LFF (MDG-F)",MID(Proc[[#This Row],[Obj]],13,10),"")</f>
        <v>DE20538717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110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4721</v>
      </c>
      <c r="E2654" t="s">
        <v>4751</v>
      </c>
      <c r="F2654" s="94" t="s">
        <v>4751</v>
      </c>
      <c r="G2654" s="103" t="s">
        <v>406</v>
      </c>
      <c r="H2654" s="94" t="str">
        <f>IF(Proc[[#This Row],[type]]="LFF (MDG-F)",MID(Proc[[#This Row],[Obj]],13,10),"")</f>
        <v>DE20538887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110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4722</v>
      </c>
      <c r="E2655" t="s">
        <v>4751</v>
      </c>
      <c r="F2655" s="94" t="s">
        <v>4751</v>
      </c>
      <c r="G2655" s="103" t="s">
        <v>406</v>
      </c>
      <c r="H2655" s="94" t="str">
        <f>IF(Proc[[#This Row],[type]]="LFF (MDG-F)",MID(Proc[[#This Row],[Obj]],13,10),"")</f>
        <v>DE20538920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110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4723</v>
      </c>
      <c r="E2656" t="s">
        <v>4751</v>
      </c>
      <c r="F2656" s="94" t="s">
        <v>4751</v>
      </c>
      <c r="G2656" s="103" t="s">
        <v>406</v>
      </c>
      <c r="H2656" s="94" t="str">
        <f>IF(Proc[[#This Row],[type]]="LFF (MDG-F)",MID(Proc[[#This Row],[Obj]],13,10),"")</f>
        <v>DE20538921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110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4724</v>
      </c>
      <c r="E2657" t="s">
        <v>4753</v>
      </c>
      <c r="F2657" s="94" t="s">
        <v>4753</v>
      </c>
      <c r="G2657" s="103" t="s">
        <v>406</v>
      </c>
      <c r="H2657" s="94" t="str">
        <f>IF(Proc[[#This Row],[type]]="LFF (MDG-F)",MID(Proc[[#This Row],[Obj]],13,10),"")</f>
        <v>DE20538978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110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4725</v>
      </c>
      <c r="E2658" t="s">
        <v>4754</v>
      </c>
      <c r="F2658" s="94" t="s">
        <v>4754</v>
      </c>
      <c r="G2658" s="103" t="s">
        <v>406</v>
      </c>
      <c r="H2658" s="94" t="str">
        <f>IF(Proc[[#This Row],[type]]="LFF (MDG-F)",MID(Proc[[#This Row],[Obj]],13,10),"")</f>
        <v>DE20539001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110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4726</v>
      </c>
      <c r="E2659" t="s">
        <v>4754</v>
      </c>
      <c r="F2659" s="94" t="s">
        <v>4754</v>
      </c>
      <c r="G2659" s="103" t="s">
        <v>406</v>
      </c>
      <c r="H2659" s="94" t="str">
        <f>IF(Proc[[#This Row],[type]]="LFF (MDG-F)",MID(Proc[[#This Row],[Obj]],13,10),"")</f>
        <v>DE20539002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110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4727</v>
      </c>
      <c r="E2660" t="s">
        <v>4754</v>
      </c>
      <c r="F2660" s="94" t="s">
        <v>4754</v>
      </c>
      <c r="G2660" s="103" t="s">
        <v>406</v>
      </c>
      <c r="H2660" s="94" t="str">
        <f>IF(Proc[[#This Row],[type]]="LFF (MDG-F)",MID(Proc[[#This Row],[Obj]],13,10),"")</f>
        <v>DE20539004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110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4728</v>
      </c>
      <c r="E2661" t="s">
        <v>4754</v>
      </c>
      <c r="F2661" s="94" t="s">
        <v>4754</v>
      </c>
      <c r="G2661" s="103" t="s">
        <v>406</v>
      </c>
      <c r="H2661" s="94" t="str">
        <f>IF(Proc[[#This Row],[type]]="LFF (MDG-F)",MID(Proc[[#This Row],[Obj]],13,10),"")</f>
        <v>DE20567500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110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4729</v>
      </c>
      <c r="E2662" t="s">
        <v>4751</v>
      </c>
      <c r="F2662" s="94" t="s">
        <v>4751</v>
      </c>
      <c r="G2662" s="103" t="s">
        <v>406</v>
      </c>
      <c r="H2662" s="94" t="str">
        <f>IF(Proc[[#This Row],[type]]="LFF (MDG-F)",MID(Proc[[#This Row],[Obj]],13,10),"")</f>
        <v>DE20569401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110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4730</v>
      </c>
      <c r="E2663" t="s">
        <v>4750</v>
      </c>
      <c r="F2663" s="94" t="s">
        <v>4750</v>
      </c>
      <c r="G2663" s="103" t="s">
        <v>406</v>
      </c>
      <c r="H2663" s="94" t="str">
        <f>IF(Proc[[#This Row],[type]]="LFF (MDG-F)",MID(Proc[[#This Row],[Obj]],13,10),"")</f>
        <v>DE20538145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110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4731</v>
      </c>
      <c r="E2664" t="s">
        <v>4750</v>
      </c>
      <c r="F2664" s="94" t="s">
        <v>4750</v>
      </c>
      <c r="G2664" s="103" t="s">
        <v>406</v>
      </c>
      <c r="H2664" s="94" t="str">
        <f>IF(Proc[[#This Row],[type]]="LFF (MDG-F)",MID(Proc[[#This Row],[Obj]],13,10),"")</f>
        <v>DE20538190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110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4732</v>
      </c>
      <c r="E2665" t="s">
        <v>4754</v>
      </c>
      <c r="F2665" s="94" t="s">
        <v>4754</v>
      </c>
      <c r="G2665" s="103" t="s">
        <v>406</v>
      </c>
      <c r="H2665" s="94" t="str">
        <f>IF(Proc[[#This Row],[type]]="LFF (MDG-F)",MID(Proc[[#This Row],[Obj]],13,10),"")</f>
        <v>DE20539003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110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4733</v>
      </c>
      <c r="E2666" t="s">
        <v>4740</v>
      </c>
      <c r="F2666" s="94" t="s">
        <v>4740</v>
      </c>
      <c r="G2666" s="103" t="s">
        <v>406</v>
      </c>
      <c r="H2666" s="94" t="str">
        <f>IF(Proc[[#This Row],[type]]="LFF (MDG-F)",MID(Proc[[#This Row],[Obj]],13,10),"")</f>
        <v>DE20567400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110</v>
      </c>
      <c r="R2666" s="110" t="s">
        <v>485</v>
      </c>
      <c r="S2666" s="94"/>
    </row>
    <row r="2667" spans="1:19" hidden="1">
      <c r="A2667" t="s">
        <v>4755</v>
      </c>
      <c r="B2667" s="149" t="str">
        <f>IFERROR(VLOOKUP(Proc[[#This Row],[App]],Table2[],3,0),"open")</f>
        <v>ok</v>
      </c>
      <c r="C2667" s="103" t="s">
        <v>369</v>
      </c>
      <c r="D2667" t="s">
        <v>4756</v>
      </c>
      <c r="E2667" t="s">
        <v>4764</v>
      </c>
      <c r="F2667" s="117" t="s">
        <v>4764</v>
      </c>
      <c r="G2667" s="103" t="s">
        <v>406</v>
      </c>
      <c r="H2667" s="94" t="str">
        <f>IF(Proc[[#This Row],[type]]="LFF (MDG-F)",MID(Proc[[#This Row],[Obj]],13,10),"")</f>
        <v>DE50OF0154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HC</v>
      </c>
      <c r="L2667" s="125" t="s">
        <v>4894</v>
      </c>
      <c r="M2667" s="109">
        <v>45841.580648148149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110</v>
      </c>
      <c r="R2667" s="110" t="s">
        <v>410</v>
      </c>
      <c r="S2667" s="94"/>
    </row>
    <row r="2668" spans="1:19" hidden="1">
      <c r="A2668" s="103" t="s">
        <v>4755</v>
      </c>
      <c r="B2668" s="149" t="str">
        <f>IFERROR(VLOOKUP(Proc[[#This Row],[App]],Table2[],3,0),"open")</f>
        <v>ok</v>
      </c>
      <c r="C2668" s="117" t="s">
        <v>369</v>
      </c>
      <c r="D2668" t="s">
        <v>4757</v>
      </c>
      <c r="E2668" t="s">
        <v>4764</v>
      </c>
      <c r="F2668" s="117" t="s">
        <v>4764</v>
      </c>
      <c r="G2668" s="103" t="s">
        <v>406</v>
      </c>
      <c r="H2668" s="94" t="str">
        <f>IF(Proc[[#This Row],[type]]="LFF (MDG-F)",MID(Proc[[#This Row],[Obj]],13,10),"")</f>
        <v>DE10624416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HC</v>
      </c>
      <c r="L2668" s="125" t="s">
        <v>4894</v>
      </c>
      <c r="M2668" s="109">
        <v>45841.580648148149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110</v>
      </c>
      <c r="R2668" s="110" t="s">
        <v>410</v>
      </c>
      <c r="S2668" s="94"/>
    </row>
    <row r="2669" spans="1:19" hidden="1">
      <c r="A2669" s="103" t="s">
        <v>4755</v>
      </c>
      <c r="B2669" s="149" t="str">
        <f>IFERROR(VLOOKUP(Proc[[#This Row],[App]],Table2[],3,0),"open")</f>
        <v>ok</v>
      </c>
      <c r="C2669" s="117" t="s">
        <v>369</v>
      </c>
      <c r="D2669" t="s">
        <v>4758</v>
      </c>
      <c r="E2669" t="s">
        <v>4764</v>
      </c>
      <c r="F2669" s="117" t="s">
        <v>4764</v>
      </c>
      <c r="G2669" s="103" t="s">
        <v>406</v>
      </c>
      <c r="H2669" s="94" t="str">
        <f>IF(Proc[[#This Row],[type]]="LFF (MDG-F)",MID(Proc[[#This Row],[Obj]],13,10),"")</f>
        <v>CH65GCA008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HC</v>
      </c>
      <c r="L2669" s="125" t="s">
        <v>4894</v>
      </c>
      <c r="M2669" s="109">
        <v>45841.580648148149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110</v>
      </c>
      <c r="R2669" s="110" t="s">
        <v>410</v>
      </c>
      <c r="S2669" s="94"/>
    </row>
    <row r="2670" spans="1:19" hidden="1">
      <c r="A2670" s="103" t="s">
        <v>4755</v>
      </c>
      <c r="B2670" s="149" t="str">
        <f>IFERROR(VLOOKUP(Proc[[#This Row],[App]],Table2[],3,0),"open")</f>
        <v>ok</v>
      </c>
      <c r="C2670" s="117" t="s">
        <v>369</v>
      </c>
      <c r="D2670" t="s">
        <v>4759</v>
      </c>
      <c r="E2670" t="s">
        <v>4764</v>
      </c>
      <c r="F2670" s="117" t="s">
        <v>4764</v>
      </c>
      <c r="G2670" s="103" t="s">
        <v>406</v>
      </c>
      <c r="H2670" s="94" t="str">
        <f>IF(Proc[[#This Row],[type]]="LFF (MDG-F)",MID(Proc[[#This Row],[Obj]],13,10),"")</f>
        <v>CH65GCA010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HC</v>
      </c>
      <c r="L2670" s="125" t="s">
        <v>4894</v>
      </c>
      <c r="M2670" s="109">
        <v>45841.580648148149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110</v>
      </c>
      <c r="R2670" s="110" t="s">
        <v>410</v>
      </c>
      <c r="S2670" s="94"/>
    </row>
    <row r="2671" spans="1:19" hidden="1">
      <c r="A2671" s="103" t="s">
        <v>4755</v>
      </c>
      <c r="B2671" s="149" t="str">
        <f>IFERROR(VLOOKUP(Proc[[#This Row],[App]],Table2[],3,0),"open")</f>
        <v>ok</v>
      </c>
      <c r="C2671" s="117" t="s">
        <v>369</v>
      </c>
      <c r="D2671" t="s">
        <v>4760</v>
      </c>
      <c r="E2671" t="s">
        <v>4764</v>
      </c>
      <c r="F2671" s="117" t="s">
        <v>4764</v>
      </c>
      <c r="G2671" s="103" t="s">
        <v>406</v>
      </c>
      <c r="H2671" s="94" t="str">
        <f>IF(Proc[[#This Row],[type]]="LFF (MDG-F)",MID(Proc[[#This Row],[Obj]],13,10),"")</f>
        <v>CH65GCA001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HC</v>
      </c>
      <c r="L2671" s="125" t="s">
        <v>4894</v>
      </c>
      <c r="M2671" s="109">
        <v>45841.580648148149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110</v>
      </c>
      <c r="R2671" s="110" t="s">
        <v>410</v>
      </c>
      <c r="S2671" s="94"/>
    </row>
    <row r="2672" spans="1:19" hidden="1">
      <c r="A2672" s="103" t="s">
        <v>4755</v>
      </c>
      <c r="B2672" s="149" t="str">
        <f>IFERROR(VLOOKUP(Proc[[#This Row],[App]],Table2[],3,0),"open")</f>
        <v>ok</v>
      </c>
      <c r="C2672" s="117" t="s">
        <v>369</v>
      </c>
      <c r="D2672" t="s">
        <v>4761</v>
      </c>
      <c r="E2672" t="s">
        <v>4764</v>
      </c>
      <c r="F2672" s="117" t="s">
        <v>4764</v>
      </c>
      <c r="G2672" t="s">
        <v>406</v>
      </c>
      <c r="H2672" s="94" t="str">
        <f>IF(Proc[[#This Row],[type]]="LFF (MDG-F)",MID(Proc[[#This Row],[Obj]],13,10),"")</f>
        <v>DE50OF6808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HC</v>
      </c>
      <c r="L2672" s="125" t="s">
        <v>4894</v>
      </c>
      <c r="M2672" s="109">
        <v>45841.580648148149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110</v>
      </c>
      <c r="R2672" s="110" t="s">
        <v>410</v>
      </c>
      <c r="S2672" s="94"/>
    </row>
    <row r="2673" spans="1:19" hidden="1">
      <c r="A2673" s="103" t="s">
        <v>4755</v>
      </c>
      <c r="B2673" s="149" t="str">
        <f>IFERROR(VLOOKUP(Proc[[#This Row],[App]],Table2[],3,0),"open")</f>
        <v>ok</v>
      </c>
      <c r="C2673" s="117" t="s">
        <v>369</v>
      </c>
      <c r="D2673" t="s">
        <v>4762</v>
      </c>
      <c r="E2673" t="s">
        <v>4764</v>
      </c>
      <c r="F2673" s="117" t="s">
        <v>4764</v>
      </c>
      <c r="G2673" t="s">
        <v>400</v>
      </c>
      <c r="H2673" s="94" t="str">
        <f>IF(Proc[[#This Row],[type]]="LFF (MDG-F)",MID(Proc[[#This Row],[Obj]],13,10),"")</f>
        <v/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HC</v>
      </c>
      <c r="L2673" s="125" t="s">
        <v>4894</v>
      </c>
      <c r="M2673" s="109">
        <v>45841.580648148149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110</v>
      </c>
      <c r="R2673" s="110" t="s">
        <v>410</v>
      </c>
      <c r="S2673" s="94"/>
    </row>
    <row r="2674" spans="1:19" hidden="1">
      <c r="A2674" s="103" t="s">
        <v>4755</v>
      </c>
      <c r="B2674" s="149" t="str">
        <f>IFERROR(VLOOKUP(Proc[[#This Row],[App]],Table2[],3,0),"open")</f>
        <v>ok</v>
      </c>
      <c r="C2674" s="117" t="s">
        <v>369</v>
      </c>
      <c r="D2674" t="s">
        <v>4763</v>
      </c>
      <c r="E2674" t="s">
        <v>4764</v>
      </c>
      <c r="F2674" s="117" t="s">
        <v>4764</v>
      </c>
      <c r="G2674" t="s">
        <v>400</v>
      </c>
      <c r="H2674" s="94" t="str">
        <f>IF(Proc[[#This Row],[type]]="LFF (MDG-F)",MID(Proc[[#This Row],[Obj]],13,10),"")</f>
        <v/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HC</v>
      </c>
      <c r="L2674" s="125" t="s">
        <v>4894</v>
      </c>
      <c r="M2674" s="109">
        <v>45841.580648148149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110</v>
      </c>
      <c r="R2674" s="110" t="s">
        <v>410</v>
      </c>
      <c r="S2674" s="94"/>
    </row>
    <row r="2675" spans="1:19" hidden="1">
      <c r="A2675" t="s">
        <v>4765</v>
      </c>
      <c r="B2675" s="149" t="str">
        <f>IFERROR(VLOOKUP(Proc[[#This Row],[App]],Table2[],3,0),"open")</f>
        <v>ok</v>
      </c>
      <c r="C2675" s="103" t="s">
        <v>369</v>
      </c>
      <c r="D2675" t="s">
        <v>4766</v>
      </c>
      <c r="E2675" t="s">
        <v>4777</v>
      </c>
      <c r="F2675" s="117" t="s">
        <v>4777</v>
      </c>
      <c r="G2675" s="103" t="s">
        <v>406</v>
      </c>
      <c r="H2675" s="94" t="str">
        <f>IF(Proc[[#This Row],[type]]="LFF (MDG-F)",MID(Proc[[#This Row],[Obj]],13,10),"")</f>
        <v>AT50L93100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45841.629756944443</v>
      </c>
      <c r="N2675" s="109"/>
      <c r="O2675" s="109"/>
      <c r="P2675" s="94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110</v>
      </c>
      <c r="R2675" s="94" t="s">
        <v>515</v>
      </c>
      <c r="S2675" s="94"/>
    </row>
    <row r="2676" spans="1:19" hidden="1">
      <c r="A2676" s="103" t="s">
        <v>4765</v>
      </c>
      <c r="B2676" s="149" t="str">
        <f>IFERROR(VLOOKUP(Proc[[#This Row],[App]],Table2[],3,0),"open")</f>
        <v>ok</v>
      </c>
      <c r="C2676" s="117" t="s">
        <v>369</v>
      </c>
      <c r="D2676" t="s">
        <v>4767</v>
      </c>
      <c r="E2676" t="s">
        <v>4777</v>
      </c>
      <c r="F2676" s="117" t="s">
        <v>4777</v>
      </c>
      <c r="G2676" s="103" t="s">
        <v>406</v>
      </c>
      <c r="H2676" s="94" t="str">
        <f>IF(Proc[[#This Row],[type]]="LFF (MDG-F)",MID(Proc[[#This Row],[Obj]],13,10),"")</f>
        <v>DK50L93100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45841.629756944443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110</v>
      </c>
      <c r="R2676" s="94" t="s">
        <v>515</v>
      </c>
      <c r="S2676" s="94"/>
    </row>
    <row r="2677" spans="1:19" hidden="1">
      <c r="A2677" s="103" t="s">
        <v>4765</v>
      </c>
      <c r="B2677" s="149" t="str">
        <f>IFERROR(VLOOKUP(Proc[[#This Row],[App]],Table2[],3,0),"open")</f>
        <v>ok</v>
      </c>
      <c r="C2677" s="117" t="s">
        <v>369</v>
      </c>
      <c r="D2677" t="s">
        <v>4768</v>
      </c>
      <c r="E2677" t="s">
        <v>4777</v>
      </c>
      <c r="F2677" s="117" t="s">
        <v>4777</v>
      </c>
      <c r="G2677" s="103" t="s">
        <v>406</v>
      </c>
      <c r="H2677" s="94" t="str">
        <f>IF(Proc[[#This Row],[type]]="LFF (MDG-F)",MID(Proc[[#This Row],[Obj]],13,10),"")</f>
        <v>FI50L93100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45841.629756944443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110</v>
      </c>
      <c r="R2677" s="94" t="s">
        <v>515</v>
      </c>
      <c r="S2677" s="94"/>
    </row>
    <row r="2678" spans="1:19" hidden="1">
      <c r="A2678" s="103" t="s">
        <v>4765</v>
      </c>
      <c r="B2678" s="149" t="str">
        <f>IFERROR(VLOOKUP(Proc[[#This Row],[App]],Table2[],3,0),"open")</f>
        <v>ok</v>
      </c>
      <c r="C2678" s="117" t="s">
        <v>369</v>
      </c>
      <c r="D2678" t="s">
        <v>4769</v>
      </c>
      <c r="E2678" t="s">
        <v>4778</v>
      </c>
      <c r="F2678" s="117" t="s">
        <v>4778</v>
      </c>
      <c r="G2678" s="103" t="s">
        <v>406</v>
      </c>
      <c r="H2678" s="94" t="str">
        <f>IF(Proc[[#This Row],[type]]="LFF (MDG-F)",MID(Proc[[#This Row],[Obj]],13,10),"")</f>
        <v>KR02GHR119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45841.629756944443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110</v>
      </c>
      <c r="R2678" s="94" t="s">
        <v>515</v>
      </c>
      <c r="S2678" s="94"/>
    </row>
    <row r="2679" spans="1:19" hidden="1">
      <c r="A2679" s="103" t="s">
        <v>4765</v>
      </c>
      <c r="B2679" s="149" t="str">
        <f>IFERROR(VLOOKUP(Proc[[#This Row],[App]],Table2[],3,0),"open")</f>
        <v>ok</v>
      </c>
      <c r="C2679" s="117" t="s">
        <v>369</v>
      </c>
      <c r="D2679" t="s">
        <v>4770</v>
      </c>
      <c r="E2679" t="s">
        <v>4777</v>
      </c>
      <c r="F2679" s="117" t="s">
        <v>4777</v>
      </c>
      <c r="G2679" s="103" t="s">
        <v>406</v>
      </c>
      <c r="H2679" s="94" t="str">
        <f>IF(Proc[[#This Row],[type]]="LFF (MDG-F)",MID(Proc[[#This Row],[Obj]],13,10),"")</f>
        <v>MA50GHR018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45841.629756944443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110</v>
      </c>
      <c r="R2679" s="94" t="s">
        <v>515</v>
      </c>
      <c r="S2679" s="94"/>
    </row>
    <row r="2680" spans="1:19" hidden="1">
      <c r="A2680" s="103" t="s">
        <v>4765</v>
      </c>
      <c r="B2680" s="149" t="str">
        <f>IFERROR(VLOOKUP(Proc[[#This Row],[App]],Table2[],3,0),"open")</f>
        <v>ok</v>
      </c>
      <c r="C2680" s="117" t="s">
        <v>369</v>
      </c>
      <c r="D2680" t="s">
        <v>4771</v>
      </c>
      <c r="E2680" t="s">
        <v>4777</v>
      </c>
      <c r="F2680" s="117" t="s">
        <v>4777</v>
      </c>
      <c r="G2680" s="103" t="s">
        <v>406</v>
      </c>
      <c r="H2680" s="94" t="str">
        <f>IF(Proc[[#This Row],[type]]="LFF (MDG-F)",MID(Proc[[#This Row],[Obj]],13,10),"")</f>
        <v>NO50L93100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45841.629756944443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110</v>
      </c>
      <c r="R2680" s="94" t="s">
        <v>515</v>
      </c>
      <c r="S2680" s="94"/>
    </row>
    <row r="2681" spans="1:19" hidden="1">
      <c r="A2681" s="103" t="s">
        <v>4765</v>
      </c>
      <c r="B2681" s="149" t="str">
        <f>IFERROR(VLOOKUP(Proc[[#This Row],[App]],Table2[],3,0),"open")</f>
        <v>ok</v>
      </c>
      <c r="C2681" s="117" t="s">
        <v>369</v>
      </c>
      <c r="D2681" t="s">
        <v>4772</v>
      </c>
      <c r="E2681" t="s">
        <v>4777</v>
      </c>
      <c r="F2681" s="117" t="s">
        <v>4777</v>
      </c>
      <c r="G2681" s="103" t="s">
        <v>406</v>
      </c>
      <c r="H2681" s="94" t="str">
        <f>IF(Proc[[#This Row],[type]]="LFF (MDG-F)",MID(Proc[[#This Row],[Obj]],13,10),"")</f>
        <v>SE50L93100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45841.629756944443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110</v>
      </c>
      <c r="R2681" s="94" t="s">
        <v>515</v>
      </c>
      <c r="S2681" s="94"/>
    </row>
    <row r="2682" spans="1:19" hidden="1">
      <c r="A2682" s="103" t="s">
        <v>4765</v>
      </c>
      <c r="B2682" s="149" t="str">
        <f>IFERROR(VLOOKUP(Proc[[#This Row],[App]],Table2[],3,0),"open")</f>
        <v>ok</v>
      </c>
      <c r="C2682" s="117" t="s">
        <v>369</v>
      </c>
      <c r="D2682" t="s">
        <v>4773</v>
      </c>
      <c r="E2682" t="s">
        <v>4777</v>
      </c>
      <c r="F2682" s="117" t="s">
        <v>4777</v>
      </c>
      <c r="G2682" s="103" t="s">
        <v>406</v>
      </c>
      <c r="H2682" s="94" t="str">
        <f>IF(Proc[[#This Row],[type]]="LFF (MDG-F)",MID(Proc[[#This Row],[Obj]],13,10),"")</f>
        <v>TN50GHR018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45841.629756944443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110</v>
      </c>
      <c r="R2682" s="94" t="s">
        <v>515</v>
      </c>
      <c r="S2682" s="94"/>
    </row>
    <row r="2683" spans="1:19" hidden="1">
      <c r="A2683" s="103" t="s">
        <v>4765</v>
      </c>
      <c r="B2683" s="149" t="str">
        <f>IFERROR(VLOOKUP(Proc[[#This Row],[App]],Table2[],3,0),"open")</f>
        <v>ok</v>
      </c>
      <c r="C2683" s="117" t="s">
        <v>369</v>
      </c>
      <c r="D2683" t="s">
        <v>4774</v>
      </c>
      <c r="E2683" t="s">
        <v>4777</v>
      </c>
      <c r="F2683" s="117" t="s">
        <v>4777</v>
      </c>
      <c r="G2683" s="103" t="s">
        <v>406</v>
      </c>
      <c r="H2683" s="94" t="str">
        <f>IF(Proc[[#This Row],[type]]="LFF (MDG-F)",MID(Proc[[#This Row],[Obj]],13,10),"")</f>
        <v>TN50GHR019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45841.629756944443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110</v>
      </c>
      <c r="R2683" s="94" t="s">
        <v>515</v>
      </c>
      <c r="S2683" s="94"/>
    </row>
    <row r="2684" spans="1:19" hidden="1">
      <c r="A2684" s="103" t="s">
        <v>4765</v>
      </c>
      <c r="B2684" s="149" t="str">
        <f>IFERROR(VLOOKUP(Proc[[#This Row],[App]],Table2[],3,0),"open")</f>
        <v>ok</v>
      </c>
      <c r="C2684" s="117" t="s">
        <v>369</v>
      </c>
      <c r="D2684" t="s">
        <v>4775</v>
      </c>
      <c r="E2684" t="s">
        <v>4777</v>
      </c>
      <c r="F2684" s="117" t="s">
        <v>4777</v>
      </c>
      <c r="G2684" s="103" t="s">
        <v>406</v>
      </c>
      <c r="H2684" s="94" t="str">
        <f>IF(Proc[[#This Row],[type]]="LFF (MDG-F)",MID(Proc[[#This Row],[Obj]],13,10),"")</f>
        <v>TN60GHR018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45841.629756944443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110</v>
      </c>
      <c r="R2684" s="94" t="s">
        <v>515</v>
      </c>
      <c r="S2684" s="94"/>
    </row>
    <row r="2685" spans="1:19" hidden="1">
      <c r="A2685" s="103" t="s">
        <v>4765</v>
      </c>
      <c r="B2685" s="149" t="str">
        <f>IFERROR(VLOOKUP(Proc[[#This Row],[App]],Table2[],3,0),"open")</f>
        <v>ok</v>
      </c>
      <c r="C2685" s="117" t="s">
        <v>369</v>
      </c>
      <c r="D2685" t="s">
        <v>4800</v>
      </c>
      <c r="E2685" t="s">
        <v>4778</v>
      </c>
      <c r="F2685" s="117" t="s">
        <v>4778</v>
      </c>
      <c r="G2685" s="103" t="s">
        <v>406</v>
      </c>
      <c r="H2685" s="94" t="str">
        <f>IF(Proc[[#This Row],[type]]="LFF (MDG-F)",MID(Proc[[#This Row],[Obj]],13,10),"")</f>
        <v>KR03GHR119</v>
      </c>
      <c r="I2685" t="s">
        <v>4783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45841.629756944443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110</v>
      </c>
      <c r="R2685" s="94" t="s">
        <v>515</v>
      </c>
      <c r="S2685" s="94"/>
    </row>
    <row r="2686" spans="1:19" hidden="1">
      <c r="A2686" s="103" t="s">
        <v>4765</v>
      </c>
      <c r="B2686" s="149" t="str">
        <f>IFERROR(VLOOKUP(Proc[[#This Row],[App]],Table2[],3,0),"open")</f>
        <v>ok</v>
      </c>
      <c r="C2686" s="117" t="s">
        <v>369</v>
      </c>
      <c r="D2686" t="s">
        <v>4776</v>
      </c>
      <c r="E2686" t="s">
        <v>4777</v>
      </c>
      <c r="F2686" s="117" t="s">
        <v>4777</v>
      </c>
      <c r="G2686" t="s">
        <v>400</v>
      </c>
      <c r="H2686" s="94" t="str">
        <f>IF(Proc[[#This Row],[type]]="LFF (MDG-F)",MID(Proc[[#This Row],[Obj]],13,10),"")</f>
        <v/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45841.629756944443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110</v>
      </c>
      <c r="R2686" s="94" t="s">
        <v>515</v>
      </c>
      <c r="S2686" s="94"/>
    </row>
    <row r="2687" spans="1:19" hidden="1">
      <c r="A2687" t="s">
        <v>4782</v>
      </c>
      <c r="B2687" s="149" t="str">
        <f>IFERROR(VLOOKUP(Proc[[#This Row],[App]],Table2[],3,0),"open")</f>
        <v>ok</v>
      </c>
      <c r="C2687" s="117" t="s">
        <v>369</v>
      </c>
      <c r="D2687" t="s">
        <v>4779</v>
      </c>
      <c r="E2687" t="s">
        <v>4322</v>
      </c>
      <c r="F2687" s="120" t="s">
        <v>4322</v>
      </c>
      <c r="G2687" s="103" t="s">
        <v>406</v>
      </c>
      <c r="H2687" s="94" t="str">
        <f>IF(Proc[[#This Row],[type]]="LFF (MDG-F)",MID(Proc[[#This Row],[Obj]],13,10),"")</f>
        <v>2068TAUA01</v>
      </c>
      <c r="I2687" t="s">
        <v>4781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EL</v>
      </c>
      <c r="L2687" s="125" t="s">
        <v>4894</v>
      </c>
      <c r="M2687" s="109">
        <v>45841.910150462965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110</v>
      </c>
      <c r="R2687" s="110" t="s">
        <v>780</v>
      </c>
      <c r="S2687" s="94"/>
    </row>
    <row r="2688" spans="1:19" hidden="1">
      <c r="A2688" s="103" t="s">
        <v>4782</v>
      </c>
      <c r="B2688" s="149" t="str">
        <f>IFERROR(VLOOKUP(Proc[[#This Row],[App]],Table2[],3,0),"open")</f>
        <v>ok</v>
      </c>
      <c r="C2688" t="s">
        <v>369</v>
      </c>
      <c r="D2688" t="s">
        <v>4780</v>
      </c>
      <c r="E2688" t="s">
        <v>4322</v>
      </c>
      <c r="F2688" s="94" t="s">
        <v>4322</v>
      </c>
      <c r="G2688" s="103" t="s">
        <v>406</v>
      </c>
      <c r="H2688" s="94" t="str">
        <f>IF(Proc[[#This Row],[type]]="LFF (MDG-F)",MID(Proc[[#This Row],[Obj]],13,10),"")</f>
        <v>2068TAUA01</v>
      </c>
      <c r="I2688" s="103" t="s">
        <v>4781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EL</v>
      </c>
      <c r="L2688" s="125" t="s">
        <v>4894</v>
      </c>
      <c r="M2688" s="109">
        <v>45841.910150462965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110</v>
      </c>
      <c r="R2688" s="110" t="s">
        <v>780</v>
      </c>
      <c r="S2688" s="94"/>
    </row>
    <row r="2689" spans="1:19" hidden="1">
      <c r="A2689" t="s">
        <v>4786</v>
      </c>
      <c r="B2689" s="149" t="str">
        <f>IFERROR(VLOOKUP(Proc[[#This Row],[App]],Table2[],3,0),"open")</f>
        <v>ok</v>
      </c>
      <c r="C2689" s="117" t="s">
        <v>369</v>
      </c>
      <c r="D2689" t="s">
        <v>4807</v>
      </c>
      <c r="E2689" t="s">
        <v>4787</v>
      </c>
      <c r="F2689" s="94" t="s">
        <v>4787</v>
      </c>
      <c r="G2689" s="117" t="s">
        <v>400</v>
      </c>
      <c r="H2689" s="94" t="str">
        <f>IF(Proc[[#This Row],[type]]="LFF (MDG-F)",MID(Proc[[#This Row],[Obj]],13,10),"")</f>
        <v/>
      </c>
      <c r="I2689" s="114"/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15">
        <v>45845.910150462965</v>
      </c>
      <c r="N2689" s="113"/>
      <c r="O2689" s="113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108</v>
      </c>
      <c r="R2689" s="110" t="s">
        <v>1459</v>
      </c>
      <c r="S2689" s="94"/>
    </row>
    <row r="2690" spans="1:19" hidden="1">
      <c r="A2690" s="114" t="s">
        <v>4788</v>
      </c>
      <c r="B2690" s="149" t="str">
        <f>IFERROR(VLOOKUP(Proc[[#This Row],[App]],Table2[],3,0),"open")</f>
        <v>ok</v>
      </c>
      <c r="C2690" s="117" t="s">
        <v>369</v>
      </c>
      <c r="D2690" s="114" t="s">
        <v>4789</v>
      </c>
      <c r="E2690" s="114" t="s">
        <v>496</v>
      </c>
      <c r="F2690" s="94" t="s">
        <v>496</v>
      </c>
      <c r="G2690" t="s">
        <v>400</v>
      </c>
      <c r="H2690" s="94" t="str">
        <f>IF(Proc[[#This Row],[type]]="LFF (MDG-F)",MID(Proc[[#This Row],[Obj]],13,10),"")</f>
        <v/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LS</v>
      </c>
      <c r="L2690" s="125" t="s">
        <v>4894</v>
      </c>
      <c r="M2690" s="115">
        <v>45845.910150462965</v>
      </c>
      <c r="N2690" s="113"/>
      <c r="O2690" s="113"/>
      <c r="P2690" s="115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108</v>
      </c>
      <c r="R2690" s="115" t="s">
        <v>489</v>
      </c>
      <c r="S2690" s="94"/>
    </row>
    <row r="2691" spans="1:19" hidden="1">
      <c r="A2691" s="114" t="s">
        <v>4788</v>
      </c>
      <c r="B2691" s="149" t="str">
        <f>IFERROR(VLOOKUP(Proc[[#This Row],[App]],Table2[],3,0),"open")</f>
        <v>ok</v>
      </c>
      <c r="C2691" s="117" t="s">
        <v>369</v>
      </c>
      <c r="D2691" s="114" t="s">
        <v>4790</v>
      </c>
      <c r="E2691" s="114" t="s">
        <v>3557</v>
      </c>
      <c r="F2691" s="94" t="s">
        <v>3557</v>
      </c>
      <c r="G2691" s="114" t="s">
        <v>400</v>
      </c>
      <c r="H2691" s="94" t="str">
        <f>IF(Proc[[#This Row],[type]]="LFF (MDG-F)",MID(Proc[[#This Row],[Obj]],13,10),"")</f>
        <v/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LS</v>
      </c>
      <c r="L2691" s="125" t="s">
        <v>4894</v>
      </c>
      <c r="M2691" s="115">
        <v>45845.910150462965</v>
      </c>
      <c r="N2691" s="113"/>
      <c r="O2691" s="113"/>
      <c r="P2691" s="115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108</v>
      </c>
      <c r="R2691" s="115" t="s">
        <v>489</v>
      </c>
      <c r="S2691" s="94"/>
    </row>
    <row r="2692" spans="1:19" hidden="1">
      <c r="A2692" s="114" t="s">
        <v>4788</v>
      </c>
      <c r="B2692" s="149" t="str">
        <f>IFERROR(VLOOKUP(Proc[[#This Row],[App]],Table2[],3,0),"open")</f>
        <v>ok</v>
      </c>
      <c r="C2692" s="114" t="s">
        <v>377</v>
      </c>
      <c r="D2692" s="114" t="s">
        <v>4791</v>
      </c>
      <c r="E2692" s="114" t="s">
        <v>417</v>
      </c>
      <c r="F2692" s="94" t="s">
        <v>4804</v>
      </c>
      <c r="G2692" s="114" t="s">
        <v>400</v>
      </c>
      <c r="H2692" s="94" t="str">
        <f>IF(Proc[[#This Row],[type]]="LFF (MDG-F)",MID(Proc[[#This Row],[Obj]],13,10),"")</f>
        <v/>
      </c>
      <c r="J2692" s="94" t="b">
        <f>Proc[[#This Row],[Requested]]=Proc[[#This Row],[CurrentParent]]</f>
        <v>0</v>
      </c>
      <c r="K2692" s="144" t="str">
        <f>IF(Proc[[#This Row],[Author]]="Marcela Urrego",VLOOKUP(LEFT(Proc[[#This Row],[Requested]],1),Table3[#All],2,0),VLOOKUP(Proc[[#This Row],[Author]],Table4[],2,0))</f>
        <v>LS</v>
      </c>
      <c r="L2692" s="125" t="s">
        <v>4894</v>
      </c>
      <c r="M2692" s="115">
        <v>45845.910150462965</v>
      </c>
      <c r="N2692" s="113"/>
      <c r="O2692" s="113"/>
      <c r="P2692" s="115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108</v>
      </c>
      <c r="R2692" s="115" t="s">
        <v>489</v>
      </c>
      <c r="S2692" s="94"/>
    </row>
    <row r="2693" spans="1:19" hidden="1">
      <c r="A2693" s="114" t="s">
        <v>4788</v>
      </c>
      <c r="B2693" s="149" t="str">
        <f>IFERROR(VLOOKUP(Proc[[#This Row],[App]],Table2[],3,0),"open")</f>
        <v>ok</v>
      </c>
      <c r="C2693" s="117" t="s">
        <v>377</v>
      </c>
      <c r="D2693" s="114" t="s">
        <v>4792</v>
      </c>
      <c r="E2693" s="114" t="s">
        <v>417</v>
      </c>
      <c r="F2693" s="94" t="s">
        <v>4804</v>
      </c>
      <c r="G2693" s="114" t="s">
        <v>400</v>
      </c>
      <c r="H2693" s="94" t="str">
        <f>IF(Proc[[#This Row],[type]]="LFF (MDG-F)",MID(Proc[[#This Row],[Obj]],13,10),"")</f>
        <v/>
      </c>
      <c r="J2693" s="94" t="b">
        <f>Proc[[#This Row],[Requested]]=Proc[[#This Row],[CurrentParent]]</f>
        <v>0</v>
      </c>
      <c r="K2693" s="144" t="str">
        <f>IF(Proc[[#This Row],[Author]]="Marcela Urrego",VLOOKUP(LEFT(Proc[[#This Row],[Requested]],1),Table3[#All],2,0),VLOOKUP(Proc[[#This Row],[Author]],Table4[],2,0))</f>
        <v>LS</v>
      </c>
      <c r="L2693" s="125" t="s">
        <v>4894</v>
      </c>
      <c r="M2693" s="115">
        <v>45845.910150462965</v>
      </c>
      <c r="N2693" s="113"/>
      <c r="O2693" s="113"/>
      <c r="P2693" s="115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108</v>
      </c>
      <c r="R2693" s="115" t="s">
        <v>489</v>
      </c>
      <c r="S2693" s="94"/>
    </row>
    <row r="2694" spans="1:19" hidden="1">
      <c r="A2694" s="114" t="s">
        <v>4788</v>
      </c>
      <c r="B2694" s="149" t="str">
        <f>IFERROR(VLOOKUP(Proc[[#This Row],[App]],Table2[],3,0),"open")</f>
        <v>ok</v>
      </c>
      <c r="C2694" s="117" t="s">
        <v>377</v>
      </c>
      <c r="D2694" s="114" t="s">
        <v>4793</v>
      </c>
      <c r="E2694" s="114" t="s">
        <v>417</v>
      </c>
      <c r="F2694" s="94" t="s">
        <v>4805</v>
      </c>
      <c r="G2694" s="114" t="s">
        <v>400</v>
      </c>
      <c r="H2694" s="94" t="str">
        <f>IF(Proc[[#This Row],[type]]="LFF (MDG-F)",MID(Proc[[#This Row],[Obj]],13,10),"")</f>
        <v/>
      </c>
      <c r="J2694" s="94" t="b">
        <f>Proc[[#This Row],[Requested]]=Proc[[#This Row],[CurrentParent]]</f>
        <v>0</v>
      </c>
      <c r="K2694" s="144" t="str">
        <f>IF(Proc[[#This Row],[Author]]="Marcela Urrego",VLOOKUP(LEFT(Proc[[#This Row],[Requested]],1),Table3[#All],2,0),VLOOKUP(Proc[[#This Row],[Author]],Table4[],2,0))</f>
        <v>LS</v>
      </c>
      <c r="L2694" s="125" t="s">
        <v>4894</v>
      </c>
      <c r="M2694" s="115">
        <v>45845.910150462965</v>
      </c>
      <c r="N2694" s="113"/>
      <c r="O2694" s="113"/>
      <c r="P2694" s="115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108</v>
      </c>
      <c r="R2694" s="115" t="s">
        <v>489</v>
      </c>
      <c r="S2694" s="94"/>
    </row>
    <row r="2695" spans="1:19" hidden="1">
      <c r="A2695" s="114" t="s">
        <v>4788</v>
      </c>
      <c r="B2695" s="149" t="str">
        <f>IFERROR(VLOOKUP(Proc[[#This Row],[App]],Table2[],3,0),"open")</f>
        <v>ok</v>
      </c>
      <c r="C2695" s="117" t="s">
        <v>377</v>
      </c>
      <c r="D2695" s="114" t="s">
        <v>4794</v>
      </c>
      <c r="E2695" s="114" t="s">
        <v>417</v>
      </c>
      <c r="F2695" s="94" t="s">
        <v>4806</v>
      </c>
      <c r="G2695" s="114" t="s">
        <v>400</v>
      </c>
      <c r="H2695" s="94" t="str">
        <f>IF(Proc[[#This Row],[type]]="LFF (MDG-F)",MID(Proc[[#This Row],[Obj]],13,10),"")</f>
        <v/>
      </c>
      <c r="J2695" s="94" t="b">
        <f>Proc[[#This Row],[Requested]]=Proc[[#This Row],[CurrentParent]]</f>
        <v>0</v>
      </c>
      <c r="K2695" s="144" t="str">
        <f>IF(Proc[[#This Row],[Author]]="Marcela Urrego",VLOOKUP(LEFT(Proc[[#This Row],[Requested]],1),Table3[#All],2,0),VLOOKUP(Proc[[#This Row],[Author]],Table4[],2,0))</f>
        <v>LS</v>
      </c>
      <c r="L2695" s="125" t="s">
        <v>4894</v>
      </c>
      <c r="M2695" s="115">
        <v>45845.910150462965</v>
      </c>
      <c r="N2695" s="113"/>
      <c r="O2695" s="113"/>
      <c r="P2695" s="115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108</v>
      </c>
      <c r="R2695" s="115" t="s">
        <v>489</v>
      </c>
      <c r="S2695" s="94"/>
    </row>
    <row r="2696" spans="1:19" hidden="1">
      <c r="A2696" s="114" t="s">
        <v>4788</v>
      </c>
      <c r="B2696" s="149" t="str">
        <f>IFERROR(VLOOKUP(Proc[[#This Row],[App]],Table2[],3,0),"open")</f>
        <v>ok</v>
      </c>
      <c r="C2696" s="117" t="s">
        <v>369</v>
      </c>
      <c r="D2696" s="114" t="s">
        <v>4795</v>
      </c>
      <c r="E2696" s="114" t="s">
        <v>1144</v>
      </c>
      <c r="F2696" s="94" t="s">
        <v>1144</v>
      </c>
      <c r="G2696" s="114" t="s">
        <v>400</v>
      </c>
      <c r="H2696" s="94" t="str">
        <f>IF(Proc[[#This Row],[type]]="LFF (MDG-F)",MID(Proc[[#This Row],[Obj]],13,10),"")</f>
        <v/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LS</v>
      </c>
      <c r="L2696" s="125" t="s">
        <v>4894</v>
      </c>
      <c r="M2696" s="115">
        <v>45845.910150462965</v>
      </c>
      <c r="N2696" s="113"/>
      <c r="O2696" s="113"/>
      <c r="P2696" s="115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108</v>
      </c>
      <c r="R2696" s="115" t="s">
        <v>489</v>
      </c>
      <c r="S2696" s="94"/>
    </row>
    <row r="2697" spans="1:19" hidden="1">
      <c r="A2697" t="s">
        <v>4796</v>
      </c>
      <c r="B2697" s="149" t="str">
        <f>IFERROR(VLOOKUP(Proc[[#This Row],[App]],Table2[],3,0),"open")</f>
        <v>ok</v>
      </c>
      <c r="C2697" s="114" t="s">
        <v>369</v>
      </c>
      <c r="D2697" t="s">
        <v>4801</v>
      </c>
      <c r="E2697" t="s">
        <v>4797</v>
      </c>
      <c r="F2697" s="94" t="s">
        <v>4797</v>
      </c>
      <c r="G2697" t="s">
        <v>406</v>
      </c>
      <c r="H2697" s="94" t="str">
        <f>IF(Proc[[#This Row],[type]]="LFF (MDG-F)",MID(Proc[[#This Row],[Obj]],13,10),"")</f>
        <v>1937TMCZ80</v>
      </c>
      <c r="I2697" t="s">
        <v>4802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LS</v>
      </c>
      <c r="L2697" s="125" t="s">
        <v>4894</v>
      </c>
      <c r="M2697" s="115">
        <v>45845.910150462965</v>
      </c>
      <c r="N2697" s="113"/>
      <c r="O2697" s="113"/>
      <c r="P2697" s="115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108</v>
      </c>
      <c r="R2697" s="115" t="s">
        <v>489</v>
      </c>
      <c r="S2697" s="94"/>
    </row>
    <row r="2698" spans="1:19" hidden="1">
      <c r="A2698" t="s">
        <v>4799</v>
      </c>
      <c r="B2698" s="149" t="str">
        <f>IFERROR(VLOOKUP(Proc[[#This Row],[App]],Table2[],3,0),"open")</f>
        <v>ok</v>
      </c>
      <c r="C2698" s="117" t="s">
        <v>369</v>
      </c>
      <c r="D2698" s="116" t="s">
        <v>4798</v>
      </c>
      <c r="E2698" s="118" t="s">
        <v>413</v>
      </c>
      <c r="F2698" s="94" t="s">
        <v>413</v>
      </c>
      <c r="G2698" s="117" t="s">
        <v>400</v>
      </c>
      <c r="H2698" s="94" t="str">
        <f>IF(Proc[[#This Row],[type]]="LFF (MDG-F)",MID(Proc[[#This Row],[Obj]],13,10),"")</f>
        <v/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15">
        <v>45845.910150462965</v>
      </c>
      <c r="N2698" s="113"/>
      <c r="O2698" s="113"/>
      <c r="P2698" s="115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108</v>
      </c>
      <c r="R2698" s="115" t="s">
        <v>515</v>
      </c>
      <c r="S2698" s="94"/>
    </row>
    <row r="2699" spans="1:19" hidden="1">
      <c r="A2699" t="s">
        <v>4808</v>
      </c>
      <c r="B2699" s="149" t="str">
        <f>IFERROR(VLOOKUP(Proc[[#This Row],[App]],Table2[],3,0),"open")</f>
        <v>ok</v>
      </c>
      <c r="C2699" s="117" t="s">
        <v>369</v>
      </c>
      <c r="D2699" t="s">
        <v>4809</v>
      </c>
      <c r="E2699" t="s">
        <v>417</v>
      </c>
      <c r="F2699" s="94" t="s">
        <v>417</v>
      </c>
      <c r="G2699" s="117" t="s">
        <v>400</v>
      </c>
      <c r="H2699" s="94" t="str">
        <f>IF(Proc[[#This Row],[type]]="LFF (MDG-F)",MID(Proc[[#This Row],[Obj]],13,10),"")</f>
        <v/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LS</v>
      </c>
      <c r="L2699" s="125" t="s">
        <v>4894</v>
      </c>
      <c r="M2699" s="115">
        <v>45846.910150462965</v>
      </c>
      <c r="N2699" s="113"/>
      <c r="O2699" s="113"/>
      <c r="P2699" s="115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107</v>
      </c>
      <c r="R2699" s="115" t="s">
        <v>489</v>
      </c>
      <c r="S2699" s="94"/>
    </row>
    <row r="2700" spans="1:19" hidden="1">
      <c r="A2700" s="117" t="s">
        <v>4808</v>
      </c>
      <c r="B2700" s="149" t="str">
        <f>IFERROR(VLOOKUP(Proc[[#This Row],[App]],Table2[],3,0),"open")</f>
        <v>ok</v>
      </c>
      <c r="C2700" s="117" t="s">
        <v>369</v>
      </c>
      <c r="D2700" t="s">
        <v>4810</v>
      </c>
      <c r="E2700" t="s">
        <v>417</v>
      </c>
      <c r="F2700" s="94" t="s">
        <v>417</v>
      </c>
      <c r="G2700" s="117" t="s">
        <v>400</v>
      </c>
      <c r="H2700" s="94" t="str">
        <f>IF(Proc[[#This Row],[type]]="LFF (MDG-F)",MID(Proc[[#This Row],[Obj]],13,10),"")</f>
        <v/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LS</v>
      </c>
      <c r="L2700" s="125" t="s">
        <v>4894</v>
      </c>
      <c r="M2700" s="115">
        <v>45846.910150462965</v>
      </c>
      <c r="N2700" s="113"/>
      <c r="O2700" s="113"/>
      <c r="P2700" s="115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107</v>
      </c>
      <c r="R2700" s="115" t="s">
        <v>489</v>
      </c>
      <c r="S2700" s="94"/>
    </row>
    <row r="2701" spans="1:19" hidden="1">
      <c r="A2701" s="117" t="s">
        <v>4808</v>
      </c>
      <c r="B2701" s="149" t="str">
        <f>IFERROR(VLOOKUP(Proc[[#This Row],[App]],Table2[],3,0),"open")</f>
        <v>ok</v>
      </c>
      <c r="C2701" s="117" t="s">
        <v>369</v>
      </c>
      <c r="D2701" t="s">
        <v>4811</v>
      </c>
      <c r="E2701" t="s">
        <v>417</v>
      </c>
      <c r="F2701" s="94" t="s">
        <v>417</v>
      </c>
      <c r="G2701" s="117" t="s">
        <v>400</v>
      </c>
      <c r="H2701" s="94" t="str">
        <f>IF(Proc[[#This Row],[type]]="LFF (MDG-F)",MID(Proc[[#This Row],[Obj]],13,10),"")</f>
        <v/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LS</v>
      </c>
      <c r="L2701" s="125" t="s">
        <v>4894</v>
      </c>
      <c r="M2701" s="115">
        <v>45846.910150462965</v>
      </c>
      <c r="N2701" s="113"/>
      <c r="O2701" s="113"/>
      <c r="P2701" s="115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107</v>
      </c>
      <c r="R2701" s="115" t="s">
        <v>489</v>
      </c>
      <c r="S2701" s="94"/>
    </row>
    <row r="2702" spans="1:19" hidden="1">
      <c r="A2702" t="s">
        <v>4812</v>
      </c>
      <c r="B2702" s="149" t="str">
        <f>IFERROR(VLOOKUP(Proc[[#This Row],[App]],Table2[],3,0),"open")</f>
        <v>ok</v>
      </c>
      <c r="C2702" s="117" t="s">
        <v>369</v>
      </c>
      <c r="D2702" t="s">
        <v>4821</v>
      </c>
      <c r="E2702" s="94" t="s">
        <v>4813</v>
      </c>
      <c r="F2702" s="94" t="s">
        <v>4813</v>
      </c>
      <c r="G2702" t="s">
        <v>400</v>
      </c>
      <c r="H2702" s="94" t="str">
        <f>IF(Proc[[#This Row],[type]]="LFF (MDG-F)",MID(Proc[[#This Row],[Obj]],13,10),"")</f>
        <v/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LS</v>
      </c>
      <c r="L2702" s="125" t="s">
        <v>4894</v>
      </c>
      <c r="M2702" s="115">
        <v>45847.910150462965</v>
      </c>
      <c r="N2702" s="113"/>
      <c r="O2702" s="113"/>
      <c r="P2702" s="115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106</v>
      </c>
      <c r="R2702" s="115" t="s">
        <v>4820</v>
      </c>
      <c r="S2702" s="94"/>
    </row>
    <row r="2703" spans="1:19" hidden="1">
      <c r="A2703" t="s">
        <v>4814</v>
      </c>
      <c r="B2703" s="149" t="str">
        <f>IFERROR(VLOOKUP(Proc[[#This Row],[App]],Table2[],3,0),"open")</f>
        <v>ok</v>
      </c>
      <c r="C2703" s="117" t="s">
        <v>369</v>
      </c>
      <c r="D2703" t="s">
        <v>2089</v>
      </c>
      <c r="E2703" t="s">
        <v>2092</v>
      </c>
      <c r="F2703" s="94" t="s">
        <v>2092</v>
      </c>
      <c r="G2703" s="117" t="s">
        <v>400</v>
      </c>
      <c r="H2703" s="94" t="str">
        <f>IF(Proc[[#This Row],[type]]="LFF (MDG-F)",MID(Proc[[#This Row],[Obj]],13,10),"")</f>
        <v/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LS</v>
      </c>
      <c r="L2703" s="125" t="s">
        <v>4894</v>
      </c>
      <c r="M2703" s="115">
        <v>45847.910150462965</v>
      </c>
      <c r="N2703" s="113"/>
      <c r="O2703" s="113"/>
      <c r="P2703" s="115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106</v>
      </c>
      <c r="R2703" s="115" t="s">
        <v>4819</v>
      </c>
      <c r="S2703" s="94"/>
    </row>
    <row r="2704" spans="1:19" hidden="1">
      <c r="A2704" s="117" t="s">
        <v>4814</v>
      </c>
      <c r="B2704" s="149" t="str">
        <f>IFERROR(VLOOKUP(Proc[[#This Row],[App]],Table2[],3,0),"open")</f>
        <v>ok</v>
      </c>
      <c r="C2704" s="117" t="s">
        <v>369</v>
      </c>
      <c r="D2704" t="s">
        <v>2090</v>
      </c>
      <c r="E2704" t="s">
        <v>2093</v>
      </c>
      <c r="F2704" s="94" t="s">
        <v>2093</v>
      </c>
      <c r="G2704" s="117" t="s">
        <v>400</v>
      </c>
      <c r="H2704" s="94" t="str">
        <f>IF(Proc[[#This Row],[type]]="LFF (MDG-F)",MID(Proc[[#This Row],[Obj]],13,10),"")</f>
        <v/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LS</v>
      </c>
      <c r="L2704" s="125" t="s">
        <v>4894</v>
      </c>
      <c r="M2704" s="115">
        <v>45847.910150462965</v>
      </c>
      <c r="N2704" s="113"/>
      <c r="O2704" s="113"/>
      <c r="P2704" s="115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106</v>
      </c>
      <c r="R2704" s="115" t="s">
        <v>4819</v>
      </c>
      <c r="S2704" s="94"/>
    </row>
    <row r="2705" spans="1:19" hidden="1">
      <c r="A2705" s="117" t="s">
        <v>4814</v>
      </c>
      <c r="B2705" s="149" t="str">
        <f>IFERROR(VLOOKUP(Proc[[#This Row],[App]],Table2[],3,0),"open")</f>
        <v>ok</v>
      </c>
      <c r="C2705" s="117" t="s">
        <v>369</v>
      </c>
      <c r="D2705" t="s">
        <v>4822</v>
      </c>
      <c r="E2705" t="s">
        <v>4815</v>
      </c>
      <c r="F2705" s="94" t="s">
        <v>4815</v>
      </c>
      <c r="G2705" s="117" t="s">
        <v>400</v>
      </c>
      <c r="H2705" s="94" t="str">
        <f>IF(Proc[[#This Row],[type]]="LFF (MDG-F)",MID(Proc[[#This Row],[Obj]],13,10),"")</f>
        <v/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LS</v>
      </c>
      <c r="L2705" s="125" t="s">
        <v>4894</v>
      </c>
      <c r="M2705" s="115">
        <v>45847.910150462965</v>
      </c>
      <c r="N2705" s="113"/>
      <c r="O2705" s="113"/>
      <c r="P2705" s="115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106</v>
      </c>
      <c r="R2705" s="115" t="s">
        <v>4819</v>
      </c>
      <c r="S2705" s="94"/>
    </row>
    <row r="2706" spans="1:19" hidden="1">
      <c r="A2706" t="s">
        <v>4816</v>
      </c>
      <c r="B2706" s="149" t="str">
        <f>IFERROR(VLOOKUP(Proc[[#This Row],[App]],Table2[],3,0),"open")</f>
        <v>ok</v>
      </c>
      <c r="C2706" s="117" t="s">
        <v>369</v>
      </c>
      <c r="D2706" t="s">
        <v>4817</v>
      </c>
      <c r="E2706" t="s">
        <v>3382</v>
      </c>
      <c r="F2706" s="117" t="s">
        <v>3382</v>
      </c>
      <c r="G2706" t="s">
        <v>406</v>
      </c>
      <c r="H2706" s="94" t="str">
        <f>IF(Proc[[#This Row],[type]]="LFF (MDG-F)",MID(Proc[[#This Row],[Obj]],13,10),"")</f>
        <v>DE10538528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15">
        <v>45847.910150462965</v>
      </c>
      <c r="N2706" s="113"/>
      <c r="O2706" s="113"/>
      <c r="P2706" s="115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106</v>
      </c>
      <c r="R2706" s="115" t="s">
        <v>481</v>
      </c>
      <c r="S2706" s="94"/>
    </row>
    <row r="2707" spans="1:19" hidden="1">
      <c r="A2707" s="117" t="s">
        <v>4816</v>
      </c>
      <c r="B2707" s="149" t="str">
        <f>IFERROR(VLOOKUP(Proc[[#This Row],[App]],Table2[],3,0),"open")</f>
        <v>ok</v>
      </c>
      <c r="C2707" s="117" t="s">
        <v>369</v>
      </c>
      <c r="D2707" t="s">
        <v>4818</v>
      </c>
      <c r="E2707" t="s">
        <v>3381</v>
      </c>
      <c r="F2707" s="117" t="s">
        <v>3381</v>
      </c>
      <c r="G2707" s="117" t="s">
        <v>406</v>
      </c>
      <c r="H2707" s="94" t="str">
        <f>IF(Proc[[#This Row],[type]]="LFF (MDG-F)",MID(Proc[[#This Row],[Obj]],13,10),"")</f>
        <v>DE20538528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15">
        <v>45847.910150462965</v>
      </c>
      <c r="N2707" s="113"/>
      <c r="O2707" s="113"/>
      <c r="P2707" s="115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106</v>
      </c>
      <c r="R2707" s="115" t="s">
        <v>481</v>
      </c>
      <c r="S2707" s="94"/>
    </row>
    <row r="2708" spans="1:19" hidden="1">
      <c r="A2708" t="s">
        <v>4823</v>
      </c>
      <c r="B2708" s="149" t="str">
        <f>IFERROR(VLOOKUP(Proc[[#This Row],[App]],Table2[],3,0),"open")</f>
        <v>ok</v>
      </c>
      <c r="C2708" s="117" t="s">
        <v>369</v>
      </c>
      <c r="D2708" s="99" t="s">
        <v>4824</v>
      </c>
      <c r="E2708" t="s">
        <v>2338</v>
      </c>
      <c r="F2708" s="117" t="s">
        <v>2338</v>
      </c>
      <c r="G2708" s="117" t="s">
        <v>406</v>
      </c>
      <c r="H2708" s="94" t="str">
        <f>IF(Proc[[#This Row],[type]]="LFF (MDG-F)",MID(Proc[[#This Row],[Obj]],13,10),"")</f>
        <v>DE10890000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HC</v>
      </c>
      <c r="L2708" s="125" t="s">
        <v>4894</v>
      </c>
      <c r="M2708" s="115">
        <v>45848.910150462965</v>
      </c>
      <c r="N2708" s="113"/>
      <c r="O2708" s="113"/>
      <c r="P2708" s="115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105</v>
      </c>
      <c r="R2708" s="115" t="s">
        <v>410</v>
      </c>
      <c r="S2708" s="94"/>
    </row>
    <row r="2709" spans="1:19" hidden="1">
      <c r="A2709" t="s">
        <v>4825</v>
      </c>
      <c r="B2709" s="149" t="str">
        <f>IFERROR(VLOOKUP(Proc[[#This Row],[App]],Table2[],3,0),"open")</f>
        <v>ok</v>
      </c>
      <c r="C2709" s="117" t="s">
        <v>369</v>
      </c>
      <c r="D2709" t="s">
        <v>4826</v>
      </c>
      <c r="E2709" t="s">
        <v>4827</v>
      </c>
      <c r="F2709" s="117" t="s">
        <v>4827</v>
      </c>
      <c r="G2709" s="117" t="s">
        <v>406</v>
      </c>
      <c r="H2709" s="94" t="str">
        <f>IF(Proc[[#This Row],[type]]="LFF (MDG-F)",MID(Proc[[#This Row],[Obj]],13,10),"")</f>
        <v>AE50C0LS07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LS</v>
      </c>
      <c r="L2709" s="125" t="s">
        <v>4894</v>
      </c>
      <c r="M2709" s="115">
        <v>45848.910150462965</v>
      </c>
      <c r="N2709" s="113"/>
      <c r="O2709" s="113"/>
      <c r="P2709" s="115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105</v>
      </c>
      <c r="R2709" s="115" t="s">
        <v>4819</v>
      </c>
      <c r="S2709" s="94"/>
    </row>
    <row r="2710" spans="1:19" hidden="1">
      <c r="A2710" t="s">
        <v>4830</v>
      </c>
      <c r="B2710" s="149" t="str">
        <f>IFERROR(VLOOKUP(Proc[[#This Row],[App]],Table2[],3,0),"open")</f>
        <v>ok</v>
      </c>
      <c r="C2710" t="s">
        <v>369</v>
      </c>
      <c r="D2710" t="s">
        <v>4831</v>
      </c>
      <c r="E2710" t="s">
        <v>4829</v>
      </c>
      <c r="F2710" s="120" t="s">
        <v>4829</v>
      </c>
      <c r="G2710" s="117" t="s">
        <v>406</v>
      </c>
      <c r="H2710" s="94" t="str">
        <f>IF(Proc[[#This Row],[type]]="LFF (MDG-F)",MID(Proc[[#This Row],[Obj]],13,10),"")</f>
        <v>DE50O00001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HC</v>
      </c>
      <c r="L2710" s="125" t="s">
        <v>4894</v>
      </c>
      <c r="M2710" s="115">
        <v>45852.910150462965</v>
      </c>
      <c r="N2710" s="113"/>
      <c r="O2710" s="113"/>
      <c r="P2710" s="115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103</v>
      </c>
      <c r="R2710" s="115" t="s">
        <v>410</v>
      </c>
      <c r="S2710" s="94"/>
    </row>
    <row r="2711" spans="1:19" hidden="1">
      <c r="A2711" t="s">
        <v>4834</v>
      </c>
      <c r="B2711" s="149" t="str">
        <f>IFERROR(VLOOKUP(Proc[[#This Row],[App]],Table2[],3,0),"open")</f>
        <v>ok</v>
      </c>
      <c r="C2711" s="121" t="s">
        <v>369</v>
      </c>
      <c r="D2711" s="119" t="s">
        <v>4839</v>
      </c>
      <c r="E2711" t="s">
        <v>4833</v>
      </c>
      <c r="F2711" s="125" t="s">
        <v>4833</v>
      </c>
      <c r="G2711" t="s">
        <v>400</v>
      </c>
      <c r="H2711" s="120" t="str">
        <f>IF(Proc[[#This Row],[type]]="LFF (MDG-F)",MID(Proc[[#This Row],[Obj]],13,10),"")</f>
        <v/>
      </c>
      <c r="J2711" s="120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HC</v>
      </c>
      <c r="L2711" s="125" t="s">
        <v>4894</v>
      </c>
      <c r="M2711" s="115">
        <v>45853.910150462965</v>
      </c>
      <c r="N2711" s="113"/>
      <c r="O2711" s="113"/>
      <c r="P2711" s="115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102</v>
      </c>
      <c r="R2711" s="115" t="s">
        <v>410</v>
      </c>
      <c r="S2711" s="120"/>
    </row>
    <row r="2712" spans="1:19" hidden="1">
      <c r="A2712" t="s">
        <v>4838</v>
      </c>
      <c r="B2712" s="149" t="str">
        <f>IFERROR(VLOOKUP(Proc[[#This Row],[App]],Table2[],3,0),"open")</f>
        <v>ok</v>
      </c>
      <c r="C2712" s="121" t="s">
        <v>369</v>
      </c>
      <c r="D2712" t="s">
        <v>4835</v>
      </c>
      <c r="E2712" t="s">
        <v>1214</v>
      </c>
      <c r="F2712" s="125" t="s">
        <v>1214</v>
      </c>
      <c r="G2712" s="119" t="s">
        <v>400</v>
      </c>
      <c r="H2712" s="120" t="str">
        <f>IF(Proc[[#This Row],[type]]="LFF (MDG-F)",MID(Proc[[#This Row],[Obj]],13,10),"")</f>
        <v/>
      </c>
      <c r="J2712" s="120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EL</v>
      </c>
      <c r="L2712" s="125" t="s">
        <v>4894</v>
      </c>
      <c r="M2712" s="115">
        <v>45853.910150462965</v>
      </c>
      <c r="N2712" s="113"/>
      <c r="O2712" s="113"/>
      <c r="P2712" s="115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102</v>
      </c>
      <c r="R2712" s="115" t="s">
        <v>780</v>
      </c>
      <c r="S2712" s="120"/>
    </row>
    <row r="2713" spans="1:19" hidden="1">
      <c r="A2713" s="119" t="s">
        <v>4838</v>
      </c>
      <c r="B2713" s="149" t="str">
        <f>IFERROR(VLOOKUP(Proc[[#This Row],[App]],Table2[],3,0),"open")</f>
        <v>ok</v>
      </c>
      <c r="C2713" s="121" t="s">
        <v>369</v>
      </c>
      <c r="D2713" t="s">
        <v>4836</v>
      </c>
      <c r="E2713" t="s">
        <v>4837</v>
      </c>
      <c r="F2713" s="125" t="s">
        <v>4837</v>
      </c>
      <c r="G2713" s="119" t="s">
        <v>400</v>
      </c>
      <c r="H2713" s="120" t="str">
        <f>IF(Proc[[#This Row],[type]]="LFF (MDG-F)",MID(Proc[[#This Row],[Obj]],13,10),"")</f>
        <v/>
      </c>
      <c r="J2713" s="120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EL</v>
      </c>
      <c r="L2713" s="125" t="s">
        <v>4894</v>
      </c>
      <c r="M2713" s="115">
        <v>45853.910150462965</v>
      </c>
      <c r="N2713" s="113"/>
      <c r="O2713" s="113"/>
      <c r="P2713" s="115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102</v>
      </c>
      <c r="R2713" s="115" t="s">
        <v>780</v>
      </c>
      <c r="S2713" s="120"/>
    </row>
    <row r="2714" spans="1:19" hidden="1">
      <c r="A2714" t="s">
        <v>4842</v>
      </c>
      <c r="B2714" s="149" t="str">
        <f>IFERROR(VLOOKUP(Proc[[#This Row],[App]],Table2[],3,0),"open")</f>
        <v>ok</v>
      </c>
      <c r="C2714" s="121" t="s">
        <v>369</v>
      </c>
      <c r="D2714" t="s">
        <v>4840</v>
      </c>
      <c r="E2714" t="s">
        <v>4841</v>
      </c>
      <c r="F2714" s="124" t="s">
        <v>4841</v>
      </c>
      <c r="G2714" t="s">
        <v>406</v>
      </c>
      <c r="H2714" s="120" t="str">
        <f>IF(Proc[[#This Row],[type]]="LFF (MDG-F)",MID(Proc[[#This Row],[Obj]],13,10),"")</f>
        <v>DE10674300</v>
      </c>
      <c r="I2714" t="s">
        <v>4843</v>
      </c>
      <c r="J2714" s="120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15">
        <v>45854.910150462965</v>
      </c>
      <c r="N2714" s="113"/>
      <c r="O2714" s="113"/>
      <c r="P2714" s="115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101</v>
      </c>
      <c r="R2714" s="115" t="s">
        <v>856</v>
      </c>
      <c r="S2714" s="120"/>
    </row>
    <row r="2715" spans="1:19" hidden="1">
      <c r="A2715" t="s">
        <v>4844</v>
      </c>
      <c r="B2715" s="149" t="str">
        <f>IFERROR(VLOOKUP(Proc[[#This Row],[App]],Table2[],3,0),"open")</f>
        <v>ok</v>
      </c>
      <c r="C2715" s="121" t="s">
        <v>369</v>
      </c>
      <c r="D2715" t="s">
        <v>4845</v>
      </c>
      <c r="E2715" t="s">
        <v>3534</v>
      </c>
      <c r="F2715" s="125" t="s">
        <v>3534</v>
      </c>
      <c r="G2715" t="s">
        <v>400</v>
      </c>
      <c r="H2715" s="120" t="str">
        <f>IF(Proc[[#This Row],[type]]="LFF (MDG-F)",MID(Proc[[#This Row],[Obj]],13,10),"")</f>
        <v/>
      </c>
      <c r="J2715" s="120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15">
        <v>45854.910150462965</v>
      </c>
      <c r="N2715" s="113"/>
      <c r="O2715" s="113"/>
      <c r="P2715" s="115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101</v>
      </c>
      <c r="R2715" s="115" t="s">
        <v>856</v>
      </c>
      <c r="S2715" s="120"/>
    </row>
    <row r="2716" spans="1:19" hidden="1">
      <c r="A2716" t="s">
        <v>4846</v>
      </c>
      <c r="B2716" s="149" t="str">
        <f>IFERROR(VLOOKUP(Proc[[#This Row],[App]],Table2[],3,0),"open")</f>
        <v>ok</v>
      </c>
      <c r="C2716" s="124" t="s">
        <v>369</v>
      </c>
      <c r="D2716" s="121" t="s">
        <v>2803</v>
      </c>
      <c r="E2716" s="121" t="s">
        <v>2811</v>
      </c>
      <c r="F2716" s="125" t="s">
        <v>2811</v>
      </c>
      <c r="G2716" s="121" t="s">
        <v>406</v>
      </c>
      <c r="H2716" s="120" t="str">
        <f>IF(Proc[[#This Row],[type]]="LFF (MDG-F)",MID(Proc[[#This Row],[Obj]],13,10),"")</f>
        <v>2102TPSZ93</v>
      </c>
      <c r="J2716" s="120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LS</v>
      </c>
      <c r="L2716" s="125" t="s">
        <v>4894</v>
      </c>
      <c r="M2716" s="115">
        <v>45854.910150462965</v>
      </c>
      <c r="N2716" s="113"/>
      <c r="O2716" s="113"/>
      <c r="P2716" s="115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101</v>
      </c>
      <c r="R2716" s="115" t="s">
        <v>489</v>
      </c>
      <c r="S2716" s="120"/>
    </row>
    <row r="2717" spans="1:19" hidden="1">
      <c r="A2717" t="s">
        <v>4848</v>
      </c>
      <c r="B2717" s="149" t="str">
        <f>IFERROR(VLOOKUP(Proc[[#This Row],[App]],Table2[],3,0),"open")</f>
        <v>ok</v>
      </c>
      <c r="C2717" s="121" t="s">
        <v>369</v>
      </c>
      <c r="D2717" t="s">
        <v>4840</v>
      </c>
      <c r="E2717" t="s">
        <v>4847</v>
      </c>
      <c r="F2717" s="124" t="s">
        <v>4847</v>
      </c>
      <c r="G2717" s="121" t="s">
        <v>406</v>
      </c>
      <c r="H2717" s="120" t="str">
        <f>IF(Proc[[#This Row],[type]]="LFF (MDG-F)",MID(Proc[[#This Row],[Obj]],13,10),"")</f>
        <v>DE10674300</v>
      </c>
      <c r="J2717" s="120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LS</v>
      </c>
      <c r="L2717" s="125" t="s">
        <v>2563</v>
      </c>
      <c r="M2717" s="115">
        <v>45838.524548611109</v>
      </c>
      <c r="N2717" s="115">
        <v>45840</v>
      </c>
      <c r="O2717" s="115">
        <v>45840</v>
      </c>
      <c r="P2717" s="115" t="str">
        <f ca="1">IF(Proc[[#This Row],[DaysAgeing]]&gt;5,"yep","on track")</f>
        <v>on track</v>
      </c>
      <c r="Q2717" s="3">
        <f ca="1">IF(Proc[[#This Row],[DateClosed]]="",ABS(NETWORKDAYS(Proc[[#This Row],[DateOpened]],TODAY()))-1,ABS(NETWORKDAYS(Proc[[#This Row],[DateOpened]],Proc[[#This Row],[DateClosed]]))-1)</f>
        <v>2</v>
      </c>
      <c r="R2717" s="115" t="s">
        <v>972</v>
      </c>
      <c r="S2717" s="120"/>
    </row>
    <row r="2718" spans="1:19" hidden="1">
      <c r="A2718" t="s">
        <v>4853</v>
      </c>
      <c r="B2718" s="149" t="str">
        <f>IFERROR(VLOOKUP(Proc[[#This Row],[App]],Table2[],3,0),"open")</f>
        <v>ok</v>
      </c>
      <c r="C2718" t="s">
        <v>369</v>
      </c>
      <c r="D2718" t="s">
        <v>4849</v>
      </c>
      <c r="E2718" t="s">
        <v>4865</v>
      </c>
      <c r="F2718" s="125" t="s">
        <v>4865</v>
      </c>
      <c r="G2718" s="124" t="s">
        <v>406</v>
      </c>
      <c r="H2718" s="120" t="str">
        <f>IF(Proc[[#This Row],[type]]="LFF (MDG-F)",MID(Proc[[#This Row],[Obj]],13,10),"")</f>
        <v>ZA50GLE005</v>
      </c>
      <c r="J2718" s="120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15">
        <v>45856.910150462965</v>
      </c>
      <c r="N2718" s="113"/>
      <c r="O2718" s="113"/>
      <c r="P2718" s="115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99</v>
      </c>
      <c r="R2718" s="115" t="s">
        <v>515</v>
      </c>
      <c r="S2718" s="120"/>
    </row>
    <row r="2719" spans="1:19" hidden="1">
      <c r="A2719" s="121" t="s">
        <v>4853</v>
      </c>
      <c r="B2719" s="149" t="str">
        <f>IFERROR(VLOOKUP(Proc[[#This Row],[App]],Table2[],3,0),"open")</f>
        <v>ok</v>
      </c>
      <c r="C2719" s="124" t="s">
        <v>369</v>
      </c>
      <c r="D2719" t="s">
        <v>4850</v>
      </c>
      <c r="E2719" t="s">
        <v>4865</v>
      </c>
      <c r="F2719" s="125" t="s">
        <v>4865</v>
      </c>
      <c r="G2719" s="124" t="s">
        <v>406</v>
      </c>
      <c r="H2719" s="120" t="str">
        <f>IF(Proc[[#This Row],[type]]="LFF (MDG-F)",MID(Proc[[#This Row],[Obj]],13,10),"")</f>
        <v>ZA50GLE006</v>
      </c>
      <c r="J2719" s="120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15">
        <v>45856.910150462965</v>
      </c>
      <c r="N2719" s="113"/>
      <c r="O2719" s="113"/>
      <c r="P2719" s="115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99</v>
      </c>
      <c r="R2719" s="115" t="s">
        <v>515</v>
      </c>
      <c r="S2719" s="120"/>
    </row>
    <row r="2720" spans="1:19" hidden="1">
      <c r="A2720" s="121" t="s">
        <v>4853</v>
      </c>
      <c r="B2720" s="149" t="str">
        <f>IFERROR(VLOOKUP(Proc[[#This Row],[App]],Table2[],3,0),"open")</f>
        <v>ok</v>
      </c>
      <c r="C2720" s="121" t="s">
        <v>369</v>
      </c>
      <c r="D2720" t="s">
        <v>4851</v>
      </c>
      <c r="E2720" t="s">
        <v>4864</v>
      </c>
      <c r="F2720" s="124" t="s">
        <v>4864</v>
      </c>
      <c r="G2720" t="s">
        <v>400</v>
      </c>
      <c r="H2720" s="120" t="str">
        <f>IF(Proc[[#This Row],[type]]="LFF (MDG-F)",MID(Proc[[#This Row],[Obj]],13,10),"")</f>
        <v/>
      </c>
      <c r="J2720" s="120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15">
        <v>45856.910150462965</v>
      </c>
      <c r="N2720" s="113"/>
      <c r="O2720" s="113"/>
      <c r="P2720" s="115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99</v>
      </c>
      <c r="R2720" s="115" t="s">
        <v>515</v>
      </c>
      <c r="S2720" s="120"/>
    </row>
    <row r="2721" spans="1:19" hidden="1">
      <c r="A2721" s="121" t="s">
        <v>4853</v>
      </c>
      <c r="B2721" s="149" t="str">
        <f>IFERROR(VLOOKUP(Proc[[#This Row],[App]],Table2[],3,0),"open")</f>
        <v>ok</v>
      </c>
      <c r="C2721" s="124" t="s">
        <v>369</v>
      </c>
      <c r="D2721" t="s">
        <v>4852</v>
      </c>
      <c r="E2721" t="s">
        <v>4864</v>
      </c>
      <c r="F2721" s="124" t="s">
        <v>4864</v>
      </c>
      <c r="G2721" s="124" t="s">
        <v>400</v>
      </c>
      <c r="H2721" s="120" t="str">
        <f>IF(Proc[[#This Row],[type]]="LFF (MDG-F)",MID(Proc[[#This Row],[Obj]],13,10),"")</f>
        <v/>
      </c>
      <c r="J2721" s="120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15">
        <v>45856.910150462965</v>
      </c>
      <c r="N2721" s="113"/>
      <c r="O2721" s="113"/>
      <c r="P2721" s="115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99</v>
      </c>
      <c r="R2721" s="115" t="s">
        <v>515</v>
      </c>
      <c r="S2721" s="120"/>
    </row>
    <row r="2722" spans="1:19" hidden="1">
      <c r="A2722" t="s">
        <v>4854</v>
      </c>
      <c r="B2722" s="149" t="str">
        <f>IFERROR(VLOOKUP(Proc[[#This Row],[App]],Table2[],3,0),"open")</f>
        <v>ok</v>
      </c>
      <c r="C2722" s="124" t="s">
        <v>369</v>
      </c>
      <c r="D2722" t="s">
        <v>4861</v>
      </c>
      <c r="E2722" t="s">
        <v>4855</v>
      </c>
      <c r="F2722" s="124" t="s">
        <v>4855</v>
      </c>
      <c r="G2722" s="124" t="s">
        <v>400</v>
      </c>
      <c r="H2722" s="120" t="str">
        <f>IF(Proc[[#This Row],[type]]="LFF (MDG-F)",MID(Proc[[#This Row],[Obj]],13,10),"")</f>
        <v/>
      </c>
      <c r="J2722" s="120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HC</v>
      </c>
      <c r="L2722" s="125" t="s">
        <v>4894</v>
      </c>
      <c r="M2722" s="115">
        <v>45856.910150462965</v>
      </c>
      <c r="N2722" s="113"/>
      <c r="O2722" s="113"/>
      <c r="P2722" s="115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99</v>
      </c>
      <c r="R2722" s="115" t="s">
        <v>415</v>
      </c>
      <c r="S2722" s="120"/>
    </row>
    <row r="2723" spans="1:19" hidden="1">
      <c r="A2723" t="s">
        <v>4857</v>
      </c>
      <c r="B2723" s="149" t="str">
        <f>IFERROR(VLOOKUP(Proc[[#This Row],[App]],Table2[],3,0),"open")</f>
        <v>ok</v>
      </c>
      <c r="C2723" s="124" t="s">
        <v>369</v>
      </c>
      <c r="D2723" s="122" t="s">
        <v>4332</v>
      </c>
      <c r="E2723" s="125" t="s">
        <v>4856</v>
      </c>
      <c r="F2723" s="124" t="s">
        <v>4856</v>
      </c>
      <c r="G2723" s="124" t="s">
        <v>400</v>
      </c>
      <c r="H2723" s="123" t="str">
        <f>IF(Proc[[#This Row],[type]]="LFF (MDG-F)",MID(Proc[[#This Row],[Obj]],13,10),"")</f>
        <v/>
      </c>
      <c r="J2723" s="123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HC</v>
      </c>
      <c r="L2723" s="125" t="s">
        <v>4894</v>
      </c>
      <c r="M2723" s="115">
        <v>45856.910150462965</v>
      </c>
      <c r="N2723" s="113"/>
      <c r="O2723" s="113"/>
      <c r="P2723" s="115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99</v>
      </c>
      <c r="R2723" s="115" t="s">
        <v>410</v>
      </c>
      <c r="S2723" s="123"/>
    </row>
    <row r="2724" spans="1:19" hidden="1">
      <c r="A2724" t="s">
        <v>4858</v>
      </c>
      <c r="B2724" s="149" t="str">
        <f>IFERROR(VLOOKUP(Proc[[#This Row],[App]],Table2[],3,0),"open")</f>
        <v>ok</v>
      </c>
      <c r="C2724" s="124" t="s">
        <v>369</v>
      </c>
      <c r="D2724" t="s">
        <v>4859</v>
      </c>
      <c r="E2724" t="s">
        <v>4860</v>
      </c>
      <c r="F2724" s="124" t="s">
        <v>4860</v>
      </c>
      <c r="G2724" s="124" t="s">
        <v>400</v>
      </c>
      <c r="H2724" s="125" t="str">
        <f>IF(Proc[[#This Row],[type]]="LFF (MDG-F)",MID(Proc[[#This Row],[Obj]],13,10),"")</f>
        <v/>
      </c>
      <c r="J2724" s="125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15">
        <v>45856.910150462965</v>
      </c>
      <c r="N2724" s="113"/>
      <c r="O2724" s="113"/>
      <c r="P2724" s="115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99</v>
      </c>
      <c r="R2724" s="115" t="s">
        <v>856</v>
      </c>
      <c r="S2724" s="125"/>
    </row>
    <row r="2725" spans="1:19" hidden="1">
      <c r="A2725" t="s">
        <v>4862</v>
      </c>
      <c r="B2725" s="149" t="str">
        <f>IFERROR(VLOOKUP(Proc[[#This Row],[App]],Table2[],3,0),"open")</f>
        <v>ok</v>
      </c>
      <c r="C2725" s="124" t="s">
        <v>369</v>
      </c>
      <c r="D2725" t="s">
        <v>4863</v>
      </c>
      <c r="E2725" t="s">
        <v>2174</v>
      </c>
      <c r="F2725" s="125" t="s">
        <v>2174</v>
      </c>
      <c r="G2725" t="s">
        <v>400</v>
      </c>
      <c r="H2725" s="125" t="str">
        <f>IF(Proc[[#This Row],[type]]="LFF (MDG-F)",MID(Proc[[#This Row],[Obj]],13,10),"")</f>
        <v/>
      </c>
      <c r="J2725" s="125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HC</v>
      </c>
      <c r="L2725" s="125" t="s">
        <v>4894</v>
      </c>
      <c r="M2725" s="115">
        <v>45861.910150462965</v>
      </c>
      <c r="N2725" s="113"/>
      <c r="O2725" s="113"/>
      <c r="P2725" s="115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96</v>
      </c>
      <c r="R2725" s="115" t="s">
        <v>415</v>
      </c>
      <c r="S2725" s="125"/>
    </row>
    <row r="2726" spans="1:19" hidden="1">
      <c r="A2726" t="s">
        <v>4866</v>
      </c>
      <c r="B2726" s="149" t="str">
        <f>IFERROR(VLOOKUP(Proc[[#This Row],[App]],Table2[],3,0),"open")</f>
        <v>ok</v>
      </c>
      <c r="C2726" s="124" t="s">
        <v>369</v>
      </c>
      <c r="D2726" t="s">
        <v>4867</v>
      </c>
      <c r="E2726" s="124" t="s">
        <v>4899</v>
      </c>
      <c r="F2726" s="125" t="s">
        <v>4899</v>
      </c>
      <c r="G2726" t="s">
        <v>406</v>
      </c>
      <c r="H2726" s="125" t="str">
        <f>IF(Proc[[#This Row],[type]]="LFF (MDG-F)",MID(Proc[[#This Row],[Obj]],13,10),"")</f>
        <v>DE73GPS030</v>
      </c>
      <c r="J2726" s="125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15">
        <v>45861.910150462965</v>
      </c>
      <c r="N2726" s="113"/>
      <c r="O2726" s="113"/>
      <c r="P2726" s="115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96</v>
      </c>
      <c r="R2726" s="115" t="s">
        <v>515</v>
      </c>
      <c r="S2726" s="125"/>
    </row>
    <row r="2727" spans="1:19" hidden="1">
      <c r="A2727" s="124" t="s">
        <v>4866</v>
      </c>
      <c r="B2727" s="149" t="str">
        <f>IFERROR(VLOOKUP(Proc[[#This Row],[App]],Table2[],3,0),"open")</f>
        <v>ok</v>
      </c>
      <c r="C2727" s="124" t="s">
        <v>369</v>
      </c>
      <c r="D2727" t="s">
        <v>4868</v>
      </c>
      <c r="E2727" s="124" t="s">
        <v>4899</v>
      </c>
      <c r="F2727" s="125" t="s">
        <v>4899</v>
      </c>
      <c r="G2727" s="124" t="s">
        <v>406</v>
      </c>
      <c r="H2727" s="125" t="str">
        <f>IF(Proc[[#This Row],[type]]="LFF (MDG-F)",MID(Proc[[#This Row],[Obj]],13,10),"")</f>
        <v>DE73GPS031</v>
      </c>
      <c r="J2727" s="125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15">
        <v>45861.910150462965</v>
      </c>
      <c r="N2727" s="113"/>
      <c r="O2727" s="113"/>
      <c r="P2727" s="115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96</v>
      </c>
      <c r="R2727" s="115" t="s">
        <v>515</v>
      </c>
      <c r="S2727" s="125"/>
    </row>
    <row r="2728" spans="1:19" hidden="1">
      <c r="A2728" s="124" t="s">
        <v>4866</v>
      </c>
      <c r="B2728" s="149" t="str">
        <f>IFERROR(VLOOKUP(Proc[[#This Row],[App]],Table2[],3,0),"open")</f>
        <v>ok</v>
      </c>
      <c r="C2728" s="124" t="s">
        <v>369</v>
      </c>
      <c r="D2728" t="s">
        <v>4869</v>
      </c>
      <c r="E2728" s="124" t="s">
        <v>4899</v>
      </c>
      <c r="F2728" s="125" t="s">
        <v>4899</v>
      </c>
      <c r="G2728" s="124" t="s">
        <v>406</v>
      </c>
      <c r="H2728" s="125" t="str">
        <f>IF(Proc[[#This Row],[type]]="LFF (MDG-F)",MID(Proc[[#This Row],[Obj]],13,10),"")</f>
        <v>DE73GPS032</v>
      </c>
      <c r="J2728" s="125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15">
        <v>45861.910150462965</v>
      </c>
      <c r="N2728" s="113"/>
      <c r="O2728" s="113"/>
      <c r="P2728" s="115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96</v>
      </c>
      <c r="R2728" s="115" t="s">
        <v>515</v>
      </c>
      <c r="S2728" s="125"/>
    </row>
    <row r="2729" spans="1:19" hidden="1">
      <c r="A2729" s="124" t="s">
        <v>4866</v>
      </c>
      <c r="B2729" s="149" t="str">
        <f>IFERROR(VLOOKUP(Proc[[#This Row],[App]],Table2[],3,0),"open")</f>
        <v>ok</v>
      </c>
      <c r="C2729" s="124" t="s">
        <v>369</v>
      </c>
      <c r="D2729" t="s">
        <v>4870</v>
      </c>
      <c r="E2729" s="124" t="s">
        <v>4899</v>
      </c>
      <c r="F2729" s="125" t="s">
        <v>4899</v>
      </c>
      <c r="G2729" s="124" t="s">
        <v>406</v>
      </c>
      <c r="H2729" s="125" t="str">
        <f>IF(Proc[[#This Row],[type]]="LFF (MDG-F)",MID(Proc[[#This Row],[Obj]],13,10),"")</f>
        <v>DE73GPS033</v>
      </c>
      <c r="J2729" s="125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15">
        <v>45861.910150462965</v>
      </c>
      <c r="N2729" s="113"/>
      <c r="O2729" s="113"/>
      <c r="P2729" s="115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96</v>
      </c>
      <c r="R2729" s="115" t="s">
        <v>515</v>
      </c>
      <c r="S2729" s="125"/>
    </row>
    <row r="2730" spans="1:19" hidden="1">
      <c r="A2730" s="124" t="s">
        <v>4866</v>
      </c>
      <c r="B2730" s="149" t="str">
        <f>IFERROR(VLOOKUP(Proc[[#This Row],[App]],Table2[],3,0),"open")</f>
        <v>ok</v>
      </c>
      <c r="C2730" s="124" t="s">
        <v>369</v>
      </c>
      <c r="D2730" t="s">
        <v>4871</v>
      </c>
      <c r="E2730" s="124" t="s">
        <v>4899</v>
      </c>
      <c r="F2730" s="125" t="s">
        <v>4899</v>
      </c>
      <c r="G2730" s="124" t="s">
        <v>406</v>
      </c>
      <c r="H2730" s="125" t="str">
        <f>IF(Proc[[#This Row],[type]]="LFF (MDG-F)",MID(Proc[[#This Row],[Obj]],13,10),"")</f>
        <v>DE73GPS034</v>
      </c>
      <c r="J2730" s="125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15">
        <v>45861.910150462965</v>
      </c>
      <c r="N2730" s="113"/>
      <c r="O2730" s="113"/>
      <c r="P2730" s="115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96</v>
      </c>
      <c r="R2730" s="115" t="s">
        <v>515</v>
      </c>
      <c r="S2730" s="125"/>
    </row>
    <row r="2731" spans="1:19" hidden="1">
      <c r="A2731" s="124" t="s">
        <v>4866</v>
      </c>
      <c r="B2731" s="149" t="str">
        <f>IFERROR(VLOOKUP(Proc[[#This Row],[App]],Table2[],3,0),"open")</f>
        <v>ok</v>
      </c>
      <c r="C2731" s="124" t="s">
        <v>369</v>
      </c>
      <c r="D2731" t="s">
        <v>4872</v>
      </c>
      <c r="E2731" s="124" t="s">
        <v>4899</v>
      </c>
      <c r="F2731" s="125" t="s">
        <v>4899</v>
      </c>
      <c r="G2731" s="124" t="s">
        <v>406</v>
      </c>
      <c r="H2731" s="125" t="str">
        <f>IF(Proc[[#This Row],[type]]="LFF (MDG-F)",MID(Proc[[#This Row],[Obj]],13,10),"")</f>
        <v>DE73GPS035</v>
      </c>
      <c r="J2731" s="125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15">
        <v>45861.910150462965</v>
      </c>
      <c r="N2731" s="113"/>
      <c r="O2731" s="113"/>
      <c r="P2731" s="115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96</v>
      </c>
      <c r="R2731" s="115" t="s">
        <v>515</v>
      </c>
      <c r="S2731" s="125"/>
    </row>
    <row r="2732" spans="1:19" hidden="1">
      <c r="A2732" s="124" t="s">
        <v>4866</v>
      </c>
      <c r="B2732" s="149" t="str">
        <f>IFERROR(VLOOKUP(Proc[[#This Row],[App]],Table2[],3,0),"open")</f>
        <v>ok</v>
      </c>
      <c r="C2732" s="124" t="s">
        <v>369</v>
      </c>
      <c r="D2732" t="s">
        <v>4873</v>
      </c>
      <c r="E2732" s="124" t="s">
        <v>4899</v>
      </c>
      <c r="F2732" s="125" t="s">
        <v>4899</v>
      </c>
      <c r="G2732" s="124" t="s">
        <v>406</v>
      </c>
      <c r="H2732" s="125" t="str">
        <f>IF(Proc[[#This Row],[type]]="LFF (MDG-F)",MID(Proc[[#This Row],[Obj]],13,10),"")</f>
        <v>DE73GPS036</v>
      </c>
      <c r="J2732" s="125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15">
        <v>45861.910150462965</v>
      </c>
      <c r="N2732" s="113"/>
      <c r="O2732" s="113"/>
      <c r="P2732" s="115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96</v>
      </c>
      <c r="R2732" s="115" t="s">
        <v>515</v>
      </c>
      <c r="S2732" s="125"/>
    </row>
    <row r="2733" spans="1:19" hidden="1">
      <c r="A2733" s="124" t="s">
        <v>4866</v>
      </c>
      <c r="B2733" s="149" t="str">
        <f>IFERROR(VLOOKUP(Proc[[#This Row],[App]],Table2[],3,0),"open")</f>
        <v>ok</v>
      </c>
      <c r="C2733" s="124" t="s">
        <v>369</v>
      </c>
      <c r="D2733" t="s">
        <v>4874</v>
      </c>
      <c r="E2733" s="124" t="s">
        <v>4899</v>
      </c>
      <c r="F2733" s="125" t="s">
        <v>4899</v>
      </c>
      <c r="G2733" s="124" t="s">
        <v>406</v>
      </c>
      <c r="H2733" s="125" t="str">
        <f>IF(Proc[[#This Row],[type]]="LFF (MDG-F)",MID(Proc[[#This Row],[Obj]],13,10),"")</f>
        <v>DE73GPS037</v>
      </c>
      <c r="J2733" s="125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15">
        <v>45861.910150462965</v>
      </c>
      <c r="N2733" s="113"/>
      <c r="O2733" s="113"/>
      <c r="P2733" s="115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96</v>
      </c>
      <c r="R2733" s="115" t="s">
        <v>515</v>
      </c>
      <c r="S2733" s="125"/>
    </row>
    <row r="2734" spans="1:19" hidden="1">
      <c r="A2734" s="124" t="s">
        <v>4866</v>
      </c>
      <c r="B2734" s="149" t="str">
        <f>IFERROR(VLOOKUP(Proc[[#This Row],[App]],Table2[],3,0),"open")</f>
        <v>ok</v>
      </c>
      <c r="C2734" s="124" t="s">
        <v>369</v>
      </c>
      <c r="D2734" t="s">
        <v>4875</v>
      </c>
      <c r="E2734" s="124" t="s">
        <v>4899</v>
      </c>
      <c r="F2734" s="125" t="s">
        <v>4899</v>
      </c>
      <c r="G2734" s="124" t="s">
        <v>406</v>
      </c>
      <c r="H2734" s="125" t="str">
        <f>IF(Proc[[#This Row],[type]]="LFF (MDG-F)",MID(Proc[[#This Row],[Obj]],13,10),"")</f>
        <v>DE73GPS038</v>
      </c>
      <c r="J2734" s="125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15">
        <v>45861.910150462965</v>
      </c>
      <c r="N2734" s="113"/>
      <c r="O2734" s="113"/>
      <c r="P2734" s="115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96</v>
      </c>
      <c r="R2734" s="115" t="s">
        <v>515</v>
      </c>
      <c r="S2734" s="125"/>
    </row>
    <row r="2735" spans="1:19" hidden="1">
      <c r="A2735" s="124" t="s">
        <v>4866</v>
      </c>
      <c r="B2735" s="149" t="str">
        <f>IFERROR(VLOOKUP(Proc[[#This Row],[App]],Table2[],3,0),"open")</f>
        <v>ok</v>
      </c>
      <c r="C2735" s="124" t="s">
        <v>369</v>
      </c>
      <c r="D2735" t="s">
        <v>4876</v>
      </c>
      <c r="E2735" s="124" t="s">
        <v>4899</v>
      </c>
      <c r="F2735" s="125" t="s">
        <v>4899</v>
      </c>
      <c r="G2735" s="124" t="s">
        <v>406</v>
      </c>
      <c r="H2735" s="125" t="str">
        <f>IF(Proc[[#This Row],[type]]="LFF (MDG-F)",MID(Proc[[#This Row],[Obj]],13,10),"")</f>
        <v>DE73GPS039</v>
      </c>
      <c r="J2735" s="125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15">
        <v>45861.910150462965</v>
      </c>
      <c r="N2735" s="113"/>
      <c r="O2735" s="113"/>
      <c r="P2735" s="115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96</v>
      </c>
      <c r="R2735" s="115" t="s">
        <v>515</v>
      </c>
      <c r="S2735" s="125"/>
    </row>
    <row r="2736" spans="1:19" hidden="1">
      <c r="A2736" s="124" t="s">
        <v>4866</v>
      </c>
      <c r="B2736" s="149" t="str">
        <f>IFERROR(VLOOKUP(Proc[[#This Row],[App]],Table2[],3,0),"open")</f>
        <v>ok</v>
      </c>
      <c r="C2736" s="124" t="s">
        <v>369</v>
      </c>
      <c r="D2736" t="s">
        <v>4877</v>
      </c>
      <c r="E2736" s="124" t="s">
        <v>4899</v>
      </c>
      <c r="F2736" s="125" t="s">
        <v>4899</v>
      </c>
      <c r="G2736" s="124" t="s">
        <v>406</v>
      </c>
      <c r="H2736" s="125" t="str">
        <f>IF(Proc[[#This Row],[type]]="LFF (MDG-F)",MID(Proc[[#This Row],[Obj]],13,10),"")</f>
        <v>DE73GPS040</v>
      </c>
      <c r="J2736" s="125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15">
        <v>45861.910150462965</v>
      </c>
      <c r="N2736" s="113"/>
      <c r="O2736" s="113"/>
      <c r="P2736" s="115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96</v>
      </c>
      <c r="R2736" s="115" t="s">
        <v>515</v>
      </c>
      <c r="S2736" s="125"/>
    </row>
    <row r="2737" spans="1:19" hidden="1">
      <c r="A2737" s="124" t="s">
        <v>4866</v>
      </c>
      <c r="B2737" s="149" t="str">
        <f>IFERROR(VLOOKUP(Proc[[#This Row],[App]],Table2[],3,0),"open")</f>
        <v>ok</v>
      </c>
      <c r="C2737" s="124" t="s">
        <v>369</v>
      </c>
      <c r="D2737" t="s">
        <v>4878</v>
      </c>
      <c r="E2737" s="124" t="s">
        <v>4899</v>
      </c>
      <c r="F2737" s="125" t="s">
        <v>4899</v>
      </c>
      <c r="G2737" s="124" t="s">
        <v>406</v>
      </c>
      <c r="H2737" s="125" t="str">
        <f>IF(Proc[[#This Row],[type]]="LFF (MDG-F)",MID(Proc[[#This Row],[Obj]],13,10),"")</f>
        <v>CH65GPS030</v>
      </c>
      <c r="J2737" s="125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15">
        <v>45861.910150462965</v>
      </c>
      <c r="N2737" s="113"/>
      <c r="O2737" s="113"/>
      <c r="P2737" s="115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96</v>
      </c>
      <c r="R2737" s="115" t="s">
        <v>515</v>
      </c>
      <c r="S2737" s="125"/>
    </row>
    <row r="2738" spans="1:19" hidden="1">
      <c r="A2738" s="124" t="s">
        <v>4866</v>
      </c>
      <c r="B2738" s="149" t="str">
        <f>IFERROR(VLOOKUP(Proc[[#This Row],[App]],Table2[],3,0),"open")</f>
        <v>ok</v>
      </c>
      <c r="C2738" s="124" t="s">
        <v>369</v>
      </c>
      <c r="D2738" t="s">
        <v>4879</v>
      </c>
      <c r="E2738" s="124" t="s">
        <v>4899</v>
      </c>
      <c r="F2738" s="125" t="s">
        <v>4899</v>
      </c>
      <c r="G2738" s="124" t="s">
        <v>406</v>
      </c>
      <c r="H2738" s="125" t="str">
        <f>IF(Proc[[#This Row],[type]]="LFF (MDG-F)",MID(Proc[[#This Row],[Obj]],13,10),"")</f>
        <v>CH65GPS031</v>
      </c>
      <c r="J2738" s="125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15">
        <v>45861.910150462965</v>
      </c>
      <c r="N2738" s="113"/>
      <c r="O2738" s="113"/>
      <c r="P2738" s="115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96</v>
      </c>
      <c r="R2738" s="115" t="s">
        <v>515</v>
      </c>
      <c r="S2738" s="125"/>
    </row>
    <row r="2739" spans="1:19" hidden="1">
      <c r="A2739" s="124" t="s">
        <v>4866</v>
      </c>
      <c r="B2739" s="149" t="str">
        <f>IFERROR(VLOOKUP(Proc[[#This Row],[App]],Table2[],3,0),"open")</f>
        <v>ok</v>
      </c>
      <c r="C2739" s="124" t="s">
        <v>369</v>
      </c>
      <c r="D2739" t="s">
        <v>4880</v>
      </c>
      <c r="E2739" s="124" t="s">
        <v>4899</v>
      </c>
      <c r="F2739" s="125" t="s">
        <v>4899</v>
      </c>
      <c r="G2739" s="124" t="s">
        <v>406</v>
      </c>
      <c r="H2739" s="125" t="str">
        <f>IF(Proc[[#This Row],[type]]="LFF (MDG-F)",MID(Proc[[#This Row],[Obj]],13,10),"")</f>
        <v>CH65GPS032</v>
      </c>
      <c r="J2739" s="125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15">
        <v>45861.910150462965</v>
      </c>
      <c r="N2739" s="113"/>
      <c r="O2739" s="113"/>
      <c r="P2739" s="115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96</v>
      </c>
      <c r="R2739" s="115" t="s">
        <v>515</v>
      </c>
      <c r="S2739" s="125"/>
    </row>
    <row r="2740" spans="1:19" hidden="1">
      <c r="A2740" s="124" t="s">
        <v>4866</v>
      </c>
      <c r="B2740" s="149" t="str">
        <f>IFERROR(VLOOKUP(Proc[[#This Row],[App]],Table2[],3,0),"open")</f>
        <v>ok</v>
      </c>
      <c r="C2740" s="124" t="s">
        <v>369</v>
      </c>
      <c r="D2740" t="s">
        <v>4881</v>
      </c>
      <c r="E2740" s="124" t="s">
        <v>4899</v>
      </c>
      <c r="F2740" s="125" t="s">
        <v>4899</v>
      </c>
      <c r="G2740" s="124" t="s">
        <v>406</v>
      </c>
      <c r="H2740" s="125" t="str">
        <f>IF(Proc[[#This Row],[type]]="LFF (MDG-F)",MID(Proc[[#This Row],[Obj]],13,10),"")</f>
        <v>CH65GPS033</v>
      </c>
      <c r="J2740" s="125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15">
        <v>45861.910150462965</v>
      </c>
      <c r="N2740" s="113"/>
      <c r="O2740" s="113"/>
      <c r="P2740" s="115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96</v>
      </c>
      <c r="R2740" s="115" t="s">
        <v>515</v>
      </c>
      <c r="S2740" s="125"/>
    </row>
    <row r="2741" spans="1:19" hidden="1">
      <c r="A2741" s="124" t="s">
        <v>4866</v>
      </c>
      <c r="B2741" s="149" t="str">
        <f>IFERROR(VLOOKUP(Proc[[#This Row],[App]],Table2[],3,0),"open")</f>
        <v>ok</v>
      </c>
      <c r="C2741" s="124" t="s">
        <v>369</v>
      </c>
      <c r="D2741" t="s">
        <v>4882</v>
      </c>
      <c r="E2741" s="124" t="s">
        <v>4899</v>
      </c>
      <c r="F2741" s="125" t="s">
        <v>4899</v>
      </c>
      <c r="G2741" s="124" t="s">
        <v>406</v>
      </c>
      <c r="H2741" s="125" t="str">
        <f>IF(Proc[[#This Row],[type]]="LFF (MDG-F)",MID(Proc[[#This Row],[Obj]],13,10),"")</f>
        <v>CH65GPS034</v>
      </c>
      <c r="J2741" s="125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15">
        <v>45861.910150462965</v>
      </c>
      <c r="N2741" s="113"/>
      <c r="O2741" s="113"/>
      <c r="P2741" s="115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96</v>
      </c>
      <c r="R2741" s="115" t="s">
        <v>515</v>
      </c>
      <c r="S2741" s="125"/>
    </row>
    <row r="2742" spans="1:19" hidden="1">
      <c r="A2742" s="124" t="s">
        <v>4866</v>
      </c>
      <c r="B2742" s="149" t="str">
        <f>IFERROR(VLOOKUP(Proc[[#This Row],[App]],Table2[],3,0),"open")</f>
        <v>ok</v>
      </c>
      <c r="C2742" s="124" t="s">
        <v>369</v>
      </c>
      <c r="D2742" t="s">
        <v>4883</v>
      </c>
      <c r="E2742" t="s">
        <v>4899</v>
      </c>
      <c r="F2742" s="125" t="s">
        <v>4899</v>
      </c>
      <c r="G2742" s="124" t="s">
        <v>406</v>
      </c>
      <c r="H2742" s="125" t="str">
        <f>IF(Proc[[#This Row],[type]]="LFF (MDG-F)",MID(Proc[[#This Row],[Obj]],13,10),"")</f>
        <v>CH65GPS035</v>
      </c>
      <c r="J2742" s="125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15">
        <v>45861.910150462965</v>
      </c>
      <c r="N2742" s="113"/>
      <c r="O2742" s="113"/>
      <c r="P2742" s="115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96</v>
      </c>
      <c r="R2742" s="115" t="s">
        <v>515</v>
      </c>
      <c r="S2742" s="125"/>
    </row>
    <row r="2743" spans="1:19" hidden="1">
      <c r="A2743" s="124" t="s">
        <v>4866</v>
      </c>
      <c r="B2743" s="149" t="str">
        <f>IFERROR(VLOOKUP(Proc[[#This Row],[App]],Table2[],3,0),"open")</f>
        <v>ok</v>
      </c>
      <c r="C2743" s="124" t="s">
        <v>369</v>
      </c>
      <c r="D2743" t="s">
        <v>4884</v>
      </c>
      <c r="E2743" s="124" t="s">
        <v>4899</v>
      </c>
      <c r="F2743" s="125" t="s">
        <v>4899</v>
      </c>
      <c r="G2743" s="124" t="s">
        <v>406</v>
      </c>
      <c r="H2743" s="125" t="str">
        <f>IF(Proc[[#This Row],[type]]="LFF (MDG-F)",MID(Proc[[#This Row],[Obj]],13,10),"")</f>
        <v>CH65GPS036</v>
      </c>
      <c r="J2743" s="125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15">
        <v>45861.910150462965</v>
      </c>
      <c r="N2743" s="113"/>
      <c r="O2743" s="113"/>
      <c r="P2743" s="115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96</v>
      </c>
      <c r="R2743" s="115" t="s">
        <v>515</v>
      </c>
      <c r="S2743" s="125"/>
    </row>
    <row r="2744" spans="1:19" hidden="1">
      <c r="A2744" t="s">
        <v>4892</v>
      </c>
      <c r="B2744" s="149" t="str">
        <f>IFERROR(VLOOKUP(Proc[[#This Row],[App]],Table2[],3,0),"open")</f>
        <v>ok</v>
      </c>
      <c r="C2744" s="124" t="s">
        <v>369</v>
      </c>
      <c r="D2744" t="s">
        <v>4885</v>
      </c>
      <c r="E2744" t="s">
        <v>2458</v>
      </c>
      <c r="F2744" s="125" t="s">
        <v>2458</v>
      </c>
      <c r="G2744" s="124" t="s">
        <v>406</v>
      </c>
      <c r="H2744" s="125" t="str">
        <f>IF(Proc[[#This Row],[type]]="LFF (MDG-F)",MID(Proc[[#This Row],[Obj]],13,10),"")</f>
        <v>2102TASR00</v>
      </c>
      <c r="J2744" s="125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LS</v>
      </c>
      <c r="L2744" s="125" t="s">
        <v>4894</v>
      </c>
      <c r="M2744" s="113">
        <v>45861</v>
      </c>
      <c r="N2744" s="113"/>
      <c r="O2744" s="113"/>
      <c r="P2744" s="115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96</v>
      </c>
      <c r="R2744" s="115" t="s">
        <v>489</v>
      </c>
      <c r="S2744" s="125"/>
    </row>
    <row r="2745" spans="1:19" hidden="1">
      <c r="A2745" s="124" t="s">
        <v>4892</v>
      </c>
      <c r="B2745" s="149" t="str">
        <f>IFERROR(VLOOKUP(Proc[[#This Row],[App]],Table2[],3,0),"open")</f>
        <v>ok</v>
      </c>
      <c r="C2745" s="124" t="s">
        <v>369</v>
      </c>
      <c r="D2745" t="s">
        <v>4893</v>
      </c>
      <c r="E2745" s="124" t="s">
        <v>2691</v>
      </c>
      <c r="F2745" s="125" t="s">
        <v>2691</v>
      </c>
      <c r="G2745" t="s">
        <v>400</v>
      </c>
      <c r="H2745" s="125" t="str">
        <f>IF(Proc[[#This Row],[type]]="LFF (MDG-F)",MID(Proc[[#This Row],[Obj]],13,10),"")</f>
        <v/>
      </c>
      <c r="J2745" s="125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LS</v>
      </c>
      <c r="L2745" s="125" t="s">
        <v>4894</v>
      </c>
      <c r="M2745" s="113">
        <v>45861</v>
      </c>
      <c r="N2745" s="113"/>
      <c r="O2745" s="113"/>
      <c r="P2745" s="115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96</v>
      </c>
      <c r="R2745" s="115" t="s">
        <v>489</v>
      </c>
      <c r="S2745" s="125"/>
    </row>
    <row r="2746" spans="1:19" hidden="1">
      <c r="A2746" s="124" t="s">
        <v>4892</v>
      </c>
      <c r="B2746" s="149" t="str">
        <f>IFERROR(VLOOKUP(Proc[[#This Row],[App]],Table2[],3,0),"open")</f>
        <v>ok</v>
      </c>
      <c r="C2746" s="124" t="s">
        <v>369</v>
      </c>
      <c r="D2746" t="s">
        <v>1402</v>
      </c>
      <c r="E2746" s="124" t="s">
        <v>4890</v>
      </c>
      <c r="F2746" s="125" t="s">
        <v>4890</v>
      </c>
      <c r="G2746" s="124" t="s">
        <v>400</v>
      </c>
      <c r="H2746" s="125" t="str">
        <f>IF(Proc[[#This Row],[type]]="LFF (MDG-F)",MID(Proc[[#This Row],[Obj]],13,10),"")</f>
        <v/>
      </c>
      <c r="I2746" s="124"/>
      <c r="J2746" s="125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LS</v>
      </c>
      <c r="L2746" s="125" t="s">
        <v>4894</v>
      </c>
      <c r="M2746" s="113">
        <v>45861</v>
      </c>
      <c r="N2746" s="113"/>
      <c r="O2746" s="113"/>
      <c r="P2746" s="115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96</v>
      </c>
      <c r="R2746" s="115" t="s">
        <v>489</v>
      </c>
      <c r="S2746" s="125"/>
    </row>
    <row r="2747" spans="1:19" hidden="1">
      <c r="A2747" s="124" t="s">
        <v>4892</v>
      </c>
      <c r="B2747" s="149" t="str">
        <f>IFERROR(VLOOKUP(Proc[[#This Row],[App]],Table2[],3,0),"open")</f>
        <v>ok</v>
      </c>
      <c r="C2747" s="124" t="s">
        <v>369</v>
      </c>
      <c r="D2747" t="s">
        <v>4886</v>
      </c>
      <c r="E2747" s="124" t="s">
        <v>4389</v>
      </c>
      <c r="F2747" s="125" t="s">
        <v>4389</v>
      </c>
      <c r="G2747" s="124" t="s">
        <v>400</v>
      </c>
      <c r="H2747" s="125" t="str">
        <f>IF(Proc[[#This Row],[type]]="LFF (MDG-F)",MID(Proc[[#This Row],[Obj]],13,10),"")</f>
        <v/>
      </c>
      <c r="I2747" s="124"/>
      <c r="J2747" s="125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LS</v>
      </c>
      <c r="L2747" s="125" t="s">
        <v>4894</v>
      </c>
      <c r="M2747" s="113">
        <v>45861</v>
      </c>
      <c r="N2747" s="113"/>
      <c r="O2747" s="113"/>
      <c r="P2747" s="115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96</v>
      </c>
      <c r="R2747" s="115" t="s">
        <v>489</v>
      </c>
      <c r="S2747" s="125"/>
    </row>
    <row r="2748" spans="1:19" hidden="1">
      <c r="A2748" s="124" t="s">
        <v>4892</v>
      </c>
      <c r="B2748" s="149" t="str">
        <f>IFERROR(VLOOKUP(Proc[[#This Row],[App]],Table2[],3,0),"open")</f>
        <v>ok</v>
      </c>
      <c r="C2748" s="124" t="s">
        <v>369</v>
      </c>
      <c r="D2748" t="s">
        <v>4887</v>
      </c>
      <c r="E2748" s="124" t="s">
        <v>854</v>
      </c>
      <c r="F2748" s="125" t="s">
        <v>854</v>
      </c>
      <c r="G2748" s="124" t="s">
        <v>400</v>
      </c>
      <c r="H2748" s="125" t="str">
        <f>IF(Proc[[#This Row],[type]]="LFF (MDG-F)",MID(Proc[[#This Row],[Obj]],13,10),"")</f>
        <v/>
      </c>
      <c r="I2748" s="124"/>
      <c r="J2748" s="125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LS</v>
      </c>
      <c r="L2748" s="125" t="s">
        <v>4894</v>
      </c>
      <c r="M2748" s="113">
        <v>45861</v>
      </c>
      <c r="N2748" s="113"/>
      <c r="O2748" s="113"/>
      <c r="P2748" s="115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96</v>
      </c>
      <c r="R2748" s="115" t="s">
        <v>489</v>
      </c>
      <c r="S2748" s="125"/>
    </row>
    <row r="2749" spans="1:19" hidden="1">
      <c r="A2749" s="124" t="s">
        <v>4892</v>
      </c>
      <c r="B2749" s="149" t="str">
        <f>IFERROR(VLOOKUP(Proc[[#This Row],[App]],Table2[],3,0),"open")</f>
        <v>ok</v>
      </c>
      <c r="C2749" s="124" t="s">
        <v>369</v>
      </c>
      <c r="D2749" t="s">
        <v>4888</v>
      </c>
      <c r="E2749" s="124" t="s">
        <v>854</v>
      </c>
      <c r="F2749" s="125" t="s">
        <v>854</v>
      </c>
      <c r="G2749" s="124" t="s">
        <v>400</v>
      </c>
      <c r="H2749" s="125" t="str">
        <f>IF(Proc[[#This Row],[type]]="LFF (MDG-F)",MID(Proc[[#This Row],[Obj]],13,10),"")</f>
        <v/>
      </c>
      <c r="I2749" s="124"/>
      <c r="J2749" s="125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LS</v>
      </c>
      <c r="L2749" s="125" t="s">
        <v>4894</v>
      </c>
      <c r="M2749" s="113">
        <v>45861</v>
      </c>
      <c r="N2749" s="113"/>
      <c r="O2749" s="113"/>
      <c r="P2749" s="115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96</v>
      </c>
      <c r="R2749" s="115" t="s">
        <v>489</v>
      </c>
      <c r="S2749" s="125"/>
    </row>
    <row r="2750" spans="1:19" hidden="1">
      <c r="A2750" s="124" t="s">
        <v>4892</v>
      </c>
      <c r="B2750" s="149" t="str">
        <f>IFERROR(VLOOKUP(Proc[[#This Row],[App]],Table2[],3,0),"open")</f>
        <v>ok</v>
      </c>
      <c r="C2750" s="124" t="s">
        <v>369</v>
      </c>
      <c r="D2750" t="s">
        <v>4889</v>
      </c>
      <c r="E2750" s="124" t="s">
        <v>4891</v>
      </c>
      <c r="F2750" s="125" t="s">
        <v>4891</v>
      </c>
      <c r="G2750" s="124" t="s">
        <v>400</v>
      </c>
      <c r="H2750" s="125" t="str">
        <f>IF(Proc[[#This Row],[type]]="LFF (MDG-F)",MID(Proc[[#This Row],[Obj]],13,10),"")</f>
        <v/>
      </c>
      <c r="I2750" s="124"/>
      <c r="J2750" s="125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LS</v>
      </c>
      <c r="L2750" s="125" t="s">
        <v>4894</v>
      </c>
      <c r="M2750" s="113">
        <v>45861</v>
      </c>
      <c r="N2750" s="113"/>
      <c r="O2750" s="113"/>
      <c r="P2750" s="115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96</v>
      </c>
      <c r="R2750" s="115" t="s">
        <v>489</v>
      </c>
      <c r="S2750" s="125"/>
    </row>
    <row r="2751" spans="1:19" hidden="1">
      <c r="A2751" t="s">
        <v>4895</v>
      </c>
      <c r="B2751" s="149" t="str">
        <f>IFERROR(VLOOKUP(Proc[[#This Row],[App]],Table2[],3,0),"open")</f>
        <v>ok</v>
      </c>
      <c r="C2751" s="124" t="s">
        <v>369</v>
      </c>
      <c r="D2751" t="s">
        <v>4897</v>
      </c>
      <c r="E2751" t="s">
        <v>417</v>
      </c>
      <c r="F2751" s="125" t="s">
        <v>417</v>
      </c>
      <c r="G2751" s="124" t="s">
        <v>400</v>
      </c>
      <c r="H2751" s="125" t="str">
        <f>IF(Proc[[#This Row],[type]]="LFF (MDG-F)",MID(Proc[[#This Row],[Obj]],13,10),"")</f>
        <v/>
      </c>
      <c r="J2751" s="125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LS</v>
      </c>
      <c r="L2751" s="125" t="s">
        <v>4894</v>
      </c>
      <c r="M2751" s="113">
        <v>45861</v>
      </c>
      <c r="N2751" s="113"/>
      <c r="O2751" s="113"/>
      <c r="P2751" s="115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96</v>
      </c>
      <c r="R2751" s="115" t="s">
        <v>972</v>
      </c>
      <c r="S2751" s="125"/>
    </row>
    <row r="2752" spans="1:19" hidden="1">
      <c r="A2752" s="124" t="s">
        <v>4895</v>
      </c>
      <c r="B2752" s="149" t="str">
        <f>IFERROR(VLOOKUP(Proc[[#This Row],[App]],Table2[],3,0),"open")</f>
        <v>ok</v>
      </c>
      <c r="C2752" s="124" t="s">
        <v>369</v>
      </c>
      <c r="D2752" t="s">
        <v>4898</v>
      </c>
      <c r="E2752" t="s">
        <v>417</v>
      </c>
      <c r="F2752" s="125" t="s">
        <v>417</v>
      </c>
      <c r="G2752" s="124" t="s">
        <v>400</v>
      </c>
      <c r="H2752" s="125" t="str">
        <f>IF(Proc[[#This Row],[type]]="LFF (MDG-F)",MID(Proc[[#This Row],[Obj]],13,10),"")</f>
        <v/>
      </c>
      <c r="J2752" s="125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LS</v>
      </c>
      <c r="L2752" s="125" t="s">
        <v>4894</v>
      </c>
      <c r="M2752" s="113">
        <v>45861</v>
      </c>
      <c r="N2752" s="113"/>
      <c r="O2752" s="113"/>
      <c r="P2752" s="115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96</v>
      </c>
      <c r="R2752" s="115" t="s">
        <v>972</v>
      </c>
      <c r="S2752" s="125"/>
    </row>
    <row r="2753" spans="1:19" hidden="1">
      <c r="A2753" s="124" t="s">
        <v>4895</v>
      </c>
      <c r="B2753" s="149" t="str">
        <f>IFERROR(VLOOKUP(Proc[[#This Row],[App]],Table2[],3,0),"open")</f>
        <v>ok</v>
      </c>
      <c r="C2753" s="124" t="s">
        <v>369</v>
      </c>
      <c r="D2753" t="s">
        <v>4896</v>
      </c>
      <c r="E2753" t="s">
        <v>2376</v>
      </c>
      <c r="F2753" s="125" t="s">
        <v>2376</v>
      </c>
      <c r="G2753" s="124" t="s">
        <v>400</v>
      </c>
      <c r="H2753" s="125" t="str">
        <f>IF(Proc[[#This Row],[type]]="LFF (MDG-F)",MID(Proc[[#This Row],[Obj]],13,10),"")</f>
        <v/>
      </c>
      <c r="J2753" s="125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LS</v>
      </c>
      <c r="L2753" s="125" t="s">
        <v>4894</v>
      </c>
      <c r="M2753" s="113">
        <v>45861</v>
      </c>
      <c r="N2753" s="113"/>
      <c r="O2753" s="113"/>
      <c r="P2753" s="115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96</v>
      </c>
      <c r="R2753" s="115" t="s">
        <v>972</v>
      </c>
      <c r="S2753" s="125"/>
    </row>
    <row r="2754" spans="1:19" hidden="1">
      <c r="A2754" t="s">
        <v>4902</v>
      </c>
      <c r="B2754" s="149" t="str">
        <f>IFERROR(VLOOKUP(Proc[[#This Row],[App]],Table2[],3,0),"open")</f>
        <v>ok</v>
      </c>
      <c r="C2754" t="s">
        <v>369</v>
      </c>
      <c r="D2754" t="s">
        <v>4900</v>
      </c>
      <c r="E2754" t="s">
        <v>476</v>
      </c>
      <c r="F2754" s="124" t="s">
        <v>476</v>
      </c>
      <c r="G2754" t="s">
        <v>400</v>
      </c>
      <c r="H2754" s="125" t="str">
        <f>IF(Proc[[#This Row],[type]]="LFF (MDG-F)",MID(Proc[[#This Row],[Obj]],13,10),"")</f>
        <v/>
      </c>
      <c r="I2754" t="s">
        <v>4910</v>
      </c>
      <c r="J2754" s="125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15">
        <v>45862.516793981478</v>
      </c>
      <c r="N2754" s="113"/>
      <c r="O2754" s="113"/>
      <c r="P2754" s="115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95</v>
      </c>
      <c r="R2754" s="115" t="s">
        <v>515</v>
      </c>
      <c r="S2754" s="125"/>
    </row>
    <row r="2755" spans="1:19" hidden="1">
      <c r="A2755" t="s">
        <v>4902</v>
      </c>
      <c r="B2755" s="149" t="str">
        <f>IFERROR(VLOOKUP(Proc[[#This Row],[App]],Table2[],3,0),"open")</f>
        <v>ok</v>
      </c>
      <c r="C2755" s="124" t="s">
        <v>369</v>
      </c>
      <c r="D2755" t="s">
        <v>4901</v>
      </c>
      <c r="E2755" t="s">
        <v>476</v>
      </c>
      <c r="F2755" s="124" t="s">
        <v>476</v>
      </c>
      <c r="G2755" s="124" t="s">
        <v>400</v>
      </c>
      <c r="H2755" s="125" t="str">
        <f>IF(Proc[[#This Row],[type]]="LFF (MDG-F)",MID(Proc[[#This Row],[Obj]],13,10),"")</f>
        <v/>
      </c>
      <c r="I2755" s="124" t="s">
        <v>4910</v>
      </c>
      <c r="J2755" s="125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15">
        <v>45862.516793981478</v>
      </c>
      <c r="N2755" s="113"/>
      <c r="O2755" s="113"/>
      <c r="P2755" s="115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95</v>
      </c>
      <c r="R2755" s="115" t="s">
        <v>515</v>
      </c>
      <c r="S2755" s="125"/>
    </row>
    <row r="2756" spans="1:19" hidden="1">
      <c r="A2756" t="s">
        <v>4903</v>
      </c>
      <c r="B2756" s="149" t="str">
        <f>IFERROR(VLOOKUP(Proc[[#This Row],[App]],Table2[],3,0),"open")</f>
        <v>ok</v>
      </c>
      <c r="C2756" s="124" t="s">
        <v>369</v>
      </c>
      <c r="D2756" t="s">
        <v>4900</v>
      </c>
      <c r="E2756" t="s">
        <v>4905</v>
      </c>
      <c r="F2756" s="125" t="s">
        <v>4905</v>
      </c>
      <c r="G2756" s="124" t="s">
        <v>400</v>
      </c>
      <c r="H2756" s="125" t="str">
        <f>IF(Proc[[#This Row],[type]]="LFF (MDG-F)",MID(Proc[[#This Row],[Obj]],13,10),"")</f>
        <v/>
      </c>
      <c r="J2756" s="125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15">
        <v>45866.516793981478</v>
      </c>
      <c r="N2756" s="113"/>
      <c r="O2756" s="113"/>
      <c r="P2756" s="115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93</v>
      </c>
      <c r="R2756" s="115" t="s">
        <v>515</v>
      </c>
      <c r="S2756" s="125"/>
    </row>
    <row r="2757" spans="1:19" hidden="1">
      <c r="A2757" s="124" t="s">
        <v>4903</v>
      </c>
      <c r="B2757" s="149" t="str">
        <f>IFERROR(VLOOKUP(Proc[[#This Row],[App]],Table2[],3,0),"open")</f>
        <v>ok</v>
      </c>
      <c r="C2757" s="124" t="s">
        <v>369</v>
      </c>
      <c r="D2757" t="s">
        <v>4901</v>
      </c>
      <c r="E2757" t="s">
        <v>4905</v>
      </c>
      <c r="F2757" s="125" t="s">
        <v>4905</v>
      </c>
      <c r="G2757" s="124" t="s">
        <v>400</v>
      </c>
      <c r="H2757" s="125" t="str">
        <f>IF(Proc[[#This Row],[type]]="LFF (MDG-F)",MID(Proc[[#This Row],[Obj]],13,10),"")</f>
        <v/>
      </c>
      <c r="J2757" s="125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15">
        <v>45866.516793981478</v>
      </c>
      <c r="N2757" s="113"/>
      <c r="O2757" s="113"/>
      <c r="P2757" s="115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93</v>
      </c>
      <c r="R2757" s="115" t="s">
        <v>515</v>
      </c>
      <c r="S2757" s="125"/>
    </row>
    <row r="2758" spans="1:19" hidden="1">
      <c r="A2758" s="124" t="s">
        <v>4903</v>
      </c>
      <c r="B2758" s="149" t="str">
        <f>IFERROR(VLOOKUP(Proc[[#This Row],[App]],Table2[],3,0),"open")</f>
        <v>ok</v>
      </c>
      <c r="C2758" s="124" t="s">
        <v>369</v>
      </c>
      <c r="D2758" t="s">
        <v>4904</v>
      </c>
      <c r="E2758" t="s">
        <v>476</v>
      </c>
      <c r="F2758" s="125" t="s">
        <v>476</v>
      </c>
      <c r="G2758" s="124" t="s">
        <v>400</v>
      </c>
      <c r="H2758" s="125" t="str">
        <f>IF(Proc[[#This Row],[type]]="LFF (MDG-F)",MID(Proc[[#This Row],[Obj]],13,10),"")</f>
        <v/>
      </c>
      <c r="J2758" s="125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15">
        <v>45866.516793981478</v>
      </c>
      <c r="N2758" s="113"/>
      <c r="O2758" s="113"/>
      <c r="P2758" s="115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93</v>
      </c>
      <c r="R2758" s="115" t="s">
        <v>515</v>
      </c>
      <c r="S2758" s="125"/>
    </row>
    <row r="2759" spans="1:19" hidden="1">
      <c r="A2759" t="s">
        <v>4906</v>
      </c>
      <c r="B2759" s="149" t="str">
        <f>IFERROR(VLOOKUP(Proc[[#This Row],[App]],Table2[],3,0),"open")</f>
        <v>ok</v>
      </c>
      <c r="C2759" s="124" t="s">
        <v>369</v>
      </c>
      <c r="D2759" t="s">
        <v>3129</v>
      </c>
      <c r="E2759" t="s">
        <v>4920</v>
      </c>
      <c r="F2759" s="125" t="s">
        <v>4920</v>
      </c>
      <c r="G2759" s="124" t="s">
        <v>400</v>
      </c>
      <c r="H2759" s="125" t="str">
        <f>IF(Proc[[#This Row],[type]]="LFF (MDG-F)",MID(Proc[[#This Row],[Obj]],13,10),"")</f>
        <v/>
      </c>
      <c r="J2759" s="125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LS</v>
      </c>
      <c r="L2759" s="125" t="s">
        <v>4894</v>
      </c>
      <c r="M2759" s="115">
        <v>45866.516793981478</v>
      </c>
      <c r="N2759" s="113"/>
      <c r="O2759" s="113"/>
      <c r="P2759" s="115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93</v>
      </c>
      <c r="R2759" s="115" t="s">
        <v>489</v>
      </c>
      <c r="S2759" s="125"/>
    </row>
    <row r="2760" spans="1:19" hidden="1">
      <c r="A2760" s="124" t="s">
        <v>4906</v>
      </c>
      <c r="B2760" s="149" t="str">
        <f>IFERROR(VLOOKUP(Proc[[#This Row],[App]],Table2[],3,0),"open")</f>
        <v>ok</v>
      </c>
      <c r="C2760" s="124" t="s">
        <v>369</v>
      </c>
      <c r="D2760" t="s">
        <v>3159</v>
      </c>
      <c r="E2760" t="s">
        <v>4920</v>
      </c>
      <c r="F2760" s="125" t="s">
        <v>4920</v>
      </c>
      <c r="G2760" s="124" t="s">
        <v>400</v>
      </c>
      <c r="H2760" s="125" t="str">
        <f>IF(Proc[[#This Row],[type]]="LFF (MDG-F)",MID(Proc[[#This Row],[Obj]],13,10),"")</f>
        <v/>
      </c>
      <c r="J2760" s="125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LS</v>
      </c>
      <c r="L2760" s="125" t="s">
        <v>4894</v>
      </c>
      <c r="M2760" s="115">
        <v>45866.516793981478</v>
      </c>
      <c r="N2760" s="113"/>
      <c r="O2760" s="113"/>
      <c r="P2760" s="115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93</v>
      </c>
      <c r="R2760" s="115" t="s">
        <v>489</v>
      </c>
      <c r="S2760" s="125"/>
    </row>
    <row r="2761" spans="1:19" hidden="1">
      <c r="A2761" t="s">
        <v>4907</v>
      </c>
      <c r="B2761" s="149" t="str">
        <f>IFERROR(VLOOKUP(Proc[[#This Row],[App]],Table2[],3,0),"open")</f>
        <v>ok</v>
      </c>
      <c r="C2761" s="124" t="s">
        <v>369</v>
      </c>
      <c r="D2761" t="s">
        <v>4908</v>
      </c>
      <c r="E2761" t="s">
        <v>4909</v>
      </c>
      <c r="F2761" s="125" t="s">
        <v>4909</v>
      </c>
      <c r="G2761" s="124" t="s">
        <v>400</v>
      </c>
      <c r="H2761" s="125" t="str">
        <f>IF(Proc[[#This Row],[type]]="LFF (MDG-F)",MID(Proc[[#This Row],[Obj]],13,10),"")</f>
        <v/>
      </c>
      <c r="J2761" s="125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LS</v>
      </c>
      <c r="L2761" s="125" t="s">
        <v>4894</v>
      </c>
      <c r="M2761" s="115">
        <v>45866.516793981478</v>
      </c>
      <c r="N2761" s="113"/>
      <c r="O2761" s="113"/>
      <c r="P2761" s="115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93</v>
      </c>
      <c r="R2761" s="115" t="s">
        <v>972</v>
      </c>
      <c r="S2761" s="125"/>
    </row>
    <row r="2762" spans="1:19" hidden="1">
      <c r="A2762" t="s">
        <v>4917</v>
      </c>
      <c r="B2762" s="149" t="str">
        <f>IFERROR(VLOOKUP(Proc[[#This Row],[App]],Table2[],3,0),"open")</f>
        <v>ok</v>
      </c>
      <c r="C2762" s="124" t="s">
        <v>369</v>
      </c>
      <c r="D2762" t="s">
        <v>4911</v>
      </c>
      <c r="E2762" t="s">
        <v>4914</v>
      </c>
      <c r="F2762" s="124" t="s">
        <v>4914</v>
      </c>
      <c r="G2762" t="s">
        <v>406</v>
      </c>
      <c r="H2762" s="125" t="str">
        <f>IF(Proc[[#This Row],[type]]="LFF (MDG-F)",MID(Proc[[#This Row],[Obj]],13,10),"")</f>
        <v>NO50R00005</v>
      </c>
      <c r="J2762" s="125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HC</v>
      </c>
      <c r="L2762" s="125" t="s">
        <v>4894</v>
      </c>
      <c r="M2762" s="115">
        <v>45866.516793981478</v>
      </c>
      <c r="N2762" s="113"/>
      <c r="O2762" s="113"/>
      <c r="P2762" s="115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93</v>
      </c>
      <c r="R2762" s="115" t="s">
        <v>764</v>
      </c>
      <c r="S2762" s="125"/>
    </row>
    <row r="2763" spans="1:19" hidden="1">
      <c r="A2763" s="124" t="s">
        <v>4917</v>
      </c>
      <c r="B2763" s="149" t="str">
        <f>IFERROR(VLOOKUP(Proc[[#This Row],[App]],Table2[],3,0),"open")</f>
        <v>ok</v>
      </c>
      <c r="C2763" s="124" t="s">
        <v>369</v>
      </c>
      <c r="D2763" t="s">
        <v>4912</v>
      </c>
      <c r="E2763" t="s">
        <v>4915</v>
      </c>
      <c r="F2763" s="124" t="s">
        <v>4915</v>
      </c>
      <c r="G2763" s="124" t="s">
        <v>406</v>
      </c>
      <c r="H2763" s="125" t="str">
        <f>IF(Proc[[#This Row],[type]]="LFF (MDG-F)",MID(Proc[[#This Row],[Obj]],13,10),"")</f>
        <v>CH75L70000</v>
      </c>
      <c r="J2763" s="125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HC</v>
      </c>
      <c r="L2763" s="125" t="s">
        <v>4894</v>
      </c>
      <c r="M2763" s="115">
        <v>45866.516793981478</v>
      </c>
      <c r="N2763" s="113"/>
      <c r="O2763" s="113"/>
      <c r="P2763" s="115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93</v>
      </c>
      <c r="R2763" s="115" t="s">
        <v>764</v>
      </c>
      <c r="S2763" s="125"/>
    </row>
    <row r="2764" spans="1:19" hidden="1">
      <c r="A2764" s="124" t="s">
        <v>4917</v>
      </c>
      <c r="B2764" s="149" t="str">
        <f>IFERROR(VLOOKUP(Proc[[#This Row],[App]],Table2[],3,0),"open")</f>
        <v>ok</v>
      </c>
      <c r="C2764" s="124" t="s">
        <v>369</v>
      </c>
      <c r="D2764" t="s">
        <v>4913</v>
      </c>
      <c r="E2764" t="s">
        <v>4916</v>
      </c>
      <c r="F2764" s="124" t="s">
        <v>4916</v>
      </c>
      <c r="G2764" s="124" t="s">
        <v>406</v>
      </c>
      <c r="H2764" s="125" t="str">
        <f>IF(Proc[[#This Row],[type]]="LFF (MDG-F)",MID(Proc[[#This Row],[Obj]],13,10),"")</f>
        <v>DE50R06355</v>
      </c>
      <c r="J2764" s="125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HC</v>
      </c>
      <c r="L2764" s="125" t="s">
        <v>4894</v>
      </c>
      <c r="M2764" s="115">
        <v>45866.516793981478</v>
      </c>
      <c r="N2764" s="113"/>
      <c r="O2764" s="113"/>
      <c r="P2764" s="115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93</v>
      </c>
      <c r="R2764" s="115" t="s">
        <v>764</v>
      </c>
      <c r="S2764" s="125"/>
    </row>
    <row r="2765" spans="1:19" hidden="1">
      <c r="A2765" t="s">
        <v>4919</v>
      </c>
      <c r="B2765" s="149" t="str">
        <f>IFERROR(VLOOKUP(Proc[[#This Row],[App]],Table2[],3,0),"open")</f>
        <v>ok</v>
      </c>
      <c r="C2765" s="124" t="s">
        <v>369</v>
      </c>
      <c r="D2765" t="s">
        <v>4918</v>
      </c>
      <c r="E2765" t="s">
        <v>4333</v>
      </c>
      <c r="F2765" s="124" t="s">
        <v>4333</v>
      </c>
      <c r="G2765" t="s">
        <v>400</v>
      </c>
      <c r="H2765" s="125" t="str">
        <f>IF(Proc[[#This Row],[type]]="LFF (MDG-F)",MID(Proc[[#This Row],[Obj]],13,10),"")</f>
        <v/>
      </c>
      <c r="J2765" s="125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HC</v>
      </c>
      <c r="L2765" s="125" t="s">
        <v>4894</v>
      </c>
      <c r="M2765" s="115">
        <v>45866.516793981478</v>
      </c>
      <c r="N2765" s="113"/>
      <c r="O2765" s="113"/>
      <c r="P2765" s="115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93</v>
      </c>
      <c r="R2765" s="115" t="s">
        <v>410</v>
      </c>
      <c r="S2765" s="125"/>
    </row>
    <row r="2766" spans="1:19" hidden="1">
      <c r="A2766" t="s">
        <v>4933</v>
      </c>
      <c r="B2766" s="149" t="str">
        <f>IFERROR(VLOOKUP(Proc[[#This Row],[App]],Table2[],3,0),"open")</f>
        <v>ok</v>
      </c>
      <c r="C2766" s="124" t="s">
        <v>369</v>
      </c>
      <c r="D2766" t="s">
        <v>4921</v>
      </c>
      <c r="E2766" t="s">
        <v>4927</v>
      </c>
      <c r="F2766" s="125" t="s">
        <v>4927</v>
      </c>
      <c r="G2766" s="124" t="s">
        <v>400</v>
      </c>
      <c r="H2766" s="125" t="str">
        <f>IF(Proc[[#This Row],[type]]="LFF (MDG-F)",MID(Proc[[#This Row],[Obj]],13,10),"")</f>
        <v/>
      </c>
      <c r="J2766" s="125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LS</v>
      </c>
      <c r="L2766" s="125" t="s">
        <v>4894</v>
      </c>
      <c r="M2766" s="113">
        <v>45868</v>
      </c>
      <c r="N2766" s="113"/>
      <c r="O2766" s="113"/>
      <c r="P2766" s="115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91</v>
      </c>
      <c r="R2766" s="115" t="s">
        <v>972</v>
      </c>
      <c r="S2766" s="125"/>
    </row>
    <row r="2767" spans="1:19" hidden="1">
      <c r="A2767" s="124" t="s">
        <v>4933</v>
      </c>
      <c r="B2767" s="149" t="str">
        <f>IFERROR(VLOOKUP(Proc[[#This Row],[App]],Table2[],3,0),"open")</f>
        <v>ok</v>
      </c>
      <c r="C2767" s="124" t="s">
        <v>369</v>
      </c>
      <c r="D2767" t="s">
        <v>4922</v>
      </c>
      <c r="E2767" t="s">
        <v>4928</v>
      </c>
      <c r="F2767" s="125" t="s">
        <v>4928</v>
      </c>
      <c r="G2767" s="124" t="s">
        <v>400</v>
      </c>
      <c r="H2767" s="125" t="str">
        <f>IF(Proc[[#This Row],[type]]="LFF (MDG-F)",MID(Proc[[#This Row],[Obj]],13,10),"")</f>
        <v/>
      </c>
      <c r="J2767" s="125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LS</v>
      </c>
      <c r="L2767" s="125" t="s">
        <v>4894</v>
      </c>
      <c r="M2767" s="113">
        <v>45868</v>
      </c>
      <c r="N2767" s="113"/>
      <c r="O2767" s="113"/>
      <c r="P2767" s="115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91</v>
      </c>
      <c r="R2767" s="115" t="s">
        <v>972</v>
      </c>
      <c r="S2767" s="125"/>
    </row>
    <row r="2768" spans="1:19" hidden="1">
      <c r="A2768" s="124" t="s">
        <v>4933</v>
      </c>
      <c r="B2768" s="149" t="str">
        <f>IFERROR(VLOOKUP(Proc[[#This Row],[App]],Table2[],3,0),"open")</f>
        <v>ok</v>
      </c>
      <c r="C2768" s="124" t="s">
        <v>369</v>
      </c>
      <c r="D2768" t="s">
        <v>4923</v>
      </c>
      <c r="E2768" t="s">
        <v>4929</v>
      </c>
      <c r="F2768" s="125" t="s">
        <v>4929</v>
      </c>
      <c r="G2768" s="124" t="s">
        <v>400</v>
      </c>
      <c r="H2768" s="125" t="str">
        <f>IF(Proc[[#This Row],[type]]="LFF (MDG-F)",MID(Proc[[#This Row],[Obj]],13,10),"")</f>
        <v/>
      </c>
      <c r="J2768" s="125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LS</v>
      </c>
      <c r="L2768" s="125" t="s">
        <v>4894</v>
      </c>
      <c r="M2768" s="113">
        <v>45868</v>
      </c>
      <c r="N2768" s="113"/>
      <c r="O2768" s="113"/>
      <c r="P2768" s="115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91</v>
      </c>
      <c r="R2768" s="115" t="s">
        <v>972</v>
      </c>
      <c r="S2768" s="125"/>
    </row>
    <row r="2769" spans="1:19" hidden="1">
      <c r="A2769" s="124" t="s">
        <v>4933</v>
      </c>
      <c r="B2769" s="149" t="str">
        <f>IFERROR(VLOOKUP(Proc[[#This Row],[App]],Table2[],3,0),"open")</f>
        <v>ok</v>
      </c>
      <c r="C2769" s="124" t="s">
        <v>369</v>
      </c>
      <c r="D2769" t="s">
        <v>4924</v>
      </c>
      <c r="E2769" t="s">
        <v>4930</v>
      </c>
      <c r="F2769" s="125" t="s">
        <v>4930</v>
      </c>
      <c r="G2769" s="124" t="s">
        <v>400</v>
      </c>
      <c r="H2769" s="125" t="str">
        <f>IF(Proc[[#This Row],[type]]="LFF (MDG-F)",MID(Proc[[#This Row],[Obj]],13,10),"")</f>
        <v/>
      </c>
      <c r="J2769" s="125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LS</v>
      </c>
      <c r="L2769" s="125" t="s">
        <v>4894</v>
      </c>
      <c r="M2769" s="113">
        <v>45868</v>
      </c>
      <c r="N2769" s="113"/>
      <c r="O2769" s="113"/>
      <c r="P2769" s="115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91</v>
      </c>
      <c r="R2769" s="115" t="s">
        <v>972</v>
      </c>
      <c r="S2769" s="125"/>
    </row>
    <row r="2770" spans="1:19" hidden="1">
      <c r="A2770" s="124" t="s">
        <v>4933</v>
      </c>
      <c r="B2770" s="149" t="str">
        <f>IFERROR(VLOOKUP(Proc[[#This Row],[App]],Table2[],3,0),"open")</f>
        <v>ok</v>
      </c>
      <c r="C2770" s="124" t="s">
        <v>369</v>
      </c>
      <c r="D2770" t="s">
        <v>4925</v>
      </c>
      <c r="E2770" t="s">
        <v>2206</v>
      </c>
      <c r="F2770" s="125" t="s">
        <v>2206</v>
      </c>
      <c r="G2770" s="124" t="s">
        <v>400</v>
      </c>
      <c r="H2770" s="125" t="str">
        <f>IF(Proc[[#This Row],[type]]="LFF (MDG-F)",MID(Proc[[#This Row],[Obj]],13,10),"")</f>
        <v/>
      </c>
      <c r="J2770" s="125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LS</v>
      </c>
      <c r="L2770" s="125" t="s">
        <v>4894</v>
      </c>
      <c r="M2770" s="113">
        <v>45868</v>
      </c>
      <c r="N2770" s="113"/>
      <c r="O2770" s="113"/>
      <c r="P2770" s="115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91</v>
      </c>
      <c r="R2770" s="115" t="s">
        <v>972</v>
      </c>
      <c r="S2770" s="125"/>
    </row>
    <row r="2771" spans="1:19" hidden="1">
      <c r="A2771" s="124" t="s">
        <v>4933</v>
      </c>
      <c r="B2771" s="149" t="str">
        <f>IFERROR(VLOOKUP(Proc[[#This Row],[App]],Table2[],3,0),"open")</f>
        <v>ok</v>
      </c>
      <c r="C2771" s="124" t="s">
        <v>369</v>
      </c>
      <c r="D2771" t="s">
        <v>4926</v>
      </c>
      <c r="E2771" t="s">
        <v>4931</v>
      </c>
      <c r="F2771" s="125" t="s">
        <v>4931</v>
      </c>
      <c r="G2771" s="124" t="s">
        <v>400</v>
      </c>
      <c r="H2771" s="125" t="str">
        <f>IF(Proc[[#This Row],[type]]="LFF (MDG-F)",MID(Proc[[#This Row],[Obj]],13,10),"")</f>
        <v/>
      </c>
      <c r="J2771" s="125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LS</v>
      </c>
      <c r="L2771" s="125" t="s">
        <v>4894</v>
      </c>
      <c r="M2771" s="113">
        <v>45868</v>
      </c>
      <c r="N2771" s="113"/>
      <c r="O2771" s="113"/>
      <c r="P2771" s="115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91</v>
      </c>
      <c r="R2771" s="115" t="s">
        <v>972</v>
      </c>
      <c r="S2771" s="125"/>
    </row>
    <row r="2772" spans="1:19" hidden="1">
      <c r="A2772" s="124" t="s">
        <v>4933</v>
      </c>
      <c r="B2772" s="149" t="str">
        <f>IFERROR(VLOOKUP(Proc[[#This Row],[App]],Table2[],3,0),"open")</f>
        <v>ok</v>
      </c>
      <c r="C2772" s="124" t="s">
        <v>369</v>
      </c>
      <c r="D2772" t="s">
        <v>4932</v>
      </c>
      <c r="E2772" t="s">
        <v>2815</v>
      </c>
      <c r="F2772" s="125" t="s">
        <v>2815</v>
      </c>
      <c r="G2772" s="124" t="s">
        <v>400</v>
      </c>
      <c r="H2772" s="125" t="str">
        <f>IF(Proc[[#This Row],[type]]="LFF (MDG-F)",MID(Proc[[#This Row],[Obj]],13,10),"")</f>
        <v/>
      </c>
      <c r="J2772" s="125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LS</v>
      </c>
      <c r="L2772" s="125" t="s">
        <v>4894</v>
      </c>
      <c r="M2772" s="113">
        <v>45868</v>
      </c>
      <c r="N2772" s="113"/>
      <c r="O2772" s="113"/>
      <c r="P2772" s="115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91</v>
      </c>
      <c r="R2772" s="115" t="s">
        <v>972</v>
      </c>
      <c r="S2772" s="125"/>
    </row>
    <row r="2773" spans="1:19" hidden="1">
      <c r="A2773" t="s">
        <v>4934</v>
      </c>
      <c r="B2773" s="149" t="str">
        <f>IFERROR(VLOOKUP(Proc[[#This Row],[App]],Table2[],3,0),"open")</f>
        <v>ok</v>
      </c>
      <c r="C2773" s="124" t="s">
        <v>369</v>
      </c>
      <c r="D2773" t="s">
        <v>4955</v>
      </c>
      <c r="E2773" t="s">
        <v>4935</v>
      </c>
      <c r="F2773" s="125" t="s">
        <v>4935</v>
      </c>
      <c r="G2773" t="s">
        <v>406</v>
      </c>
      <c r="H2773" s="125" t="str">
        <f>IF(Proc[[#This Row],[type]]="LFF (MDG-F)",MID(Proc[[#This Row],[Obj]],13,10),"")</f>
        <v>DE10GTX000</v>
      </c>
      <c r="J2773" s="125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13">
        <v>45868</v>
      </c>
      <c r="N2773" s="113"/>
      <c r="O2773" s="113"/>
      <c r="P2773" s="115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91</v>
      </c>
      <c r="R2773" s="115" t="s">
        <v>515</v>
      </c>
      <c r="S2773" s="125"/>
    </row>
    <row r="2774" spans="1:19" hidden="1">
      <c r="A2774" s="124" t="s">
        <v>4934</v>
      </c>
      <c r="B2774" s="149" t="str">
        <f>IFERROR(VLOOKUP(Proc[[#This Row],[App]],Table2[],3,0),"open")</f>
        <v>ok</v>
      </c>
      <c r="C2774" s="124" t="s">
        <v>369</v>
      </c>
      <c r="D2774" t="s">
        <v>4941</v>
      </c>
      <c r="E2774" t="s">
        <v>4936</v>
      </c>
      <c r="F2774" s="125" t="s">
        <v>4936</v>
      </c>
      <c r="G2774" s="124" t="s">
        <v>400</v>
      </c>
      <c r="H2774" s="125" t="str">
        <f>IF(Proc[[#This Row],[type]]="LFF (MDG-F)",MID(Proc[[#This Row],[Obj]],13,10),"")</f>
        <v/>
      </c>
      <c r="J2774" s="125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HC</v>
      </c>
      <c r="L2774" s="125" t="s">
        <v>4894</v>
      </c>
      <c r="M2774" s="113">
        <v>45869</v>
      </c>
      <c r="N2774" s="113"/>
      <c r="O2774" s="113"/>
      <c r="P2774" s="115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90</v>
      </c>
      <c r="R2774" s="115" t="s">
        <v>415</v>
      </c>
      <c r="S2774" s="125"/>
    </row>
    <row r="2775" spans="1:19" hidden="1">
      <c r="A2775" s="124" t="s">
        <v>4934</v>
      </c>
      <c r="B2775" s="149" t="str">
        <f>IFERROR(VLOOKUP(Proc[[#This Row],[App]],Table2[],3,0),"open")</f>
        <v>ok</v>
      </c>
      <c r="C2775" s="124" t="s">
        <v>369</v>
      </c>
      <c r="D2775" t="s">
        <v>4942</v>
      </c>
      <c r="E2775" t="s">
        <v>4936</v>
      </c>
      <c r="F2775" s="125" t="s">
        <v>4936</v>
      </c>
      <c r="G2775" s="124" t="s">
        <v>400</v>
      </c>
      <c r="H2775" s="125" t="str">
        <f>IF(Proc[[#This Row],[type]]="LFF (MDG-F)",MID(Proc[[#This Row],[Obj]],13,10),"")</f>
        <v/>
      </c>
      <c r="J2775" s="125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HC</v>
      </c>
      <c r="L2775" s="125" t="s">
        <v>4894</v>
      </c>
      <c r="M2775" s="113">
        <v>45869</v>
      </c>
      <c r="N2775" s="113"/>
      <c r="O2775" s="113"/>
      <c r="P2775" s="115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90</v>
      </c>
      <c r="R2775" s="115" t="s">
        <v>415</v>
      </c>
      <c r="S2775" s="125"/>
    </row>
    <row r="2776" spans="1:19" hidden="1">
      <c r="A2776" s="124" t="s">
        <v>4934</v>
      </c>
      <c r="B2776" s="149" t="str">
        <f>IFERROR(VLOOKUP(Proc[[#This Row],[App]],Table2[],3,0),"open")</f>
        <v>ok</v>
      </c>
      <c r="C2776" s="124" t="s">
        <v>369</v>
      </c>
      <c r="D2776" t="s">
        <v>4943</v>
      </c>
      <c r="E2776" t="s">
        <v>4937</v>
      </c>
      <c r="F2776" s="125" t="s">
        <v>4937</v>
      </c>
      <c r="G2776" s="124" t="s">
        <v>400</v>
      </c>
      <c r="H2776" s="125" t="str">
        <f>IF(Proc[[#This Row],[type]]="LFF (MDG-F)",MID(Proc[[#This Row],[Obj]],13,10),"")</f>
        <v/>
      </c>
      <c r="J2776" s="125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HC</v>
      </c>
      <c r="L2776" s="125" t="s">
        <v>4894</v>
      </c>
      <c r="M2776" s="113">
        <v>45869</v>
      </c>
      <c r="N2776" s="113"/>
      <c r="O2776" s="113"/>
      <c r="P2776" s="115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90</v>
      </c>
      <c r="R2776" s="115" t="s">
        <v>415</v>
      </c>
      <c r="S2776" s="125"/>
    </row>
    <row r="2777" spans="1:19" hidden="1">
      <c r="A2777" s="124" t="s">
        <v>4934</v>
      </c>
      <c r="B2777" s="149" t="str">
        <f>IFERROR(VLOOKUP(Proc[[#This Row],[App]],Table2[],3,0),"open")</f>
        <v>ok</v>
      </c>
      <c r="C2777" s="124" t="s">
        <v>369</v>
      </c>
      <c r="D2777" t="s">
        <v>4944</v>
      </c>
      <c r="E2777" t="s">
        <v>4937</v>
      </c>
      <c r="F2777" s="125" t="s">
        <v>4937</v>
      </c>
      <c r="G2777" s="124" t="s">
        <v>400</v>
      </c>
      <c r="H2777" s="125" t="str">
        <f>IF(Proc[[#This Row],[type]]="LFF (MDG-F)",MID(Proc[[#This Row],[Obj]],13,10),"")</f>
        <v/>
      </c>
      <c r="J2777" s="125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HC</v>
      </c>
      <c r="L2777" s="125" t="s">
        <v>4894</v>
      </c>
      <c r="M2777" s="113">
        <v>45869</v>
      </c>
      <c r="N2777" s="113"/>
      <c r="O2777" s="113"/>
      <c r="P2777" s="115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90</v>
      </c>
      <c r="R2777" s="115" t="s">
        <v>415</v>
      </c>
      <c r="S2777" s="125"/>
    </row>
    <row r="2778" spans="1:19" hidden="1">
      <c r="A2778" s="124" t="s">
        <v>4934</v>
      </c>
      <c r="B2778" s="149" t="str">
        <f>IFERROR(VLOOKUP(Proc[[#This Row],[App]],Table2[],3,0),"open")</f>
        <v>ok</v>
      </c>
      <c r="C2778" s="124" t="s">
        <v>369</v>
      </c>
      <c r="D2778" t="s">
        <v>4945</v>
      </c>
      <c r="E2778" t="s">
        <v>4937</v>
      </c>
      <c r="F2778" s="125" t="s">
        <v>4937</v>
      </c>
      <c r="G2778" s="124" t="s">
        <v>400</v>
      </c>
      <c r="H2778" s="125" t="str">
        <f>IF(Proc[[#This Row],[type]]="LFF (MDG-F)",MID(Proc[[#This Row],[Obj]],13,10),"")</f>
        <v/>
      </c>
      <c r="J2778" s="125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HC</v>
      </c>
      <c r="L2778" s="125" t="s">
        <v>4894</v>
      </c>
      <c r="M2778" s="113">
        <v>45869</v>
      </c>
      <c r="N2778" s="113"/>
      <c r="O2778" s="113"/>
      <c r="P2778" s="115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90</v>
      </c>
      <c r="R2778" s="115" t="s">
        <v>415</v>
      </c>
      <c r="S2778" s="125"/>
    </row>
    <row r="2779" spans="1:19" hidden="1">
      <c r="A2779" s="124" t="s">
        <v>4934</v>
      </c>
      <c r="B2779" s="149" t="str">
        <f>IFERROR(VLOOKUP(Proc[[#This Row],[App]],Table2[],3,0),"open")</f>
        <v>ok</v>
      </c>
      <c r="C2779" s="124" t="s">
        <v>369</v>
      </c>
      <c r="D2779" t="s">
        <v>4946</v>
      </c>
      <c r="E2779" t="s">
        <v>4937</v>
      </c>
      <c r="F2779" s="125" t="s">
        <v>4937</v>
      </c>
      <c r="G2779" s="124" t="s">
        <v>400</v>
      </c>
      <c r="H2779" s="125" t="str">
        <f>IF(Proc[[#This Row],[type]]="LFF (MDG-F)",MID(Proc[[#This Row],[Obj]],13,10),"")</f>
        <v/>
      </c>
      <c r="J2779" s="125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HC</v>
      </c>
      <c r="L2779" s="125" t="s">
        <v>4894</v>
      </c>
      <c r="M2779" s="113">
        <v>45869</v>
      </c>
      <c r="N2779" s="113"/>
      <c r="O2779" s="113"/>
      <c r="P2779" s="115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90</v>
      </c>
      <c r="R2779" s="115" t="s">
        <v>415</v>
      </c>
      <c r="S2779" s="125"/>
    </row>
    <row r="2780" spans="1:19" hidden="1">
      <c r="A2780" s="124" t="s">
        <v>4934</v>
      </c>
      <c r="B2780" s="149" t="str">
        <f>IFERROR(VLOOKUP(Proc[[#This Row],[App]],Table2[],3,0),"open")</f>
        <v>ok</v>
      </c>
      <c r="C2780" s="124" t="s">
        <v>369</v>
      </c>
      <c r="D2780" t="s">
        <v>4947</v>
      </c>
      <c r="E2780" t="s">
        <v>4937</v>
      </c>
      <c r="F2780" s="125" t="s">
        <v>4937</v>
      </c>
      <c r="G2780" s="124" t="s">
        <v>400</v>
      </c>
      <c r="H2780" s="125" t="str">
        <f>IF(Proc[[#This Row],[type]]="LFF (MDG-F)",MID(Proc[[#This Row],[Obj]],13,10),"")</f>
        <v/>
      </c>
      <c r="J2780" s="125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HC</v>
      </c>
      <c r="L2780" s="125" t="s">
        <v>4894</v>
      </c>
      <c r="M2780" s="113">
        <v>45869</v>
      </c>
      <c r="N2780" s="113"/>
      <c r="O2780" s="113"/>
      <c r="P2780" s="115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90</v>
      </c>
      <c r="R2780" s="115" t="s">
        <v>415</v>
      </c>
      <c r="S2780" s="125"/>
    </row>
    <row r="2781" spans="1:19" hidden="1">
      <c r="A2781" s="124" t="s">
        <v>4934</v>
      </c>
      <c r="B2781" s="149" t="str">
        <f>IFERROR(VLOOKUP(Proc[[#This Row],[App]],Table2[],3,0),"open")</f>
        <v>ok</v>
      </c>
      <c r="C2781" s="124" t="s">
        <v>369</v>
      </c>
      <c r="D2781" t="s">
        <v>4948</v>
      </c>
      <c r="E2781" t="s">
        <v>4937</v>
      </c>
      <c r="F2781" s="125" t="s">
        <v>4937</v>
      </c>
      <c r="G2781" s="124" t="s">
        <v>400</v>
      </c>
      <c r="H2781" s="125" t="str">
        <f>IF(Proc[[#This Row],[type]]="LFF (MDG-F)",MID(Proc[[#This Row],[Obj]],13,10),"")</f>
        <v/>
      </c>
      <c r="J2781" s="125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HC</v>
      </c>
      <c r="L2781" s="125" t="s">
        <v>4894</v>
      </c>
      <c r="M2781" s="113">
        <v>45869</v>
      </c>
      <c r="N2781" s="113"/>
      <c r="O2781" s="113"/>
      <c r="P2781" s="115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90</v>
      </c>
      <c r="R2781" s="115" t="s">
        <v>415</v>
      </c>
      <c r="S2781" s="125"/>
    </row>
    <row r="2782" spans="1:19" hidden="1">
      <c r="A2782" s="124" t="s">
        <v>4934</v>
      </c>
      <c r="B2782" s="149" t="str">
        <f>IFERROR(VLOOKUP(Proc[[#This Row],[App]],Table2[],3,0),"open")</f>
        <v>ok</v>
      </c>
      <c r="C2782" s="124" t="s">
        <v>369</v>
      </c>
      <c r="D2782" t="s">
        <v>4949</v>
      </c>
      <c r="E2782" t="s">
        <v>4937</v>
      </c>
      <c r="F2782" s="125" t="s">
        <v>4937</v>
      </c>
      <c r="G2782" s="124" t="s">
        <v>400</v>
      </c>
      <c r="H2782" s="125" t="str">
        <f>IF(Proc[[#This Row],[type]]="LFF (MDG-F)",MID(Proc[[#This Row],[Obj]],13,10),"")</f>
        <v/>
      </c>
      <c r="J2782" s="125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HC</v>
      </c>
      <c r="L2782" s="125" t="s">
        <v>4894</v>
      </c>
      <c r="M2782" s="113">
        <v>45869</v>
      </c>
      <c r="N2782" s="113"/>
      <c r="O2782" s="113"/>
      <c r="P2782" s="115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90</v>
      </c>
      <c r="R2782" s="115" t="s">
        <v>415</v>
      </c>
      <c r="S2782" s="125"/>
    </row>
    <row r="2783" spans="1:19" hidden="1">
      <c r="A2783" s="124" t="s">
        <v>4934</v>
      </c>
      <c r="B2783" s="149" t="str">
        <f>IFERROR(VLOOKUP(Proc[[#This Row],[App]],Table2[],3,0),"open")</f>
        <v>ok</v>
      </c>
      <c r="C2783" s="124" t="s">
        <v>369</v>
      </c>
      <c r="D2783" t="s">
        <v>2822</v>
      </c>
      <c r="E2783" t="s">
        <v>4938</v>
      </c>
      <c r="F2783" s="125" t="s">
        <v>4938</v>
      </c>
      <c r="G2783" s="124" t="s">
        <v>400</v>
      </c>
      <c r="H2783" s="125" t="str">
        <f>IF(Proc[[#This Row],[type]]="LFF (MDG-F)",MID(Proc[[#This Row],[Obj]],13,10),"")</f>
        <v/>
      </c>
      <c r="J2783" s="125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HC</v>
      </c>
      <c r="L2783" s="125" t="s">
        <v>4894</v>
      </c>
      <c r="M2783" s="113">
        <v>45869</v>
      </c>
      <c r="N2783" s="113"/>
      <c r="O2783" s="113"/>
      <c r="P2783" s="115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90</v>
      </c>
      <c r="R2783" s="115" t="s">
        <v>415</v>
      </c>
      <c r="S2783" s="125"/>
    </row>
    <row r="2784" spans="1:19" hidden="1">
      <c r="A2784" s="124" t="s">
        <v>4934</v>
      </c>
      <c r="B2784" s="149" t="str">
        <f>IFERROR(VLOOKUP(Proc[[#This Row],[App]],Table2[],3,0),"open")</f>
        <v>ok</v>
      </c>
      <c r="C2784" s="124" t="s">
        <v>369</v>
      </c>
      <c r="D2784" t="s">
        <v>2823</v>
      </c>
      <c r="E2784" t="s">
        <v>4938</v>
      </c>
      <c r="F2784" s="125" t="s">
        <v>4938</v>
      </c>
      <c r="G2784" s="124" t="s">
        <v>400</v>
      </c>
      <c r="H2784" s="125" t="str">
        <f>IF(Proc[[#This Row],[type]]="LFF (MDG-F)",MID(Proc[[#This Row],[Obj]],13,10),"")</f>
        <v/>
      </c>
      <c r="J2784" s="125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HC</v>
      </c>
      <c r="L2784" s="125" t="s">
        <v>4894</v>
      </c>
      <c r="M2784" s="113">
        <v>45869</v>
      </c>
      <c r="N2784" s="113"/>
      <c r="O2784" s="113"/>
      <c r="P2784" s="115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90</v>
      </c>
      <c r="R2784" s="115" t="s">
        <v>415</v>
      </c>
      <c r="S2784" s="125"/>
    </row>
    <row r="2785" spans="1:19" hidden="1">
      <c r="A2785" s="124" t="s">
        <v>4934</v>
      </c>
      <c r="B2785" s="149" t="str">
        <f>IFERROR(VLOOKUP(Proc[[#This Row],[App]],Table2[],3,0),"open")</f>
        <v>ok</v>
      </c>
      <c r="C2785" s="124" t="s">
        <v>369</v>
      </c>
      <c r="D2785" t="s">
        <v>2821</v>
      </c>
      <c r="E2785" t="s">
        <v>4938</v>
      </c>
      <c r="F2785" s="125" t="s">
        <v>4938</v>
      </c>
      <c r="G2785" s="124" t="s">
        <v>400</v>
      </c>
      <c r="H2785" s="125" t="str">
        <f>IF(Proc[[#This Row],[type]]="LFF (MDG-F)",MID(Proc[[#This Row],[Obj]],13,10),"")</f>
        <v/>
      </c>
      <c r="J2785" s="125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HC</v>
      </c>
      <c r="L2785" s="125" t="s">
        <v>4894</v>
      </c>
      <c r="M2785" s="113">
        <v>45869</v>
      </c>
      <c r="N2785" s="113"/>
      <c r="O2785" s="113"/>
      <c r="P2785" s="115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90</v>
      </c>
      <c r="R2785" s="115" t="s">
        <v>415</v>
      </c>
      <c r="S2785" s="125"/>
    </row>
    <row r="2786" spans="1:19" hidden="1">
      <c r="A2786" s="124" t="s">
        <v>4934</v>
      </c>
      <c r="B2786" s="149" t="str">
        <f>IFERROR(VLOOKUP(Proc[[#This Row],[App]],Table2[],3,0),"open")</f>
        <v>ok</v>
      </c>
      <c r="C2786" s="124" t="s">
        <v>369</v>
      </c>
      <c r="D2786" t="s">
        <v>4950</v>
      </c>
      <c r="E2786" t="s">
        <v>4939</v>
      </c>
      <c r="F2786" s="125" t="s">
        <v>4939</v>
      </c>
      <c r="G2786" s="124" t="s">
        <v>400</v>
      </c>
      <c r="H2786" s="125" t="str">
        <f>IF(Proc[[#This Row],[type]]="LFF (MDG-F)",MID(Proc[[#This Row],[Obj]],13,10),"")</f>
        <v/>
      </c>
      <c r="J2786" s="125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HC</v>
      </c>
      <c r="L2786" s="125" t="s">
        <v>4894</v>
      </c>
      <c r="M2786" s="113">
        <v>45869</v>
      </c>
      <c r="N2786" s="113"/>
      <c r="O2786" s="113"/>
      <c r="P2786" s="115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90</v>
      </c>
      <c r="R2786" s="115" t="s">
        <v>415</v>
      </c>
      <c r="S2786" s="125"/>
    </row>
    <row r="2787" spans="1:19" hidden="1">
      <c r="A2787" s="124" t="s">
        <v>4934</v>
      </c>
      <c r="B2787" s="149" t="str">
        <f>IFERROR(VLOOKUP(Proc[[#This Row],[App]],Table2[],3,0),"open")</f>
        <v>ok</v>
      </c>
      <c r="C2787" s="124" t="s">
        <v>369</v>
      </c>
      <c r="D2787" t="s">
        <v>4951</v>
      </c>
      <c r="E2787" t="s">
        <v>4939</v>
      </c>
      <c r="F2787" s="125" t="s">
        <v>4939</v>
      </c>
      <c r="G2787" s="124" t="s">
        <v>400</v>
      </c>
      <c r="H2787" s="125" t="str">
        <f>IF(Proc[[#This Row],[type]]="LFF (MDG-F)",MID(Proc[[#This Row],[Obj]],13,10),"")</f>
        <v/>
      </c>
      <c r="J2787" s="125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HC</v>
      </c>
      <c r="L2787" s="125" t="s">
        <v>4894</v>
      </c>
      <c r="M2787" s="113">
        <v>45869</v>
      </c>
      <c r="N2787" s="113"/>
      <c r="O2787" s="113"/>
      <c r="P2787" s="115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90</v>
      </c>
      <c r="R2787" s="115" t="s">
        <v>415</v>
      </c>
      <c r="S2787" s="125"/>
    </row>
    <row r="2788" spans="1:19" hidden="1">
      <c r="A2788" s="124" t="s">
        <v>4934</v>
      </c>
      <c r="B2788" s="149" t="str">
        <f>IFERROR(VLOOKUP(Proc[[#This Row],[App]],Table2[],3,0),"open")</f>
        <v>ok</v>
      </c>
      <c r="C2788" s="124" t="s">
        <v>369</v>
      </c>
      <c r="D2788" t="s">
        <v>4952</v>
      </c>
      <c r="E2788" t="s">
        <v>4937</v>
      </c>
      <c r="F2788" s="125" t="s">
        <v>4937</v>
      </c>
      <c r="G2788" s="124" t="s">
        <v>400</v>
      </c>
      <c r="H2788" s="125" t="str">
        <f>IF(Proc[[#This Row],[type]]="LFF (MDG-F)",MID(Proc[[#This Row],[Obj]],13,10),"")</f>
        <v/>
      </c>
      <c r="J2788" s="125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HC</v>
      </c>
      <c r="L2788" s="125" t="s">
        <v>4894</v>
      </c>
      <c r="M2788" s="113">
        <v>45869</v>
      </c>
      <c r="N2788" s="113"/>
      <c r="O2788" s="113"/>
      <c r="P2788" s="115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90</v>
      </c>
      <c r="R2788" s="115" t="s">
        <v>415</v>
      </c>
      <c r="S2788" s="125"/>
    </row>
    <row r="2789" spans="1:19" hidden="1">
      <c r="A2789" s="124" t="s">
        <v>4934</v>
      </c>
      <c r="B2789" s="149" t="str">
        <f>IFERROR(VLOOKUP(Proc[[#This Row],[App]],Table2[],3,0),"open")</f>
        <v>ok</v>
      </c>
      <c r="C2789" s="124" t="s">
        <v>369</v>
      </c>
      <c r="D2789" t="s">
        <v>4953</v>
      </c>
      <c r="E2789" t="s">
        <v>4940</v>
      </c>
      <c r="F2789" s="125" t="s">
        <v>4940</v>
      </c>
      <c r="G2789" s="124" t="s">
        <v>400</v>
      </c>
      <c r="H2789" s="125" t="str">
        <f>IF(Proc[[#This Row],[type]]="LFF (MDG-F)",MID(Proc[[#This Row],[Obj]],13,10),"")</f>
        <v/>
      </c>
      <c r="J2789" s="125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HC</v>
      </c>
      <c r="L2789" s="125" t="s">
        <v>4894</v>
      </c>
      <c r="M2789" s="113">
        <v>45869</v>
      </c>
      <c r="N2789" s="113"/>
      <c r="O2789" s="113"/>
      <c r="P2789" s="115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90</v>
      </c>
      <c r="R2789" s="115" t="s">
        <v>415</v>
      </c>
      <c r="S2789" s="125"/>
    </row>
    <row r="2790" spans="1:19" hidden="1">
      <c r="A2790" s="124" t="s">
        <v>4934</v>
      </c>
      <c r="B2790" s="149" t="str">
        <f>IFERROR(VLOOKUP(Proc[[#This Row],[App]],Table2[],3,0),"open")</f>
        <v>ok</v>
      </c>
      <c r="C2790" s="124" t="s">
        <v>369</v>
      </c>
      <c r="D2790" t="s">
        <v>4954</v>
      </c>
      <c r="E2790" t="s">
        <v>4940</v>
      </c>
      <c r="F2790" s="125" t="s">
        <v>4940</v>
      </c>
      <c r="G2790" s="124" t="s">
        <v>400</v>
      </c>
      <c r="H2790" s="125" t="str">
        <f>IF(Proc[[#This Row],[type]]="LFF (MDG-F)",MID(Proc[[#This Row],[Obj]],13,10),"")</f>
        <v/>
      </c>
      <c r="J2790" s="125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HC</v>
      </c>
      <c r="L2790" s="125" t="s">
        <v>4894</v>
      </c>
      <c r="M2790" s="113">
        <v>45869</v>
      </c>
      <c r="N2790" s="113"/>
      <c r="O2790" s="113"/>
      <c r="P2790" s="115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90</v>
      </c>
      <c r="R2790" s="115" t="s">
        <v>415</v>
      </c>
      <c r="S2790" s="125"/>
    </row>
    <row r="2791" spans="1:19" hidden="1">
      <c r="A2791" t="s">
        <v>5258</v>
      </c>
      <c r="B2791" s="149" t="str">
        <f>IFERROR(VLOOKUP(Proc[[#This Row],[App]],Table2[],3,0),"open")</f>
        <v>ok</v>
      </c>
      <c r="C2791" s="124" t="s">
        <v>369</v>
      </c>
      <c r="D2791" t="s">
        <v>4956</v>
      </c>
      <c r="E2791" t="s">
        <v>2521</v>
      </c>
      <c r="F2791" s="125" t="s">
        <v>2521</v>
      </c>
      <c r="G2791" s="124" t="s">
        <v>400</v>
      </c>
      <c r="H2791" s="125" t="str">
        <f>IF(Proc[[#This Row],[type]]="LFF (MDG-F)",MID(Proc[[#This Row],[Obj]],13,10),"")</f>
        <v/>
      </c>
      <c r="J2791" s="125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HC</v>
      </c>
      <c r="L2791" s="125" t="s">
        <v>4894</v>
      </c>
      <c r="M2791" s="113">
        <v>45873</v>
      </c>
      <c r="N2791" s="113"/>
      <c r="O2791" s="113"/>
      <c r="P2791" s="115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88</v>
      </c>
      <c r="R2791" s="115" t="s">
        <v>1013</v>
      </c>
      <c r="S2791" s="125"/>
    </row>
    <row r="2792" spans="1:19" hidden="1">
      <c r="A2792" s="124" t="s">
        <v>5258</v>
      </c>
      <c r="B2792" s="149" t="str">
        <f>IFERROR(VLOOKUP(Proc[[#This Row],[App]],Table2[],3,0),"open")</f>
        <v>ok</v>
      </c>
      <c r="C2792" s="124" t="s">
        <v>369</v>
      </c>
      <c r="D2792" t="s">
        <v>4957</v>
      </c>
      <c r="E2792" t="s">
        <v>2521</v>
      </c>
      <c r="F2792" s="125" t="s">
        <v>2521</v>
      </c>
      <c r="G2792" s="124" t="s">
        <v>400</v>
      </c>
      <c r="H2792" s="125" t="str">
        <f>IF(Proc[[#This Row],[type]]="LFF (MDG-F)",MID(Proc[[#This Row],[Obj]],13,10),"")</f>
        <v/>
      </c>
      <c r="J2792" s="125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HC</v>
      </c>
      <c r="L2792" s="125" t="s">
        <v>4894</v>
      </c>
      <c r="M2792" s="113">
        <v>45873</v>
      </c>
      <c r="N2792" s="113"/>
      <c r="O2792" s="113"/>
      <c r="P2792" s="115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88</v>
      </c>
      <c r="R2792" s="115" t="s">
        <v>1013</v>
      </c>
      <c r="S2792" s="125"/>
    </row>
    <row r="2793" spans="1:19" hidden="1">
      <c r="A2793" s="124" t="s">
        <v>5258</v>
      </c>
      <c r="B2793" s="149" t="str">
        <f>IFERROR(VLOOKUP(Proc[[#This Row],[App]],Table2[],3,0),"open")</f>
        <v>ok</v>
      </c>
      <c r="C2793" s="124" t="s">
        <v>369</v>
      </c>
      <c r="D2793" t="s">
        <v>4958</v>
      </c>
      <c r="E2793" t="s">
        <v>5251</v>
      </c>
      <c r="F2793" s="125" t="s">
        <v>5251</v>
      </c>
      <c r="G2793" s="124" t="s">
        <v>400</v>
      </c>
      <c r="H2793" s="125" t="str">
        <f>IF(Proc[[#This Row],[type]]="LFF (MDG-F)",MID(Proc[[#This Row],[Obj]],13,10),"")</f>
        <v/>
      </c>
      <c r="J2793" s="125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HC</v>
      </c>
      <c r="L2793" s="125" t="s">
        <v>4894</v>
      </c>
      <c r="M2793" s="113">
        <v>45873</v>
      </c>
      <c r="N2793" s="113"/>
      <c r="O2793" s="113"/>
      <c r="P2793" s="115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88</v>
      </c>
      <c r="R2793" s="115" t="s">
        <v>1013</v>
      </c>
      <c r="S2793" s="125"/>
    </row>
    <row r="2794" spans="1:19" hidden="1">
      <c r="A2794" s="124" t="s">
        <v>5258</v>
      </c>
      <c r="B2794" s="149" t="str">
        <f>IFERROR(VLOOKUP(Proc[[#This Row],[App]],Table2[],3,0),"open")</f>
        <v>ok</v>
      </c>
      <c r="C2794" s="124" t="s">
        <v>369</v>
      </c>
      <c r="D2794" t="s">
        <v>4959</v>
      </c>
      <c r="E2794" t="s">
        <v>5251</v>
      </c>
      <c r="F2794" s="125" t="s">
        <v>5251</v>
      </c>
      <c r="G2794" s="124" t="s">
        <v>400</v>
      </c>
      <c r="H2794" s="125" t="str">
        <f>IF(Proc[[#This Row],[type]]="LFF (MDG-F)",MID(Proc[[#This Row],[Obj]],13,10),"")</f>
        <v/>
      </c>
      <c r="J2794" s="125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HC</v>
      </c>
      <c r="L2794" s="125" t="s">
        <v>4894</v>
      </c>
      <c r="M2794" s="113">
        <v>45873</v>
      </c>
      <c r="N2794" s="113"/>
      <c r="O2794" s="113"/>
      <c r="P2794" s="115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88</v>
      </c>
      <c r="R2794" s="115" t="s">
        <v>1013</v>
      </c>
      <c r="S2794" s="125"/>
    </row>
    <row r="2795" spans="1:19" hidden="1">
      <c r="A2795" s="124" t="s">
        <v>5258</v>
      </c>
      <c r="B2795" s="149" t="str">
        <f>IFERROR(VLOOKUP(Proc[[#This Row],[App]],Table2[],3,0),"open")</f>
        <v>ok</v>
      </c>
      <c r="C2795" s="124" t="s">
        <v>369</v>
      </c>
      <c r="D2795" t="s">
        <v>4960</v>
      </c>
      <c r="E2795" t="s">
        <v>5251</v>
      </c>
      <c r="F2795" s="125" t="s">
        <v>5251</v>
      </c>
      <c r="G2795" s="124" t="s">
        <v>400</v>
      </c>
      <c r="H2795" s="125" t="str">
        <f>IF(Proc[[#This Row],[type]]="LFF (MDG-F)",MID(Proc[[#This Row],[Obj]],13,10),"")</f>
        <v/>
      </c>
      <c r="J2795" s="125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HC</v>
      </c>
      <c r="L2795" s="125" t="s">
        <v>4894</v>
      </c>
      <c r="M2795" s="113">
        <v>45873</v>
      </c>
      <c r="N2795" s="113"/>
      <c r="O2795" s="113"/>
      <c r="P2795" s="115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88</v>
      </c>
      <c r="R2795" s="115" t="s">
        <v>1013</v>
      </c>
      <c r="S2795" s="125"/>
    </row>
    <row r="2796" spans="1:19" hidden="1">
      <c r="A2796" s="124" t="s">
        <v>5258</v>
      </c>
      <c r="B2796" s="149" t="str">
        <f>IFERROR(VLOOKUP(Proc[[#This Row],[App]],Table2[],3,0),"open")</f>
        <v>ok</v>
      </c>
      <c r="C2796" s="124" t="s">
        <v>369</v>
      </c>
      <c r="D2796" t="s">
        <v>4961</v>
      </c>
      <c r="E2796" t="s">
        <v>3002</v>
      </c>
      <c r="F2796" s="125" t="s">
        <v>3002</v>
      </c>
      <c r="G2796" s="124" t="s">
        <v>400</v>
      </c>
      <c r="H2796" s="125" t="str">
        <f>IF(Proc[[#This Row],[type]]="LFF (MDG-F)",MID(Proc[[#This Row],[Obj]],13,10),"")</f>
        <v/>
      </c>
      <c r="J2796" s="125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HC</v>
      </c>
      <c r="L2796" s="125" t="s">
        <v>4894</v>
      </c>
      <c r="M2796" s="113">
        <v>45873</v>
      </c>
      <c r="N2796" s="113"/>
      <c r="O2796" s="113"/>
      <c r="P2796" s="115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88</v>
      </c>
      <c r="R2796" s="115" t="s">
        <v>1013</v>
      </c>
      <c r="S2796" s="125"/>
    </row>
    <row r="2797" spans="1:19" hidden="1">
      <c r="A2797" s="124" t="s">
        <v>5258</v>
      </c>
      <c r="B2797" s="149" t="str">
        <f>IFERROR(VLOOKUP(Proc[[#This Row],[App]],Table2[],3,0),"open")</f>
        <v>ok</v>
      </c>
      <c r="C2797" s="124" t="s">
        <v>369</v>
      </c>
      <c r="D2797" t="s">
        <v>4962</v>
      </c>
      <c r="E2797" t="s">
        <v>3002</v>
      </c>
      <c r="F2797" s="125" t="s">
        <v>3002</v>
      </c>
      <c r="G2797" s="124" t="s">
        <v>400</v>
      </c>
      <c r="H2797" s="125" t="str">
        <f>IF(Proc[[#This Row],[type]]="LFF (MDG-F)",MID(Proc[[#This Row],[Obj]],13,10),"")</f>
        <v/>
      </c>
      <c r="J2797" s="125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HC</v>
      </c>
      <c r="L2797" s="125" t="s">
        <v>4894</v>
      </c>
      <c r="M2797" s="113">
        <v>45873</v>
      </c>
      <c r="N2797" s="113"/>
      <c r="O2797" s="113"/>
      <c r="P2797" s="115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88</v>
      </c>
      <c r="R2797" s="115" t="s">
        <v>1013</v>
      </c>
      <c r="S2797" s="125"/>
    </row>
    <row r="2798" spans="1:19" hidden="1">
      <c r="A2798" s="124" t="s">
        <v>5258</v>
      </c>
      <c r="B2798" s="149" t="str">
        <f>IFERROR(VLOOKUP(Proc[[#This Row],[App]],Table2[],3,0),"open")</f>
        <v>ok</v>
      </c>
      <c r="C2798" s="124" t="s">
        <v>369</v>
      </c>
      <c r="D2798" t="s">
        <v>4963</v>
      </c>
      <c r="E2798" t="s">
        <v>3002</v>
      </c>
      <c r="F2798" s="125" t="s">
        <v>3002</v>
      </c>
      <c r="G2798" s="124" t="s">
        <v>400</v>
      </c>
      <c r="H2798" s="125" t="str">
        <f>IF(Proc[[#This Row],[type]]="LFF (MDG-F)",MID(Proc[[#This Row],[Obj]],13,10),"")</f>
        <v/>
      </c>
      <c r="J2798" s="125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HC</v>
      </c>
      <c r="L2798" s="125" t="s">
        <v>4894</v>
      </c>
      <c r="M2798" s="113">
        <v>45873</v>
      </c>
      <c r="N2798" s="113"/>
      <c r="O2798" s="113"/>
      <c r="P2798" s="115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88</v>
      </c>
      <c r="R2798" s="115" t="s">
        <v>1013</v>
      </c>
      <c r="S2798" s="125"/>
    </row>
    <row r="2799" spans="1:19" hidden="1">
      <c r="A2799" s="124" t="s">
        <v>5258</v>
      </c>
      <c r="B2799" s="149" t="str">
        <f>IFERROR(VLOOKUP(Proc[[#This Row],[App]],Table2[],3,0),"open")</f>
        <v>ok</v>
      </c>
      <c r="C2799" s="124" t="s">
        <v>369</v>
      </c>
      <c r="D2799" t="s">
        <v>4964</v>
      </c>
      <c r="E2799" t="s">
        <v>3007</v>
      </c>
      <c r="F2799" s="125" t="s">
        <v>3007</v>
      </c>
      <c r="G2799" s="124" t="s">
        <v>400</v>
      </c>
      <c r="H2799" s="125" t="str">
        <f>IF(Proc[[#This Row],[type]]="LFF (MDG-F)",MID(Proc[[#This Row],[Obj]],13,10),"")</f>
        <v/>
      </c>
      <c r="J2799" s="125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HC</v>
      </c>
      <c r="L2799" s="125" t="s">
        <v>4894</v>
      </c>
      <c r="M2799" s="113">
        <v>45873</v>
      </c>
      <c r="N2799" s="113"/>
      <c r="O2799" s="113"/>
      <c r="P2799" s="115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88</v>
      </c>
      <c r="R2799" s="115" t="s">
        <v>1013</v>
      </c>
      <c r="S2799" s="125"/>
    </row>
    <row r="2800" spans="1:19" hidden="1">
      <c r="A2800" s="124" t="s">
        <v>5258</v>
      </c>
      <c r="B2800" s="149" t="str">
        <f>IFERROR(VLOOKUP(Proc[[#This Row],[App]],Table2[],3,0),"open")</f>
        <v>ok</v>
      </c>
      <c r="C2800" s="124" t="s">
        <v>369</v>
      </c>
      <c r="D2800" t="s">
        <v>4965</v>
      </c>
      <c r="E2800" t="s">
        <v>3002</v>
      </c>
      <c r="F2800" s="125" t="s">
        <v>3002</v>
      </c>
      <c r="G2800" s="124" t="s">
        <v>400</v>
      </c>
      <c r="H2800" s="125" t="str">
        <f>IF(Proc[[#This Row],[type]]="LFF (MDG-F)",MID(Proc[[#This Row],[Obj]],13,10),"")</f>
        <v/>
      </c>
      <c r="J2800" s="125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HC</v>
      </c>
      <c r="L2800" s="125" t="s">
        <v>4894</v>
      </c>
      <c r="M2800" s="113">
        <v>45873</v>
      </c>
      <c r="N2800" s="113"/>
      <c r="O2800" s="113"/>
      <c r="P2800" s="115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88</v>
      </c>
      <c r="R2800" s="115" t="s">
        <v>1013</v>
      </c>
      <c r="S2800" s="125"/>
    </row>
    <row r="2801" spans="1:19" hidden="1">
      <c r="A2801" s="124" t="s">
        <v>5258</v>
      </c>
      <c r="B2801" s="149" t="str">
        <f>IFERROR(VLOOKUP(Proc[[#This Row],[App]],Table2[],3,0),"open")</f>
        <v>ok</v>
      </c>
      <c r="C2801" s="124" t="s">
        <v>369</v>
      </c>
      <c r="D2801" t="s">
        <v>4966</v>
      </c>
      <c r="E2801" t="s">
        <v>3002</v>
      </c>
      <c r="F2801" s="125" t="s">
        <v>3002</v>
      </c>
      <c r="G2801" s="124" t="s">
        <v>400</v>
      </c>
      <c r="H2801" s="125" t="str">
        <f>IF(Proc[[#This Row],[type]]="LFF (MDG-F)",MID(Proc[[#This Row],[Obj]],13,10),"")</f>
        <v/>
      </c>
      <c r="J2801" s="125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HC</v>
      </c>
      <c r="L2801" s="125" t="s">
        <v>4894</v>
      </c>
      <c r="M2801" s="113">
        <v>45873</v>
      </c>
      <c r="N2801" s="113"/>
      <c r="O2801" s="113"/>
      <c r="P2801" s="115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88</v>
      </c>
      <c r="R2801" s="115" t="s">
        <v>1013</v>
      </c>
      <c r="S2801" s="125"/>
    </row>
    <row r="2802" spans="1:19" hidden="1">
      <c r="A2802" s="124" t="s">
        <v>5258</v>
      </c>
      <c r="B2802" s="149" t="str">
        <f>IFERROR(VLOOKUP(Proc[[#This Row],[App]],Table2[],3,0),"open")</f>
        <v>ok</v>
      </c>
      <c r="C2802" s="124" t="s">
        <v>369</v>
      </c>
      <c r="D2802" t="s">
        <v>4967</v>
      </c>
      <c r="E2802" t="s">
        <v>3002</v>
      </c>
      <c r="F2802" s="125" t="s">
        <v>3002</v>
      </c>
      <c r="G2802" s="124" t="s">
        <v>400</v>
      </c>
      <c r="H2802" s="125" t="str">
        <f>IF(Proc[[#This Row],[type]]="LFF (MDG-F)",MID(Proc[[#This Row],[Obj]],13,10),"")</f>
        <v/>
      </c>
      <c r="J2802" s="125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HC</v>
      </c>
      <c r="L2802" s="125" t="s">
        <v>4894</v>
      </c>
      <c r="M2802" s="113">
        <v>45873</v>
      </c>
      <c r="N2802" s="113"/>
      <c r="O2802" s="113"/>
      <c r="P2802" s="115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88</v>
      </c>
      <c r="R2802" s="115" t="s">
        <v>1013</v>
      </c>
      <c r="S2802" s="125"/>
    </row>
    <row r="2803" spans="1:19" hidden="1">
      <c r="A2803" s="124" t="s">
        <v>5258</v>
      </c>
      <c r="B2803" s="149" t="str">
        <f>IFERROR(VLOOKUP(Proc[[#This Row],[App]],Table2[],3,0),"open")</f>
        <v>ok</v>
      </c>
      <c r="C2803" s="124" t="s">
        <v>369</v>
      </c>
      <c r="D2803" t="s">
        <v>4968</v>
      </c>
      <c r="E2803" t="s">
        <v>3002</v>
      </c>
      <c r="F2803" s="125" t="s">
        <v>3002</v>
      </c>
      <c r="G2803" s="124" t="s">
        <v>400</v>
      </c>
      <c r="H2803" s="125" t="str">
        <f>IF(Proc[[#This Row],[type]]="LFF (MDG-F)",MID(Proc[[#This Row],[Obj]],13,10),"")</f>
        <v/>
      </c>
      <c r="J2803" s="125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HC</v>
      </c>
      <c r="L2803" s="125" t="s">
        <v>4894</v>
      </c>
      <c r="M2803" s="113">
        <v>45873</v>
      </c>
      <c r="N2803" s="113"/>
      <c r="O2803" s="113"/>
      <c r="P2803" s="115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88</v>
      </c>
      <c r="R2803" s="115" t="s">
        <v>1013</v>
      </c>
      <c r="S2803" s="125"/>
    </row>
    <row r="2804" spans="1:19" hidden="1">
      <c r="A2804" s="124" t="s">
        <v>5258</v>
      </c>
      <c r="B2804" s="149" t="str">
        <f>IFERROR(VLOOKUP(Proc[[#This Row],[App]],Table2[],3,0),"open")</f>
        <v>ok</v>
      </c>
      <c r="C2804" s="124" t="s">
        <v>369</v>
      </c>
      <c r="D2804" t="s">
        <v>4969</v>
      </c>
      <c r="E2804" t="s">
        <v>3002</v>
      </c>
      <c r="F2804" s="125" t="s">
        <v>3002</v>
      </c>
      <c r="G2804" s="124" t="s">
        <v>400</v>
      </c>
      <c r="H2804" s="125" t="str">
        <f>IF(Proc[[#This Row],[type]]="LFF (MDG-F)",MID(Proc[[#This Row],[Obj]],13,10),"")</f>
        <v/>
      </c>
      <c r="J2804" s="125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HC</v>
      </c>
      <c r="L2804" s="125" t="s">
        <v>4894</v>
      </c>
      <c r="M2804" s="113">
        <v>45873</v>
      </c>
      <c r="N2804" s="113"/>
      <c r="O2804" s="113"/>
      <c r="P2804" s="115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88</v>
      </c>
      <c r="R2804" s="115" t="s">
        <v>1013</v>
      </c>
      <c r="S2804" s="125"/>
    </row>
    <row r="2805" spans="1:19" hidden="1">
      <c r="A2805" s="124" t="s">
        <v>5258</v>
      </c>
      <c r="B2805" s="149" t="str">
        <f>IFERROR(VLOOKUP(Proc[[#This Row],[App]],Table2[],3,0),"open")</f>
        <v>ok</v>
      </c>
      <c r="C2805" s="124" t="s">
        <v>369</v>
      </c>
      <c r="D2805" t="s">
        <v>4970</v>
      </c>
      <c r="E2805" t="s">
        <v>5251</v>
      </c>
      <c r="F2805" s="125" t="s">
        <v>5251</v>
      </c>
      <c r="G2805" s="124" t="s">
        <v>400</v>
      </c>
      <c r="H2805" s="125" t="str">
        <f>IF(Proc[[#This Row],[type]]="LFF (MDG-F)",MID(Proc[[#This Row],[Obj]],13,10),"")</f>
        <v/>
      </c>
      <c r="J2805" s="125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HC</v>
      </c>
      <c r="L2805" s="125" t="s">
        <v>4894</v>
      </c>
      <c r="M2805" s="113">
        <v>45873</v>
      </c>
      <c r="N2805" s="113"/>
      <c r="O2805" s="113"/>
      <c r="P2805" s="115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88</v>
      </c>
      <c r="R2805" s="115" t="s">
        <v>1013</v>
      </c>
      <c r="S2805" s="125"/>
    </row>
    <row r="2806" spans="1:19" hidden="1">
      <c r="A2806" s="124" t="s">
        <v>5258</v>
      </c>
      <c r="B2806" s="149" t="str">
        <f>IFERROR(VLOOKUP(Proc[[#This Row],[App]],Table2[],3,0),"open")</f>
        <v>ok</v>
      </c>
      <c r="C2806" s="124" t="s">
        <v>369</v>
      </c>
      <c r="D2806" t="s">
        <v>4971</v>
      </c>
      <c r="E2806" t="s">
        <v>3006</v>
      </c>
      <c r="F2806" s="125" t="s">
        <v>3006</v>
      </c>
      <c r="G2806" s="124" t="s">
        <v>400</v>
      </c>
      <c r="H2806" s="125" t="str">
        <f>IF(Proc[[#This Row],[type]]="LFF (MDG-F)",MID(Proc[[#This Row],[Obj]],13,10),"")</f>
        <v/>
      </c>
      <c r="J2806" s="125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HC</v>
      </c>
      <c r="L2806" s="125" t="s">
        <v>4894</v>
      </c>
      <c r="M2806" s="113">
        <v>45873</v>
      </c>
      <c r="N2806" s="113"/>
      <c r="O2806" s="113"/>
      <c r="P2806" s="115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88</v>
      </c>
      <c r="R2806" s="115" t="s">
        <v>1013</v>
      </c>
      <c r="S2806" s="125"/>
    </row>
    <row r="2807" spans="1:19" hidden="1">
      <c r="A2807" s="124" t="s">
        <v>5258</v>
      </c>
      <c r="B2807" s="149" t="str">
        <f>IFERROR(VLOOKUP(Proc[[#This Row],[App]],Table2[],3,0),"open")</f>
        <v>ok</v>
      </c>
      <c r="C2807" s="124" t="s">
        <v>369</v>
      </c>
      <c r="D2807" t="s">
        <v>4972</v>
      </c>
      <c r="E2807" t="s">
        <v>3008</v>
      </c>
      <c r="F2807" s="125" t="s">
        <v>3008</v>
      </c>
      <c r="G2807" s="124" t="s">
        <v>400</v>
      </c>
      <c r="H2807" s="125" t="str">
        <f>IF(Proc[[#This Row],[type]]="LFF (MDG-F)",MID(Proc[[#This Row],[Obj]],13,10),"")</f>
        <v/>
      </c>
      <c r="J2807" s="125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HC</v>
      </c>
      <c r="L2807" s="125" t="s">
        <v>4894</v>
      </c>
      <c r="M2807" s="113">
        <v>45873</v>
      </c>
      <c r="N2807" s="113"/>
      <c r="O2807" s="113"/>
      <c r="P2807" s="115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88</v>
      </c>
      <c r="R2807" s="115" t="s">
        <v>1013</v>
      </c>
      <c r="S2807" s="125"/>
    </row>
    <row r="2808" spans="1:19" hidden="1">
      <c r="A2808" s="124" t="s">
        <v>5258</v>
      </c>
      <c r="B2808" s="149" t="str">
        <f>IFERROR(VLOOKUP(Proc[[#This Row],[App]],Table2[],3,0),"open")</f>
        <v>ok</v>
      </c>
      <c r="C2808" s="124" t="s">
        <v>369</v>
      </c>
      <c r="D2808" t="s">
        <v>4973</v>
      </c>
      <c r="E2808" t="s">
        <v>3002</v>
      </c>
      <c r="F2808" s="125" t="s">
        <v>3002</v>
      </c>
      <c r="G2808" s="124" t="s">
        <v>400</v>
      </c>
      <c r="H2808" s="125" t="str">
        <f>IF(Proc[[#This Row],[type]]="LFF (MDG-F)",MID(Proc[[#This Row],[Obj]],13,10),"")</f>
        <v/>
      </c>
      <c r="J2808" s="125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HC</v>
      </c>
      <c r="L2808" s="125" t="s">
        <v>4894</v>
      </c>
      <c r="M2808" s="113">
        <v>45873</v>
      </c>
      <c r="N2808" s="113"/>
      <c r="O2808" s="113"/>
      <c r="P2808" s="115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88</v>
      </c>
      <c r="R2808" s="115" t="s">
        <v>1013</v>
      </c>
      <c r="S2808" s="125"/>
    </row>
    <row r="2809" spans="1:19" hidden="1">
      <c r="A2809" s="124" t="s">
        <v>5258</v>
      </c>
      <c r="B2809" s="149" t="str">
        <f>IFERROR(VLOOKUP(Proc[[#This Row],[App]],Table2[],3,0),"open")</f>
        <v>ok</v>
      </c>
      <c r="C2809" s="124" t="s">
        <v>369</v>
      </c>
      <c r="D2809" t="s">
        <v>4974</v>
      </c>
      <c r="E2809" t="s">
        <v>3002</v>
      </c>
      <c r="F2809" s="125" t="s">
        <v>3002</v>
      </c>
      <c r="G2809" s="124" t="s">
        <v>400</v>
      </c>
      <c r="H2809" s="125" t="str">
        <f>IF(Proc[[#This Row],[type]]="LFF (MDG-F)",MID(Proc[[#This Row],[Obj]],13,10),"")</f>
        <v/>
      </c>
      <c r="J2809" s="125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HC</v>
      </c>
      <c r="L2809" s="125" t="s">
        <v>4894</v>
      </c>
      <c r="M2809" s="113">
        <v>45873</v>
      </c>
      <c r="N2809" s="113"/>
      <c r="O2809" s="113"/>
      <c r="P2809" s="115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88</v>
      </c>
      <c r="R2809" s="115" t="s">
        <v>1013</v>
      </c>
      <c r="S2809" s="125"/>
    </row>
    <row r="2810" spans="1:19" hidden="1">
      <c r="A2810" s="124" t="s">
        <v>5258</v>
      </c>
      <c r="B2810" s="149" t="str">
        <f>IFERROR(VLOOKUP(Proc[[#This Row],[App]],Table2[],3,0),"open")</f>
        <v>ok</v>
      </c>
      <c r="C2810" s="124" t="s">
        <v>369</v>
      </c>
      <c r="D2810" t="s">
        <v>4975</v>
      </c>
      <c r="E2810" t="s">
        <v>3002</v>
      </c>
      <c r="F2810" s="125" t="s">
        <v>3002</v>
      </c>
      <c r="G2810" s="124" t="s">
        <v>400</v>
      </c>
      <c r="H2810" s="125" t="str">
        <f>IF(Proc[[#This Row],[type]]="LFF (MDG-F)",MID(Proc[[#This Row],[Obj]],13,10),"")</f>
        <v/>
      </c>
      <c r="J2810" s="125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HC</v>
      </c>
      <c r="L2810" s="125" t="s">
        <v>4894</v>
      </c>
      <c r="M2810" s="113">
        <v>45873</v>
      </c>
      <c r="N2810" s="113"/>
      <c r="O2810" s="113"/>
      <c r="P2810" s="115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88</v>
      </c>
      <c r="R2810" s="115" t="s">
        <v>1013</v>
      </c>
      <c r="S2810" s="125"/>
    </row>
    <row r="2811" spans="1:19" hidden="1">
      <c r="A2811" s="124" t="s">
        <v>5258</v>
      </c>
      <c r="B2811" s="149" t="str">
        <f>IFERROR(VLOOKUP(Proc[[#This Row],[App]],Table2[],3,0),"open")</f>
        <v>ok</v>
      </c>
      <c r="C2811" s="124" t="s">
        <v>369</v>
      </c>
      <c r="D2811" t="s">
        <v>4976</v>
      </c>
      <c r="E2811" t="s">
        <v>3008</v>
      </c>
      <c r="F2811" s="125" t="s">
        <v>3008</v>
      </c>
      <c r="G2811" s="124" t="s">
        <v>400</v>
      </c>
      <c r="H2811" s="125" t="str">
        <f>IF(Proc[[#This Row],[type]]="LFF (MDG-F)",MID(Proc[[#This Row],[Obj]],13,10),"")</f>
        <v/>
      </c>
      <c r="J2811" s="125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HC</v>
      </c>
      <c r="L2811" s="125" t="s">
        <v>4894</v>
      </c>
      <c r="M2811" s="113">
        <v>45873</v>
      </c>
      <c r="N2811" s="113"/>
      <c r="O2811" s="113"/>
      <c r="P2811" s="115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88</v>
      </c>
      <c r="R2811" s="115" t="s">
        <v>1013</v>
      </c>
      <c r="S2811" s="125"/>
    </row>
    <row r="2812" spans="1:19" hidden="1">
      <c r="A2812" s="124" t="s">
        <v>5258</v>
      </c>
      <c r="B2812" s="149" t="str">
        <f>IFERROR(VLOOKUP(Proc[[#This Row],[App]],Table2[],3,0),"open")</f>
        <v>ok</v>
      </c>
      <c r="C2812" s="124" t="s">
        <v>369</v>
      </c>
      <c r="D2812" t="s">
        <v>4977</v>
      </c>
      <c r="E2812" t="s">
        <v>3002</v>
      </c>
      <c r="F2812" s="125" t="s">
        <v>3002</v>
      </c>
      <c r="G2812" s="124" t="s">
        <v>400</v>
      </c>
      <c r="H2812" s="125" t="str">
        <f>IF(Proc[[#This Row],[type]]="LFF (MDG-F)",MID(Proc[[#This Row],[Obj]],13,10),"")</f>
        <v/>
      </c>
      <c r="J2812" s="125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HC</v>
      </c>
      <c r="L2812" s="125" t="s">
        <v>4894</v>
      </c>
      <c r="M2812" s="113">
        <v>45873</v>
      </c>
      <c r="N2812" s="113"/>
      <c r="O2812" s="113"/>
      <c r="P2812" s="115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88</v>
      </c>
      <c r="R2812" s="115" t="s">
        <v>1013</v>
      </c>
      <c r="S2812" s="125"/>
    </row>
    <row r="2813" spans="1:19" hidden="1">
      <c r="A2813" s="124" t="s">
        <v>5258</v>
      </c>
      <c r="B2813" s="149" t="str">
        <f>IFERROR(VLOOKUP(Proc[[#This Row],[App]],Table2[],3,0),"open")</f>
        <v>ok</v>
      </c>
      <c r="C2813" s="124" t="s">
        <v>369</v>
      </c>
      <c r="D2813" t="s">
        <v>4978</v>
      </c>
      <c r="E2813" t="s">
        <v>3002</v>
      </c>
      <c r="F2813" s="125" t="s">
        <v>3002</v>
      </c>
      <c r="G2813" s="124" t="s">
        <v>400</v>
      </c>
      <c r="H2813" s="125" t="str">
        <f>IF(Proc[[#This Row],[type]]="LFF (MDG-F)",MID(Proc[[#This Row],[Obj]],13,10),"")</f>
        <v/>
      </c>
      <c r="J2813" s="125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13">
        <v>45873</v>
      </c>
      <c r="N2813" s="113"/>
      <c r="O2813" s="113"/>
      <c r="P2813" s="115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88</v>
      </c>
      <c r="R2813" s="115" t="s">
        <v>1013</v>
      </c>
      <c r="S2813" s="125"/>
    </row>
    <row r="2814" spans="1:19" hidden="1">
      <c r="A2814" s="124" t="s">
        <v>5258</v>
      </c>
      <c r="B2814" s="149" t="str">
        <f>IFERROR(VLOOKUP(Proc[[#This Row],[App]],Table2[],3,0),"open")</f>
        <v>ok</v>
      </c>
      <c r="C2814" s="124" t="s">
        <v>369</v>
      </c>
      <c r="D2814" t="s">
        <v>4979</v>
      </c>
      <c r="E2814" t="s">
        <v>3008</v>
      </c>
      <c r="F2814" s="125" t="s">
        <v>3008</v>
      </c>
      <c r="G2814" s="124" t="s">
        <v>400</v>
      </c>
      <c r="H2814" s="125" t="str">
        <f>IF(Proc[[#This Row],[type]]="LFF (MDG-F)",MID(Proc[[#This Row],[Obj]],13,10),"")</f>
        <v/>
      </c>
      <c r="J2814" s="125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13">
        <v>45873</v>
      </c>
      <c r="N2814" s="113"/>
      <c r="O2814" s="113"/>
      <c r="P2814" s="115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88</v>
      </c>
      <c r="R2814" s="115" t="s">
        <v>1013</v>
      </c>
      <c r="S2814" s="125"/>
    </row>
    <row r="2815" spans="1:19" hidden="1">
      <c r="A2815" s="124" t="s">
        <v>5258</v>
      </c>
      <c r="B2815" s="149" t="str">
        <f>IFERROR(VLOOKUP(Proc[[#This Row],[App]],Table2[],3,0),"open")</f>
        <v>ok</v>
      </c>
      <c r="C2815" s="124" t="s">
        <v>369</v>
      </c>
      <c r="D2815" t="s">
        <v>4980</v>
      </c>
      <c r="E2815" t="s">
        <v>3002</v>
      </c>
      <c r="F2815" s="125" t="s">
        <v>3002</v>
      </c>
      <c r="G2815" s="124" t="s">
        <v>400</v>
      </c>
      <c r="H2815" s="125" t="str">
        <f>IF(Proc[[#This Row],[type]]="LFF (MDG-F)",MID(Proc[[#This Row],[Obj]],13,10),"")</f>
        <v/>
      </c>
      <c r="J2815" s="125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13">
        <v>45873</v>
      </c>
      <c r="N2815" s="113"/>
      <c r="O2815" s="113"/>
      <c r="P2815" s="115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88</v>
      </c>
      <c r="R2815" s="115" t="s">
        <v>1013</v>
      </c>
      <c r="S2815" s="125"/>
    </row>
    <row r="2816" spans="1:19" hidden="1">
      <c r="A2816" s="124" t="s">
        <v>5258</v>
      </c>
      <c r="B2816" s="149" t="str">
        <f>IFERROR(VLOOKUP(Proc[[#This Row],[App]],Table2[],3,0),"open")</f>
        <v>ok</v>
      </c>
      <c r="C2816" s="124" t="s">
        <v>369</v>
      </c>
      <c r="D2816" t="s">
        <v>4981</v>
      </c>
      <c r="E2816" t="s">
        <v>3002</v>
      </c>
      <c r="F2816" s="125" t="s">
        <v>3002</v>
      </c>
      <c r="G2816" s="124" t="s">
        <v>400</v>
      </c>
      <c r="H2816" s="125" t="str">
        <f>IF(Proc[[#This Row],[type]]="LFF (MDG-F)",MID(Proc[[#This Row],[Obj]],13,10),"")</f>
        <v/>
      </c>
      <c r="J2816" s="125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13">
        <v>45873</v>
      </c>
      <c r="N2816" s="113"/>
      <c r="O2816" s="113"/>
      <c r="P2816" s="115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88</v>
      </c>
      <c r="R2816" s="115" t="s">
        <v>1013</v>
      </c>
      <c r="S2816" s="125"/>
    </row>
    <row r="2817" spans="1:19" hidden="1">
      <c r="A2817" s="124" t="s">
        <v>5258</v>
      </c>
      <c r="B2817" s="149" t="str">
        <f>IFERROR(VLOOKUP(Proc[[#This Row],[App]],Table2[],3,0),"open")</f>
        <v>ok</v>
      </c>
      <c r="C2817" s="124" t="s">
        <v>369</v>
      </c>
      <c r="D2817" t="s">
        <v>4982</v>
      </c>
      <c r="E2817" t="s">
        <v>3003</v>
      </c>
      <c r="F2817" s="125" t="s">
        <v>3003</v>
      </c>
      <c r="G2817" s="124" t="s">
        <v>400</v>
      </c>
      <c r="H2817" s="125" t="str">
        <f>IF(Proc[[#This Row],[type]]="LFF (MDG-F)",MID(Proc[[#This Row],[Obj]],13,10),"")</f>
        <v/>
      </c>
      <c r="J2817" s="125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13">
        <v>45873</v>
      </c>
      <c r="N2817" s="113"/>
      <c r="O2817" s="113"/>
      <c r="P2817" s="115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88</v>
      </c>
      <c r="R2817" s="115" t="s">
        <v>1013</v>
      </c>
      <c r="S2817" s="125"/>
    </row>
    <row r="2818" spans="1:19" hidden="1">
      <c r="A2818" s="124" t="s">
        <v>5258</v>
      </c>
      <c r="B2818" s="149" t="str">
        <f>IFERROR(VLOOKUP(Proc[[#This Row],[App]],Table2[],3,0),"open")</f>
        <v>ok</v>
      </c>
      <c r="C2818" s="124" t="s">
        <v>369</v>
      </c>
      <c r="D2818" t="s">
        <v>4983</v>
      </c>
      <c r="E2818" t="s">
        <v>3002</v>
      </c>
      <c r="F2818" s="125" t="s">
        <v>3002</v>
      </c>
      <c r="G2818" s="124" t="s">
        <v>400</v>
      </c>
      <c r="H2818" s="125" t="str">
        <f>IF(Proc[[#This Row],[type]]="LFF (MDG-F)",MID(Proc[[#This Row],[Obj]],13,10),"")</f>
        <v/>
      </c>
      <c r="J2818" s="125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13">
        <v>45873</v>
      </c>
      <c r="N2818" s="113"/>
      <c r="O2818" s="113"/>
      <c r="P2818" s="115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88</v>
      </c>
      <c r="R2818" s="115" t="s">
        <v>1013</v>
      </c>
      <c r="S2818" s="125"/>
    </row>
    <row r="2819" spans="1:19" hidden="1">
      <c r="A2819" s="124" t="s">
        <v>5258</v>
      </c>
      <c r="B2819" s="149" t="str">
        <f>IFERROR(VLOOKUP(Proc[[#This Row],[App]],Table2[],3,0),"open")</f>
        <v>ok</v>
      </c>
      <c r="C2819" s="124" t="s">
        <v>369</v>
      </c>
      <c r="D2819" t="s">
        <v>4984</v>
      </c>
      <c r="E2819" t="s">
        <v>3004</v>
      </c>
      <c r="F2819" s="125" t="s">
        <v>3004</v>
      </c>
      <c r="G2819" s="124" t="s">
        <v>400</v>
      </c>
      <c r="H2819" s="125" t="str">
        <f>IF(Proc[[#This Row],[type]]="LFF (MDG-F)",MID(Proc[[#This Row],[Obj]],13,10),"")</f>
        <v/>
      </c>
      <c r="J2819" s="125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13">
        <v>45873</v>
      </c>
      <c r="N2819" s="113"/>
      <c r="O2819" s="113"/>
      <c r="P2819" s="115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88</v>
      </c>
      <c r="R2819" s="115" t="s">
        <v>1013</v>
      </c>
      <c r="S2819" s="125"/>
    </row>
    <row r="2820" spans="1:19" hidden="1">
      <c r="A2820" s="124" t="s">
        <v>5258</v>
      </c>
      <c r="B2820" s="149" t="str">
        <f>IFERROR(VLOOKUP(Proc[[#This Row],[App]],Table2[],3,0),"open")</f>
        <v>ok</v>
      </c>
      <c r="C2820" s="124" t="s">
        <v>369</v>
      </c>
      <c r="D2820" t="s">
        <v>4985</v>
      </c>
      <c r="E2820" t="s">
        <v>3003</v>
      </c>
      <c r="F2820" s="125" t="s">
        <v>3003</v>
      </c>
      <c r="G2820" s="124" t="s">
        <v>400</v>
      </c>
      <c r="H2820" s="125" t="str">
        <f>IF(Proc[[#This Row],[type]]="LFF (MDG-F)",MID(Proc[[#This Row],[Obj]],13,10),"")</f>
        <v/>
      </c>
      <c r="J2820" s="125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13">
        <v>45873</v>
      </c>
      <c r="N2820" s="113"/>
      <c r="O2820" s="113"/>
      <c r="P2820" s="115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88</v>
      </c>
      <c r="R2820" s="115" t="s">
        <v>1013</v>
      </c>
      <c r="S2820" s="125"/>
    </row>
    <row r="2821" spans="1:19" hidden="1">
      <c r="A2821" s="124" t="s">
        <v>5258</v>
      </c>
      <c r="B2821" s="149" t="str">
        <f>IFERROR(VLOOKUP(Proc[[#This Row],[App]],Table2[],3,0),"open")</f>
        <v>ok</v>
      </c>
      <c r="C2821" s="124" t="s">
        <v>369</v>
      </c>
      <c r="D2821" t="s">
        <v>4986</v>
      </c>
      <c r="E2821" t="s">
        <v>3003</v>
      </c>
      <c r="F2821" s="125" t="s">
        <v>3003</v>
      </c>
      <c r="G2821" s="124" t="s">
        <v>400</v>
      </c>
      <c r="H2821" s="125" t="str">
        <f>IF(Proc[[#This Row],[type]]="LFF (MDG-F)",MID(Proc[[#This Row],[Obj]],13,10),"")</f>
        <v/>
      </c>
      <c r="J2821" s="125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HC</v>
      </c>
      <c r="L2821" s="125" t="s">
        <v>4894</v>
      </c>
      <c r="M2821" s="113">
        <v>45873</v>
      </c>
      <c r="N2821" s="113"/>
      <c r="O2821" s="113"/>
      <c r="P2821" s="115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88</v>
      </c>
      <c r="R2821" s="115" t="s">
        <v>1013</v>
      </c>
      <c r="S2821" s="125"/>
    </row>
    <row r="2822" spans="1:19" hidden="1">
      <c r="A2822" s="124" t="s">
        <v>5258</v>
      </c>
      <c r="B2822" s="149" t="str">
        <f>IFERROR(VLOOKUP(Proc[[#This Row],[App]],Table2[],3,0),"open")</f>
        <v>ok</v>
      </c>
      <c r="C2822" s="124" t="s">
        <v>369</v>
      </c>
      <c r="D2822" t="s">
        <v>4987</v>
      </c>
      <c r="E2822" t="s">
        <v>3005</v>
      </c>
      <c r="F2822" s="125" t="s">
        <v>3005</v>
      </c>
      <c r="G2822" s="124" t="s">
        <v>400</v>
      </c>
      <c r="H2822" s="125" t="str">
        <f>IF(Proc[[#This Row],[type]]="LFF (MDG-F)",MID(Proc[[#This Row],[Obj]],13,10),"")</f>
        <v/>
      </c>
      <c r="J2822" s="125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HC</v>
      </c>
      <c r="L2822" s="125" t="s">
        <v>4894</v>
      </c>
      <c r="M2822" s="113">
        <v>45873</v>
      </c>
      <c r="N2822" s="113"/>
      <c r="O2822" s="113"/>
      <c r="P2822" s="115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88</v>
      </c>
      <c r="R2822" s="115" t="s">
        <v>1013</v>
      </c>
      <c r="S2822" s="125"/>
    </row>
    <row r="2823" spans="1:19" hidden="1">
      <c r="A2823" s="124" t="s">
        <v>5258</v>
      </c>
      <c r="B2823" s="149" t="str">
        <f>IFERROR(VLOOKUP(Proc[[#This Row],[App]],Table2[],3,0),"open")</f>
        <v>ok</v>
      </c>
      <c r="C2823" s="124" t="s">
        <v>369</v>
      </c>
      <c r="D2823" t="s">
        <v>4988</v>
      </c>
      <c r="E2823" t="s">
        <v>3003</v>
      </c>
      <c r="F2823" s="125" t="s">
        <v>3003</v>
      </c>
      <c r="G2823" s="124" t="s">
        <v>400</v>
      </c>
      <c r="H2823" s="125" t="str">
        <f>IF(Proc[[#This Row],[type]]="LFF (MDG-F)",MID(Proc[[#This Row],[Obj]],13,10),"")</f>
        <v/>
      </c>
      <c r="J2823" s="125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HC</v>
      </c>
      <c r="L2823" s="125" t="s">
        <v>4894</v>
      </c>
      <c r="M2823" s="113">
        <v>45873</v>
      </c>
      <c r="N2823" s="113"/>
      <c r="O2823" s="113"/>
      <c r="P2823" s="115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88</v>
      </c>
      <c r="R2823" s="115" t="s">
        <v>1013</v>
      </c>
      <c r="S2823" s="125"/>
    </row>
    <row r="2824" spans="1:19" hidden="1">
      <c r="A2824" s="124" t="s">
        <v>5258</v>
      </c>
      <c r="B2824" s="149" t="str">
        <f>IFERROR(VLOOKUP(Proc[[#This Row],[App]],Table2[],3,0),"open")</f>
        <v>ok</v>
      </c>
      <c r="C2824" s="124" t="s">
        <v>369</v>
      </c>
      <c r="D2824" t="s">
        <v>4989</v>
      </c>
      <c r="E2824" t="s">
        <v>3003</v>
      </c>
      <c r="F2824" s="125" t="s">
        <v>3003</v>
      </c>
      <c r="G2824" s="124" t="s">
        <v>400</v>
      </c>
      <c r="H2824" s="125" t="str">
        <f>IF(Proc[[#This Row],[type]]="LFF (MDG-F)",MID(Proc[[#This Row],[Obj]],13,10),"")</f>
        <v/>
      </c>
      <c r="J2824" s="125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HC</v>
      </c>
      <c r="L2824" s="125" t="s">
        <v>4894</v>
      </c>
      <c r="M2824" s="113">
        <v>45873</v>
      </c>
      <c r="N2824" s="113"/>
      <c r="O2824" s="113"/>
      <c r="P2824" s="115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88</v>
      </c>
      <c r="R2824" s="115" t="s">
        <v>1013</v>
      </c>
      <c r="S2824" s="125"/>
    </row>
    <row r="2825" spans="1:19" hidden="1">
      <c r="A2825" s="124" t="s">
        <v>5258</v>
      </c>
      <c r="B2825" s="149" t="str">
        <f>IFERROR(VLOOKUP(Proc[[#This Row],[App]],Table2[],3,0),"open")</f>
        <v>ok</v>
      </c>
      <c r="C2825" s="124" t="s">
        <v>369</v>
      </c>
      <c r="D2825" t="s">
        <v>4990</v>
      </c>
      <c r="E2825" t="s">
        <v>5251</v>
      </c>
      <c r="F2825" s="125" t="s">
        <v>5251</v>
      </c>
      <c r="G2825" s="124" t="s">
        <v>400</v>
      </c>
      <c r="H2825" s="125" t="str">
        <f>IF(Proc[[#This Row],[type]]="LFF (MDG-F)",MID(Proc[[#This Row],[Obj]],13,10),"")</f>
        <v/>
      </c>
      <c r="J2825" s="125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HC</v>
      </c>
      <c r="L2825" s="125" t="s">
        <v>4894</v>
      </c>
      <c r="M2825" s="113">
        <v>45873</v>
      </c>
      <c r="N2825" s="113"/>
      <c r="O2825" s="113"/>
      <c r="P2825" s="115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88</v>
      </c>
      <c r="R2825" s="115" t="s">
        <v>1013</v>
      </c>
      <c r="S2825" s="125"/>
    </row>
    <row r="2826" spans="1:19" hidden="1">
      <c r="A2826" s="124" t="s">
        <v>5258</v>
      </c>
      <c r="B2826" s="149" t="str">
        <f>IFERROR(VLOOKUP(Proc[[#This Row],[App]],Table2[],3,0),"open")</f>
        <v>ok</v>
      </c>
      <c r="C2826" s="124" t="s">
        <v>369</v>
      </c>
      <c r="D2826" t="s">
        <v>4991</v>
      </c>
      <c r="E2826" t="s">
        <v>5252</v>
      </c>
      <c r="F2826" s="125" t="s">
        <v>5252</v>
      </c>
      <c r="G2826" s="124" t="s">
        <v>400</v>
      </c>
      <c r="H2826" s="125" t="str">
        <f>IF(Proc[[#This Row],[type]]="LFF (MDG-F)",MID(Proc[[#This Row],[Obj]],13,10),"")</f>
        <v/>
      </c>
      <c r="J2826" s="125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HC</v>
      </c>
      <c r="L2826" s="125" t="s">
        <v>4894</v>
      </c>
      <c r="M2826" s="113">
        <v>45873</v>
      </c>
      <c r="N2826" s="113"/>
      <c r="O2826" s="113"/>
      <c r="P2826" s="115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88</v>
      </c>
      <c r="R2826" s="115" t="s">
        <v>1013</v>
      </c>
      <c r="S2826" s="125"/>
    </row>
    <row r="2827" spans="1:19" hidden="1">
      <c r="A2827" s="124" t="s">
        <v>5258</v>
      </c>
      <c r="B2827" s="149" t="str">
        <f>IFERROR(VLOOKUP(Proc[[#This Row],[App]],Table2[],3,0),"open")</f>
        <v>ok</v>
      </c>
      <c r="C2827" s="124" t="s">
        <v>369</v>
      </c>
      <c r="D2827" t="s">
        <v>4992</v>
      </c>
      <c r="E2827" t="s">
        <v>3007</v>
      </c>
      <c r="F2827" s="125" t="s">
        <v>3007</v>
      </c>
      <c r="G2827" s="124" t="s">
        <v>400</v>
      </c>
      <c r="H2827" s="125" t="str">
        <f>IF(Proc[[#This Row],[type]]="LFF (MDG-F)",MID(Proc[[#This Row],[Obj]],13,10),"")</f>
        <v/>
      </c>
      <c r="J2827" s="125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HC</v>
      </c>
      <c r="L2827" s="125" t="s">
        <v>4894</v>
      </c>
      <c r="M2827" s="113">
        <v>45873</v>
      </c>
      <c r="N2827" s="113"/>
      <c r="O2827" s="113"/>
      <c r="P2827" s="115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88</v>
      </c>
      <c r="R2827" s="115" t="s">
        <v>1013</v>
      </c>
      <c r="S2827" s="125"/>
    </row>
    <row r="2828" spans="1:19" hidden="1">
      <c r="A2828" s="124" t="s">
        <v>5258</v>
      </c>
      <c r="B2828" s="149" t="str">
        <f>IFERROR(VLOOKUP(Proc[[#This Row],[App]],Table2[],3,0),"open")</f>
        <v>ok</v>
      </c>
      <c r="C2828" s="124" t="s">
        <v>369</v>
      </c>
      <c r="D2828" t="s">
        <v>4993</v>
      </c>
      <c r="E2828" t="s">
        <v>3007</v>
      </c>
      <c r="F2828" s="125" t="s">
        <v>3007</v>
      </c>
      <c r="G2828" s="124" t="s">
        <v>400</v>
      </c>
      <c r="H2828" s="125" t="str">
        <f>IF(Proc[[#This Row],[type]]="LFF (MDG-F)",MID(Proc[[#This Row],[Obj]],13,10),"")</f>
        <v/>
      </c>
      <c r="J2828" s="125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HC</v>
      </c>
      <c r="L2828" s="125" t="s">
        <v>4894</v>
      </c>
      <c r="M2828" s="113">
        <v>45873</v>
      </c>
      <c r="N2828" s="113"/>
      <c r="O2828" s="113"/>
      <c r="P2828" s="115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88</v>
      </c>
      <c r="R2828" s="115" t="s">
        <v>1013</v>
      </c>
      <c r="S2828" s="125"/>
    </row>
    <row r="2829" spans="1:19" hidden="1">
      <c r="A2829" s="124" t="s">
        <v>5258</v>
      </c>
      <c r="B2829" s="149" t="str">
        <f>IFERROR(VLOOKUP(Proc[[#This Row],[App]],Table2[],3,0),"open")</f>
        <v>ok</v>
      </c>
      <c r="C2829" s="124" t="s">
        <v>369</v>
      </c>
      <c r="D2829" t="s">
        <v>4994</v>
      </c>
      <c r="E2829" t="s">
        <v>3006</v>
      </c>
      <c r="F2829" s="125" t="s">
        <v>3006</v>
      </c>
      <c r="G2829" s="124" t="s">
        <v>400</v>
      </c>
      <c r="H2829" s="125" t="str">
        <f>IF(Proc[[#This Row],[type]]="LFF (MDG-F)",MID(Proc[[#This Row],[Obj]],13,10),"")</f>
        <v/>
      </c>
      <c r="J2829" s="125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HC</v>
      </c>
      <c r="L2829" s="125" t="s">
        <v>4894</v>
      </c>
      <c r="M2829" s="113">
        <v>45873</v>
      </c>
      <c r="N2829" s="113"/>
      <c r="O2829" s="113"/>
      <c r="P2829" s="115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88</v>
      </c>
      <c r="R2829" s="115" t="s">
        <v>1013</v>
      </c>
      <c r="S2829" s="125"/>
    </row>
    <row r="2830" spans="1:19" hidden="1">
      <c r="A2830" s="124" t="s">
        <v>5258</v>
      </c>
      <c r="B2830" s="149" t="str">
        <f>IFERROR(VLOOKUP(Proc[[#This Row],[App]],Table2[],3,0),"open")</f>
        <v>ok</v>
      </c>
      <c r="C2830" s="124" t="s">
        <v>369</v>
      </c>
      <c r="D2830" t="s">
        <v>4995</v>
      </c>
      <c r="E2830" t="s">
        <v>3007</v>
      </c>
      <c r="F2830" s="125" t="s">
        <v>3007</v>
      </c>
      <c r="G2830" s="124" t="s">
        <v>400</v>
      </c>
      <c r="H2830" s="125" t="str">
        <f>IF(Proc[[#This Row],[type]]="LFF (MDG-F)",MID(Proc[[#This Row],[Obj]],13,10),"")</f>
        <v/>
      </c>
      <c r="J2830" s="125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HC</v>
      </c>
      <c r="L2830" s="125" t="s">
        <v>4894</v>
      </c>
      <c r="M2830" s="113">
        <v>45873</v>
      </c>
      <c r="N2830" s="113"/>
      <c r="O2830" s="113"/>
      <c r="P2830" s="115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88</v>
      </c>
      <c r="R2830" s="115" t="s">
        <v>1013</v>
      </c>
      <c r="S2830" s="125"/>
    </row>
    <row r="2831" spans="1:19" hidden="1">
      <c r="A2831" s="124" t="s">
        <v>5258</v>
      </c>
      <c r="B2831" s="149" t="str">
        <f>IFERROR(VLOOKUP(Proc[[#This Row],[App]],Table2[],3,0),"open")</f>
        <v>ok</v>
      </c>
      <c r="C2831" s="124" t="s">
        <v>369</v>
      </c>
      <c r="D2831" t="s">
        <v>4996</v>
      </c>
      <c r="E2831" t="s">
        <v>3002</v>
      </c>
      <c r="F2831" s="125" t="s">
        <v>3002</v>
      </c>
      <c r="G2831" s="124" t="s">
        <v>400</v>
      </c>
      <c r="H2831" s="125" t="str">
        <f>IF(Proc[[#This Row],[type]]="LFF (MDG-F)",MID(Proc[[#This Row],[Obj]],13,10),"")</f>
        <v/>
      </c>
      <c r="J2831" s="125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HC</v>
      </c>
      <c r="L2831" s="125" t="s">
        <v>4894</v>
      </c>
      <c r="M2831" s="113">
        <v>45873</v>
      </c>
      <c r="N2831" s="113"/>
      <c r="O2831" s="113"/>
      <c r="P2831" s="115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88</v>
      </c>
      <c r="R2831" s="115" t="s">
        <v>1013</v>
      </c>
      <c r="S2831" s="125"/>
    </row>
    <row r="2832" spans="1:19" hidden="1">
      <c r="A2832" s="124" t="s">
        <v>5258</v>
      </c>
      <c r="B2832" s="149" t="str">
        <f>IFERROR(VLOOKUP(Proc[[#This Row],[App]],Table2[],3,0),"open")</f>
        <v>ok</v>
      </c>
      <c r="C2832" s="124" t="s">
        <v>369</v>
      </c>
      <c r="D2832" t="s">
        <v>4997</v>
      </c>
      <c r="E2832" t="s">
        <v>3004</v>
      </c>
      <c r="F2832" s="125" t="s">
        <v>3004</v>
      </c>
      <c r="G2832" s="124" t="s">
        <v>400</v>
      </c>
      <c r="H2832" s="125" t="str">
        <f>IF(Proc[[#This Row],[type]]="LFF (MDG-F)",MID(Proc[[#This Row],[Obj]],13,10),"")</f>
        <v/>
      </c>
      <c r="J2832" s="125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HC</v>
      </c>
      <c r="L2832" s="125" t="s">
        <v>4894</v>
      </c>
      <c r="M2832" s="113">
        <v>45873</v>
      </c>
      <c r="N2832" s="113"/>
      <c r="O2832" s="113"/>
      <c r="P2832" s="115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88</v>
      </c>
      <c r="R2832" s="115" t="s">
        <v>1013</v>
      </c>
      <c r="S2832" s="125"/>
    </row>
    <row r="2833" spans="1:19" hidden="1">
      <c r="A2833" s="124" t="s">
        <v>5258</v>
      </c>
      <c r="B2833" s="149" t="str">
        <f>IFERROR(VLOOKUP(Proc[[#This Row],[App]],Table2[],3,0),"open")</f>
        <v>ok</v>
      </c>
      <c r="C2833" s="124" t="s">
        <v>369</v>
      </c>
      <c r="D2833" t="s">
        <v>4998</v>
      </c>
      <c r="E2833" t="s">
        <v>5251</v>
      </c>
      <c r="F2833" s="125" t="s">
        <v>5251</v>
      </c>
      <c r="G2833" s="124" t="s">
        <v>400</v>
      </c>
      <c r="H2833" s="125" t="str">
        <f>IF(Proc[[#This Row],[type]]="LFF (MDG-F)",MID(Proc[[#This Row],[Obj]],13,10),"")</f>
        <v/>
      </c>
      <c r="J2833" s="125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HC</v>
      </c>
      <c r="L2833" s="125" t="s">
        <v>4894</v>
      </c>
      <c r="M2833" s="113">
        <v>45873</v>
      </c>
      <c r="N2833" s="113"/>
      <c r="O2833" s="113"/>
      <c r="P2833" s="115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88</v>
      </c>
      <c r="R2833" s="115" t="s">
        <v>1013</v>
      </c>
      <c r="S2833" s="125"/>
    </row>
    <row r="2834" spans="1:19" hidden="1">
      <c r="A2834" s="124" t="s">
        <v>5258</v>
      </c>
      <c r="B2834" s="149" t="str">
        <f>IFERROR(VLOOKUP(Proc[[#This Row],[App]],Table2[],3,0),"open")</f>
        <v>ok</v>
      </c>
      <c r="C2834" s="124" t="s">
        <v>369</v>
      </c>
      <c r="D2834" t="s">
        <v>4999</v>
      </c>
      <c r="E2834" t="s">
        <v>3006</v>
      </c>
      <c r="F2834" s="125" t="s">
        <v>3006</v>
      </c>
      <c r="G2834" s="124" t="s">
        <v>400</v>
      </c>
      <c r="H2834" s="125" t="str">
        <f>IF(Proc[[#This Row],[type]]="LFF (MDG-F)",MID(Proc[[#This Row],[Obj]],13,10),"")</f>
        <v/>
      </c>
      <c r="J2834" s="125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HC</v>
      </c>
      <c r="L2834" s="125" t="s">
        <v>4894</v>
      </c>
      <c r="M2834" s="113">
        <v>45873</v>
      </c>
      <c r="N2834" s="113"/>
      <c r="O2834" s="113"/>
      <c r="P2834" s="115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88</v>
      </c>
      <c r="R2834" s="115" t="s">
        <v>1013</v>
      </c>
      <c r="S2834" s="125"/>
    </row>
    <row r="2835" spans="1:19" hidden="1">
      <c r="A2835" s="124" t="s">
        <v>5258</v>
      </c>
      <c r="B2835" s="149" t="str">
        <f>IFERROR(VLOOKUP(Proc[[#This Row],[App]],Table2[],3,0),"open")</f>
        <v>ok</v>
      </c>
      <c r="C2835" s="124" t="s">
        <v>369</v>
      </c>
      <c r="D2835" t="s">
        <v>5000</v>
      </c>
      <c r="E2835" t="s">
        <v>3003</v>
      </c>
      <c r="F2835" s="125" t="s">
        <v>3003</v>
      </c>
      <c r="G2835" s="124" t="s">
        <v>400</v>
      </c>
      <c r="H2835" s="125" t="str">
        <f>IF(Proc[[#This Row],[type]]="LFF (MDG-F)",MID(Proc[[#This Row],[Obj]],13,10),"")</f>
        <v/>
      </c>
      <c r="J2835" s="125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HC</v>
      </c>
      <c r="L2835" s="125" t="s">
        <v>4894</v>
      </c>
      <c r="M2835" s="113">
        <v>45873</v>
      </c>
      <c r="N2835" s="113"/>
      <c r="O2835" s="113"/>
      <c r="P2835" s="115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88</v>
      </c>
      <c r="R2835" s="115" t="s">
        <v>1013</v>
      </c>
      <c r="S2835" s="125"/>
    </row>
    <row r="2836" spans="1:19" hidden="1">
      <c r="A2836" s="124" t="s">
        <v>5258</v>
      </c>
      <c r="B2836" s="149" t="str">
        <f>IFERROR(VLOOKUP(Proc[[#This Row],[App]],Table2[],3,0),"open")</f>
        <v>ok</v>
      </c>
      <c r="C2836" s="124" t="s">
        <v>369</v>
      </c>
      <c r="D2836" t="s">
        <v>5001</v>
      </c>
      <c r="E2836" t="s">
        <v>4068</v>
      </c>
      <c r="F2836" s="125" t="s">
        <v>4068</v>
      </c>
      <c r="G2836" s="124" t="s">
        <v>400</v>
      </c>
      <c r="H2836" s="125" t="str">
        <f>IF(Proc[[#This Row],[type]]="LFF (MDG-F)",MID(Proc[[#This Row],[Obj]],13,10),"")</f>
        <v/>
      </c>
      <c r="J2836" s="125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HC</v>
      </c>
      <c r="L2836" s="125" t="s">
        <v>4894</v>
      </c>
      <c r="M2836" s="113">
        <v>45873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88</v>
      </c>
      <c r="R2836" s="115" t="s">
        <v>1013</v>
      </c>
      <c r="S2836" s="125"/>
    </row>
    <row r="2837" spans="1:19" hidden="1">
      <c r="A2837" s="124" t="s">
        <v>5258</v>
      </c>
      <c r="B2837" s="149" t="str">
        <f>IFERROR(VLOOKUP(Proc[[#This Row],[App]],Table2[],3,0),"open")</f>
        <v>ok</v>
      </c>
      <c r="C2837" s="124" t="s">
        <v>369</v>
      </c>
      <c r="D2837" t="s">
        <v>5002</v>
      </c>
      <c r="E2837" t="s">
        <v>4068</v>
      </c>
      <c r="F2837" s="125" t="s">
        <v>4068</v>
      </c>
      <c r="G2837" s="124" t="s">
        <v>400</v>
      </c>
      <c r="H2837" s="125" t="str">
        <f>IF(Proc[[#This Row],[type]]="LFF (MDG-F)",MID(Proc[[#This Row],[Obj]],13,10),"")</f>
        <v/>
      </c>
      <c r="J2837" s="125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HC</v>
      </c>
      <c r="L2837" s="125" t="s">
        <v>4894</v>
      </c>
      <c r="M2837" s="113">
        <v>45873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88</v>
      </c>
      <c r="R2837" s="115" t="s">
        <v>1013</v>
      </c>
      <c r="S2837" s="125"/>
    </row>
    <row r="2838" spans="1:19" hidden="1">
      <c r="A2838" s="124" t="s">
        <v>5258</v>
      </c>
      <c r="B2838" s="149" t="str">
        <f>IFERROR(VLOOKUP(Proc[[#This Row],[App]],Table2[],3,0),"open")</f>
        <v>ok</v>
      </c>
      <c r="C2838" s="124" t="s">
        <v>369</v>
      </c>
      <c r="D2838" t="s">
        <v>5003</v>
      </c>
      <c r="E2838" t="s">
        <v>4068</v>
      </c>
      <c r="F2838" s="125" t="s">
        <v>4068</v>
      </c>
      <c r="G2838" s="124" t="s">
        <v>400</v>
      </c>
      <c r="H2838" s="125" t="str">
        <f>IF(Proc[[#This Row],[type]]="LFF (MDG-F)",MID(Proc[[#This Row],[Obj]],13,10),"")</f>
        <v/>
      </c>
      <c r="J2838" s="125" t="b">
        <f>Proc[[#This Row],[Requested]]=Proc[[#This Row],[CurrentParent]]</f>
        <v>1</v>
      </c>
      <c r="K2838" s="144" t="str">
        <f>IF(Proc[[#This Row],[Author]]="Marcela Urrego",VLOOKUP(LEFT(Proc[[#This Row],[Requested]],1),Table3[#All],2,0),VLOOKUP(Proc[[#This Row],[Author]],Table4[],2,0))</f>
        <v>HC</v>
      </c>
      <c r="L2838" s="125" t="s">
        <v>4894</v>
      </c>
      <c r="M2838" s="113">
        <v>45873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88</v>
      </c>
      <c r="R2838" s="115" t="s">
        <v>1013</v>
      </c>
      <c r="S2838" s="125"/>
    </row>
    <row r="2839" spans="1:19" hidden="1">
      <c r="A2839" s="124" t="s">
        <v>5258</v>
      </c>
      <c r="B2839" s="149" t="str">
        <f>IFERROR(VLOOKUP(Proc[[#This Row],[App]],Table2[],3,0),"open")</f>
        <v>ok</v>
      </c>
      <c r="C2839" s="124" t="s">
        <v>369</v>
      </c>
      <c r="D2839" t="s">
        <v>5004</v>
      </c>
      <c r="E2839" t="s">
        <v>4068</v>
      </c>
      <c r="F2839" s="125" t="s">
        <v>4068</v>
      </c>
      <c r="G2839" s="124" t="s">
        <v>400</v>
      </c>
      <c r="H2839" s="125" t="str">
        <f>IF(Proc[[#This Row],[type]]="LFF (MDG-F)",MID(Proc[[#This Row],[Obj]],13,10),"")</f>
        <v/>
      </c>
      <c r="J2839" s="125" t="b">
        <f>Proc[[#This Row],[Requested]]=Proc[[#This Row],[CurrentParent]]</f>
        <v>1</v>
      </c>
      <c r="K2839" s="144" t="str">
        <f>IF(Proc[[#This Row],[Author]]="Marcela Urrego",VLOOKUP(LEFT(Proc[[#This Row],[Requested]],1),Table3[#All],2,0),VLOOKUP(Proc[[#This Row],[Author]],Table4[],2,0))</f>
        <v>HC</v>
      </c>
      <c r="L2839" s="125" t="s">
        <v>4894</v>
      </c>
      <c r="M2839" s="113">
        <v>45873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88</v>
      </c>
      <c r="R2839" s="115" t="s">
        <v>1013</v>
      </c>
      <c r="S2839" s="125"/>
    </row>
    <row r="2840" spans="1:19" hidden="1">
      <c r="A2840" s="124" t="s">
        <v>5258</v>
      </c>
      <c r="B2840" s="149" t="str">
        <f>IFERROR(VLOOKUP(Proc[[#This Row],[App]],Table2[],3,0),"open")</f>
        <v>ok</v>
      </c>
      <c r="C2840" s="124" t="s">
        <v>369</v>
      </c>
      <c r="D2840" t="s">
        <v>5005</v>
      </c>
      <c r="E2840" t="s">
        <v>4068</v>
      </c>
      <c r="F2840" s="125" t="s">
        <v>4068</v>
      </c>
      <c r="G2840" s="124" t="s">
        <v>400</v>
      </c>
      <c r="H2840" s="125" t="str">
        <f>IF(Proc[[#This Row],[type]]="LFF (MDG-F)",MID(Proc[[#This Row],[Obj]],13,10),"")</f>
        <v/>
      </c>
      <c r="J2840" s="125" t="b">
        <f>Proc[[#This Row],[Requested]]=Proc[[#This Row],[CurrentParent]]</f>
        <v>1</v>
      </c>
      <c r="K2840" s="144" t="str">
        <f>IF(Proc[[#This Row],[Author]]="Marcela Urrego",VLOOKUP(LEFT(Proc[[#This Row],[Requested]],1),Table3[#All],2,0),VLOOKUP(Proc[[#This Row],[Author]],Table4[],2,0))</f>
        <v>HC</v>
      </c>
      <c r="L2840" s="125" t="s">
        <v>4894</v>
      </c>
      <c r="M2840" s="113">
        <v>45873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88</v>
      </c>
      <c r="R2840" s="115" t="s">
        <v>1013</v>
      </c>
      <c r="S2840" s="125"/>
    </row>
    <row r="2841" spans="1:19" hidden="1">
      <c r="A2841" s="124" t="s">
        <v>5258</v>
      </c>
      <c r="B2841" s="149" t="str">
        <f>IFERROR(VLOOKUP(Proc[[#This Row],[App]],Table2[],3,0),"open")</f>
        <v>ok</v>
      </c>
      <c r="C2841" s="124" t="s">
        <v>369</v>
      </c>
      <c r="D2841" t="s">
        <v>5006</v>
      </c>
      <c r="E2841" t="s">
        <v>4068</v>
      </c>
      <c r="F2841" s="125" t="s">
        <v>4068</v>
      </c>
      <c r="G2841" s="124" t="s">
        <v>400</v>
      </c>
      <c r="H2841" s="125" t="str">
        <f>IF(Proc[[#This Row],[type]]="LFF (MDG-F)",MID(Proc[[#This Row],[Obj]],13,10),"")</f>
        <v/>
      </c>
      <c r="J2841" s="125" t="b">
        <f>Proc[[#This Row],[Requested]]=Proc[[#This Row],[CurrentParent]]</f>
        <v>1</v>
      </c>
      <c r="K2841" s="144" t="str">
        <f>IF(Proc[[#This Row],[Author]]="Marcela Urrego",VLOOKUP(LEFT(Proc[[#This Row],[Requested]],1),Table3[#All],2,0),VLOOKUP(Proc[[#This Row],[Author]],Table4[],2,0))</f>
        <v>HC</v>
      </c>
      <c r="L2841" s="125" t="s">
        <v>4894</v>
      </c>
      <c r="M2841" s="113">
        <v>45873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88</v>
      </c>
      <c r="R2841" s="115" t="s">
        <v>1013</v>
      </c>
      <c r="S2841" s="125"/>
    </row>
    <row r="2842" spans="1:19" hidden="1">
      <c r="A2842" s="124" t="s">
        <v>5258</v>
      </c>
      <c r="B2842" s="149" t="str">
        <f>IFERROR(VLOOKUP(Proc[[#This Row],[App]],Table2[],3,0),"open")</f>
        <v>ok</v>
      </c>
      <c r="C2842" s="124" t="s">
        <v>369</v>
      </c>
      <c r="D2842" t="s">
        <v>5007</v>
      </c>
      <c r="E2842" t="s">
        <v>4068</v>
      </c>
      <c r="F2842" s="125" t="s">
        <v>4068</v>
      </c>
      <c r="G2842" s="124" t="s">
        <v>400</v>
      </c>
      <c r="H2842" s="125" t="str">
        <f>IF(Proc[[#This Row],[type]]="LFF (MDG-F)",MID(Proc[[#This Row],[Obj]],13,10),"")</f>
        <v/>
      </c>
      <c r="J2842" s="125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HC</v>
      </c>
      <c r="L2842" s="125" t="s">
        <v>4894</v>
      </c>
      <c r="M2842" s="113">
        <v>45873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88</v>
      </c>
      <c r="R2842" s="115" t="s">
        <v>1013</v>
      </c>
      <c r="S2842" s="125"/>
    </row>
    <row r="2843" spans="1:19" hidden="1">
      <c r="A2843" s="124" t="s">
        <v>5258</v>
      </c>
      <c r="B2843" s="149" t="str">
        <f>IFERROR(VLOOKUP(Proc[[#This Row],[App]],Table2[],3,0),"open")</f>
        <v>ok</v>
      </c>
      <c r="C2843" s="124" t="s">
        <v>369</v>
      </c>
      <c r="D2843" t="s">
        <v>5008</v>
      </c>
      <c r="E2843" t="s">
        <v>4068</v>
      </c>
      <c r="F2843" s="125" t="s">
        <v>4068</v>
      </c>
      <c r="G2843" s="124" t="s">
        <v>400</v>
      </c>
      <c r="H2843" s="125" t="str">
        <f>IF(Proc[[#This Row],[type]]="LFF (MDG-F)",MID(Proc[[#This Row],[Obj]],13,10),"")</f>
        <v/>
      </c>
      <c r="J2843" s="125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HC</v>
      </c>
      <c r="L2843" s="125" t="s">
        <v>4894</v>
      </c>
      <c r="M2843" s="113">
        <v>45873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88</v>
      </c>
      <c r="R2843" s="115" t="s">
        <v>1013</v>
      </c>
      <c r="S2843" s="125"/>
    </row>
    <row r="2844" spans="1:19" hidden="1">
      <c r="A2844" s="124" t="s">
        <v>5258</v>
      </c>
      <c r="B2844" s="149" t="str">
        <f>IFERROR(VLOOKUP(Proc[[#This Row],[App]],Table2[],3,0),"open")</f>
        <v>ok</v>
      </c>
      <c r="C2844" s="124" t="s">
        <v>369</v>
      </c>
      <c r="D2844" t="s">
        <v>5009</v>
      </c>
      <c r="E2844" t="s">
        <v>4068</v>
      </c>
      <c r="F2844" s="125" t="s">
        <v>4068</v>
      </c>
      <c r="G2844" s="124" t="s">
        <v>400</v>
      </c>
      <c r="H2844" s="125" t="str">
        <f>IF(Proc[[#This Row],[type]]="LFF (MDG-F)",MID(Proc[[#This Row],[Obj]],13,10),"")</f>
        <v/>
      </c>
      <c r="J2844" s="125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HC</v>
      </c>
      <c r="L2844" s="125" t="s">
        <v>4894</v>
      </c>
      <c r="M2844" s="113">
        <v>45873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88</v>
      </c>
      <c r="R2844" s="115" t="s">
        <v>1013</v>
      </c>
      <c r="S2844" s="125"/>
    </row>
    <row r="2845" spans="1:19" hidden="1">
      <c r="A2845" s="124" t="s">
        <v>5258</v>
      </c>
      <c r="B2845" s="149" t="str">
        <f>IFERROR(VLOOKUP(Proc[[#This Row],[App]],Table2[],3,0),"open")</f>
        <v>ok</v>
      </c>
      <c r="C2845" s="124" t="s">
        <v>369</v>
      </c>
      <c r="D2845" t="s">
        <v>5010</v>
      </c>
      <c r="E2845" t="s">
        <v>4068</v>
      </c>
      <c r="F2845" s="125" t="s">
        <v>4068</v>
      </c>
      <c r="G2845" s="124" t="s">
        <v>400</v>
      </c>
      <c r="H2845" s="125" t="str">
        <f>IF(Proc[[#This Row],[type]]="LFF (MDG-F)",MID(Proc[[#This Row],[Obj]],13,10),"")</f>
        <v/>
      </c>
      <c r="J2845" s="125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HC</v>
      </c>
      <c r="L2845" s="125" t="s">
        <v>4894</v>
      </c>
      <c r="M2845" s="113">
        <v>45873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88</v>
      </c>
      <c r="R2845" s="115" t="s">
        <v>1013</v>
      </c>
      <c r="S2845" s="125"/>
    </row>
    <row r="2846" spans="1:19" hidden="1">
      <c r="A2846" s="124" t="s">
        <v>5258</v>
      </c>
      <c r="B2846" s="149" t="str">
        <f>IFERROR(VLOOKUP(Proc[[#This Row],[App]],Table2[],3,0),"open")</f>
        <v>ok</v>
      </c>
      <c r="C2846" s="124" t="s">
        <v>369</v>
      </c>
      <c r="D2846" t="s">
        <v>5011</v>
      </c>
      <c r="E2846" t="s">
        <v>4068</v>
      </c>
      <c r="F2846" s="125" t="s">
        <v>4068</v>
      </c>
      <c r="G2846" s="124" t="s">
        <v>400</v>
      </c>
      <c r="H2846" s="125" t="str">
        <f>IF(Proc[[#This Row],[type]]="LFF (MDG-F)",MID(Proc[[#This Row],[Obj]],13,10),"")</f>
        <v/>
      </c>
      <c r="J2846" s="125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HC</v>
      </c>
      <c r="L2846" s="125" t="s">
        <v>4894</v>
      </c>
      <c r="M2846" s="113">
        <v>45873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88</v>
      </c>
      <c r="R2846" s="115" t="s">
        <v>1013</v>
      </c>
      <c r="S2846" s="125"/>
    </row>
    <row r="2847" spans="1:19" hidden="1">
      <c r="A2847" s="124" t="s">
        <v>5258</v>
      </c>
      <c r="B2847" s="149" t="str">
        <f>IFERROR(VLOOKUP(Proc[[#This Row],[App]],Table2[],3,0),"open")</f>
        <v>ok</v>
      </c>
      <c r="C2847" s="124" t="s">
        <v>369</v>
      </c>
      <c r="D2847" t="s">
        <v>5012</v>
      </c>
      <c r="E2847" t="s">
        <v>4068</v>
      </c>
      <c r="F2847" s="125" t="s">
        <v>4068</v>
      </c>
      <c r="G2847" s="124" t="s">
        <v>400</v>
      </c>
      <c r="H2847" s="125" t="str">
        <f>IF(Proc[[#This Row],[type]]="LFF (MDG-F)",MID(Proc[[#This Row],[Obj]],13,10),"")</f>
        <v/>
      </c>
      <c r="J2847" s="125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HC</v>
      </c>
      <c r="L2847" s="125" t="s">
        <v>4894</v>
      </c>
      <c r="M2847" s="113">
        <v>45873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88</v>
      </c>
      <c r="R2847" s="115" t="s">
        <v>1013</v>
      </c>
      <c r="S2847" s="125"/>
    </row>
    <row r="2848" spans="1:19" hidden="1">
      <c r="A2848" s="124" t="s">
        <v>5258</v>
      </c>
      <c r="B2848" s="149" t="str">
        <f>IFERROR(VLOOKUP(Proc[[#This Row],[App]],Table2[],3,0),"open")</f>
        <v>ok</v>
      </c>
      <c r="C2848" s="124" t="s">
        <v>369</v>
      </c>
      <c r="D2848" t="s">
        <v>5013</v>
      </c>
      <c r="E2848" t="s">
        <v>4068</v>
      </c>
      <c r="F2848" s="125" t="s">
        <v>4068</v>
      </c>
      <c r="G2848" s="124" t="s">
        <v>400</v>
      </c>
      <c r="H2848" s="125" t="str">
        <f>IF(Proc[[#This Row],[type]]="LFF (MDG-F)",MID(Proc[[#This Row],[Obj]],13,10),"")</f>
        <v/>
      </c>
      <c r="J2848" s="125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HC</v>
      </c>
      <c r="L2848" s="125" t="s">
        <v>4894</v>
      </c>
      <c r="M2848" s="113">
        <v>45873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88</v>
      </c>
      <c r="R2848" s="115" t="s">
        <v>1013</v>
      </c>
      <c r="S2848" s="125"/>
    </row>
    <row r="2849" spans="1:19" hidden="1">
      <c r="A2849" s="124" t="s">
        <v>5258</v>
      </c>
      <c r="B2849" s="149" t="str">
        <f>IFERROR(VLOOKUP(Proc[[#This Row],[App]],Table2[],3,0),"open")</f>
        <v>ok</v>
      </c>
      <c r="C2849" s="124" t="s">
        <v>369</v>
      </c>
      <c r="D2849" t="s">
        <v>5014</v>
      </c>
      <c r="E2849" t="s">
        <v>4068</v>
      </c>
      <c r="F2849" s="125" t="s">
        <v>4068</v>
      </c>
      <c r="G2849" s="124" t="s">
        <v>400</v>
      </c>
      <c r="H2849" s="125" t="str">
        <f>IF(Proc[[#This Row],[type]]="LFF (MDG-F)",MID(Proc[[#This Row],[Obj]],13,10),"")</f>
        <v/>
      </c>
      <c r="J2849" s="125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HC</v>
      </c>
      <c r="L2849" s="125" t="s">
        <v>4894</v>
      </c>
      <c r="M2849" s="113">
        <v>45873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88</v>
      </c>
      <c r="R2849" s="115" t="s">
        <v>1013</v>
      </c>
      <c r="S2849" s="125"/>
    </row>
    <row r="2850" spans="1:19" hidden="1">
      <c r="A2850" s="124" t="s">
        <v>5258</v>
      </c>
      <c r="B2850" s="149" t="str">
        <f>IFERROR(VLOOKUP(Proc[[#This Row],[App]],Table2[],3,0),"open")</f>
        <v>ok</v>
      </c>
      <c r="C2850" s="124" t="s">
        <v>369</v>
      </c>
      <c r="D2850" t="s">
        <v>5015</v>
      </c>
      <c r="E2850" t="s">
        <v>4068</v>
      </c>
      <c r="F2850" s="125" t="s">
        <v>4068</v>
      </c>
      <c r="G2850" s="124" t="s">
        <v>400</v>
      </c>
      <c r="H2850" s="125" t="str">
        <f>IF(Proc[[#This Row],[type]]="LFF (MDG-F)",MID(Proc[[#This Row],[Obj]],13,10),"")</f>
        <v/>
      </c>
      <c r="J2850" s="125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HC</v>
      </c>
      <c r="L2850" s="125" t="s">
        <v>4894</v>
      </c>
      <c r="M2850" s="113">
        <v>45873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88</v>
      </c>
      <c r="R2850" s="115" t="s">
        <v>1013</v>
      </c>
      <c r="S2850" s="125"/>
    </row>
    <row r="2851" spans="1:19" hidden="1">
      <c r="A2851" s="124" t="s">
        <v>5258</v>
      </c>
      <c r="B2851" s="149" t="str">
        <f>IFERROR(VLOOKUP(Proc[[#This Row],[App]],Table2[],3,0),"open")</f>
        <v>ok</v>
      </c>
      <c r="C2851" s="124" t="s">
        <v>369</v>
      </c>
      <c r="D2851" t="s">
        <v>5016</v>
      </c>
      <c r="E2851" t="s">
        <v>4068</v>
      </c>
      <c r="F2851" s="125" t="s">
        <v>4068</v>
      </c>
      <c r="G2851" s="124" t="s">
        <v>400</v>
      </c>
      <c r="H2851" s="125" t="str">
        <f>IF(Proc[[#This Row],[type]]="LFF (MDG-F)",MID(Proc[[#This Row],[Obj]],13,10),"")</f>
        <v/>
      </c>
      <c r="J2851" s="125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HC</v>
      </c>
      <c r="L2851" s="125" t="s">
        <v>4894</v>
      </c>
      <c r="M2851" s="113">
        <v>45873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88</v>
      </c>
      <c r="R2851" s="115" t="s">
        <v>1013</v>
      </c>
      <c r="S2851" s="125"/>
    </row>
    <row r="2852" spans="1:19" hidden="1">
      <c r="A2852" s="124" t="s">
        <v>5258</v>
      </c>
      <c r="B2852" s="149" t="str">
        <f>IFERROR(VLOOKUP(Proc[[#This Row],[App]],Table2[],3,0),"open")</f>
        <v>ok</v>
      </c>
      <c r="C2852" s="124" t="s">
        <v>369</v>
      </c>
      <c r="D2852" t="s">
        <v>5017</v>
      </c>
      <c r="E2852" t="s">
        <v>4068</v>
      </c>
      <c r="F2852" s="125" t="s">
        <v>4068</v>
      </c>
      <c r="G2852" s="124" t="s">
        <v>400</v>
      </c>
      <c r="H2852" s="125" t="str">
        <f>IF(Proc[[#This Row],[type]]="LFF (MDG-F)",MID(Proc[[#This Row],[Obj]],13,10),"")</f>
        <v/>
      </c>
      <c r="J2852" s="125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HC</v>
      </c>
      <c r="L2852" s="125" t="s">
        <v>4894</v>
      </c>
      <c r="M2852" s="113">
        <v>45873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88</v>
      </c>
      <c r="R2852" s="115" t="s">
        <v>1013</v>
      </c>
      <c r="S2852" s="125"/>
    </row>
    <row r="2853" spans="1:19" hidden="1">
      <c r="A2853" s="124" t="s">
        <v>5258</v>
      </c>
      <c r="B2853" s="149" t="str">
        <f>IFERROR(VLOOKUP(Proc[[#This Row],[App]],Table2[],3,0),"open")</f>
        <v>ok</v>
      </c>
      <c r="C2853" s="124" t="s">
        <v>369</v>
      </c>
      <c r="D2853" t="s">
        <v>5018</v>
      </c>
      <c r="E2853" t="s">
        <v>4068</v>
      </c>
      <c r="F2853" s="125" t="s">
        <v>4068</v>
      </c>
      <c r="G2853" s="124" t="s">
        <v>400</v>
      </c>
      <c r="H2853" s="125" t="str">
        <f>IF(Proc[[#This Row],[type]]="LFF (MDG-F)",MID(Proc[[#This Row],[Obj]],13,10),"")</f>
        <v/>
      </c>
      <c r="J2853" s="125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HC</v>
      </c>
      <c r="L2853" s="125" t="s">
        <v>4894</v>
      </c>
      <c r="M2853" s="113">
        <v>45873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88</v>
      </c>
      <c r="R2853" s="115" t="s">
        <v>1013</v>
      </c>
      <c r="S2853" s="125"/>
    </row>
    <row r="2854" spans="1:19" hidden="1">
      <c r="A2854" s="124" t="s">
        <v>5258</v>
      </c>
      <c r="B2854" s="149" t="str">
        <f>IFERROR(VLOOKUP(Proc[[#This Row],[App]],Table2[],3,0),"open")</f>
        <v>ok</v>
      </c>
      <c r="C2854" s="124" t="s">
        <v>369</v>
      </c>
      <c r="D2854" t="s">
        <v>5019</v>
      </c>
      <c r="E2854" t="s">
        <v>4068</v>
      </c>
      <c r="F2854" s="125" t="s">
        <v>4068</v>
      </c>
      <c r="G2854" s="124" t="s">
        <v>400</v>
      </c>
      <c r="H2854" s="125" t="str">
        <f>IF(Proc[[#This Row],[type]]="LFF (MDG-F)",MID(Proc[[#This Row],[Obj]],13,10),"")</f>
        <v/>
      </c>
      <c r="J2854" s="125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3">
        <v>45873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88</v>
      </c>
      <c r="R2854" s="115" t="s">
        <v>1013</v>
      </c>
      <c r="S2854" s="125"/>
    </row>
    <row r="2855" spans="1:19" hidden="1">
      <c r="A2855" s="124" t="s">
        <v>5258</v>
      </c>
      <c r="B2855" s="149" t="str">
        <f>IFERROR(VLOOKUP(Proc[[#This Row],[App]],Table2[],3,0),"open")</f>
        <v>ok</v>
      </c>
      <c r="C2855" s="124" t="s">
        <v>369</v>
      </c>
      <c r="D2855" t="s">
        <v>5020</v>
      </c>
      <c r="E2855" t="s">
        <v>4068</v>
      </c>
      <c r="F2855" s="125" t="s">
        <v>4068</v>
      </c>
      <c r="G2855" s="124" t="s">
        <v>400</v>
      </c>
      <c r="H2855" s="125" t="str">
        <f>IF(Proc[[#This Row],[type]]="LFF (MDG-F)",MID(Proc[[#This Row],[Obj]],13,10),"")</f>
        <v/>
      </c>
      <c r="J2855" s="125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HC</v>
      </c>
      <c r="L2855" s="125" t="s">
        <v>4894</v>
      </c>
      <c r="M2855" s="113">
        <v>45873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88</v>
      </c>
      <c r="R2855" s="115" t="s">
        <v>1013</v>
      </c>
      <c r="S2855" s="125"/>
    </row>
    <row r="2856" spans="1:19" hidden="1">
      <c r="A2856" s="124" t="s">
        <v>5258</v>
      </c>
      <c r="B2856" s="149" t="str">
        <f>IFERROR(VLOOKUP(Proc[[#This Row],[App]],Table2[],3,0),"open")</f>
        <v>ok</v>
      </c>
      <c r="C2856" s="124" t="s">
        <v>369</v>
      </c>
      <c r="D2856" t="s">
        <v>5021</v>
      </c>
      <c r="E2856" t="s">
        <v>4068</v>
      </c>
      <c r="F2856" s="125" t="s">
        <v>4068</v>
      </c>
      <c r="G2856" s="124" t="s">
        <v>400</v>
      </c>
      <c r="H2856" s="125" t="str">
        <f>IF(Proc[[#This Row],[type]]="LFF (MDG-F)",MID(Proc[[#This Row],[Obj]],13,10),"")</f>
        <v/>
      </c>
      <c r="J2856" s="125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3">
        <v>45873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88</v>
      </c>
      <c r="R2856" s="115" t="s">
        <v>1013</v>
      </c>
      <c r="S2856" s="125"/>
    </row>
    <row r="2857" spans="1:19" hidden="1">
      <c r="A2857" s="124" t="s">
        <v>5258</v>
      </c>
      <c r="B2857" s="149" t="str">
        <f>IFERROR(VLOOKUP(Proc[[#This Row],[App]],Table2[],3,0),"open")</f>
        <v>ok</v>
      </c>
      <c r="C2857" s="124" t="s">
        <v>369</v>
      </c>
      <c r="D2857" t="s">
        <v>5022</v>
      </c>
      <c r="E2857" t="s">
        <v>4068</v>
      </c>
      <c r="F2857" s="125" t="s">
        <v>4068</v>
      </c>
      <c r="G2857" s="124" t="s">
        <v>400</v>
      </c>
      <c r="H2857" s="125" t="str">
        <f>IF(Proc[[#This Row],[type]]="LFF (MDG-F)",MID(Proc[[#This Row],[Obj]],13,10),"")</f>
        <v/>
      </c>
      <c r="J2857" s="125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3">
        <v>45873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88</v>
      </c>
      <c r="R2857" s="115" t="s">
        <v>1013</v>
      </c>
      <c r="S2857" s="125"/>
    </row>
    <row r="2858" spans="1:19" hidden="1">
      <c r="A2858" s="124" t="s">
        <v>5258</v>
      </c>
      <c r="B2858" s="149" t="str">
        <f>IFERROR(VLOOKUP(Proc[[#This Row],[App]],Table2[],3,0),"open")</f>
        <v>ok</v>
      </c>
      <c r="C2858" s="124" t="s">
        <v>369</v>
      </c>
      <c r="D2858" t="s">
        <v>5023</v>
      </c>
      <c r="E2858" t="s">
        <v>4068</v>
      </c>
      <c r="F2858" s="125" t="s">
        <v>4068</v>
      </c>
      <c r="G2858" s="124" t="s">
        <v>400</v>
      </c>
      <c r="H2858" s="125" t="str">
        <f>IF(Proc[[#This Row],[type]]="LFF (MDG-F)",MID(Proc[[#This Row],[Obj]],13,10),"")</f>
        <v/>
      </c>
      <c r="J2858" s="125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HC</v>
      </c>
      <c r="L2858" s="125" t="s">
        <v>4894</v>
      </c>
      <c r="M2858" s="113">
        <v>45873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88</v>
      </c>
      <c r="R2858" s="115" t="s">
        <v>1013</v>
      </c>
      <c r="S2858" s="125"/>
    </row>
    <row r="2859" spans="1:19" hidden="1">
      <c r="A2859" s="124" t="s">
        <v>5258</v>
      </c>
      <c r="B2859" s="149" t="str">
        <f>IFERROR(VLOOKUP(Proc[[#This Row],[App]],Table2[],3,0),"open")</f>
        <v>ok</v>
      </c>
      <c r="C2859" s="124" t="s">
        <v>369</v>
      </c>
      <c r="D2859" t="s">
        <v>5024</v>
      </c>
      <c r="E2859" t="s">
        <v>4068</v>
      </c>
      <c r="F2859" s="125" t="s">
        <v>4068</v>
      </c>
      <c r="G2859" s="124" t="s">
        <v>400</v>
      </c>
      <c r="H2859" s="125" t="str">
        <f>IF(Proc[[#This Row],[type]]="LFF (MDG-F)",MID(Proc[[#This Row],[Obj]],13,10),"")</f>
        <v/>
      </c>
      <c r="J2859" s="125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HC</v>
      </c>
      <c r="L2859" s="125" t="s">
        <v>4894</v>
      </c>
      <c r="M2859" s="113">
        <v>45873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88</v>
      </c>
      <c r="R2859" s="115" t="s">
        <v>1013</v>
      </c>
      <c r="S2859" s="125"/>
    </row>
    <row r="2860" spans="1:19" hidden="1">
      <c r="A2860" s="124" t="s">
        <v>5258</v>
      </c>
      <c r="B2860" s="149" t="str">
        <f>IFERROR(VLOOKUP(Proc[[#This Row],[App]],Table2[],3,0),"open")</f>
        <v>ok</v>
      </c>
      <c r="C2860" s="124" t="s">
        <v>369</v>
      </c>
      <c r="D2860" t="s">
        <v>5025</v>
      </c>
      <c r="E2860" t="s">
        <v>4068</v>
      </c>
      <c r="F2860" s="125" t="s">
        <v>4068</v>
      </c>
      <c r="G2860" s="124" t="s">
        <v>400</v>
      </c>
      <c r="H2860" s="125" t="str">
        <f>IF(Proc[[#This Row],[type]]="LFF (MDG-F)",MID(Proc[[#This Row],[Obj]],13,10),"")</f>
        <v/>
      </c>
      <c r="J2860" s="125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HC</v>
      </c>
      <c r="L2860" s="125" t="s">
        <v>4894</v>
      </c>
      <c r="M2860" s="113">
        <v>45873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88</v>
      </c>
      <c r="R2860" s="115" t="s">
        <v>1013</v>
      </c>
      <c r="S2860" s="125"/>
    </row>
    <row r="2861" spans="1:19" hidden="1">
      <c r="A2861" s="124" t="s">
        <v>5258</v>
      </c>
      <c r="B2861" s="149" t="str">
        <f>IFERROR(VLOOKUP(Proc[[#This Row],[App]],Table2[],3,0),"open")</f>
        <v>ok</v>
      </c>
      <c r="C2861" s="124" t="s">
        <v>369</v>
      </c>
      <c r="D2861" t="s">
        <v>5026</v>
      </c>
      <c r="E2861" t="s">
        <v>4068</v>
      </c>
      <c r="F2861" s="125" t="s">
        <v>4068</v>
      </c>
      <c r="G2861" s="124" t="s">
        <v>400</v>
      </c>
      <c r="H2861" s="125" t="str">
        <f>IF(Proc[[#This Row],[type]]="LFF (MDG-F)",MID(Proc[[#This Row],[Obj]],13,10),"")</f>
        <v/>
      </c>
      <c r="J2861" s="125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HC</v>
      </c>
      <c r="L2861" s="125" t="s">
        <v>4894</v>
      </c>
      <c r="M2861" s="113">
        <v>45873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88</v>
      </c>
      <c r="R2861" s="115" t="s">
        <v>1013</v>
      </c>
      <c r="S2861" s="125"/>
    </row>
    <row r="2862" spans="1:19" hidden="1">
      <c r="A2862" s="124" t="s">
        <v>5258</v>
      </c>
      <c r="B2862" s="149" t="str">
        <f>IFERROR(VLOOKUP(Proc[[#This Row],[App]],Table2[],3,0),"open")</f>
        <v>ok</v>
      </c>
      <c r="C2862" s="124" t="s">
        <v>369</v>
      </c>
      <c r="D2862" t="s">
        <v>5027</v>
      </c>
      <c r="E2862" t="s">
        <v>4068</v>
      </c>
      <c r="F2862" s="125" t="s">
        <v>4068</v>
      </c>
      <c r="G2862" s="124" t="s">
        <v>400</v>
      </c>
      <c r="H2862" s="125" t="str">
        <f>IF(Proc[[#This Row],[type]]="LFF (MDG-F)",MID(Proc[[#This Row],[Obj]],13,10),"")</f>
        <v/>
      </c>
      <c r="J2862" s="125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HC</v>
      </c>
      <c r="L2862" s="125" t="s">
        <v>4894</v>
      </c>
      <c r="M2862" s="113">
        <v>45873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88</v>
      </c>
      <c r="R2862" s="115" t="s">
        <v>1013</v>
      </c>
      <c r="S2862" s="125"/>
    </row>
    <row r="2863" spans="1:19" hidden="1">
      <c r="A2863" s="124" t="s">
        <v>5258</v>
      </c>
      <c r="B2863" s="149" t="str">
        <f>IFERROR(VLOOKUP(Proc[[#This Row],[App]],Table2[],3,0),"open")</f>
        <v>ok</v>
      </c>
      <c r="C2863" s="124" t="s">
        <v>369</v>
      </c>
      <c r="D2863" t="s">
        <v>5028</v>
      </c>
      <c r="E2863" t="s">
        <v>4068</v>
      </c>
      <c r="F2863" s="125" t="s">
        <v>4068</v>
      </c>
      <c r="G2863" s="124" t="s">
        <v>400</v>
      </c>
      <c r="H2863" s="125" t="str">
        <f>IF(Proc[[#This Row],[type]]="LFF (MDG-F)",MID(Proc[[#This Row],[Obj]],13,10),"")</f>
        <v/>
      </c>
      <c r="J2863" s="125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HC</v>
      </c>
      <c r="L2863" s="125" t="s">
        <v>4894</v>
      </c>
      <c r="M2863" s="113">
        <v>45873</v>
      </c>
      <c r="N2863" s="113"/>
      <c r="O2863" s="113"/>
      <c r="P2863" s="115" t="str">
        <f ca="1">IF(Proc[[#This Row],[DaysAgeing]]&gt;5,"yep","on track")</f>
        <v>yep</v>
      </c>
      <c r="Q2863" s="3">
        <f ca="1">IF(Proc[[#This Row],[DateClosed]]="",ABS(NETWORKDAYS(Proc[[#This Row],[DateOpened]],TODAY()))-1,ABS(NETWORKDAYS(Proc[[#This Row],[DateOpened]],Proc[[#This Row],[DateClosed]]))-1)</f>
        <v>88</v>
      </c>
      <c r="R2863" s="115" t="s">
        <v>1013</v>
      </c>
      <c r="S2863" s="125"/>
    </row>
    <row r="2864" spans="1:19" hidden="1">
      <c r="A2864" s="124" t="s">
        <v>5258</v>
      </c>
      <c r="B2864" s="149" t="str">
        <f>IFERROR(VLOOKUP(Proc[[#This Row],[App]],Table2[],3,0),"open")</f>
        <v>ok</v>
      </c>
      <c r="C2864" s="124" t="s">
        <v>369</v>
      </c>
      <c r="D2864" t="s">
        <v>5029</v>
      </c>
      <c r="E2864" t="s">
        <v>4068</v>
      </c>
      <c r="F2864" s="125" t="s">
        <v>4068</v>
      </c>
      <c r="G2864" s="124" t="s">
        <v>400</v>
      </c>
      <c r="H2864" s="125" t="str">
        <f>IF(Proc[[#This Row],[type]]="LFF (MDG-F)",MID(Proc[[#This Row],[Obj]],13,10),"")</f>
        <v/>
      </c>
      <c r="J2864" s="125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HC</v>
      </c>
      <c r="L2864" s="125" t="s">
        <v>4894</v>
      </c>
      <c r="M2864" s="113">
        <v>45873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88</v>
      </c>
      <c r="R2864" s="115" t="s">
        <v>1013</v>
      </c>
      <c r="S2864" s="125"/>
    </row>
    <row r="2865" spans="1:19" hidden="1">
      <c r="A2865" s="124" t="s">
        <v>5258</v>
      </c>
      <c r="B2865" s="149" t="str">
        <f>IFERROR(VLOOKUP(Proc[[#This Row],[App]],Table2[],3,0),"open")</f>
        <v>ok</v>
      </c>
      <c r="C2865" s="124" t="s">
        <v>369</v>
      </c>
      <c r="D2865" t="s">
        <v>5030</v>
      </c>
      <c r="E2865" t="s">
        <v>4068</v>
      </c>
      <c r="F2865" s="125" t="s">
        <v>4068</v>
      </c>
      <c r="G2865" s="124" t="s">
        <v>400</v>
      </c>
      <c r="H2865" s="125" t="str">
        <f>IF(Proc[[#This Row],[type]]="LFF (MDG-F)",MID(Proc[[#This Row],[Obj]],13,10),"")</f>
        <v/>
      </c>
      <c r="J2865" s="125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HC</v>
      </c>
      <c r="L2865" s="125" t="s">
        <v>4894</v>
      </c>
      <c r="M2865" s="113">
        <v>45873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88</v>
      </c>
      <c r="R2865" s="115" t="s">
        <v>1013</v>
      </c>
      <c r="S2865" s="125"/>
    </row>
    <row r="2866" spans="1:19" hidden="1">
      <c r="A2866" s="124" t="s">
        <v>5258</v>
      </c>
      <c r="B2866" s="149" t="str">
        <f>IFERROR(VLOOKUP(Proc[[#This Row],[App]],Table2[],3,0),"open")</f>
        <v>ok</v>
      </c>
      <c r="C2866" s="124" t="s">
        <v>369</v>
      </c>
      <c r="D2866" t="s">
        <v>5031</v>
      </c>
      <c r="E2866" t="s">
        <v>4068</v>
      </c>
      <c r="F2866" s="125" t="s">
        <v>4068</v>
      </c>
      <c r="G2866" s="124" t="s">
        <v>400</v>
      </c>
      <c r="H2866" s="125" t="str">
        <f>IF(Proc[[#This Row],[type]]="LFF (MDG-F)",MID(Proc[[#This Row],[Obj]],13,10),"")</f>
        <v/>
      </c>
      <c r="J2866" s="125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HC</v>
      </c>
      <c r="L2866" s="125" t="s">
        <v>4894</v>
      </c>
      <c r="M2866" s="113">
        <v>45873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88</v>
      </c>
      <c r="R2866" s="115" t="s">
        <v>1013</v>
      </c>
      <c r="S2866" s="125"/>
    </row>
    <row r="2867" spans="1:19" hidden="1">
      <c r="A2867" s="124" t="s">
        <v>5258</v>
      </c>
      <c r="B2867" s="149" t="str">
        <f>IFERROR(VLOOKUP(Proc[[#This Row],[App]],Table2[],3,0),"open")</f>
        <v>ok</v>
      </c>
      <c r="C2867" s="124" t="s">
        <v>369</v>
      </c>
      <c r="D2867" t="s">
        <v>5032</v>
      </c>
      <c r="E2867" t="s">
        <v>4068</v>
      </c>
      <c r="F2867" s="125" t="s">
        <v>4068</v>
      </c>
      <c r="G2867" s="124" t="s">
        <v>400</v>
      </c>
      <c r="H2867" s="125" t="str">
        <f>IF(Proc[[#This Row],[type]]="LFF (MDG-F)",MID(Proc[[#This Row],[Obj]],13,10),"")</f>
        <v/>
      </c>
      <c r="J2867" s="125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HC</v>
      </c>
      <c r="L2867" s="125" t="s">
        <v>4894</v>
      </c>
      <c r="M2867" s="113">
        <v>45873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88</v>
      </c>
      <c r="R2867" s="115" t="s">
        <v>1013</v>
      </c>
      <c r="S2867" s="125"/>
    </row>
    <row r="2868" spans="1:19" hidden="1">
      <c r="A2868" s="124" t="s">
        <v>5258</v>
      </c>
      <c r="B2868" s="149" t="str">
        <f>IFERROR(VLOOKUP(Proc[[#This Row],[App]],Table2[],3,0),"open")</f>
        <v>ok</v>
      </c>
      <c r="C2868" s="124" t="s">
        <v>369</v>
      </c>
      <c r="D2868" t="s">
        <v>5033</v>
      </c>
      <c r="E2868" t="s">
        <v>4068</v>
      </c>
      <c r="F2868" s="125" t="s">
        <v>4068</v>
      </c>
      <c r="G2868" s="124" t="s">
        <v>400</v>
      </c>
      <c r="H2868" s="125" t="str">
        <f>IF(Proc[[#This Row],[type]]="LFF (MDG-F)",MID(Proc[[#This Row],[Obj]],13,10),"")</f>
        <v/>
      </c>
      <c r="J2868" s="125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3">
        <v>45873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88</v>
      </c>
      <c r="R2868" s="115" t="s">
        <v>1013</v>
      </c>
      <c r="S2868" s="125"/>
    </row>
    <row r="2869" spans="1:19" hidden="1">
      <c r="A2869" s="124" t="s">
        <v>5258</v>
      </c>
      <c r="B2869" s="149" t="str">
        <f>IFERROR(VLOOKUP(Proc[[#This Row],[App]],Table2[],3,0),"open")</f>
        <v>ok</v>
      </c>
      <c r="C2869" s="124" t="s">
        <v>369</v>
      </c>
      <c r="D2869" t="s">
        <v>5034</v>
      </c>
      <c r="E2869" t="s">
        <v>4068</v>
      </c>
      <c r="F2869" s="125" t="s">
        <v>4068</v>
      </c>
      <c r="G2869" s="124" t="s">
        <v>400</v>
      </c>
      <c r="H2869" s="125" t="str">
        <f>IF(Proc[[#This Row],[type]]="LFF (MDG-F)",MID(Proc[[#This Row],[Obj]],13,10),"")</f>
        <v/>
      </c>
      <c r="J2869" s="125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3">
        <v>45873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88</v>
      </c>
      <c r="R2869" s="115" t="s">
        <v>1013</v>
      </c>
      <c r="S2869" s="125"/>
    </row>
    <row r="2870" spans="1:19" hidden="1">
      <c r="A2870" s="124" t="s">
        <v>5258</v>
      </c>
      <c r="B2870" s="149" t="str">
        <f>IFERROR(VLOOKUP(Proc[[#This Row],[App]],Table2[],3,0),"open")</f>
        <v>ok</v>
      </c>
      <c r="C2870" s="124" t="s">
        <v>369</v>
      </c>
      <c r="D2870" t="s">
        <v>5035</v>
      </c>
      <c r="E2870" t="s">
        <v>4068</v>
      </c>
      <c r="F2870" s="125" t="s">
        <v>4068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HC</v>
      </c>
      <c r="L2870" s="125" t="s">
        <v>4894</v>
      </c>
      <c r="M2870" s="113">
        <v>45873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88</v>
      </c>
      <c r="R2870" s="115" t="s">
        <v>1013</v>
      </c>
      <c r="S2870" s="125"/>
    </row>
    <row r="2871" spans="1:19" hidden="1">
      <c r="A2871" s="124" t="s">
        <v>5258</v>
      </c>
      <c r="B2871" s="149" t="str">
        <f>IFERROR(VLOOKUP(Proc[[#This Row],[App]],Table2[],3,0),"open")</f>
        <v>ok</v>
      </c>
      <c r="C2871" s="124" t="s">
        <v>369</v>
      </c>
      <c r="D2871" t="s">
        <v>5036</v>
      </c>
      <c r="E2871" t="s">
        <v>4068</v>
      </c>
      <c r="F2871" s="125" t="s">
        <v>4068</v>
      </c>
      <c r="G2871" s="124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3">
        <v>45873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88</v>
      </c>
      <c r="R2871" s="115" t="s">
        <v>1013</v>
      </c>
      <c r="S2871" s="125"/>
    </row>
    <row r="2872" spans="1:19" hidden="1">
      <c r="A2872" s="124" t="s">
        <v>5258</v>
      </c>
      <c r="B2872" s="149" t="str">
        <f>IFERROR(VLOOKUP(Proc[[#This Row],[App]],Table2[],3,0),"open")</f>
        <v>ok</v>
      </c>
      <c r="C2872" s="124" t="s">
        <v>369</v>
      </c>
      <c r="D2872" t="s">
        <v>5037</v>
      </c>
      <c r="E2872" t="s">
        <v>4068</v>
      </c>
      <c r="F2872" s="125" t="s">
        <v>4068</v>
      </c>
      <c r="G2872" s="124" t="s">
        <v>400</v>
      </c>
      <c r="H2872" s="125" t="str">
        <f>IF(Proc[[#This Row],[type]]="LFF (MDG-F)",MID(Proc[[#This Row],[Obj]],13,10),"")</f>
        <v/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HC</v>
      </c>
      <c r="L2872" s="125" t="s">
        <v>4894</v>
      </c>
      <c r="M2872" s="113">
        <v>45873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88</v>
      </c>
      <c r="R2872" s="115" t="s">
        <v>1013</v>
      </c>
      <c r="S2872" s="125"/>
    </row>
    <row r="2873" spans="1:19" hidden="1">
      <c r="A2873" s="124" t="s">
        <v>5258</v>
      </c>
      <c r="B2873" s="149" t="str">
        <f>IFERROR(VLOOKUP(Proc[[#This Row],[App]],Table2[],3,0),"open")</f>
        <v>ok</v>
      </c>
      <c r="C2873" s="124" t="s">
        <v>369</v>
      </c>
      <c r="D2873" t="s">
        <v>5038</v>
      </c>
      <c r="E2873" t="s">
        <v>4068</v>
      </c>
      <c r="F2873" s="125" t="s">
        <v>4068</v>
      </c>
      <c r="G2873" s="124" t="s">
        <v>400</v>
      </c>
      <c r="H2873" s="125" t="str">
        <f>IF(Proc[[#This Row],[type]]="LFF (MDG-F)",MID(Proc[[#This Row],[Obj]],13,10),"")</f>
        <v/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HC</v>
      </c>
      <c r="L2873" s="125" t="s">
        <v>4894</v>
      </c>
      <c r="M2873" s="113">
        <v>45873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88</v>
      </c>
      <c r="R2873" s="115" t="s">
        <v>1013</v>
      </c>
      <c r="S2873" s="125"/>
    </row>
    <row r="2874" spans="1:19" hidden="1">
      <c r="A2874" s="124" t="s">
        <v>5258</v>
      </c>
      <c r="B2874" s="149" t="str">
        <f>IFERROR(VLOOKUP(Proc[[#This Row],[App]],Table2[],3,0),"open")</f>
        <v>ok</v>
      </c>
      <c r="C2874" s="124" t="s">
        <v>369</v>
      </c>
      <c r="D2874" t="s">
        <v>5039</v>
      </c>
      <c r="E2874" t="s">
        <v>4068</v>
      </c>
      <c r="F2874" s="125" t="s">
        <v>4068</v>
      </c>
      <c r="G2874" s="124" t="s">
        <v>400</v>
      </c>
      <c r="H2874" s="125" t="str">
        <f>IF(Proc[[#This Row],[type]]="LFF (MDG-F)",MID(Proc[[#This Row],[Obj]],13,10),"")</f>
        <v/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HC</v>
      </c>
      <c r="L2874" s="125" t="s">
        <v>4894</v>
      </c>
      <c r="M2874" s="113">
        <v>45873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88</v>
      </c>
      <c r="R2874" s="115" t="s">
        <v>1013</v>
      </c>
      <c r="S2874" s="125"/>
    </row>
    <row r="2875" spans="1:19" hidden="1">
      <c r="A2875" s="124" t="s">
        <v>5258</v>
      </c>
      <c r="B2875" s="149" t="str">
        <f>IFERROR(VLOOKUP(Proc[[#This Row],[App]],Table2[],3,0),"open")</f>
        <v>ok</v>
      </c>
      <c r="C2875" s="124" t="s">
        <v>369</v>
      </c>
      <c r="D2875" t="s">
        <v>5040</v>
      </c>
      <c r="E2875" t="s">
        <v>4068</v>
      </c>
      <c r="F2875" s="125" t="s">
        <v>4068</v>
      </c>
      <c r="G2875" s="124" t="s">
        <v>400</v>
      </c>
      <c r="H2875" s="125" t="str">
        <f>IF(Proc[[#This Row],[type]]="LFF (MDG-F)",MID(Proc[[#This Row],[Obj]],13,10),"")</f>
        <v/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HC</v>
      </c>
      <c r="L2875" s="125" t="s">
        <v>4894</v>
      </c>
      <c r="M2875" s="113">
        <v>45873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88</v>
      </c>
      <c r="R2875" s="115" t="s">
        <v>1013</v>
      </c>
      <c r="S2875" s="125"/>
    </row>
    <row r="2876" spans="1:19" hidden="1">
      <c r="A2876" s="124" t="s">
        <v>5258</v>
      </c>
      <c r="B2876" s="149" t="str">
        <f>IFERROR(VLOOKUP(Proc[[#This Row],[App]],Table2[],3,0),"open")</f>
        <v>ok</v>
      </c>
      <c r="C2876" s="124" t="s">
        <v>369</v>
      </c>
      <c r="D2876" t="s">
        <v>5041</v>
      </c>
      <c r="E2876" t="s">
        <v>4068</v>
      </c>
      <c r="F2876" s="125" t="s">
        <v>4068</v>
      </c>
      <c r="G2876" s="124" t="s">
        <v>400</v>
      </c>
      <c r="H2876" s="125" t="str">
        <f>IF(Proc[[#This Row],[type]]="LFF (MDG-F)",MID(Proc[[#This Row],[Obj]],13,10),"")</f>
        <v/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HC</v>
      </c>
      <c r="L2876" s="125" t="s">
        <v>4894</v>
      </c>
      <c r="M2876" s="113">
        <v>45873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88</v>
      </c>
      <c r="R2876" s="115" t="s">
        <v>1013</v>
      </c>
      <c r="S2876" s="125"/>
    </row>
    <row r="2877" spans="1:19" hidden="1">
      <c r="A2877" s="124" t="s">
        <v>5258</v>
      </c>
      <c r="B2877" s="149" t="str">
        <f>IFERROR(VLOOKUP(Proc[[#This Row],[App]],Table2[],3,0),"open")</f>
        <v>ok</v>
      </c>
      <c r="C2877" s="124" t="s">
        <v>369</v>
      </c>
      <c r="D2877" t="s">
        <v>5042</v>
      </c>
      <c r="E2877" t="s">
        <v>4068</v>
      </c>
      <c r="F2877" s="125" t="s">
        <v>4068</v>
      </c>
      <c r="G2877" s="124" t="s">
        <v>400</v>
      </c>
      <c r="H2877" s="125" t="str">
        <f>IF(Proc[[#This Row],[type]]="LFF (MDG-F)",MID(Proc[[#This Row],[Obj]],13,10),"")</f>
        <v/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HC</v>
      </c>
      <c r="L2877" s="125" t="s">
        <v>4894</v>
      </c>
      <c r="M2877" s="113">
        <v>45873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88</v>
      </c>
      <c r="R2877" s="115" t="s">
        <v>1013</v>
      </c>
      <c r="S2877" s="125"/>
    </row>
    <row r="2878" spans="1:19" hidden="1">
      <c r="A2878" s="124" t="s">
        <v>5258</v>
      </c>
      <c r="B2878" s="149" t="str">
        <f>IFERROR(VLOOKUP(Proc[[#This Row],[App]],Table2[],3,0),"open")</f>
        <v>ok</v>
      </c>
      <c r="C2878" s="124" t="s">
        <v>369</v>
      </c>
      <c r="D2878" t="s">
        <v>5043</v>
      </c>
      <c r="E2878" t="s">
        <v>4068</v>
      </c>
      <c r="F2878" s="125" t="s">
        <v>4068</v>
      </c>
      <c r="G2878" s="124" t="s">
        <v>400</v>
      </c>
      <c r="H2878" s="125" t="str">
        <f>IF(Proc[[#This Row],[type]]="LFF (MDG-F)",MID(Proc[[#This Row],[Obj]],13,10),"")</f>
        <v/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HC</v>
      </c>
      <c r="L2878" s="125" t="s">
        <v>4894</v>
      </c>
      <c r="M2878" s="113">
        <v>45873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88</v>
      </c>
      <c r="R2878" s="115" t="s">
        <v>1013</v>
      </c>
      <c r="S2878" s="125"/>
    </row>
    <row r="2879" spans="1:19" hidden="1">
      <c r="A2879" s="124" t="s">
        <v>5258</v>
      </c>
      <c r="B2879" s="149" t="str">
        <f>IFERROR(VLOOKUP(Proc[[#This Row],[App]],Table2[],3,0),"open")</f>
        <v>ok</v>
      </c>
      <c r="C2879" s="124" t="s">
        <v>369</v>
      </c>
      <c r="D2879" t="s">
        <v>5044</v>
      </c>
      <c r="E2879" t="s">
        <v>4068</v>
      </c>
      <c r="F2879" s="125" t="s">
        <v>4068</v>
      </c>
      <c r="G2879" s="124" t="s">
        <v>400</v>
      </c>
      <c r="H2879" s="125" t="str">
        <f>IF(Proc[[#This Row],[type]]="LFF (MDG-F)",MID(Proc[[#This Row],[Obj]],13,10),"")</f>
        <v/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HC</v>
      </c>
      <c r="L2879" s="125" t="s">
        <v>4894</v>
      </c>
      <c r="M2879" s="113">
        <v>45873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88</v>
      </c>
      <c r="R2879" s="115" t="s">
        <v>1013</v>
      </c>
      <c r="S2879" s="125"/>
    </row>
    <row r="2880" spans="1:19" hidden="1">
      <c r="A2880" s="124" t="s">
        <v>5258</v>
      </c>
      <c r="B2880" s="149" t="str">
        <f>IFERROR(VLOOKUP(Proc[[#This Row],[App]],Table2[],3,0),"open")</f>
        <v>ok</v>
      </c>
      <c r="C2880" s="124" t="s">
        <v>369</v>
      </c>
      <c r="D2880" t="s">
        <v>5045</v>
      </c>
      <c r="E2880" t="s">
        <v>4068</v>
      </c>
      <c r="F2880" s="125" t="s">
        <v>4068</v>
      </c>
      <c r="G2880" s="124" t="s">
        <v>400</v>
      </c>
      <c r="H2880" s="125" t="str">
        <f>IF(Proc[[#This Row],[type]]="LFF (MDG-F)",MID(Proc[[#This Row],[Obj]],13,10),"")</f>
        <v/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HC</v>
      </c>
      <c r="L2880" s="125" t="s">
        <v>4894</v>
      </c>
      <c r="M2880" s="113">
        <v>45873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88</v>
      </c>
      <c r="R2880" s="115" t="s">
        <v>1013</v>
      </c>
      <c r="S2880" s="125"/>
    </row>
    <row r="2881" spans="1:19" hidden="1">
      <c r="A2881" s="124" t="s">
        <v>5258</v>
      </c>
      <c r="B2881" s="149" t="str">
        <f>IFERROR(VLOOKUP(Proc[[#This Row],[App]],Table2[],3,0),"open")</f>
        <v>ok</v>
      </c>
      <c r="C2881" s="124" t="s">
        <v>369</v>
      </c>
      <c r="D2881" t="s">
        <v>5046</v>
      </c>
      <c r="E2881" t="s">
        <v>4068</v>
      </c>
      <c r="F2881" s="125" t="s">
        <v>4068</v>
      </c>
      <c r="G2881" s="124" t="s">
        <v>400</v>
      </c>
      <c r="H2881" s="125" t="str">
        <f>IF(Proc[[#This Row],[type]]="LFF (MDG-F)",MID(Proc[[#This Row],[Obj]],13,10),"")</f>
        <v/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HC</v>
      </c>
      <c r="L2881" s="125" t="s">
        <v>4894</v>
      </c>
      <c r="M2881" s="113">
        <v>45873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88</v>
      </c>
      <c r="R2881" s="115" t="s">
        <v>1013</v>
      </c>
      <c r="S2881" s="125"/>
    </row>
    <row r="2882" spans="1:19" hidden="1">
      <c r="A2882" s="124" t="s">
        <v>5258</v>
      </c>
      <c r="B2882" s="149" t="str">
        <f>IFERROR(VLOOKUP(Proc[[#This Row],[App]],Table2[],3,0),"open")</f>
        <v>ok</v>
      </c>
      <c r="C2882" s="124" t="s">
        <v>369</v>
      </c>
      <c r="D2882" t="s">
        <v>5047</v>
      </c>
      <c r="E2882" t="s">
        <v>4068</v>
      </c>
      <c r="F2882" s="125" t="s">
        <v>4068</v>
      </c>
      <c r="G2882" s="124" t="s">
        <v>400</v>
      </c>
      <c r="H2882" s="125" t="str">
        <f>IF(Proc[[#This Row],[type]]="LFF (MDG-F)",MID(Proc[[#This Row],[Obj]],13,10),"")</f>
        <v/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HC</v>
      </c>
      <c r="L2882" s="125" t="s">
        <v>4894</v>
      </c>
      <c r="M2882" s="113">
        <v>45873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88</v>
      </c>
      <c r="R2882" s="115" t="s">
        <v>1013</v>
      </c>
      <c r="S2882" s="125"/>
    </row>
    <row r="2883" spans="1:19" hidden="1">
      <c r="A2883" s="124" t="s">
        <v>5258</v>
      </c>
      <c r="B2883" s="149" t="str">
        <f>IFERROR(VLOOKUP(Proc[[#This Row],[App]],Table2[],3,0),"open")</f>
        <v>ok</v>
      </c>
      <c r="C2883" s="124" t="s">
        <v>369</v>
      </c>
      <c r="D2883" t="s">
        <v>5048</v>
      </c>
      <c r="E2883" t="s">
        <v>4068</v>
      </c>
      <c r="F2883" s="125" t="s">
        <v>4068</v>
      </c>
      <c r="G2883" s="124" t="s">
        <v>400</v>
      </c>
      <c r="H2883" s="125" t="str">
        <f>IF(Proc[[#This Row],[type]]="LFF (MDG-F)",MID(Proc[[#This Row],[Obj]],13,10),"")</f>
        <v/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HC</v>
      </c>
      <c r="L2883" s="125" t="s">
        <v>4894</v>
      </c>
      <c r="M2883" s="113">
        <v>45873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88</v>
      </c>
      <c r="R2883" s="115" t="s">
        <v>1013</v>
      </c>
      <c r="S2883" s="125"/>
    </row>
    <row r="2884" spans="1:19" hidden="1">
      <c r="A2884" s="124" t="s">
        <v>5258</v>
      </c>
      <c r="B2884" s="149" t="str">
        <f>IFERROR(VLOOKUP(Proc[[#This Row],[App]],Table2[],3,0),"open")</f>
        <v>ok</v>
      </c>
      <c r="C2884" s="124" t="s">
        <v>369</v>
      </c>
      <c r="D2884" t="s">
        <v>5049</v>
      </c>
      <c r="E2884" t="s">
        <v>4068</v>
      </c>
      <c r="F2884" s="125" t="s">
        <v>4068</v>
      </c>
      <c r="G2884" s="124" t="s">
        <v>400</v>
      </c>
      <c r="H2884" s="125" t="str">
        <f>IF(Proc[[#This Row],[type]]="LFF (MDG-F)",MID(Proc[[#This Row],[Obj]],13,10),"")</f>
        <v/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HC</v>
      </c>
      <c r="L2884" s="125" t="s">
        <v>4894</v>
      </c>
      <c r="M2884" s="113">
        <v>45873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88</v>
      </c>
      <c r="R2884" s="115" t="s">
        <v>1013</v>
      </c>
      <c r="S2884" s="125"/>
    </row>
    <row r="2885" spans="1:19" hidden="1">
      <c r="A2885" s="124" t="s">
        <v>5258</v>
      </c>
      <c r="B2885" s="149" t="str">
        <f>IFERROR(VLOOKUP(Proc[[#This Row],[App]],Table2[],3,0),"open")</f>
        <v>ok</v>
      </c>
      <c r="C2885" s="124" t="s">
        <v>369</v>
      </c>
      <c r="D2885" t="s">
        <v>5050</v>
      </c>
      <c r="E2885" t="s">
        <v>4068</v>
      </c>
      <c r="F2885" s="125" t="s">
        <v>4068</v>
      </c>
      <c r="G2885" s="124" t="s">
        <v>400</v>
      </c>
      <c r="H2885" s="125" t="str">
        <f>IF(Proc[[#This Row],[type]]="LFF (MDG-F)",MID(Proc[[#This Row],[Obj]],13,10),"")</f>
        <v/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HC</v>
      </c>
      <c r="L2885" s="125" t="s">
        <v>4894</v>
      </c>
      <c r="M2885" s="113">
        <v>45873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88</v>
      </c>
      <c r="R2885" s="115" t="s">
        <v>1013</v>
      </c>
      <c r="S2885" s="125"/>
    </row>
    <row r="2886" spans="1:19" hidden="1">
      <c r="A2886" s="124" t="s">
        <v>5258</v>
      </c>
      <c r="B2886" s="149" t="str">
        <f>IFERROR(VLOOKUP(Proc[[#This Row],[App]],Table2[],3,0),"open")</f>
        <v>ok</v>
      </c>
      <c r="C2886" s="124" t="s">
        <v>369</v>
      </c>
      <c r="D2886" t="s">
        <v>5051</v>
      </c>
      <c r="E2886" t="s">
        <v>4068</v>
      </c>
      <c r="F2886" s="125" t="s">
        <v>4068</v>
      </c>
      <c r="G2886" s="124" t="s">
        <v>400</v>
      </c>
      <c r="H2886" s="125" t="str">
        <f>IF(Proc[[#This Row],[type]]="LFF (MDG-F)",MID(Proc[[#This Row],[Obj]],13,10),"")</f>
        <v/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HC</v>
      </c>
      <c r="L2886" s="125" t="s">
        <v>4894</v>
      </c>
      <c r="M2886" s="113">
        <v>45873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88</v>
      </c>
      <c r="R2886" s="115" t="s">
        <v>1013</v>
      </c>
      <c r="S2886" s="125"/>
    </row>
    <row r="2887" spans="1:19" hidden="1">
      <c r="A2887" s="124" t="s">
        <v>5258</v>
      </c>
      <c r="B2887" s="149" t="str">
        <f>IFERROR(VLOOKUP(Proc[[#This Row],[App]],Table2[],3,0),"open")</f>
        <v>ok</v>
      </c>
      <c r="C2887" s="124" t="s">
        <v>369</v>
      </c>
      <c r="D2887" t="s">
        <v>5052</v>
      </c>
      <c r="E2887" t="s">
        <v>4068</v>
      </c>
      <c r="F2887" s="125" t="s">
        <v>4068</v>
      </c>
      <c r="G2887" s="124" t="s">
        <v>400</v>
      </c>
      <c r="H2887" s="125" t="str">
        <f>IF(Proc[[#This Row],[type]]="LFF (MDG-F)",MID(Proc[[#This Row],[Obj]],13,10),"")</f>
        <v/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HC</v>
      </c>
      <c r="L2887" s="125" t="s">
        <v>4894</v>
      </c>
      <c r="M2887" s="113">
        <v>45873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88</v>
      </c>
      <c r="R2887" s="115" t="s">
        <v>1013</v>
      </c>
      <c r="S2887" s="125"/>
    </row>
    <row r="2888" spans="1:19" hidden="1">
      <c r="A2888" s="124" t="s">
        <v>5258</v>
      </c>
      <c r="B2888" s="149" t="str">
        <f>IFERROR(VLOOKUP(Proc[[#This Row],[App]],Table2[],3,0),"open")</f>
        <v>ok</v>
      </c>
      <c r="C2888" s="124" t="s">
        <v>369</v>
      </c>
      <c r="D2888" t="s">
        <v>5053</v>
      </c>
      <c r="E2888" t="s">
        <v>4068</v>
      </c>
      <c r="F2888" s="125" t="s">
        <v>4068</v>
      </c>
      <c r="G2888" s="124" t="s">
        <v>400</v>
      </c>
      <c r="H2888" s="125" t="str">
        <f>IF(Proc[[#This Row],[type]]="LFF (MDG-F)",MID(Proc[[#This Row],[Obj]],13,10),"")</f>
        <v/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HC</v>
      </c>
      <c r="L2888" s="125" t="s">
        <v>4894</v>
      </c>
      <c r="M2888" s="113">
        <v>45873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88</v>
      </c>
      <c r="R2888" s="115" t="s">
        <v>1013</v>
      </c>
      <c r="S2888" s="125"/>
    </row>
    <row r="2889" spans="1:19" hidden="1">
      <c r="A2889" s="124" t="s">
        <v>5258</v>
      </c>
      <c r="B2889" s="149" t="str">
        <f>IFERROR(VLOOKUP(Proc[[#This Row],[App]],Table2[],3,0),"open")</f>
        <v>ok</v>
      </c>
      <c r="C2889" s="124" t="s">
        <v>369</v>
      </c>
      <c r="D2889" t="s">
        <v>5054</v>
      </c>
      <c r="E2889" t="s">
        <v>4068</v>
      </c>
      <c r="F2889" s="125" t="s">
        <v>4068</v>
      </c>
      <c r="G2889" s="124" t="s">
        <v>400</v>
      </c>
      <c r="H2889" s="125" t="str">
        <f>IF(Proc[[#This Row],[type]]="LFF (MDG-F)",MID(Proc[[#This Row],[Obj]],13,10),"")</f>
        <v/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HC</v>
      </c>
      <c r="L2889" s="125" t="s">
        <v>4894</v>
      </c>
      <c r="M2889" s="113">
        <v>45873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88</v>
      </c>
      <c r="R2889" s="115" t="s">
        <v>1013</v>
      </c>
      <c r="S2889" s="125"/>
    </row>
    <row r="2890" spans="1:19" hidden="1">
      <c r="A2890" s="124" t="s">
        <v>5258</v>
      </c>
      <c r="B2890" s="149" t="str">
        <f>IFERROR(VLOOKUP(Proc[[#This Row],[App]],Table2[],3,0),"open")</f>
        <v>ok</v>
      </c>
      <c r="C2890" s="124" t="s">
        <v>369</v>
      </c>
      <c r="D2890" t="s">
        <v>5055</v>
      </c>
      <c r="E2890" t="s">
        <v>4068</v>
      </c>
      <c r="F2890" s="125" t="s">
        <v>4068</v>
      </c>
      <c r="G2890" s="124" t="s">
        <v>400</v>
      </c>
      <c r="H2890" s="125" t="str">
        <f>IF(Proc[[#This Row],[type]]="LFF (MDG-F)",MID(Proc[[#This Row],[Obj]],13,10),"")</f>
        <v/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HC</v>
      </c>
      <c r="L2890" s="125" t="s">
        <v>4894</v>
      </c>
      <c r="M2890" s="113">
        <v>45873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88</v>
      </c>
      <c r="R2890" s="115" t="s">
        <v>1013</v>
      </c>
      <c r="S2890" s="125"/>
    </row>
    <row r="2891" spans="1:19" hidden="1">
      <c r="A2891" s="124" t="s">
        <v>5258</v>
      </c>
      <c r="B2891" s="149" t="str">
        <f>IFERROR(VLOOKUP(Proc[[#This Row],[App]],Table2[],3,0),"open")</f>
        <v>ok</v>
      </c>
      <c r="C2891" s="124" t="s">
        <v>369</v>
      </c>
      <c r="D2891" t="s">
        <v>5056</v>
      </c>
      <c r="E2891" t="s">
        <v>4068</v>
      </c>
      <c r="F2891" s="125" t="s">
        <v>4068</v>
      </c>
      <c r="G2891" s="124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HC</v>
      </c>
      <c r="L2891" s="125" t="s">
        <v>4894</v>
      </c>
      <c r="M2891" s="113">
        <v>45873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88</v>
      </c>
      <c r="R2891" s="115" t="s">
        <v>1013</v>
      </c>
      <c r="S2891" s="125"/>
    </row>
    <row r="2892" spans="1:19" hidden="1">
      <c r="A2892" s="124" t="s">
        <v>5258</v>
      </c>
      <c r="B2892" s="149" t="str">
        <f>IFERROR(VLOOKUP(Proc[[#This Row],[App]],Table2[],3,0),"open")</f>
        <v>ok</v>
      </c>
      <c r="C2892" s="124" t="s">
        <v>369</v>
      </c>
      <c r="D2892" t="s">
        <v>5057</v>
      </c>
      <c r="E2892" t="s">
        <v>4068</v>
      </c>
      <c r="F2892" s="125" t="s">
        <v>4068</v>
      </c>
      <c r="G2892" s="124" t="s">
        <v>400</v>
      </c>
      <c r="H2892" s="125" t="str">
        <f>IF(Proc[[#This Row],[type]]="LFF (MDG-F)",MID(Proc[[#This Row],[Obj]],13,10),"")</f>
        <v/>
      </c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HC</v>
      </c>
      <c r="L2892" s="125" t="s">
        <v>4894</v>
      </c>
      <c r="M2892" s="113">
        <v>45873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88</v>
      </c>
      <c r="R2892" s="115" t="s">
        <v>1013</v>
      </c>
      <c r="S2892" s="125"/>
    </row>
    <row r="2893" spans="1:19" hidden="1">
      <c r="A2893" s="124" t="s">
        <v>5258</v>
      </c>
      <c r="B2893" s="149" t="str">
        <f>IFERROR(VLOOKUP(Proc[[#This Row],[App]],Table2[],3,0),"open")</f>
        <v>ok</v>
      </c>
      <c r="C2893" s="124" t="s">
        <v>369</v>
      </c>
      <c r="D2893" t="s">
        <v>5058</v>
      </c>
      <c r="E2893" t="s">
        <v>4068</v>
      </c>
      <c r="F2893" s="125" t="s">
        <v>4068</v>
      </c>
      <c r="G2893" s="124" t="s">
        <v>400</v>
      </c>
      <c r="H2893" s="125" t="str">
        <f>IF(Proc[[#This Row],[type]]="LFF (MDG-F)",MID(Proc[[#This Row],[Obj]],13,10),"")</f>
        <v/>
      </c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HC</v>
      </c>
      <c r="L2893" s="125" t="s">
        <v>4894</v>
      </c>
      <c r="M2893" s="113">
        <v>45873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88</v>
      </c>
      <c r="R2893" s="115" t="s">
        <v>1013</v>
      </c>
      <c r="S2893" s="125"/>
    </row>
    <row r="2894" spans="1:19" hidden="1">
      <c r="A2894" s="124" t="s">
        <v>5258</v>
      </c>
      <c r="B2894" s="149" t="str">
        <f>IFERROR(VLOOKUP(Proc[[#This Row],[App]],Table2[],3,0),"open")</f>
        <v>ok</v>
      </c>
      <c r="C2894" s="124" t="s">
        <v>369</v>
      </c>
      <c r="D2894" t="s">
        <v>5059</v>
      </c>
      <c r="E2894" t="s">
        <v>4068</v>
      </c>
      <c r="F2894" s="125" t="s">
        <v>4068</v>
      </c>
      <c r="G2894" s="124" t="s">
        <v>400</v>
      </c>
      <c r="H2894" s="125" t="str">
        <f>IF(Proc[[#This Row],[type]]="LFF (MDG-F)",MID(Proc[[#This Row],[Obj]],13,10),"")</f>
        <v/>
      </c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HC</v>
      </c>
      <c r="L2894" s="125" t="s">
        <v>4894</v>
      </c>
      <c r="M2894" s="113">
        <v>45873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88</v>
      </c>
      <c r="R2894" s="115" t="s">
        <v>1013</v>
      </c>
      <c r="S2894" s="125"/>
    </row>
    <row r="2895" spans="1:19" hidden="1">
      <c r="A2895" s="124" t="s">
        <v>5258</v>
      </c>
      <c r="B2895" s="149" t="str">
        <f>IFERROR(VLOOKUP(Proc[[#This Row],[App]],Table2[],3,0),"open")</f>
        <v>ok</v>
      </c>
      <c r="C2895" s="124" t="s">
        <v>369</v>
      </c>
      <c r="D2895" t="s">
        <v>5060</v>
      </c>
      <c r="E2895" t="s">
        <v>4068</v>
      </c>
      <c r="F2895" s="125" t="s">
        <v>4068</v>
      </c>
      <c r="G2895" s="124" t="s">
        <v>400</v>
      </c>
      <c r="H2895" s="125" t="str">
        <f>IF(Proc[[#This Row],[type]]="LFF (MDG-F)",MID(Proc[[#This Row],[Obj]],13,10),"")</f>
        <v/>
      </c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HC</v>
      </c>
      <c r="L2895" s="125" t="s">
        <v>4894</v>
      </c>
      <c r="M2895" s="113">
        <v>45873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88</v>
      </c>
      <c r="R2895" s="115" t="s">
        <v>1013</v>
      </c>
      <c r="S2895" s="125"/>
    </row>
    <row r="2896" spans="1:19" hidden="1">
      <c r="A2896" s="124" t="s">
        <v>5258</v>
      </c>
      <c r="B2896" s="149" t="str">
        <f>IFERROR(VLOOKUP(Proc[[#This Row],[App]],Table2[],3,0),"open")</f>
        <v>ok</v>
      </c>
      <c r="C2896" s="124" t="s">
        <v>369</v>
      </c>
      <c r="D2896" t="s">
        <v>5061</v>
      </c>
      <c r="E2896" t="s">
        <v>4068</v>
      </c>
      <c r="F2896" s="125" t="s">
        <v>4068</v>
      </c>
      <c r="G2896" s="124" t="s">
        <v>400</v>
      </c>
      <c r="H2896" s="125" t="str">
        <f>IF(Proc[[#This Row],[type]]="LFF (MDG-F)",MID(Proc[[#This Row],[Obj]],13,10),"")</f>
        <v/>
      </c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HC</v>
      </c>
      <c r="L2896" s="125" t="s">
        <v>4894</v>
      </c>
      <c r="M2896" s="113">
        <v>45873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88</v>
      </c>
      <c r="R2896" s="115" t="s">
        <v>1013</v>
      </c>
      <c r="S2896" s="125"/>
    </row>
    <row r="2897" spans="1:19" hidden="1">
      <c r="A2897" s="124" t="s">
        <v>5258</v>
      </c>
      <c r="B2897" s="149" t="str">
        <f>IFERROR(VLOOKUP(Proc[[#This Row],[App]],Table2[],3,0),"open")</f>
        <v>ok</v>
      </c>
      <c r="C2897" s="124" t="s">
        <v>369</v>
      </c>
      <c r="D2897" t="s">
        <v>5062</v>
      </c>
      <c r="E2897" t="s">
        <v>4068</v>
      </c>
      <c r="F2897" s="125" t="s">
        <v>4068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HC</v>
      </c>
      <c r="L2897" s="125" t="s">
        <v>4894</v>
      </c>
      <c r="M2897" s="113">
        <v>45873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88</v>
      </c>
      <c r="R2897" s="115" t="s">
        <v>1013</v>
      </c>
      <c r="S2897" s="125"/>
    </row>
    <row r="2898" spans="1:19" hidden="1">
      <c r="A2898" s="124" t="s">
        <v>5258</v>
      </c>
      <c r="B2898" s="149" t="str">
        <f>IFERROR(VLOOKUP(Proc[[#This Row],[App]],Table2[],3,0),"open")</f>
        <v>ok</v>
      </c>
      <c r="C2898" s="124" t="s">
        <v>369</v>
      </c>
      <c r="D2898" t="s">
        <v>5063</v>
      </c>
      <c r="E2898" t="s">
        <v>4068</v>
      </c>
      <c r="F2898" s="125" t="s">
        <v>4068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HC</v>
      </c>
      <c r="L2898" s="125" t="s">
        <v>4894</v>
      </c>
      <c r="M2898" s="113">
        <v>45873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88</v>
      </c>
      <c r="R2898" s="115" t="s">
        <v>1013</v>
      </c>
      <c r="S2898" s="125"/>
    </row>
    <row r="2899" spans="1:19" hidden="1">
      <c r="A2899" s="124" t="s">
        <v>5258</v>
      </c>
      <c r="B2899" s="149" t="str">
        <f>IFERROR(VLOOKUP(Proc[[#This Row],[App]],Table2[],3,0),"open")</f>
        <v>ok</v>
      </c>
      <c r="C2899" s="124" t="s">
        <v>369</v>
      </c>
      <c r="D2899" t="s">
        <v>5064</v>
      </c>
      <c r="E2899" t="s">
        <v>4068</v>
      </c>
      <c r="F2899" s="125" t="s">
        <v>4068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HC</v>
      </c>
      <c r="L2899" s="125" t="s">
        <v>4894</v>
      </c>
      <c r="M2899" s="113">
        <v>45873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88</v>
      </c>
      <c r="R2899" s="115" t="s">
        <v>1013</v>
      </c>
      <c r="S2899" s="125"/>
    </row>
    <row r="2900" spans="1:19" hidden="1">
      <c r="A2900" s="124" t="s">
        <v>5258</v>
      </c>
      <c r="B2900" s="149" t="str">
        <f>IFERROR(VLOOKUP(Proc[[#This Row],[App]],Table2[],3,0),"open")</f>
        <v>ok</v>
      </c>
      <c r="C2900" s="124" t="s">
        <v>369</v>
      </c>
      <c r="D2900" t="s">
        <v>5065</v>
      </c>
      <c r="E2900" t="s">
        <v>4068</v>
      </c>
      <c r="F2900" s="125" t="s">
        <v>4068</v>
      </c>
      <c r="G2900" s="124" t="s">
        <v>400</v>
      </c>
      <c r="H2900" s="125" t="str">
        <f>IF(Proc[[#This Row],[type]]="LFF (MDG-F)",MID(Proc[[#This Row],[Obj]],13,10),"")</f>
        <v/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HC</v>
      </c>
      <c r="L2900" s="125" t="s">
        <v>4894</v>
      </c>
      <c r="M2900" s="113">
        <v>45873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88</v>
      </c>
      <c r="R2900" s="115" t="s">
        <v>1013</v>
      </c>
      <c r="S2900" s="125"/>
    </row>
    <row r="2901" spans="1:19" hidden="1">
      <c r="A2901" s="124" t="s">
        <v>5258</v>
      </c>
      <c r="B2901" s="149" t="str">
        <f>IFERROR(VLOOKUP(Proc[[#This Row],[App]],Table2[],3,0),"open")</f>
        <v>ok</v>
      </c>
      <c r="C2901" s="124" t="s">
        <v>369</v>
      </c>
      <c r="D2901" t="s">
        <v>5066</v>
      </c>
      <c r="E2901" t="s">
        <v>4068</v>
      </c>
      <c r="F2901" s="125" t="s">
        <v>4068</v>
      </c>
      <c r="G2901" s="124" t="s">
        <v>400</v>
      </c>
      <c r="H2901" s="125" t="str">
        <f>IF(Proc[[#This Row],[type]]="LFF (MDG-F)",MID(Proc[[#This Row],[Obj]],13,10),"")</f>
        <v/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HC</v>
      </c>
      <c r="L2901" s="125" t="s">
        <v>4894</v>
      </c>
      <c r="M2901" s="113">
        <v>45873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88</v>
      </c>
      <c r="R2901" s="115" t="s">
        <v>1013</v>
      </c>
      <c r="S2901" s="125"/>
    </row>
    <row r="2902" spans="1:19" hidden="1">
      <c r="A2902" s="124" t="s">
        <v>5258</v>
      </c>
      <c r="B2902" s="149" t="str">
        <f>IFERROR(VLOOKUP(Proc[[#This Row],[App]],Table2[],3,0),"open")</f>
        <v>ok</v>
      </c>
      <c r="C2902" s="124" t="s">
        <v>369</v>
      </c>
      <c r="D2902" t="s">
        <v>5067</v>
      </c>
      <c r="E2902" t="s">
        <v>4068</v>
      </c>
      <c r="F2902" s="125" t="s">
        <v>4068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HC</v>
      </c>
      <c r="L2902" s="125" t="s">
        <v>4894</v>
      </c>
      <c r="M2902" s="113">
        <v>45873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88</v>
      </c>
      <c r="R2902" s="115" t="s">
        <v>1013</v>
      </c>
      <c r="S2902" s="125"/>
    </row>
    <row r="2903" spans="1:19" hidden="1">
      <c r="A2903" s="124" t="s">
        <v>5258</v>
      </c>
      <c r="B2903" s="149" t="str">
        <f>IFERROR(VLOOKUP(Proc[[#This Row],[App]],Table2[],3,0),"open")</f>
        <v>ok</v>
      </c>
      <c r="C2903" s="124" t="s">
        <v>369</v>
      </c>
      <c r="D2903" t="s">
        <v>5068</v>
      </c>
      <c r="E2903" t="s">
        <v>4068</v>
      </c>
      <c r="F2903" s="125" t="s">
        <v>4068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HC</v>
      </c>
      <c r="L2903" s="125" t="s">
        <v>4894</v>
      </c>
      <c r="M2903" s="113">
        <v>45873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88</v>
      </c>
      <c r="R2903" s="115" t="s">
        <v>1013</v>
      </c>
      <c r="S2903" s="125"/>
    </row>
    <row r="2904" spans="1:19" hidden="1">
      <c r="A2904" s="124" t="s">
        <v>5258</v>
      </c>
      <c r="B2904" s="149" t="str">
        <f>IFERROR(VLOOKUP(Proc[[#This Row],[App]],Table2[],3,0),"open")</f>
        <v>ok</v>
      </c>
      <c r="C2904" s="124" t="s">
        <v>369</v>
      </c>
      <c r="D2904" t="s">
        <v>5069</v>
      </c>
      <c r="E2904" t="s">
        <v>4068</v>
      </c>
      <c r="F2904" s="125" t="s">
        <v>4068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HC</v>
      </c>
      <c r="L2904" s="125" t="s">
        <v>4894</v>
      </c>
      <c r="M2904" s="113">
        <v>45873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88</v>
      </c>
      <c r="R2904" s="115" t="s">
        <v>1013</v>
      </c>
      <c r="S2904" s="125"/>
    </row>
    <row r="2905" spans="1:19" hidden="1">
      <c r="A2905" s="124" t="s">
        <v>5258</v>
      </c>
      <c r="B2905" s="149" t="str">
        <f>IFERROR(VLOOKUP(Proc[[#This Row],[App]],Table2[],3,0),"open")</f>
        <v>ok</v>
      </c>
      <c r="C2905" s="124" t="s">
        <v>369</v>
      </c>
      <c r="D2905" t="s">
        <v>5070</v>
      </c>
      <c r="E2905" t="s">
        <v>4068</v>
      </c>
      <c r="F2905" s="125" t="s">
        <v>4068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HC</v>
      </c>
      <c r="L2905" s="125" t="s">
        <v>4894</v>
      </c>
      <c r="M2905" s="113">
        <v>45873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88</v>
      </c>
      <c r="R2905" s="115" t="s">
        <v>1013</v>
      </c>
      <c r="S2905" s="125"/>
    </row>
    <row r="2906" spans="1:19" hidden="1">
      <c r="A2906" s="124" t="s">
        <v>5258</v>
      </c>
      <c r="B2906" s="149" t="str">
        <f>IFERROR(VLOOKUP(Proc[[#This Row],[App]],Table2[],3,0),"open")</f>
        <v>ok</v>
      </c>
      <c r="C2906" s="124" t="s">
        <v>369</v>
      </c>
      <c r="D2906" t="s">
        <v>5071</v>
      </c>
      <c r="E2906" t="s">
        <v>4068</v>
      </c>
      <c r="F2906" s="125" t="s">
        <v>4068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HC</v>
      </c>
      <c r="L2906" s="125" t="s">
        <v>4894</v>
      </c>
      <c r="M2906" s="113">
        <v>45873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88</v>
      </c>
      <c r="R2906" s="115" t="s">
        <v>1013</v>
      </c>
      <c r="S2906" s="125"/>
    </row>
    <row r="2907" spans="1:19" hidden="1">
      <c r="A2907" s="124" t="s">
        <v>5258</v>
      </c>
      <c r="B2907" s="149" t="str">
        <f>IFERROR(VLOOKUP(Proc[[#This Row],[App]],Table2[],3,0),"open")</f>
        <v>ok</v>
      </c>
      <c r="C2907" s="124" t="s">
        <v>369</v>
      </c>
      <c r="D2907" t="s">
        <v>5072</v>
      </c>
      <c r="E2907" t="s">
        <v>4068</v>
      </c>
      <c r="F2907" s="125" t="s">
        <v>4068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HC</v>
      </c>
      <c r="L2907" s="125" t="s">
        <v>4894</v>
      </c>
      <c r="M2907" s="113">
        <v>45873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88</v>
      </c>
      <c r="R2907" s="115" t="s">
        <v>1013</v>
      </c>
      <c r="S2907" s="125"/>
    </row>
    <row r="2908" spans="1:19" hidden="1">
      <c r="A2908" s="124" t="s">
        <v>5258</v>
      </c>
      <c r="B2908" s="149" t="str">
        <f>IFERROR(VLOOKUP(Proc[[#This Row],[App]],Table2[],3,0),"open")</f>
        <v>ok</v>
      </c>
      <c r="C2908" s="124" t="s">
        <v>369</v>
      </c>
      <c r="D2908" t="s">
        <v>5073</v>
      </c>
      <c r="E2908" t="s">
        <v>4068</v>
      </c>
      <c r="F2908" s="125" t="s">
        <v>4068</v>
      </c>
      <c r="G2908" s="124" t="s">
        <v>400</v>
      </c>
      <c r="H2908" s="125" t="str">
        <f>IF(Proc[[#This Row],[type]]="LFF (MDG-F)",MID(Proc[[#This Row],[Obj]],13,10),"")</f>
        <v/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3">
        <v>45873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88</v>
      </c>
      <c r="R2908" s="115" t="s">
        <v>1013</v>
      </c>
      <c r="S2908" s="125"/>
    </row>
    <row r="2909" spans="1:19" hidden="1">
      <c r="A2909" s="124" t="s">
        <v>5258</v>
      </c>
      <c r="B2909" s="149" t="str">
        <f>IFERROR(VLOOKUP(Proc[[#This Row],[App]],Table2[],3,0),"open")</f>
        <v>ok</v>
      </c>
      <c r="C2909" s="124" t="s">
        <v>369</v>
      </c>
      <c r="D2909" t="s">
        <v>5074</v>
      </c>
      <c r="E2909" t="s">
        <v>4068</v>
      </c>
      <c r="F2909" s="125" t="s">
        <v>4068</v>
      </c>
      <c r="G2909" s="124" t="s">
        <v>400</v>
      </c>
      <c r="H2909" s="125" t="str">
        <f>IF(Proc[[#This Row],[type]]="LFF (MDG-F)",MID(Proc[[#This Row],[Obj]],13,10),"")</f>
        <v/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3">
        <v>45873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88</v>
      </c>
      <c r="R2909" s="115" t="s">
        <v>1013</v>
      </c>
      <c r="S2909" s="125"/>
    </row>
    <row r="2910" spans="1:19" hidden="1">
      <c r="A2910" s="124" t="s">
        <v>5258</v>
      </c>
      <c r="B2910" s="149" t="str">
        <f>IFERROR(VLOOKUP(Proc[[#This Row],[App]],Table2[],3,0),"open")</f>
        <v>ok</v>
      </c>
      <c r="C2910" s="124" t="s">
        <v>369</v>
      </c>
      <c r="D2910" t="s">
        <v>5075</v>
      </c>
      <c r="E2910" t="s">
        <v>4068</v>
      </c>
      <c r="F2910" s="125" t="s">
        <v>4068</v>
      </c>
      <c r="G2910" s="124" t="s">
        <v>400</v>
      </c>
      <c r="H2910" s="125" t="str">
        <f>IF(Proc[[#This Row],[type]]="LFF (MDG-F)",MID(Proc[[#This Row],[Obj]],13,10),"")</f>
        <v/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3">
        <v>45873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88</v>
      </c>
      <c r="R2910" s="115" t="s">
        <v>1013</v>
      </c>
      <c r="S2910" s="125"/>
    </row>
    <row r="2911" spans="1:19" hidden="1">
      <c r="A2911" s="124" t="s">
        <v>5258</v>
      </c>
      <c r="B2911" s="149" t="str">
        <f>IFERROR(VLOOKUP(Proc[[#This Row],[App]],Table2[],3,0),"open")</f>
        <v>ok</v>
      </c>
      <c r="C2911" s="124" t="s">
        <v>369</v>
      </c>
      <c r="D2911" t="s">
        <v>5076</v>
      </c>
      <c r="E2911" t="s">
        <v>4068</v>
      </c>
      <c r="F2911" s="125" t="s">
        <v>4068</v>
      </c>
      <c r="G2911" s="124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3">
        <v>45873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88</v>
      </c>
      <c r="R2911" s="115" t="s">
        <v>1013</v>
      </c>
      <c r="S2911" s="125"/>
    </row>
    <row r="2912" spans="1:19" hidden="1">
      <c r="A2912" s="124" t="s">
        <v>5258</v>
      </c>
      <c r="B2912" s="149" t="str">
        <f>IFERROR(VLOOKUP(Proc[[#This Row],[App]],Table2[],3,0),"open")</f>
        <v>ok</v>
      </c>
      <c r="C2912" s="124" t="s">
        <v>369</v>
      </c>
      <c r="D2912" t="s">
        <v>5077</v>
      </c>
      <c r="E2912" t="s">
        <v>4068</v>
      </c>
      <c r="F2912" s="125" t="s">
        <v>4068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HC</v>
      </c>
      <c r="L2912" s="125" t="s">
        <v>4894</v>
      </c>
      <c r="M2912" s="113">
        <v>45873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88</v>
      </c>
      <c r="R2912" s="115" t="s">
        <v>1013</v>
      </c>
      <c r="S2912" s="125"/>
    </row>
    <row r="2913" spans="1:19" hidden="1">
      <c r="A2913" s="124" t="s">
        <v>5258</v>
      </c>
      <c r="B2913" s="149" t="str">
        <f>IFERROR(VLOOKUP(Proc[[#This Row],[App]],Table2[],3,0),"open")</f>
        <v>ok</v>
      </c>
      <c r="C2913" s="124" t="s">
        <v>369</v>
      </c>
      <c r="D2913" t="s">
        <v>5078</v>
      </c>
      <c r="E2913" t="s">
        <v>4068</v>
      </c>
      <c r="F2913" s="125" t="s">
        <v>4068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HC</v>
      </c>
      <c r="L2913" s="125" t="s">
        <v>4894</v>
      </c>
      <c r="M2913" s="113">
        <v>45873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88</v>
      </c>
      <c r="R2913" s="115" t="s">
        <v>1013</v>
      </c>
      <c r="S2913" s="125"/>
    </row>
    <row r="2914" spans="1:19" hidden="1">
      <c r="A2914" s="124" t="s">
        <v>5258</v>
      </c>
      <c r="B2914" s="149" t="str">
        <f>IFERROR(VLOOKUP(Proc[[#This Row],[App]],Table2[],3,0),"open")</f>
        <v>ok</v>
      </c>
      <c r="C2914" s="124" t="s">
        <v>369</v>
      </c>
      <c r="D2914" t="s">
        <v>5079</v>
      </c>
      <c r="E2914" t="s">
        <v>4068</v>
      </c>
      <c r="F2914" s="125" t="s">
        <v>4068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HC</v>
      </c>
      <c r="L2914" s="125" t="s">
        <v>4894</v>
      </c>
      <c r="M2914" s="113">
        <v>45873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88</v>
      </c>
      <c r="R2914" s="115" t="s">
        <v>1013</v>
      </c>
      <c r="S2914" s="125"/>
    </row>
    <row r="2915" spans="1:19" hidden="1">
      <c r="A2915" s="124" t="s">
        <v>5258</v>
      </c>
      <c r="B2915" s="149" t="str">
        <f>IFERROR(VLOOKUP(Proc[[#This Row],[App]],Table2[],3,0),"open")</f>
        <v>ok</v>
      </c>
      <c r="C2915" s="124" t="s">
        <v>369</v>
      </c>
      <c r="D2915" t="s">
        <v>5080</v>
      </c>
      <c r="E2915" t="s">
        <v>4068</v>
      </c>
      <c r="F2915" s="125" t="s">
        <v>4068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HC</v>
      </c>
      <c r="L2915" s="125" t="s">
        <v>4894</v>
      </c>
      <c r="M2915" s="113">
        <v>45873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88</v>
      </c>
      <c r="R2915" s="115" t="s">
        <v>1013</v>
      </c>
      <c r="S2915" s="125"/>
    </row>
    <row r="2916" spans="1:19" hidden="1">
      <c r="A2916" s="124" t="s">
        <v>5258</v>
      </c>
      <c r="B2916" s="149" t="str">
        <f>IFERROR(VLOOKUP(Proc[[#This Row],[App]],Table2[],3,0),"open")</f>
        <v>ok</v>
      </c>
      <c r="C2916" s="124" t="s">
        <v>369</v>
      </c>
      <c r="D2916" t="s">
        <v>5081</v>
      </c>
      <c r="E2916" t="s">
        <v>4068</v>
      </c>
      <c r="F2916" s="125" t="s">
        <v>4068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HC</v>
      </c>
      <c r="L2916" s="125" t="s">
        <v>4894</v>
      </c>
      <c r="M2916" s="113">
        <v>45873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88</v>
      </c>
      <c r="R2916" s="115" t="s">
        <v>1013</v>
      </c>
      <c r="S2916" s="125"/>
    </row>
    <row r="2917" spans="1:19" hidden="1">
      <c r="A2917" s="124" t="s">
        <v>5258</v>
      </c>
      <c r="B2917" s="149" t="str">
        <f>IFERROR(VLOOKUP(Proc[[#This Row],[App]],Table2[],3,0),"open")</f>
        <v>ok</v>
      </c>
      <c r="C2917" s="124" t="s">
        <v>369</v>
      </c>
      <c r="D2917" t="s">
        <v>5082</v>
      </c>
      <c r="E2917" t="s">
        <v>4068</v>
      </c>
      <c r="F2917" s="125" t="s">
        <v>4068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HC</v>
      </c>
      <c r="L2917" s="125" t="s">
        <v>4894</v>
      </c>
      <c r="M2917" s="113">
        <v>45873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88</v>
      </c>
      <c r="R2917" s="115" t="s">
        <v>1013</v>
      </c>
      <c r="S2917" s="125"/>
    </row>
    <row r="2918" spans="1:19" hidden="1">
      <c r="A2918" s="124" t="s">
        <v>5258</v>
      </c>
      <c r="B2918" s="149" t="str">
        <f>IFERROR(VLOOKUP(Proc[[#This Row],[App]],Table2[],3,0),"open")</f>
        <v>ok</v>
      </c>
      <c r="C2918" s="124" t="s">
        <v>369</v>
      </c>
      <c r="D2918" t="s">
        <v>5083</v>
      </c>
      <c r="E2918" t="s">
        <v>4068</v>
      </c>
      <c r="F2918" s="125" t="s">
        <v>4068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HC</v>
      </c>
      <c r="L2918" s="125" t="s">
        <v>4894</v>
      </c>
      <c r="M2918" s="113">
        <v>45873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88</v>
      </c>
      <c r="R2918" s="115" t="s">
        <v>1013</v>
      </c>
      <c r="S2918" s="125"/>
    </row>
    <row r="2919" spans="1:19" hidden="1">
      <c r="A2919" s="124" t="s">
        <v>5258</v>
      </c>
      <c r="B2919" s="149" t="str">
        <f>IFERROR(VLOOKUP(Proc[[#This Row],[App]],Table2[],3,0),"open")</f>
        <v>ok</v>
      </c>
      <c r="C2919" s="124" t="s">
        <v>369</v>
      </c>
      <c r="D2919" t="s">
        <v>5084</v>
      </c>
      <c r="E2919" t="s">
        <v>4068</v>
      </c>
      <c r="F2919" s="125" t="s">
        <v>4068</v>
      </c>
      <c r="G2919" s="124" t="s">
        <v>400</v>
      </c>
      <c r="H2919" s="125" t="str">
        <f>IF(Proc[[#This Row],[type]]="LFF (MDG-F)",MID(Proc[[#This Row],[Obj]],13,10),"")</f>
        <v/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HC</v>
      </c>
      <c r="L2919" s="125" t="s">
        <v>4894</v>
      </c>
      <c r="M2919" s="113">
        <v>45873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88</v>
      </c>
      <c r="R2919" s="115" t="s">
        <v>1013</v>
      </c>
      <c r="S2919" s="125"/>
    </row>
    <row r="2920" spans="1:19" hidden="1">
      <c r="A2920" s="124" t="s">
        <v>5258</v>
      </c>
      <c r="B2920" s="149" t="str">
        <f>IFERROR(VLOOKUP(Proc[[#This Row],[App]],Table2[],3,0),"open")</f>
        <v>ok</v>
      </c>
      <c r="C2920" s="124" t="s">
        <v>369</v>
      </c>
      <c r="D2920" t="s">
        <v>5085</v>
      </c>
      <c r="E2920" t="s">
        <v>4068</v>
      </c>
      <c r="F2920" s="125" t="s">
        <v>4068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45873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88</v>
      </c>
      <c r="R2920" s="115" t="s">
        <v>1013</v>
      </c>
      <c r="S2920" s="125"/>
    </row>
    <row r="2921" spans="1:19" hidden="1">
      <c r="A2921" s="124" t="s">
        <v>5258</v>
      </c>
      <c r="B2921" s="149" t="str">
        <f>IFERROR(VLOOKUP(Proc[[#This Row],[App]],Table2[],3,0),"open")</f>
        <v>ok</v>
      </c>
      <c r="C2921" s="124" t="s">
        <v>369</v>
      </c>
      <c r="D2921" t="s">
        <v>5086</v>
      </c>
      <c r="E2921" t="s">
        <v>4068</v>
      </c>
      <c r="F2921" s="125" t="s">
        <v>4068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45873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88</v>
      </c>
      <c r="R2921" s="115" t="s">
        <v>1013</v>
      </c>
      <c r="S2921" s="125"/>
    </row>
    <row r="2922" spans="1:19" hidden="1">
      <c r="A2922" s="124" t="s">
        <v>5258</v>
      </c>
      <c r="B2922" s="149" t="str">
        <f>IFERROR(VLOOKUP(Proc[[#This Row],[App]],Table2[],3,0),"open")</f>
        <v>ok</v>
      </c>
      <c r="C2922" s="124" t="s">
        <v>369</v>
      </c>
      <c r="D2922" t="s">
        <v>5087</v>
      </c>
      <c r="E2922" t="s">
        <v>4068</v>
      </c>
      <c r="F2922" s="125" t="s">
        <v>4068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45873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88</v>
      </c>
      <c r="R2922" s="115" t="s">
        <v>1013</v>
      </c>
      <c r="S2922" s="125"/>
    </row>
    <row r="2923" spans="1:19" hidden="1">
      <c r="A2923" s="124" t="s">
        <v>5258</v>
      </c>
      <c r="B2923" s="149" t="str">
        <f>IFERROR(VLOOKUP(Proc[[#This Row],[App]],Table2[],3,0),"open")</f>
        <v>ok</v>
      </c>
      <c r="C2923" s="124" t="s">
        <v>369</v>
      </c>
      <c r="D2923" t="s">
        <v>5088</v>
      </c>
      <c r="E2923" t="s">
        <v>4068</v>
      </c>
      <c r="F2923" s="125" t="s">
        <v>4068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45873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88</v>
      </c>
      <c r="R2923" s="115" t="s">
        <v>1013</v>
      </c>
      <c r="S2923" s="125"/>
    </row>
    <row r="2924" spans="1:19" hidden="1">
      <c r="A2924" s="124" t="s">
        <v>5258</v>
      </c>
      <c r="B2924" s="149" t="str">
        <f>IFERROR(VLOOKUP(Proc[[#This Row],[App]],Table2[],3,0),"open")</f>
        <v>ok</v>
      </c>
      <c r="C2924" s="124" t="s">
        <v>369</v>
      </c>
      <c r="D2924" t="s">
        <v>5089</v>
      </c>
      <c r="E2924" t="s">
        <v>4068</v>
      </c>
      <c r="F2924" s="125" t="s">
        <v>4068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45873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88</v>
      </c>
      <c r="R2924" s="115" t="s">
        <v>1013</v>
      </c>
      <c r="S2924" s="125"/>
    </row>
    <row r="2925" spans="1:19" hidden="1">
      <c r="A2925" s="124" t="s">
        <v>5258</v>
      </c>
      <c r="B2925" s="149" t="str">
        <f>IFERROR(VLOOKUP(Proc[[#This Row],[App]],Table2[],3,0),"open")</f>
        <v>ok</v>
      </c>
      <c r="C2925" s="124" t="s">
        <v>369</v>
      </c>
      <c r="D2925" t="s">
        <v>5090</v>
      </c>
      <c r="E2925" t="s">
        <v>4068</v>
      </c>
      <c r="F2925" s="125" t="s">
        <v>4068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45873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88</v>
      </c>
      <c r="R2925" s="115" t="s">
        <v>1013</v>
      </c>
      <c r="S2925" s="125"/>
    </row>
    <row r="2926" spans="1:19" hidden="1">
      <c r="A2926" s="124" t="s">
        <v>5258</v>
      </c>
      <c r="B2926" s="149" t="str">
        <f>IFERROR(VLOOKUP(Proc[[#This Row],[App]],Table2[],3,0),"open")</f>
        <v>ok</v>
      </c>
      <c r="C2926" s="124" t="s">
        <v>369</v>
      </c>
      <c r="D2926" t="s">
        <v>5091</v>
      </c>
      <c r="E2926" t="s">
        <v>4068</v>
      </c>
      <c r="F2926" s="125" t="s">
        <v>4068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45873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88</v>
      </c>
      <c r="R2926" s="115" t="s">
        <v>1013</v>
      </c>
      <c r="S2926" s="125"/>
    </row>
    <row r="2927" spans="1:19" hidden="1">
      <c r="A2927" s="124" t="s">
        <v>5258</v>
      </c>
      <c r="B2927" s="149" t="str">
        <f>IFERROR(VLOOKUP(Proc[[#This Row],[App]],Table2[],3,0),"open")</f>
        <v>ok</v>
      </c>
      <c r="C2927" s="124" t="s">
        <v>369</v>
      </c>
      <c r="D2927" t="s">
        <v>5092</v>
      </c>
      <c r="E2927" t="s">
        <v>4068</v>
      </c>
      <c r="F2927" s="125" t="s">
        <v>4068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45873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88</v>
      </c>
      <c r="R2927" s="115" t="s">
        <v>1013</v>
      </c>
      <c r="S2927" s="125"/>
    </row>
    <row r="2928" spans="1:19" hidden="1">
      <c r="A2928" s="124" t="s">
        <v>5258</v>
      </c>
      <c r="B2928" s="149" t="str">
        <f>IFERROR(VLOOKUP(Proc[[#This Row],[App]],Table2[],3,0),"open")</f>
        <v>ok</v>
      </c>
      <c r="C2928" s="124" t="s">
        <v>369</v>
      </c>
      <c r="D2928" t="s">
        <v>5093</v>
      </c>
      <c r="E2928" t="s">
        <v>4068</v>
      </c>
      <c r="F2928" s="125" t="s">
        <v>4068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45873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88</v>
      </c>
      <c r="R2928" s="115" t="s">
        <v>1013</v>
      </c>
      <c r="S2928" s="125"/>
    </row>
    <row r="2929" spans="1:19" hidden="1">
      <c r="A2929" s="124" t="s">
        <v>5258</v>
      </c>
      <c r="B2929" s="149" t="str">
        <f>IFERROR(VLOOKUP(Proc[[#This Row],[App]],Table2[],3,0),"open")</f>
        <v>ok</v>
      </c>
      <c r="C2929" s="124" t="s">
        <v>369</v>
      </c>
      <c r="D2929" t="s">
        <v>5094</v>
      </c>
      <c r="E2929" t="s">
        <v>4068</v>
      </c>
      <c r="F2929" s="125" t="s">
        <v>4068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45873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88</v>
      </c>
      <c r="R2929" s="115" t="s">
        <v>1013</v>
      </c>
      <c r="S2929" s="125"/>
    </row>
    <row r="2930" spans="1:19" hidden="1">
      <c r="A2930" s="124" t="s">
        <v>5258</v>
      </c>
      <c r="B2930" s="149" t="str">
        <f>IFERROR(VLOOKUP(Proc[[#This Row],[App]],Table2[],3,0),"open")</f>
        <v>ok</v>
      </c>
      <c r="C2930" s="124" t="s">
        <v>369</v>
      </c>
      <c r="D2930" t="s">
        <v>5095</v>
      </c>
      <c r="E2930" t="s">
        <v>4068</v>
      </c>
      <c r="F2930" s="125" t="s">
        <v>4068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45873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88</v>
      </c>
      <c r="R2930" s="115" t="s">
        <v>1013</v>
      </c>
      <c r="S2930" s="125"/>
    </row>
    <row r="2931" spans="1:19" hidden="1">
      <c r="A2931" s="124" t="s">
        <v>5258</v>
      </c>
      <c r="B2931" s="149" t="str">
        <f>IFERROR(VLOOKUP(Proc[[#This Row],[App]],Table2[],3,0),"open")</f>
        <v>ok</v>
      </c>
      <c r="C2931" s="124" t="s">
        <v>369</v>
      </c>
      <c r="D2931" t="s">
        <v>5096</v>
      </c>
      <c r="E2931" t="s">
        <v>4068</v>
      </c>
      <c r="F2931" s="125" t="s">
        <v>4068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45873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88</v>
      </c>
      <c r="R2931" s="115" t="s">
        <v>1013</v>
      </c>
      <c r="S2931" s="125"/>
    </row>
    <row r="2932" spans="1:19" hidden="1">
      <c r="A2932" s="124" t="s">
        <v>5258</v>
      </c>
      <c r="B2932" s="149" t="str">
        <f>IFERROR(VLOOKUP(Proc[[#This Row],[App]],Table2[],3,0),"open")</f>
        <v>ok</v>
      </c>
      <c r="C2932" s="124" t="s">
        <v>369</v>
      </c>
      <c r="D2932" t="s">
        <v>5097</v>
      </c>
      <c r="E2932" t="s">
        <v>4068</v>
      </c>
      <c r="F2932" s="125" t="s">
        <v>4068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45873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88</v>
      </c>
      <c r="R2932" s="115" t="s">
        <v>1013</v>
      </c>
      <c r="S2932" s="125"/>
    </row>
    <row r="2933" spans="1:19" hidden="1">
      <c r="A2933" s="124" t="s">
        <v>5258</v>
      </c>
      <c r="B2933" s="149" t="str">
        <f>IFERROR(VLOOKUP(Proc[[#This Row],[App]],Table2[],3,0),"open")</f>
        <v>ok</v>
      </c>
      <c r="C2933" s="124" t="s">
        <v>369</v>
      </c>
      <c r="D2933" t="s">
        <v>5098</v>
      </c>
      <c r="E2933" t="s">
        <v>4068</v>
      </c>
      <c r="F2933" s="125" t="s">
        <v>4068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45873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88</v>
      </c>
      <c r="R2933" s="115" t="s">
        <v>1013</v>
      </c>
      <c r="S2933" s="125"/>
    </row>
    <row r="2934" spans="1:19" hidden="1">
      <c r="A2934" s="124" t="s">
        <v>5258</v>
      </c>
      <c r="B2934" s="149" t="str">
        <f>IFERROR(VLOOKUP(Proc[[#This Row],[App]],Table2[],3,0),"open")</f>
        <v>ok</v>
      </c>
      <c r="C2934" s="124" t="s">
        <v>369</v>
      </c>
      <c r="D2934" t="s">
        <v>5099</v>
      </c>
      <c r="E2934" t="s">
        <v>4068</v>
      </c>
      <c r="F2934" s="125" t="s">
        <v>4068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45873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88</v>
      </c>
      <c r="R2934" s="115" t="s">
        <v>1013</v>
      </c>
      <c r="S2934" s="125"/>
    </row>
    <row r="2935" spans="1:19" hidden="1">
      <c r="A2935" s="124" t="s">
        <v>5258</v>
      </c>
      <c r="B2935" s="149" t="str">
        <f>IFERROR(VLOOKUP(Proc[[#This Row],[App]],Table2[],3,0),"open")</f>
        <v>ok</v>
      </c>
      <c r="C2935" s="124" t="s">
        <v>369</v>
      </c>
      <c r="D2935" t="s">
        <v>5100</v>
      </c>
      <c r="E2935" t="s">
        <v>4068</v>
      </c>
      <c r="F2935" s="125" t="s">
        <v>4068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45873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88</v>
      </c>
      <c r="R2935" s="115" t="s">
        <v>1013</v>
      </c>
      <c r="S2935" s="125"/>
    </row>
    <row r="2936" spans="1:19" hidden="1">
      <c r="A2936" s="124" t="s">
        <v>5258</v>
      </c>
      <c r="B2936" s="149" t="str">
        <f>IFERROR(VLOOKUP(Proc[[#This Row],[App]],Table2[],3,0),"open")</f>
        <v>ok</v>
      </c>
      <c r="C2936" s="124" t="s">
        <v>369</v>
      </c>
      <c r="D2936" t="s">
        <v>5101</v>
      </c>
      <c r="E2936" t="s">
        <v>4068</v>
      </c>
      <c r="F2936" s="125" t="s">
        <v>4068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45873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88</v>
      </c>
      <c r="R2936" s="115" t="s">
        <v>1013</v>
      </c>
      <c r="S2936" s="125"/>
    </row>
    <row r="2937" spans="1:19" hidden="1">
      <c r="A2937" s="124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5102</v>
      </c>
      <c r="E2937" t="s">
        <v>4068</v>
      </c>
      <c r="F2937" s="125" t="s">
        <v>4068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88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5103</v>
      </c>
      <c r="E2938" t="s">
        <v>4068</v>
      </c>
      <c r="F2938" s="125" t="s">
        <v>4068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88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5104</v>
      </c>
      <c r="E2939" t="s">
        <v>4068</v>
      </c>
      <c r="F2939" s="125" t="s">
        <v>4068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88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5105</v>
      </c>
      <c r="E2940" t="s">
        <v>4068</v>
      </c>
      <c r="F2940" s="125" t="s">
        <v>4068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88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5106</v>
      </c>
      <c r="E2941" t="s">
        <v>4068</v>
      </c>
      <c r="F2941" s="125" t="s">
        <v>4068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88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5107</v>
      </c>
      <c r="E2942" t="s">
        <v>4068</v>
      </c>
      <c r="F2942" s="125" t="s">
        <v>4068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88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5108</v>
      </c>
      <c r="E2943" t="s">
        <v>4068</v>
      </c>
      <c r="F2943" s="125" t="s">
        <v>4068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88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5109</v>
      </c>
      <c r="E2944" t="s">
        <v>4068</v>
      </c>
      <c r="F2944" s="125" t="s">
        <v>4068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88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5110</v>
      </c>
      <c r="E2945" t="s">
        <v>4068</v>
      </c>
      <c r="F2945" s="125" t="s">
        <v>4068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88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5111</v>
      </c>
      <c r="E2946" t="s">
        <v>4068</v>
      </c>
      <c r="F2946" s="125" t="s">
        <v>4068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88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5112</v>
      </c>
      <c r="E2947" t="s">
        <v>4068</v>
      </c>
      <c r="F2947" s="125" t="s">
        <v>4068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88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5113</v>
      </c>
      <c r="E2948" t="s">
        <v>4068</v>
      </c>
      <c r="F2948" s="125" t="s">
        <v>4068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88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5114</v>
      </c>
      <c r="E2949" t="s">
        <v>4068</v>
      </c>
      <c r="F2949" s="125" t="s">
        <v>4068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88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5115</v>
      </c>
      <c r="E2950" t="s">
        <v>4068</v>
      </c>
      <c r="F2950" s="125" t="s">
        <v>4068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88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5116</v>
      </c>
      <c r="E2951" t="s">
        <v>4068</v>
      </c>
      <c r="F2951" s="125" t="s">
        <v>4068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88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5117</v>
      </c>
      <c r="E2952" t="s">
        <v>4068</v>
      </c>
      <c r="F2952" s="125" t="s">
        <v>4068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88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5118</v>
      </c>
      <c r="E2953" t="s">
        <v>4068</v>
      </c>
      <c r="F2953" s="125" t="s">
        <v>4068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88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5119</v>
      </c>
      <c r="E2954" t="s">
        <v>4068</v>
      </c>
      <c r="F2954" s="125" t="s">
        <v>4068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88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5120</v>
      </c>
      <c r="E2955" t="s">
        <v>4068</v>
      </c>
      <c r="F2955" s="125" t="s">
        <v>4068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88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5121</v>
      </c>
      <c r="E2956" t="s">
        <v>4068</v>
      </c>
      <c r="F2956" s="125" t="s">
        <v>4068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88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5122</v>
      </c>
      <c r="E2957" t="s">
        <v>4068</v>
      </c>
      <c r="F2957" s="125" t="s">
        <v>4068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88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5123</v>
      </c>
      <c r="E2958" t="s">
        <v>4068</v>
      </c>
      <c r="F2958" s="125" t="s">
        <v>4068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88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5124</v>
      </c>
      <c r="E2959" t="s">
        <v>4068</v>
      </c>
      <c r="F2959" s="125" t="s">
        <v>4068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88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5125</v>
      </c>
      <c r="E2960" t="s">
        <v>4068</v>
      </c>
      <c r="F2960" s="125" t="s">
        <v>4068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88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5126</v>
      </c>
      <c r="E2961" t="s">
        <v>4068</v>
      </c>
      <c r="F2961" s="125" t="s">
        <v>4068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88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5127</v>
      </c>
      <c r="E2962" t="s">
        <v>4068</v>
      </c>
      <c r="F2962" s="125" t="s">
        <v>4068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88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5128</v>
      </c>
      <c r="E2963" t="s">
        <v>4068</v>
      </c>
      <c r="F2963" s="125" t="s">
        <v>4068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88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5129</v>
      </c>
      <c r="E2964" t="s">
        <v>4068</v>
      </c>
      <c r="F2964" s="125" t="s">
        <v>4068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88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5130</v>
      </c>
      <c r="E2965" t="s">
        <v>4068</v>
      </c>
      <c r="F2965" s="125" t="s">
        <v>4068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88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5131</v>
      </c>
      <c r="E2966" t="s">
        <v>4068</v>
      </c>
      <c r="F2966" s="125" t="s">
        <v>4068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88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5132</v>
      </c>
      <c r="E2967" t="s">
        <v>4068</v>
      </c>
      <c r="F2967" s="125" t="s">
        <v>4068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88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5133</v>
      </c>
      <c r="E2968" t="s">
        <v>4068</v>
      </c>
      <c r="F2968" s="125" t="s">
        <v>4068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88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5134</v>
      </c>
      <c r="E2969" t="s">
        <v>4068</v>
      </c>
      <c r="F2969" s="125" t="s">
        <v>4068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88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5135</v>
      </c>
      <c r="E2970" t="s">
        <v>4068</v>
      </c>
      <c r="F2970" s="125" t="s">
        <v>4068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88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5136</v>
      </c>
      <c r="E2971" t="s">
        <v>4068</v>
      </c>
      <c r="F2971" s="125" t="s">
        <v>4068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88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5137</v>
      </c>
      <c r="E2972" t="s">
        <v>4068</v>
      </c>
      <c r="F2972" s="125" t="s">
        <v>4068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88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5138</v>
      </c>
      <c r="E2973" t="s">
        <v>4068</v>
      </c>
      <c r="F2973" s="125" t="s">
        <v>4068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88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5139</v>
      </c>
      <c r="E2974" t="s">
        <v>4068</v>
      </c>
      <c r="F2974" s="125" t="s">
        <v>4068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88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5140</v>
      </c>
      <c r="E2975" t="s">
        <v>4068</v>
      </c>
      <c r="F2975" s="125" t="s">
        <v>4068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88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5141</v>
      </c>
      <c r="E2976" t="s">
        <v>4068</v>
      </c>
      <c r="F2976" s="125" t="s">
        <v>4068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88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5142</v>
      </c>
      <c r="E2977" t="s">
        <v>4068</v>
      </c>
      <c r="F2977" s="125" t="s">
        <v>4068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88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5143</v>
      </c>
      <c r="E2978" t="s">
        <v>4068</v>
      </c>
      <c r="F2978" s="125" t="s">
        <v>4068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88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5144</v>
      </c>
      <c r="E2979" t="s">
        <v>4068</v>
      </c>
      <c r="F2979" s="125" t="s">
        <v>4068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88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5145</v>
      </c>
      <c r="E2980" t="s">
        <v>4068</v>
      </c>
      <c r="F2980" s="125" t="s">
        <v>4068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88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5146</v>
      </c>
      <c r="E2981" t="s">
        <v>4068</v>
      </c>
      <c r="F2981" s="125" t="s">
        <v>4068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88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5147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88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5148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88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5149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88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5150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88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5151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88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5152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88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5153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88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5154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88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5155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88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5156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88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5157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88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5158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88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5159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88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5160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88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5161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88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5162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88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5163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88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5164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88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5165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88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5166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88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5167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88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5168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88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5169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88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5170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88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5171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88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5172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88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5173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88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5174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88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5175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88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5176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88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5177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88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5178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88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5179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88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5180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88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5181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88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5182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88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5183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88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5184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88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5185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88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5186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88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5187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88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5188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88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5189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88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5190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88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5191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88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5192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88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5193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88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5194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88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5195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88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5196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88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5197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88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5198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88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5199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88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5200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88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5201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88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5202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88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5203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88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5204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88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5205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88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5206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88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5207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88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5208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88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5209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88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5210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88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5211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88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5212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88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5213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88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5214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88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5215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88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5216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88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5217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88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5218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88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5219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88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5220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88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5221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88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5222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88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5223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88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5224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88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5225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88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5226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88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5227</v>
      </c>
      <c r="E3062" t="s">
        <v>5253</v>
      </c>
      <c r="F3062" s="125" t="s">
        <v>5253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88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5228</v>
      </c>
      <c r="E3063" t="s">
        <v>5253</v>
      </c>
      <c r="F3063" s="125" t="s">
        <v>5253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88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5229</v>
      </c>
      <c r="E3064" t="s">
        <v>5253</v>
      </c>
      <c r="F3064" s="125" t="s">
        <v>5253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88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5230</v>
      </c>
      <c r="E3065" t="s">
        <v>3740</v>
      </c>
      <c r="F3065" s="125" t="s">
        <v>3740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88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5231</v>
      </c>
      <c r="E3066" t="s">
        <v>5253</v>
      </c>
      <c r="F3066" s="125" t="s">
        <v>5253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88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5232</v>
      </c>
      <c r="E3067" t="s">
        <v>5254</v>
      </c>
      <c r="F3067" s="125" t="s">
        <v>5254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88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5233</v>
      </c>
      <c r="E3068" t="s">
        <v>5255</v>
      </c>
      <c r="F3068" s="125" t="s">
        <v>5255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88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5234</v>
      </c>
      <c r="E3069" t="s">
        <v>5255</v>
      </c>
      <c r="F3069" s="125" t="s">
        <v>5255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88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5235</v>
      </c>
      <c r="E3070" t="s">
        <v>5255</v>
      </c>
      <c r="F3070" s="125" t="s">
        <v>5255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88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5236</v>
      </c>
      <c r="E3071" t="s">
        <v>5256</v>
      </c>
      <c r="F3071" s="125" t="s">
        <v>5256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88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5237</v>
      </c>
      <c r="E3072" t="s">
        <v>5256</v>
      </c>
      <c r="F3072" s="125" t="s">
        <v>5256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88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5238</v>
      </c>
      <c r="E3073" t="s">
        <v>5257</v>
      </c>
      <c r="F3073" s="125" t="s">
        <v>5257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88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5239</v>
      </c>
      <c r="E3074" t="s">
        <v>5257</v>
      </c>
      <c r="F3074" s="125" t="s">
        <v>5257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88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5240</v>
      </c>
      <c r="E3075" t="s">
        <v>5257</v>
      </c>
      <c r="F3075" s="125" t="s">
        <v>5257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88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5241</v>
      </c>
      <c r="E3076" t="s">
        <v>5257</v>
      </c>
      <c r="F3076" s="125" t="s">
        <v>5257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88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5242</v>
      </c>
      <c r="E3077" t="s">
        <v>3401</v>
      </c>
      <c r="F3077" s="125" t="s">
        <v>3401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88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5243</v>
      </c>
      <c r="E3078" t="s">
        <v>3401</v>
      </c>
      <c r="F3078" s="125" t="s">
        <v>3401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88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5244</v>
      </c>
      <c r="E3079" t="s">
        <v>3401</v>
      </c>
      <c r="F3079" s="125" t="s">
        <v>3401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88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5245</v>
      </c>
      <c r="E3080" t="s">
        <v>3745</v>
      </c>
      <c r="F3080" s="125" t="s">
        <v>3745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88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5246</v>
      </c>
      <c r="E3081" t="s">
        <v>3401</v>
      </c>
      <c r="F3081" s="125" t="s">
        <v>3401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88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5247</v>
      </c>
      <c r="E3082" t="s">
        <v>3745</v>
      </c>
      <c r="F3082" s="125" t="s">
        <v>3745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88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5248</v>
      </c>
      <c r="E3083" t="s">
        <v>3401</v>
      </c>
      <c r="F3083" s="125" t="s">
        <v>3401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88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5249</v>
      </c>
      <c r="E3084" t="s">
        <v>3401</v>
      </c>
      <c r="F3084" s="125" t="s">
        <v>3401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88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5250</v>
      </c>
      <c r="E3085" t="s">
        <v>3401</v>
      </c>
      <c r="F3085" s="125" t="s">
        <v>3401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88</v>
      </c>
      <c r="R3085" s="115" t="s">
        <v>1013</v>
      </c>
      <c r="S3085" s="125"/>
    </row>
    <row r="3086" spans="1:19" hidden="1">
      <c r="A3086" t="s">
        <v>5271</v>
      </c>
      <c r="B3086" s="149" t="str">
        <f>IFERROR(VLOOKUP(Proc[[#This Row],[App]],Table2[],3,0),"open")</f>
        <v>ok</v>
      </c>
      <c r="C3086" s="124" t="s">
        <v>369</v>
      </c>
      <c r="D3086" t="s">
        <v>5259</v>
      </c>
      <c r="E3086" t="s">
        <v>5270</v>
      </c>
      <c r="F3086" s="125" t="s">
        <v>5270</v>
      </c>
      <c r="G3086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LS</v>
      </c>
      <c r="L3086" s="125" t="s">
        <v>4894</v>
      </c>
      <c r="M3086" s="113">
        <v>45874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87</v>
      </c>
      <c r="R3086" s="115" t="s">
        <v>489</v>
      </c>
      <c r="S3086" s="125"/>
    </row>
    <row r="3087" spans="1:19" hidden="1">
      <c r="A3087" s="124" t="s">
        <v>5271</v>
      </c>
      <c r="B3087" s="149" t="str">
        <f>IFERROR(VLOOKUP(Proc[[#This Row],[App]],Table2[],3,0),"open")</f>
        <v>ok</v>
      </c>
      <c r="C3087" s="124" t="s">
        <v>369</v>
      </c>
      <c r="D3087" t="s">
        <v>5260</v>
      </c>
      <c r="E3087" t="s">
        <v>5270</v>
      </c>
      <c r="F3087" s="125" t="s">
        <v>5270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LS</v>
      </c>
      <c r="L3087" s="125" t="s">
        <v>4894</v>
      </c>
      <c r="M3087" s="113">
        <v>45874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87</v>
      </c>
      <c r="R3087" s="115" t="s">
        <v>489</v>
      </c>
      <c r="S3087" s="125"/>
    </row>
    <row r="3088" spans="1:19" hidden="1">
      <c r="A3088" s="124" t="s">
        <v>5271</v>
      </c>
      <c r="B3088" s="149" t="str">
        <f>IFERROR(VLOOKUP(Proc[[#This Row],[App]],Table2[],3,0),"open")</f>
        <v>ok</v>
      </c>
      <c r="C3088" s="124" t="s">
        <v>369</v>
      </c>
      <c r="D3088" t="s">
        <v>5261</v>
      </c>
      <c r="E3088" t="s">
        <v>5270</v>
      </c>
      <c r="F3088" s="125" t="s">
        <v>5270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LS</v>
      </c>
      <c r="L3088" s="125" t="s">
        <v>4894</v>
      </c>
      <c r="M3088" s="113">
        <v>45874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87</v>
      </c>
      <c r="R3088" s="115" t="s">
        <v>489</v>
      </c>
      <c r="S3088" s="125"/>
    </row>
    <row r="3089" spans="1:19" hidden="1">
      <c r="A3089" s="124" t="s">
        <v>5271</v>
      </c>
      <c r="B3089" s="149" t="str">
        <f>IFERROR(VLOOKUP(Proc[[#This Row],[App]],Table2[],3,0),"open")</f>
        <v>ok</v>
      </c>
      <c r="C3089" s="124" t="s">
        <v>369</v>
      </c>
      <c r="D3089" t="s">
        <v>5262</v>
      </c>
      <c r="E3089" t="s">
        <v>5270</v>
      </c>
      <c r="F3089" s="125" t="s">
        <v>5270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LS</v>
      </c>
      <c r="L3089" s="125" t="s">
        <v>4894</v>
      </c>
      <c r="M3089" s="113">
        <v>45874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87</v>
      </c>
      <c r="R3089" s="115" t="s">
        <v>489</v>
      </c>
      <c r="S3089" s="125"/>
    </row>
    <row r="3090" spans="1:19" hidden="1">
      <c r="A3090" s="124" t="s">
        <v>5271</v>
      </c>
      <c r="B3090" s="149" t="str">
        <f>IFERROR(VLOOKUP(Proc[[#This Row],[App]],Table2[],3,0),"open")</f>
        <v>ok</v>
      </c>
      <c r="C3090" s="124" t="s">
        <v>369</v>
      </c>
      <c r="D3090" t="s">
        <v>5263</v>
      </c>
      <c r="E3090" t="s">
        <v>5270</v>
      </c>
      <c r="F3090" s="125" t="s">
        <v>5270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LS</v>
      </c>
      <c r="L3090" s="125" t="s">
        <v>4894</v>
      </c>
      <c r="M3090" s="113">
        <v>45874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87</v>
      </c>
      <c r="R3090" s="115" t="s">
        <v>489</v>
      </c>
      <c r="S3090" s="125"/>
    </row>
    <row r="3091" spans="1:19" hidden="1">
      <c r="A3091" s="124" t="s">
        <v>5271</v>
      </c>
      <c r="B3091" s="149" t="str">
        <f>IFERROR(VLOOKUP(Proc[[#This Row],[App]],Table2[],3,0),"open")</f>
        <v>ok</v>
      </c>
      <c r="C3091" s="124" t="s">
        <v>369</v>
      </c>
      <c r="D3091" t="s">
        <v>5264</v>
      </c>
      <c r="E3091" t="s">
        <v>5270</v>
      </c>
      <c r="F3091" s="125" t="s">
        <v>5270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LS</v>
      </c>
      <c r="L3091" s="125" t="s">
        <v>4894</v>
      </c>
      <c r="M3091" s="113">
        <v>45874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87</v>
      </c>
      <c r="R3091" s="115" t="s">
        <v>489</v>
      </c>
      <c r="S3091" s="125"/>
    </row>
    <row r="3092" spans="1:19" hidden="1">
      <c r="A3092" s="124" t="s">
        <v>5271</v>
      </c>
      <c r="B3092" s="149" t="str">
        <f>IFERROR(VLOOKUP(Proc[[#This Row],[App]],Table2[],3,0),"open")</f>
        <v>ok</v>
      </c>
      <c r="C3092" s="124" t="s">
        <v>369</v>
      </c>
      <c r="D3092" t="s">
        <v>5265</v>
      </c>
      <c r="E3092" t="s">
        <v>5270</v>
      </c>
      <c r="F3092" s="125" t="s">
        <v>5270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LS</v>
      </c>
      <c r="L3092" s="125" t="s">
        <v>4894</v>
      </c>
      <c r="M3092" s="113">
        <v>45874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87</v>
      </c>
      <c r="R3092" s="115" t="s">
        <v>489</v>
      </c>
      <c r="S3092" s="125"/>
    </row>
    <row r="3093" spans="1:19" hidden="1">
      <c r="A3093" s="124" t="s">
        <v>5271</v>
      </c>
      <c r="B3093" s="149" t="str">
        <f>IFERROR(VLOOKUP(Proc[[#This Row],[App]],Table2[],3,0),"open")</f>
        <v>ok</v>
      </c>
      <c r="C3093" s="124" t="s">
        <v>369</v>
      </c>
      <c r="D3093" t="s">
        <v>5266</v>
      </c>
      <c r="E3093" t="s">
        <v>5270</v>
      </c>
      <c r="F3093" s="125" t="s">
        <v>5270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LS</v>
      </c>
      <c r="L3093" s="125" t="s">
        <v>4894</v>
      </c>
      <c r="M3093" s="113">
        <v>45874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87</v>
      </c>
      <c r="R3093" s="115" t="s">
        <v>489</v>
      </c>
      <c r="S3093" s="125"/>
    </row>
    <row r="3094" spans="1:19" hidden="1">
      <c r="A3094" s="124" t="s">
        <v>5271</v>
      </c>
      <c r="B3094" s="149" t="str">
        <f>IFERROR(VLOOKUP(Proc[[#This Row],[App]],Table2[],3,0),"open")</f>
        <v>ok</v>
      </c>
      <c r="C3094" s="124" t="s">
        <v>369</v>
      </c>
      <c r="D3094" t="s">
        <v>5267</v>
      </c>
      <c r="E3094" t="s">
        <v>5270</v>
      </c>
      <c r="F3094" s="125" t="s">
        <v>5270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LS</v>
      </c>
      <c r="L3094" s="125" t="s">
        <v>4894</v>
      </c>
      <c r="M3094" s="113">
        <v>45874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87</v>
      </c>
      <c r="R3094" s="115" t="s">
        <v>489</v>
      </c>
      <c r="S3094" s="125"/>
    </row>
    <row r="3095" spans="1:19" hidden="1">
      <c r="A3095" s="124" t="s">
        <v>5271</v>
      </c>
      <c r="B3095" s="149" t="str">
        <f>IFERROR(VLOOKUP(Proc[[#This Row],[App]],Table2[],3,0),"open")</f>
        <v>ok</v>
      </c>
      <c r="C3095" s="124" t="s">
        <v>369</v>
      </c>
      <c r="D3095" t="s">
        <v>5268</v>
      </c>
      <c r="E3095" t="s">
        <v>5270</v>
      </c>
      <c r="F3095" s="125" t="s">
        <v>5270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LS</v>
      </c>
      <c r="L3095" s="125" t="s">
        <v>4894</v>
      </c>
      <c r="M3095" s="113">
        <v>45874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87</v>
      </c>
      <c r="R3095" s="115" t="s">
        <v>489</v>
      </c>
      <c r="S3095" s="125"/>
    </row>
    <row r="3096" spans="1:19" hidden="1">
      <c r="A3096" s="124" t="s">
        <v>5271</v>
      </c>
      <c r="B3096" s="149" t="str">
        <f>IFERROR(VLOOKUP(Proc[[#This Row],[App]],Table2[],3,0),"open")</f>
        <v>ok</v>
      </c>
      <c r="C3096" s="124" t="s">
        <v>369</v>
      </c>
      <c r="D3096" t="s">
        <v>5269</v>
      </c>
      <c r="E3096" t="s">
        <v>5270</v>
      </c>
      <c r="F3096" s="125" t="s">
        <v>5270</v>
      </c>
      <c r="G3096" t="s">
        <v>406</v>
      </c>
      <c r="H3096" s="125" t="str">
        <f>IF(Proc[[#This Row],[type]]="LFF (MDG-F)",MID(Proc[[#This Row],[Obj]],13,10),"")</f>
        <v>1937R09209</v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LS</v>
      </c>
      <c r="L3096" s="125" t="s">
        <v>4894</v>
      </c>
      <c r="M3096" s="113">
        <v>45874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87</v>
      </c>
      <c r="R3096" s="115" t="s">
        <v>489</v>
      </c>
      <c r="S3096" s="125"/>
    </row>
    <row r="3097" spans="1:19" hidden="1">
      <c r="A3097" t="s">
        <v>5478</v>
      </c>
      <c r="B3097" s="149" t="str">
        <f>IFERROR(VLOOKUP(Proc[[#This Row],[App]],Table2[],3,0),"open")</f>
        <v>ok</v>
      </c>
      <c r="C3097" s="124" t="s">
        <v>369</v>
      </c>
      <c r="D3097" t="s">
        <v>5272</v>
      </c>
      <c r="E3097" t="s">
        <v>5444</v>
      </c>
      <c r="F3097" s="125" t="s">
        <v>5444</v>
      </c>
      <c r="G3097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MGF</v>
      </c>
      <c r="L3097" s="125" t="s">
        <v>4894</v>
      </c>
      <c r="M3097" s="113">
        <v>45874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87</v>
      </c>
      <c r="R3097" s="115" t="s">
        <v>1459</v>
      </c>
      <c r="S3097" s="125"/>
    </row>
    <row r="3098" spans="1:19" hidden="1">
      <c r="A3098" s="124" t="s">
        <v>5478</v>
      </c>
      <c r="B3098" s="149" t="str">
        <f>IFERROR(VLOOKUP(Proc[[#This Row],[App]],Table2[],3,0),"open")</f>
        <v>ok</v>
      </c>
      <c r="C3098" s="124" t="s">
        <v>369</v>
      </c>
      <c r="D3098" t="s">
        <v>5273</v>
      </c>
      <c r="E3098" t="s">
        <v>5445</v>
      </c>
      <c r="F3098" s="125" t="s">
        <v>5445</v>
      </c>
      <c r="G3098" s="124" t="s">
        <v>406</v>
      </c>
      <c r="H3098" s="125" t="str">
        <f>IF(Proc[[#This Row],[type]]="LFF (MDG-F)",MID(Proc[[#This Row],[Obj]],13,10),"")</f>
        <v>ZA50GIT10E</v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MGF</v>
      </c>
      <c r="L3098" s="125" t="s">
        <v>4894</v>
      </c>
      <c r="M3098" s="113">
        <v>45874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87</v>
      </c>
      <c r="R3098" s="115" t="s">
        <v>1459</v>
      </c>
      <c r="S3098" s="125"/>
    </row>
    <row r="3099" spans="1:19" hidden="1">
      <c r="A3099" s="124" t="s">
        <v>5478</v>
      </c>
      <c r="B3099" s="149" t="str">
        <f>IFERROR(VLOOKUP(Proc[[#This Row],[App]],Table2[],3,0),"open")</f>
        <v>ok</v>
      </c>
      <c r="C3099" s="124" t="s">
        <v>369</v>
      </c>
      <c r="D3099" t="s">
        <v>5274</v>
      </c>
      <c r="E3099" t="s">
        <v>5444</v>
      </c>
      <c r="F3099" s="125" t="s">
        <v>5444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MGF</v>
      </c>
      <c r="L3099" s="125" t="s">
        <v>4894</v>
      </c>
      <c r="M3099" s="113">
        <v>45874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87</v>
      </c>
      <c r="R3099" s="115" t="s">
        <v>1459</v>
      </c>
      <c r="S3099" s="125"/>
    </row>
    <row r="3100" spans="1:19" hidden="1">
      <c r="A3100" s="124" t="s">
        <v>5478</v>
      </c>
      <c r="B3100" s="149" t="str">
        <f>IFERROR(VLOOKUP(Proc[[#This Row],[App]],Table2[],3,0),"open")</f>
        <v>ok</v>
      </c>
      <c r="C3100" s="124" t="s">
        <v>369</v>
      </c>
      <c r="D3100" t="s">
        <v>5275</v>
      </c>
      <c r="E3100" t="s">
        <v>5446</v>
      </c>
      <c r="F3100" s="125" t="s">
        <v>5446</v>
      </c>
      <c r="G3100" s="124" t="s">
        <v>406</v>
      </c>
      <c r="H3100" s="125" t="str">
        <f>IF(Proc[[#This Row],[type]]="LFF (MDG-F)",MID(Proc[[#This Row],[Obj]],13,10),"")</f>
        <v>CN90GIT301</v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MGF</v>
      </c>
      <c r="L3100" s="125" t="s">
        <v>4894</v>
      </c>
      <c r="M3100" s="113">
        <v>45874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87</v>
      </c>
      <c r="R3100" s="115" t="s">
        <v>1459</v>
      </c>
      <c r="S3100" s="125"/>
    </row>
    <row r="3101" spans="1:19" hidden="1">
      <c r="A3101" s="124" t="s">
        <v>5478</v>
      </c>
      <c r="B3101" s="149" t="str">
        <f>IFERROR(VLOOKUP(Proc[[#This Row],[App]],Table2[],3,0),"open")</f>
        <v>ok</v>
      </c>
      <c r="C3101" s="124" t="s">
        <v>369</v>
      </c>
      <c r="D3101" t="s">
        <v>5276</v>
      </c>
      <c r="E3101" t="s">
        <v>5447</v>
      </c>
      <c r="F3101" s="125" t="s">
        <v>5447</v>
      </c>
      <c r="G3101" s="124" t="s">
        <v>406</v>
      </c>
      <c r="H3101" s="125" t="str">
        <f>IF(Proc[[#This Row],[type]]="LFF (MDG-F)",MID(Proc[[#This Row],[Obj]],13,10),"")</f>
        <v>CN90GIT306</v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MGF</v>
      </c>
      <c r="L3101" s="125" t="s">
        <v>4894</v>
      </c>
      <c r="M3101" s="113">
        <v>45874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87</v>
      </c>
      <c r="R3101" s="115" t="s">
        <v>1459</v>
      </c>
      <c r="S3101" s="125"/>
    </row>
    <row r="3102" spans="1:19" hidden="1">
      <c r="A3102" s="124" t="s">
        <v>5478</v>
      </c>
      <c r="B3102" s="149" t="str">
        <f>IFERROR(VLOOKUP(Proc[[#This Row],[App]],Table2[],3,0),"open")</f>
        <v>ok</v>
      </c>
      <c r="C3102" s="124" t="s">
        <v>369</v>
      </c>
      <c r="D3102" t="s">
        <v>5277</v>
      </c>
      <c r="E3102" t="s">
        <v>5448</v>
      </c>
      <c r="F3102" s="125" t="s">
        <v>5448</v>
      </c>
      <c r="G3102" s="124" t="s">
        <v>406</v>
      </c>
      <c r="H3102" s="125" t="str">
        <f>IF(Proc[[#This Row],[type]]="LFF (MDG-F)",MID(Proc[[#This Row],[Obj]],13,10),"")</f>
        <v>CN90GIT120</v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MGF</v>
      </c>
      <c r="L3102" s="125" t="s">
        <v>4894</v>
      </c>
      <c r="M3102" s="113">
        <v>45874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87</v>
      </c>
      <c r="R3102" s="115" t="s">
        <v>1459</v>
      </c>
      <c r="S3102" s="125"/>
    </row>
    <row r="3103" spans="1:19" hidden="1">
      <c r="A3103" s="124" t="s">
        <v>5478</v>
      </c>
      <c r="B3103" s="149" t="str">
        <f>IFERROR(VLOOKUP(Proc[[#This Row],[App]],Table2[],3,0),"open")</f>
        <v>ok</v>
      </c>
      <c r="C3103" s="124" t="s">
        <v>369</v>
      </c>
      <c r="D3103" t="s">
        <v>5278</v>
      </c>
      <c r="E3103" t="s">
        <v>5449</v>
      </c>
      <c r="F3103" s="125" t="s">
        <v>5449</v>
      </c>
      <c r="G3103" s="124" t="s">
        <v>406</v>
      </c>
      <c r="H3103" s="125" t="str">
        <f>IF(Proc[[#This Row],[type]]="LFF (MDG-F)",MID(Proc[[#This Row],[Obj]],13,10),"")</f>
        <v>CN90GM4004</v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MGF</v>
      </c>
      <c r="L3103" s="125" t="s">
        <v>4894</v>
      </c>
      <c r="M3103" s="113">
        <v>45874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87</v>
      </c>
      <c r="R3103" s="115" t="s">
        <v>1459</v>
      </c>
      <c r="S3103" s="125"/>
    </row>
    <row r="3104" spans="1:19" hidden="1">
      <c r="A3104" s="124" t="s">
        <v>5478</v>
      </c>
      <c r="B3104" s="149" t="str">
        <f>IFERROR(VLOOKUP(Proc[[#This Row],[App]],Table2[],3,0),"open")</f>
        <v>ok</v>
      </c>
      <c r="C3104" s="124" t="s">
        <v>369</v>
      </c>
      <c r="D3104" t="s">
        <v>5279</v>
      </c>
      <c r="E3104" t="s">
        <v>424</v>
      </c>
      <c r="F3104" s="125" t="s">
        <v>424</v>
      </c>
      <c r="G3104" s="124" t="s">
        <v>406</v>
      </c>
      <c r="H3104" s="125" t="str">
        <f>IF(Proc[[#This Row],[type]]="LFF (MDG-F)",MID(Proc[[#This Row],[Obj]],13,10),"")</f>
        <v>CN01GIT01B</v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MGF</v>
      </c>
      <c r="L3104" s="125" t="s">
        <v>4894</v>
      </c>
      <c r="M3104" s="113">
        <v>45874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87</v>
      </c>
      <c r="R3104" s="115" t="s">
        <v>1459</v>
      </c>
      <c r="S3104" s="125"/>
    </row>
    <row r="3105" spans="1:19" hidden="1">
      <c r="A3105" s="124" t="s">
        <v>5478</v>
      </c>
      <c r="B3105" s="149" t="str">
        <f>IFERROR(VLOOKUP(Proc[[#This Row],[App]],Table2[],3,0),"open")</f>
        <v>ok</v>
      </c>
      <c r="C3105" s="124" t="s">
        <v>369</v>
      </c>
      <c r="D3105" t="s">
        <v>5280</v>
      </c>
      <c r="E3105" t="s">
        <v>424</v>
      </c>
      <c r="F3105" s="125" t="s">
        <v>424</v>
      </c>
      <c r="G3105" s="124" t="s">
        <v>406</v>
      </c>
      <c r="H3105" s="125" t="str">
        <f>IF(Proc[[#This Row],[type]]="LFF (MDG-F)",MID(Proc[[#This Row],[Obj]],13,10),"")</f>
        <v>DE04GIT01B</v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MGF</v>
      </c>
      <c r="L3105" s="125" t="s">
        <v>4894</v>
      </c>
      <c r="M3105" s="113">
        <v>45874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87</v>
      </c>
      <c r="R3105" s="115" t="s">
        <v>1459</v>
      </c>
      <c r="S3105" s="125"/>
    </row>
    <row r="3106" spans="1:19" hidden="1">
      <c r="A3106" s="124" t="s">
        <v>5478</v>
      </c>
      <c r="B3106" s="149" t="str">
        <f>IFERROR(VLOOKUP(Proc[[#This Row],[App]],Table2[],3,0),"open")</f>
        <v>ok</v>
      </c>
      <c r="C3106" s="124" t="s">
        <v>369</v>
      </c>
      <c r="D3106" t="s">
        <v>5281</v>
      </c>
      <c r="E3106" t="s">
        <v>5450</v>
      </c>
      <c r="F3106" s="125" t="s">
        <v>5450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MGF</v>
      </c>
      <c r="L3106" s="125" t="s">
        <v>4894</v>
      </c>
      <c r="M3106" s="113">
        <v>45874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87</v>
      </c>
      <c r="R3106" s="115" t="s">
        <v>1459</v>
      </c>
      <c r="S3106" s="125"/>
    </row>
    <row r="3107" spans="1:19" hidden="1">
      <c r="A3107" s="124" t="s">
        <v>5478</v>
      </c>
      <c r="B3107" s="149" t="str">
        <f>IFERROR(VLOOKUP(Proc[[#This Row],[App]],Table2[],3,0),"open")</f>
        <v>ok</v>
      </c>
      <c r="C3107" s="124" t="s">
        <v>369</v>
      </c>
      <c r="D3107" t="s">
        <v>5282</v>
      </c>
      <c r="E3107" t="s">
        <v>5451</v>
      </c>
      <c r="F3107" s="125" t="s">
        <v>5451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MGF</v>
      </c>
      <c r="L3107" s="125" t="s">
        <v>4894</v>
      </c>
      <c r="M3107" s="113">
        <v>45874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87</v>
      </c>
      <c r="R3107" s="115" t="s">
        <v>1459</v>
      </c>
      <c r="S3107" s="125"/>
    </row>
    <row r="3108" spans="1:19" hidden="1">
      <c r="A3108" s="124" t="s">
        <v>5478</v>
      </c>
      <c r="B3108" s="149" t="str">
        <f>IFERROR(VLOOKUP(Proc[[#This Row],[App]],Table2[],3,0),"open")</f>
        <v>ok</v>
      </c>
      <c r="C3108" s="124" t="s">
        <v>369</v>
      </c>
      <c r="D3108" t="s">
        <v>5283</v>
      </c>
      <c r="E3108" t="s">
        <v>5452</v>
      </c>
      <c r="F3108" s="125" t="s">
        <v>5452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MGF</v>
      </c>
      <c r="L3108" s="125" t="s">
        <v>4894</v>
      </c>
      <c r="M3108" s="113">
        <v>45874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87</v>
      </c>
      <c r="R3108" s="115" t="s">
        <v>1459</v>
      </c>
      <c r="S3108" s="125"/>
    </row>
    <row r="3109" spans="1:19" hidden="1">
      <c r="A3109" s="124" t="s">
        <v>5478</v>
      </c>
      <c r="B3109" s="149" t="str">
        <f>IFERROR(VLOOKUP(Proc[[#This Row],[App]],Table2[],3,0),"open")</f>
        <v>ok</v>
      </c>
      <c r="C3109" s="124" t="s">
        <v>369</v>
      </c>
      <c r="D3109" t="s">
        <v>5284</v>
      </c>
      <c r="E3109" t="s">
        <v>5453</v>
      </c>
      <c r="F3109" s="125" t="s">
        <v>5453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MGF</v>
      </c>
      <c r="L3109" s="125" t="s">
        <v>4894</v>
      </c>
      <c r="M3109" s="113">
        <v>45874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87</v>
      </c>
      <c r="R3109" s="115" t="s">
        <v>1459</v>
      </c>
      <c r="S3109" s="125"/>
    </row>
    <row r="3110" spans="1:19" hidden="1">
      <c r="A3110" s="124" t="s">
        <v>5478</v>
      </c>
      <c r="B3110" s="149" t="str">
        <f>IFERROR(VLOOKUP(Proc[[#This Row],[App]],Table2[],3,0),"open")</f>
        <v>ok</v>
      </c>
      <c r="C3110" s="124" t="s">
        <v>369</v>
      </c>
      <c r="D3110" t="s">
        <v>5285</v>
      </c>
      <c r="E3110" t="s">
        <v>5453</v>
      </c>
      <c r="F3110" s="125" t="s">
        <v>5453</v>
      </c>
      <c r="G3110" s="124" t="s">
        <v>406</v>
      </c>
      <c r="H3110" s="125" t="str">
        <f>IF(Proc[[#This Row],[type]]="LFF (MDG-F)",MID(Proc[[#This Row],[Obj]],13,10),"")</f>
        <v>ES50GIT208</v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MGF</v>
      </c>
      <c r="L3110" s="125" t="s">
        <v>4894</v>
      </c>
      <c r="M3110" s="113">
        <v>45874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87</v>
      </c>
      <c r="R3110" s="115" t="s">
        <v>1459</v>
      </c>
      <c r="S3110" s="125"/>
    </row>
    <row r="3111" spans="1:19" hidden="1">
      <c r="A3111" s="124" t="s">
        <v>5478</v>
      </c>
      <c r="B3111" s="149" t="str">
        <f>IFERROR(VLOOKUP(Proc[[#This Row],[App]],Table2[],3,0),"open")</f>
        <v>ok</v>
      </c>
      <c r="C3111" s="124" t="s">
        <v>369</v>
      </c>
      <c r="D3111" t="s">
        <v>5286</v>
      </c>
      <c r="E3111" t="s">
        <v>5453</v>
      </c>
      <c r="F3111" s="125" t="s">
        <v>5453</v>
      </c>
      <c r="G3111" s="124" t="s">
        <v>406</v>
      </c>
      <c r="H3111" s="125" t="str">
        <f>IF(Proc[[#This Row],[type]]="LFF (MDG-F)",MID(Proc[[#This Row],[Obj]],13,10),"")</f>
        <v>ES50GIT220</v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MGF</v>
      </c>
      <c r="L3111" s="125" t="s">
        <v>4894</v>
      </c>
      <c r="M3111" s="113">
        <v>45874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87</v>
      </c>
      <c r="R3111" s="115" t="s">
        <v>1459</v>
      </c>
      <c r="S3111" s="125"/>
    </row>
    <row r="3112" spans="1:19" hidden="1">
      <c r="A3112" s="124" t="s">
        <v>5478</v>
      </c>
      <c r="B3112" s="149" t="str">
        <f>IFERROR(VLOOKUP(Proc[[#This Row],[App]],Table2[],3,0),"open")</f>
        <v>ok</v>
      </c>
      <c r="C3112" s="124" t="s">
        <v>369</v>
      </c>
      <c r="D3112" t="s">
        <v>5287</v>
      </c>
      <c r="E3112" t="s">
        <v>5454</v>
      </c>
      <c r="F3112" s="125" t="s">
        <v>5454</v>
      </c>
      <c r="G3112" s="124" t="s">
        <v>406</v>
      </c>
      <c r="H3112" s="125" t="str">
        <f>IF(Proc[[#This Row],[type]]="LFF (MDG-F)",MID(Proc[[#This Row],[Obj]],13,10),"")</f>
        <v>ES50GIT60L</v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MGF</v>
      </c>
      <c r="L3112" s="125" t="s">
        <v>4894</v>
      </c>
      <c r="M3112" s="113">
        <v>45874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87</v>
      </c>
      <c r="R3112" s="115" t="s">
        <v>1459</v>
      </c>
      <c r="S3112" s="125"/>
    </row>
    <row r="3113" spans="1:19" hidden="1">
      <c r="A3113" s="124" t="s">
        <v>5478</v>
      </c>
      <c r="B3113" s="149" t="str">
        <f>IFERROR(VLOOKUP(Proc[[#This Row],[App]],Table2[],3,0),"open")</f>
        <v>ok</v>
      </c>
      <c r="C3113" s="124" t="s">
        <v>369</v>
      </c>
      <c r="D3113" t="s">
        <v>5288</v>
      </c>
      <c r="E3113" t="s">
        <v>5450</v>
      </c>
      <c r="F3113" s="125" t="s">
        <v>5450</v>
      </c>
      <c r="G3113" s="124" t="s">
        <v>406</v>
      </c>
      <c r="H3113" s="125" t="str">
        <f>IF(Proc[[#This Row],[type]]="LFF (MDG-F)",MID(Proc[[#This Row],[Obj]],13,10),"")</f>
        <v>NL50GMS010</v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MGF</v>
      </c>
      <c r="L3113" s="125" t="s">
        <v>4894</v>
      </c>
      <c r="M3113" s="113">
        <v>45874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87</v>
      </c>
      <c r="R3113" s="115" t="s">
        <v>1459</v>
      </c>
      <c r="S3113" s="125"/>
    </row>
    <row r="3114" spans="1:19" hidden="1">
      <c r="A3114" s="124" t="s">
        <v>5478</v>
      </c>
      <c r="B3114" s="149" t="str">
        <f>IFERROR(VLOOKUP(Proc[[#This Row],[App]],Table2[],3,0),"open")</f>
        <v>ok</v>
      </c>
      <c r="C3114" s="124" t="s">
        <v>369</v>
      </c>
      <c r="D3114" t="s">
        <v>5289</v>
      </c>
      <c r="E3114" t="s">
        <v>5455</v>
      </c>
      <c r="F3114" s="125" t="s">
        <v>5455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MGF</v>
      </c>
      <c r="L3114" s="125" t="s">
        <v>4894</v>
      </c>
      <c r="M3114" s="113">
        <v>45874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87</v>
      </c>
      <c r="R3114" s="115" t="s">
        <v>1459</v>
      </c>
      <c r="S3114" s="125"/>
    </row>
    <row r="3115" spans="1:19" hidden="1">
      <c r="A3115" s="124" t="s">
        <v>5478</v>
      </c>
      <c r="B3115" s="149" t="str">
        <f>IFERROR(VLOOKUP(Proc[[#This Row],[App]],Table2[],3,0),"open")</f>
        <v>ok</v>
      </c>
      <c r="C3115" s="124" t="s">
        <v>369</v>
      </c>
      <c r="D3115" t="s">
        <v>5290</v>
      </c>
      <c r="E3115" t="s">
        <v>5455</v>
      </c>
      <c r="F3115" s="125" t="s">
        <v>5455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MGF</v>
      </c>
      <c r="L3115" s="125" t="s">
        <v>4894</v>
      </c>
      <c r="M3115" s="113">
        <v>45874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87</v>
      </c>
      <c r="R3115" s="115" t="s">
        <v>1459</v>
      </c>
      <c r="S3115" s="125"/>
    </row>
    <row r="3116" spans="1:19" hidden="1">
      <c r="A3116" s="124" t="s">
        <v>5478</v>
      </c>
      <c r="B3116" s="149" t="str">
        <f>IFERROR(VLOOKUP(Proc[[#This Row],[App]],Table2[],3,0),"open")</f>
        <v>ok</v>
      </c>
      <c r="C3116" s="124" t="s">
        <v>369</v>
      </c>
      <c r="D3116" t="s">
        <v>5291</v>
      </c>
      <c r="E3116" t="s">
        <v>5453</v>
      </c>
      <c r="F3116" s="125" t="s">
        <v>5453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MGF</v>
      </c>
      <c r="L3116" s="125" t="s">
        <v>4894</v>
      </c>
      <c r="M3116" s="113">
        <v>45874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87</v>
      </c>
      <c r="R3116" s="115" t="s">
        <v>1459</v>
      </c>
      <c r="S3116" s="125"/>
    </row>
    <row r="3117" spans="1:19" hidden="1">
      <c r="A3117" s="124" t="s">
        <v>5478</v>
      </c>
      <c r="B3117" s="149" t="str">
        <f>IFERROR(VLOOKUP(Proc[[#This Row],[App]],Table2[],3,0),"open")</f>
        <v>ok</v>
      </c>
      <c r="C3117" s="124" t="s">
        <v>369</v>
      </c>
      <c r="D3117" t="s">
        <v>5292</v>
      </c>
      <c r="E3117" t="s">
        <v>5456</v>
      </c>
      <c r="F3117" s="125" t="s">
        <v>5456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MGF</v>
      </c>
      <c r="L3117" s="125" t="s">
        <v>4894</v>
      </c>
      <c r="M3117" s="113">
        <v>45874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87</v>
      </c>
      <c r="R3117" s="115" t="s">
        <v>1459</v>
      </c>
      <c r="S3117" s="125"/>
    </row>
    <row r="3118" spans="1:19" hidden="1">
      <c r="A3118" s="124" t="s">
        <v>5478</v>
      </c>
      <c r="B3118" s="149" t="str">
        <f>IFERROR(VLOOKUP(Proc[[#This Row],[App]],Table2[],3,0),"open")</f>
        <v>ok</v>
      </c>
      <c r="C3118" s="124" t="s">
        <v>369</v>
      </c>
      <c r="D3118" t="s">
        <v>5293</v>
      </c>
      <c r="E3118" t="s">
        <v>5449</v>
      </c>
      <c r="F3118" s="125" t="s">
        <v>5449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MGF</v>
      </c>
      <c r="L3118" s="125" t="s">
        <v>4894</v>
      </c>
      <c r="M3118" s="113">
        <v>45874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87</v>
      </c>
      <c r="R3118" s="115" t="s">
        <v>1459</v>
      </c>
      <c r="S3118" s="125"/>
    </row>
    <row r="3119" spans="1:19" hidden="1">
      <c r="A3119" s="124" t="s">
        <v>5478</v>
      </c>
      <c r="B3119" s="149" t="str">
        <f>IFERROR(VLOOKUP(Proc[[#This Row],[App]],Table2[],3,0),"open")</f>
        <v>ok</v>
      </c>
      <c r="C3119" s="124" t="s">
        <v>369</v>
      </c>
      <c r="D3119" t="s">
        <v>5294</v>
      </c>
      <c r="E3119" t="s">
        <v>5456</v>
      </c>
      <c r="F3119" s="125" t="s">
        <v>5456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MGF</v>
      </c>
      <c r="L3119" s="125" t="s">
        <v>4894</v>
      </c>
      <c r="M3119" s="113">
        <v>45874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87</v>
      </c>
      <c r="R3119" s="115" t="s">
        <v>1459</v>
      </c>
      <c r="S3119" s="125"/>
    </row>
    <row r="3120" spans="1:19" hidden="1">
      <c r="A3120" s="124" t="s">
        <v>5478</v>
      </c>
      <c r="B3120" s="149" t="str">
        <f>IFERROR(VLOOKUP(Proc[[#This Row],[App]],Table2[],3,0),"open")</f>
        <v>ok</v>
      </c>
      <c r="C3120" s="124" t="s">
        <v>369</v>
      </c>
      <c r="D3120" t="s">
        <v>5295</v>
      </c>
      <c r="E3120" t="s">
        <v>5457</v>
      </c>
      <c r="F3120" s="125" t="s">
        <v>5457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MGF</v>
      </c>
      <c r="L3120" s="125" t="s">
        <v>4894</v>
      </c>
      <c r="M3120" s="113">
        <v>45874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87</v>
      </c>
      <c r="R3120" s="115" t="s">
        <v>1459</v>
      </c>
      <c r="S3120" s="125"/>
    </row>
    <row r="3121" spans="1:19" hidden="1">
      <c r="A3121" s="124" t="s">
        <v>5478</v>
      </c>
      <c r="B3121" s="149" t="str">
        <f>IFERROR(VLOOKUP(Proc[[#This Row],[App]],Table2[],3,0),"open")</f>
        <v>ok</v>
      </c>
      <c r="C3121" s="124" t="s">
        <v>369</v>
      </c>
      <c r="D3121" t="s">
        <v>5296</v>
      </c>
      <c r="E3121" t="s">
        <v>5449</v>
      </c>
      <c r="F3121" s="125" t="s">
        <v>5449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MGF</v>
      </c>
      <c r="L3121" s="125" t="s">
        <v>4894</v>
      </c>
      <c r="M3121" s="113">
        <v>45874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87</v>
      </c>
      <c r="R3121" s="115" t="s">
        <v>1459</v>
      </c>
      <c r="S3121" s="125"/>
    </row>
    <row r="3122" spans="1:19" hidden="1">
      <c r="A3122" s="124" t="s">
        <v>5478</v>
      </c>
      <c r="B3122" s="149" t="str">
        <f>IFERROR(VLOOKUP(Proc[[#This Row],[App]],Table2[],3,0),"open")</f>
        <v>ok</v>
      </c>
      <c r="C3122" s="124" t="s">
        <v>369</v>
      </c>
      <c r="D3122" t="s">
        <v>4807</v>
      </c>
      <c r="E3122" t="s">
        <v>4410</v>
      </c>
      <c r="F3122" s="125" t="s">
        <v>4410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MGF</v>
      </c>
      <c r="L3122" s="125" t="s">
        <v>4894</v>
      </c>
      <c r="M3122" s="113">
        <v>45874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87</v>
      </c>
      <c r="R3122" s="115" t="s">
        <v>1459</v>
      </c>
      <c r="S3122" s="125"/>
    </row>
    <row r="3123" spans="1:19" hidden="1">
      <c r="A3123" s="124" t="s">
        <v>5478</v>
      </c>
      <c r="B3123" s="149" t="str">
        <f>IFERROR(VLOOKUP(Proc[[#This Row],[App]],Table2[],3,0),"open")</f>
        <v>ok</v>
      </c>
      <c r="C3123" s="124" t="s">
        <v>369</v>
      </c>
      <c r="D3123" t="s">
        <v>5297</v>
      </c>
      <c r="E3123" t="s">
        <v>5449</v>
      </c>
      <c r="F3123" s="125" t="s">
        <v>5449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MGF</v>
      </c>
      <c r="L3123" s="125" t="s">
        <v>4894</v>
      </c>
      <c r="M3123" s="113">
        <v>45874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87</v>
      </c>
      <c r="R3123" s="115" t="s">
        <v>1459</v>
      </c>
      <c r="S3123" s="125"/>
    </row>
    <row r="3124" spans="1:19" hidden="1">
      <c r="A3124" s="124" t="s">
        <v>5478</v>
      </c>
      <c r="B3124" s="149" t="str">
        <f>IFERROR(VLOOKUP(Proc[[#This Row],[App]],Table2[],3,0),"open")</f>
        <v>ok</v>
      </c>
      <c r="C3124" s="124" t="s">
        <v>369</v>
      </c>
      <c r="D3124" t="s">
        <v>5298</v>
      </c>
      <c r="E3124" t="s">
        <v>5458</v>
      </c>
      <c r="F3124" s="125" t="s">
        <v>5458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MGF</v>
      </c>
      <c r="L3124" s="125" t="s">
        <v>4894</v>
      </c>
      <c r="M3124" s="113">
        <v>45874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87</v>
      </c>
      <c r="R3124" s="115" t="s">
        <v>1459</v>
      </c>
      <c r="S3124" s="125"/>
    </row>
    <row r="3125" spans="1:19" hidden="1">
      <c r="A3125" s="124" t="s">
        <v>5478</v>
      </c>
      <c r="B3125" s="149" t="str">
        <f>IFERROR(VLOOKUP(Proc[[#This Row],[App]],Table2[],3,0),"open")</f>
        <v>ok</v>
      </c>
      <c r="C3125" s="124" t="s">
        <v>369</v>
      </c>
      <c r="D3125" t="s">
        <v>5299</v>
      </c>
      <c r="E3125" t="s">
        <v>5459</v>
      </c>
      <c r="F3125" s="125" t="s">
        <v>5459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MGF</v>
      </c>
      <c r="L3125" s="125" t="s">
        <v>4894</v>
      </c>
      <c r="M3125" s="113">
        <v>45874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87</v>
      </c>
      <c r="R3125" s="115" t="s">
        <v>1459</v>
      </c>
      <c r="S3125" s="125"/>
    </row>
    <row r="3126" spans="1:19" hidden="1">
      <c r="A3126" s="124" t="s">
        <v>5478</v>
      </c>
      <c r="B3126" s="149" t="str">
        <f>IFERROR(VLOOKUP(Proc[[#This Row],[App]],Table2[],3,0),"open")</f>
        <v>ok</v>
      </c>
      <c r="C3126" s="124" t="s">
        <v>369</v>
      </c>
      <c r="D3126" t="s">
        <v>5300</v>
      </c>
      <c r="E3126" t="s">
        <v>5460</v>
      </c>
      <c r="F3126" s="125" t="s">
        <v>5460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MGF</v>
      </c>
      <c r="L3126" s="125" t="s">
        <v>4894</v>
      </c>
      <c r="M3126" s="113">
        <v>45874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87</v>
      </c>
      <c r="R3126" s="115" t="s">
        <v>1459</v>
      </c>
      <c r="S3126" s="125"/>
    </row>
    <row r="3127" spans="1:19" hidden="1">
      <c r="A3127" s="124" t="s">
        <v>5478</v>
      </c>
      <c r="B3127" s="149" t="str">
        <f>IFERROR(VLOOKUP(Proc[[#This Row],[App]],Table2[],3,0),"open")</f>
        <v>ok</v>
      </c>
      <c r="C3127" s="124" t="s">
        <v>369</v>
      </c>
      <c r="D3127" t="s">
        <v>3370</v>
      </c>
      <c r="E3127" t="s">
        <v>5457</v>
      </c>
      <c r="F3127" s="125" t="s">
        <v>5457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MGF</v>
      </c>
      <c r="L3127" s="125" t="s">
        <v>4894</v>
      </c>
      <c r="M3127" s="113">
        <v>45874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87</v>
      </c>
      <c r="R3127" s="115" t="s">
        <v>1459</v>
      </c>
      <c r="S3127" s="125"/>
    </row>
    <row r="3128" spans="1:19" hidden="1">
      <c r="A3128" s="124" t="s">
        <v>5478</v>
      </c>
      <c r="B3128" s="149" t="str">
        <f>IFERROR(VLOOKUP(Proc[[#This Row],[App]],Table2[],3,0),"open")</f>
        <v>ok</v>
      </c>
      <c r="C3128" s="124" t="s">
        <v>369</v>
      </c>
      <c r="D3128" t="s">
        <v>5301</v>
      </c>
      <c r="E3128" t="s">
        <v>5459</v>
      </c>
      <c r="F3128" s="125" t="s">
        <v>5459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MGF</v>
      </c>
      <c r="L3128" s="125" t="s">
        <v>4894</v>
      </c>
      <c r="M3128" s="113">
        <v>45874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87</v>
      </c>
      <c r="R3128" s="115" t="s">
        <v>1459</v>
      </c>
      <c r="S3128" s="125"/>
    </row>
    <row r="3129" spans="1:19" hidden="1">
      <c r="A3129" s="124" t="s">
        <v>5478</v>
      </c>
      <c r="B3129" s="149" t="str">
        <f>IFERROR(VLOOKUP(Proc[[#This Row],[App]],Table2[],3,0),"open")</f>
        <v>ok</v>
      </c>
      <c r="C3129" s="124" t="s">
        <v>369</v>
      </c>
      <c r="D3129" t="s">
        <v>5302</v>
      </c>
      <c r="E3129" t="s">
        <v>5449</v>
      </c>
      <c r="F3129" s="125" t="s">
        <v>5449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MGF</v>
      </c>
      <c r="L3129" s="125" t="s">
        <v>4894</v>
      </c>
      <c r="M3129" s="113">
        <v>45874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87</v>
      </c>
      <c r="R3129" s="115" t="s">
        <v>1459</v>
      </c>
      <c r="S3129" s="125"/>
    </row>
    <row r="3130" spans="1:19" hidden="1">
      <c r="A3130" s="124" t="s">
        <v>5478</v>
      </c>
      <c r="B3130" s="149" t="str">
        <f>IFERROR(VLOOKUP(Proc[[#This Row],[App]],Table2[],3,0),"open")</f>
        <v>ok</v>
      </c>
      <c r="C3130" s="124" t="s">
        <v>369</v>
      </c>
      <c r="D3130" t="s">
        <v>5303</v>
      </c>
      <c r="E3130" t="s">
        <v>5461</v>
      </c>
      <c r="F3130" s="125" t="s">
        <v>5461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MGF</v>
      </c>
      <c r="L3130" s="125" t="s">
        <v>4894</v>
      </c>
      <c r="M3130" s="113">
        <v>45874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87</v>
      </c>
      <c r="R3130" s="115" t="s">
        <v>1459</v>
      </c>
      <c r="S3130" s="125"/>
    </row>
    <row r="3131" spans="1:19" hidden="1">
      <c r="A3131" s="124" t="s">
        <v>5478</v>
      </c>
      <c r="B3131" s="149" t="str">
        <f>IFERROR(VLOOKUP(Proc[[#This Row],[App]],Table2[],3,0),"open")</f>
        <v>ok</v>
      </c>
      <c r="C3131" s="124" t="s">
        <v>369</v>
      </c>
      <c r="D3131" t="s">
        <v>5304</v>
      </c>
      <c r="E3131" t="s">
        <v>5462</v>
      </c>
      <c r="F3131" s="125" t="s">
        <v>5462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MGF</v>
      </c>
      <c r="L3131" s="125" t="s">
        <v>4894</v>
      </c>
      <c r="M3131" s="113">
        <v>45874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87</v>
      </c>
      <c r="R3131" s="115" t="s">
        <v>1459</v>
      </c>
      <c r="S3131" s="125"/>
    </row>
    <row r="3132" spans="1:19" hidden="1">
      <c r="A3132" s="124" t="s">
        <v>5478</v>
      </c>
      <c r="B3132" s="149" t="str">
        <f>IFERROR(VLOOKUP(Proc[[#This Row],[App]],Table2[],3,0),"open")</f>
        <v>ok</v>
      </c>
      <c r="C3132" s="124" t="s">
        <v>369</v>
      </c>
      <c r="D3132" t="s">
        <v>5305</v>
      </c>
      <c r="E3132" t="s">
        <v>5449</v>
      </c>
      <c r="F3132" s="125" t="s">
        <v>5449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MGF</v>
      </c>
      <c r="L3132" s="125" t="s">
        <v>4894</v>
      </c>
      <c r="M3132" s="113">
        <v>45874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87</v>
      </c>
      <c r="R3132" s="115" t="s">
        <v>1459</v>
      </c>
      <c r="S3132" s="125"/>
    </row>
    <row r="3133" spans="1:19" hidden="1">
      <c r="A3133" s="124" t="s">
        <v>5478</v>
      </c>
      <c r="B3133" s="149" t="str">
        <f>IFERROR(VLOOKUP(Proc[[#This Row],[App]],Table2[],3,0),"open")</f>
        <v>ok</v>
      </c>
      <c r="C3133" s="124" t="s">
        <v>369</v>
      </c>
      <c r="D3133" t="s">
        <v>5306</v>
      </c>
      <c r="E3133" t="s">
        <v>5456</v>
      </c>
      <c r="F3133" s="125" t="s">
        <v>5456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MGF</v>
      </c>
      <c r="L3133" s="125" t="s">
        <v>4894</v>
      </c>
      <c r="M3133" s="113">
        <v>45874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87</v>
      </c>
      <c r="R3133" s="115" t="s">
        <v>1459</v>
      </c>
      <c r="S3133" s="125"/>
    </row>
    <row r="3134" spans="1:19" hidden="1">
      <c r="A3134" s="124" t="s">
        <v>5478</v>
      </c>
      <c r="B3134" s="149" t="str">
        <f>IFERROR(VLOOKUP(Proc[[#This Row],[App]],Table2[],3,0),"open")</f>
        <v>ok</v>
      </c>
      <c r="C3134" s="124" t="s">
        <v>369</v>
      </c>
      <c r="D3134" t="s">
        <v>5307</v>
      </c>
      <c r="E3134" t="s">
        <v>5456</v>
      </c>
      <c r="F3134" s="125" t="s">
        <v>5456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MGF</v>
      </c>
      <c r="L3134" s="125" t="s">
        <v>4894</v>
      </c>
      <c r="M3134" s="113">
        <v>45874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87</v>
      </c>
      <c r="R3134" s="115" t="s">
        <v>1459</v>
      </c>
      <c r="S3134" s="125"/>
    </row>
    <row r="3135" spans="1:19" hidden="1">
      <c r="A3135" s="124" t="s">
        <v>5478</v>
      </c>
      <c r="B3135" s="149" t="str">
        <f>IFERROR(VLOOKUP(Proc[[#This Row],[App]],Table2[],3,0),"open")</f>
        <v>ok</v>
      </c>
      <c r="C3135" s="124" t="s">
        <v>369</v>
      </c>
      <c r="D3135" t="s">
        <v>5308</v>
      </c>
      <c r="E3135" t="s">
        <v>5463</v>
      </c>
      <c r="F3135" s="125" t="s">
        <v>5463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MGF</v>
      </c>
      <c r="L3135" s="125" t="s">
        <v>4894</v>
      </c>
      <c r="M3135" s="113">
        <v>45874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87</v>
      </c>
      <c r="R3135" s="115" t="s">
        <v>1459</v>
      </c>
      <c r="S3135" s="125"/>
    </row>
    <row r="3136" spans="1:19" hidden="1">
      <c r="A3136" s="124" t="s">
        <v>5478</v>
      </c>
      <c r="B3136" s="149" t="str">
        <f>IFERROR(VLOOKUP(Proc[[#This Row],[App]],Table2[],3,0),"open")</f>
        <v>ok</v>
      </c>
      <c r="C3136" s="124" t="s">
        <v>369</v>
      </c>
      <c r="D3136" t="s">
        <v>5309</v>
      </c>
      <c r="E3136" t="s">
        <v>5459</v>
      </c>
      <c r="F3136" s="125" t="s">
        <v>5459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MGF</v>
      </c>
      <c r="L3136" s="125" t="s">
        <v>4894</v>
      </c>
      <c r="M3136" s="113">
        <v>45874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87</v>
      </c>
      <c r="R3136" s="115" t="s">
        <v>1459</v>
      </c>
      <c r="S3136" s="125"/>
    </row>
    <row r="3137" spans="1:19" hidden="1">
      <c r="A3137" s="124" t="s">
        <v>5478</v>
      </c>
      <c r="B3137" s="149" t="str">
        <f>IFERROR(VLOOKUP(Proc[[#This Row],[App]],Table2[],3,0),"open")</f>
        <v>ok</v>
      </c>
      <c r="C3137" s="149" t="s">
        <v>377</v>
      </c>
      <c r="D3137" t="s">
        <v>2319</v>
      </c>
      <c r="E3137" t="s">
        <v>430</v>
      </c>
      <c r="F3137" s="150" t="s">
        <v>5569</v>
      </c>
      <c r="G3137" s="124" t="s">
        <v>406</v>
      </c>
      <c r="H3137" s="125" t="str">
        <f>IF(Proc[[#This Row],[type]]="LFF (MDG-F)",MID(Proc[[#This Row],[Obj]],13,10),"")</f>
        <v>DE65GIT032</v>
      </c>
      <c r="I3137" s="124" t="s">
        <v>4832</v>
      </c>
      <c r="J3137" s="125" t="b">
        <f>Proc[[#This Row],[Requested]]=Proc[[#This Row],[CurrentParent]]</f>
        <v>0</v>
      </c>
      <c r="K3137" s="144" t="str">
        <f>IF(Proc[[#This Row],[Author]]="Marcela Urrego",VLOOKUP(LEFT(Proc[[#This Row],[Requested]],1),Table3[#All],2,0),VLOOKUP(Proc[[#This Row],[Author]],Table4[],2,0))</f>
        <v>MGF</v>
      </c>
      <c r="L3137" s="125" t="s">
        <v>4894</v>
      </c>
      <c r="M3137" s="113">
        <v>45874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87</v>
      </c>
      <c r="R3137" s="115" t="s">
        <v>1459</v>
      </c>
      <c r="S3137" s="125"/>
    </row>
    <row r="3138" spans="1:19" hidden="1">
      <c r="A3138" s="124" t="s">
        <v>5478</v>
      </c>
      <c r="B3138" s="149" t="str">
        <f>IFERROR(VLOOKUP(Proc[[#This Row],[App]],Table2[],3,0),"open")</f>
        <v>ok</v>
      </c>
      <c r="C3138" s="124" t="s">
        <v>369</v>
      </c>
      <c r="D3138" t="s">
        <v>5310</v>
      </c>
      <c r="E3138" t="s">
        <v>5464</v>
      </c>
      <c r="F3138" s="125" t="s">
        <v>5464</v>
      </c>
      <c r="G3138" s="124" t="s">
        <v>406</v>
      </c>
      <c r="H3138" s="125" t="str">
        <f>IF(Proc[[#This Row],[type]]="LFF (MDG-F)",MID(Proc[[#This Row],[Obj]],13,10),"")</f>
        <v>DE65GIT033</v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MGF</v>
      </c>
      <c r="L3138" s="125" t="s">
        <v>4894</v>
      </c>
      <c r="M3138" s="113">
        <v>45874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87</v>
      </c>
      <c r="R3138" s="115" t="s">
        <v>1459</v>
      </c>
      <c r="S3138" s="125"/>
    </row>
    <row r="3139" spans="1:19" hidden="1">
      <c r="A3139" s="124" t="s">
        <v>5478</v>
      </c>
      <c r="B3139" s="149" t="str">
        <f>IFERROR(VLOOKUP(Proc[[#This Row],[App]],Table2[],3,0),"open")</f>
        <v>ok</v>
      </c>
      <c r="C3139" s="124" t="s">
        <v>369</v>
      </c>
      <c r="D3139" t="s">
        <v>5311</v>
      </c>
      <c r="E3139" t="s">
        <v>5456</v>
      </c>
      <c r="F3139" s="125" t="s">
        <v>5456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MGF</v>
      </c>
      <c r="L3139" s="125" t="s">
        <v>4894</v>
      </c>
      <c r="M3139" s="113">
        <v>45874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87</v>
      </c>
      <c r="R3139" s="115" t="s">
        <v>1459</v>
      </c>
      <c r="S3139" s="125"/>
    </row>
    <row r="3140" spans="1:19" hidden="1">
      <c r="A3140" s="124" t="s">
        <v>5478</v>
      </c>
      <c r="B3140" s="149" t="str">
        <f>IFERROR(VLOOKUP(Proc[[#This Row],[App]],Table2[],3,0),"open")</f>
        <v>ok</v>
      </c>
      <c r="C3140" s="124" t="s">
        <v>369</v>
      </c>
      <c r="D3140" t="s">
        <v>5312</v>
      </c>
      <c r="E3140" t="s">
        <v>5464</v>
      </c>
      <c r="F3140" s="125" t="s">
        <v>5464</v>
      </c>
      <c r="G3140" s="124" t="s">
        <v>406</v>
      </c>
      <c r="H3140" s="125" t="str">
        <f>IF(Proc[[#This Row],[type]]="LFF (MDG-F)",MID(Proc[[#This Row],[Obj]],13,10),"")</f>
        <v>IT50GIT01C</v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MGF</v>
      </c>
      <c r="L3140" s="125" t="s">
        <v>4894</v>
      </c>
      <c r="M3140" s="113">
        <v>45874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87</v>
      </c>
      <c r="R3140" s="115" t="s">
        <v>1459</v>
      </c>
      <c r="S3140" s="125"/>
    </row>
    <row r="3141" spans="1:19" hidden="1">
      <c r="A3141" s="124" t="s">
        <v>5478</v>
      </c>
      <c r="B3141" s="149" t="str">
        <f>IFERROR(VLOOKUP(Proc[[#This Row],[App]],Table2[],3,0),"open")</f>
        <v>ok</v>
      </c>
      <c r="C3141" s="124" t="s">
        <v>369</v>
      </c>
      <c r="D3141" t="s">
        <v>5313</v>
      </c>
      <c r="E3141" t="s">
        <v>5456</v>
      </c>
      <c r="F3141" s="125" t="s">
        <v>5456</v>
      </c>
      <c r="G3141" s="124" t="s">
        <v>406</v>
      </c>
      <c r="H3141" s="125" t="str">
        <f>IF(Proc[[#This Row],[type]]="LFF (MDG-F)",MID(Proc[[#This Row],[Obj]],13,10),"")</f>
        <v>IT50GM9100</v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MGF</v>
      </c>
      <c r="L3141" s="125" t="s">
        <v>4894</v>
      </c>
      <c r="M3141" s="113">
        <v>45874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87</v>
      </c>
      <c r="R3141" s="115" t="s">
        <v>1459</v>
      </c>
      <c r="S3141" s="125"/>
    </row>
    <row r="3142" spans="1:19" hidden="1">
      <c r="A3142" s="124" t="s">
        <v>5478</v>
      </c>
      <c r="B3142" s="149" t="str">
        <f>IFERROR(VLOOKUP(Proc[[#This Row],[App]],Table2[],3,0),"open")</f>
        <v>ok</v>
      </c>
      <c r="C3142" s="124" t="s">
        <v>369</v>
      </c>
      <c r="D3142" t="s">
        <v>5314</v>
      </c>
      <c r="E3142" t="s">
        <v>5453</v>
      </c>
      <c r="F3142" s="125" t="s">
        <v>5453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MGF</v>
      </c>
      <c r="L3142" s="125" t="s">
        <v>4894</v>
      </c>
      <c r="M3142" s="113">
        <v>45874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87</v>
      </c>
      <c r="R3142" s="115" t="s">
        <v>1459</v>
      </c>
      <c r="S3142" s="125"/>
    </row>
    <row r="3143" spans="1:19" hidden="1">
      <c r="A3143" s="124" t="s">
        <v>5478</v>
      </c>
      <c r="B3143" s="149" t="str">
        <f>IFERROR(VLOOKUP(Proc[[#This Row],[App]],Table2[],3,0),"open")</f>
        <v>ok</v>
      </c>
      <c r="C3143" s="124" t="s">
        <v>369</v>
      </c>
      <c r="D3143" t="s">
        <v>5315</v>
      </c>
      <c r="E3143" t="s">
        <v>424</v>
      </c>
      <c r="F3143" s="125" t="s">
        <v>424</v>
      </c>
      <c r="G3143" s="124" t="s">
        <v>406</v>
      </c>
      <c r="H3143" s="125" t="str">
        <f>IF(Proc[[#This Row],[type]]="LFF (MDG-F)",MID(Proc[[#This Row],[Obj]],13,10),"")</f>
        <v>US01GIT01B</v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MGF</v>
      </c>
      <c r="L3143" s="125" t="s">
        <v>4894</v>
      </c>
      <c r="M3143" s="113">
        <v>45874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87</v>
      </c>
      <c r="R3143" s="115" t="s">
        <v>1459</v>
      </c>
      <c r="S3143" s="125"/>
    </row>
    <row r="3144" spans="1:19" hidden="1">
      <c r="A3144" s="124" t="s">
        <v>5478</v>
      </c>
      <c r="B3144" s="149" t="str">
        <f>IFERROR(VLOOKUP(Proc[[#This Row],[App]],Table2[],3,0),"open")</f>
        <v>ok</v>
      </c>
      <c r="C3144" s="124" t="s">
        <v>369</v>
      </c>
      <c r="D3144" t="s">
        <v>5316</v>
      </c>
      <c r="E3144" t="s">
        <v>5452</v>
      </c>
      <c r="F3144" s="125" t="s">
        <v>5452</v>
      </c>
      <c r="G3144" s="124" t="s">
        <v>406</v>
      </c>
      <c r="H3144" s="125" t="str">
        <f>IF(Proc[[#This Row],[type]]="LFF (MDG-F)",MID(Proc[[#This Row],[Obj]],13,10),"")</f>
        <v>DE10518000</v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MGF</v>
      </c>
      <c r="L3144" s="125" t="s">
        <v>4894</v>
      </c>
      <c r="M3144" s="113">
        <v>45874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87</v>
      </c>
      <c r="R3144" s="115" t="s">
        <v>1459</v>
      </c>
      <c r="S3144" s="125"/>
    </row>
    <row r="3145" spans="1:19" hidden="1">
      <c r="A3145" s="124" t="s">
        <v>5478</v>
      </c>
      <c r="B3145" s="149" t="str">
        <f>IFERROR(VLOOKUP(Proc[[#This Row],[App]],Table2[],3,0),"open")</f>
        <v>ok</v>
      </c>
      <c r="C3145" s="124" t="s">
        <v>369</v>
      </c>
      <c r="D3145" t="s">
        <v>5317</v>
      </c>
      <c r="E3145" t="s">
        <v>5452</v>
      </c>
      <c r="F3145" s="125" t="s">
        <v>5452</v>
      </c>
      <c r="G3145" s="124" t="s">
        <v>406</v>
      </c>
      <c r="H3145" s="125" t="str">
        <f>IF(Proc[[#This Row],[type]]="LFF (MDG-F)",MID(Proc[[#This Row],[Obj]],13,10),"")</f>
        <v>DE10519000</v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MGF</v>
      </c>
      <c r="L3145" s="125" t="s">
        <v>4894</v>
      </c>
      <c r="M3145" s="113">
        <v>45874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87</v>
      </c>
      <c r="R3145" s="115" t="s">
        <v>1459</v>
      </c>
      <c r="S3145" s="125"/>
    </row>
    <row r="3146" spans="1:19" hidden="1">
      <c r="A3146" s="124" t="s">
        <v>5478</v>
      </c>
      <c r="B3146" s="149" t="str">
        <f>IFERROR(VLOOKUP(Proc[[#This Row],[App]],Table2[],3,0),"open")</f>
        <v>ok</v>
      </c>
      <c r="C3146" s="124" t="s">
        <v>369</v>
      </c>
      <c r="D3146" t="s">
        <v>5318</v>
      </c>
      <c r="E3146" t="s">
        <v>5444</v>
      </c>
      <c r="F3146" s="125" t="s">
        <v>5444</v>
      </c>
      <c r="G3146" s="124" t="s">
        <v>406</v>
      </c>
      <c r="H3146" s="125" t="str">
        <f>IF(Proc[[#This Row],[type]]="LFF (MDG-F)",MID(Proc[[#This Row],[Obj]],13,10),"")</f>
        <v>DE10643112</v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MGF</v>
      </c>
      <c r="L3146" s="125" t="s">
        <v>4894</v>
      </c>
      <c r="M3146" s="113">
        <v>45874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87</v>
      </c>
      <c r="R3146" s="115" t="s">
        <v>1459</v>
      </c>
      <c r="S3146" s="125"/>
    </row>
    <row r="3147" spans="1:19" hidden="1">
      <c r="A3147" s="124" t="s">
        <v>5478</v>
      </c>
      <c r="B3147" s="149" t="str">
        <f>IFERROR(VLOOKUP(Proc[[#This Row],[App]],Table2[],3,0),"open")</f>
        <v>ok</v>
      </c>
      <c r="C3147" s="124" t="s">
        <v>369</v>
      </c>
      <c r="D3147" t="s">
        <v>5319</v>
      </c>
      <c r="E3147" t="s">
        <v>5445</v>
      </c>
      <c r="F3147" s="125" t="s">
        <v>5445</v>
      </c>
      <c r="G3147" s="124" t="s">
        <v>406</v>
      </c>
      <c r="H3147" s="125" t="str">
        <f>IF(Proc[[#This Row],[type]]="LFF (MDG-F)",MID(Proc[[#This Row],[Obj]],13,10),"")</f>
        <v>DE10677003</v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MGF</v>
      </c>
      <c r="L3147" s="125" t="s">
        <v>4894</v>
      </c>
      <c r="M3147" s="113">
        <v>45874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87</v>
      </c>
      <c r="R3147" s="115" t="s">
        <v>1459</v>
      </c>
      <c r="S3147" s="125"/>
    </row>
    <row r="3148" spans="1:19" hidden="1">
      <c r="A3148" s="124" t="s">
        <v>5478</v>
      </c>
      <c r="B3148" s="149" t="str">
        <f>IFERROR(VLOOKUP(Proc[[#This Row],[App]],Table2[],3,0),"open")</f>
        <v>ok</v>
      </c>
      <c r="C3148" s="124" t="s">
        <v>369</v>
      </c>
      <c r="D3148" t="s">
        <v>5320</v>
      </c>
      <c r="E3148" t="s">
        <v>5452</v>
      </c>
      <c r="F3148" s="125" t="s">
        <v>5452</v>
      </c>
      <c r="G3148" s="124" t="s">
        <v>406</v>
      </c>
      <c r="H3148" s="125" t="str">
        <f>IF(Proc[[#This Row],[type]]="LFF (MDG-F)",MID(Proc[[#This Row],[Obj]],13,10),"")</f>
        <v>DE10517000</v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MGF</v>
      </c>
      <c r="L3148" s="125" t="s">
        <v>4894</v>
      </c>
      <c r="M3148" s="113">
        <v>45874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87</v>
      </c>
      <c r="R3148" s="115" t="s">
        <v>1459</v>
      </c>
      <c r="S3148" s="125"/>
    </row>
    <row r="3149" spans="1:19" hidden="1">
      <c r="A3149" s="124" t="s">
        <v>5478</v>
      </c>
      <c r="B3149" s="149" t="str">
        <f>IFERROR(VLOOKUP(Proc[[#This Row],[App]],Table2[],3,0),"open")</f>
        <v>ok</v>
      </c>
      <c r="C3149" s="124" t="s">
        <v>369</v>
      </c>
      <c r="D3149" t="s">
        <v>5321</v>
      </c>
      <c r="E3149" t="s">
        <v>5446</v>
      </c>
      <c r="F3149" s="125" t="s">
        <v>5446</v>
      </c>
      <c r="G3149" s="124" t="s">
        <v>406</v>
      </c>
      <c r="H3149" s="125" t="str">
        <f>IF(Proc[[#This Row],[type]]="LFF (MDG-F)",MID(Proc[[#This Row],[Obj]],13,10),"")</f>
        <v>DE10574000</v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MGF</v>
      </c>
      <c r="L3149" s="125" t="s">
        <v>4894</v>
      </c>
      <c r="M3149" s="113">
        <v>45874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87</v>
      </c>
      <c r="R3149" s="115" t="s">
        <v>1459</v>
      </c>
      <c r="S3149" s="125"/>
    </row>
    <row r="3150" spans="1:19" hidden="1">
      <c r="A3150" s="124" t="s">
        <v>5478</v>
      </c>
      <c r="B3150" s="149" t="str">
        <f>IFERROR(VLOOKUP(Proc[[#This Row],[App]],Table2[],3,0),"open")</f>
        <v>ok</v>
      </c>
      <c r="C3150" s="124" t="s">
        <v>369</v>
      </c>
      <c r="D3150" t="s">
        <v>5322</v>
      </c>
      <c r="E3150" t="s">
        <v>5464</v>
      </c>
      <c r="F3150" s="125" t="s">
        <v>5464</v>
      </c>
      <c r="G3150" s="124" t="s">
        <v>406</v>
      </c>
      <c r="H3150" s="125" t="str">
        <f>IF(Proc[[#This Row],[type]]="LFF (MDG-F)",MID(Proc[[#This Row],[Obj]],13,10),"")</f>
        <v>DE10679600</v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MGF</v>
      </c>
      <c r="L3150" s="125" t="s">
        <v>4894</v>
      </c>
      <c r="M3150" s="113">
        <v>45874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87</v>
      </c>
      <c r="R3150" s="115" t="s">
        <v>1459</v>
      </c>
      <c r="S3150" s="125"/>
    </row>
    <row r="3151" spans="1:19" hidden="1">
      <c r="A3151" s="124" t="s">
        <v>5478</v>
      </c>
      <c r="B3151" s="149" t="str">
        <f>IFERROR(VLOOKUP(Proc[[#This Row],[App]],Table2[],3,0),"open")</f>
        <v>ok</v>
      </c>
      <c r="C3151" s="124" t="s">
        <v>369</v>
      </c>
      <c r="D3151" t="s">
        <v>5323</v>
      </c>
      <c r="E3151" t="s">
        <v>5452</v>
      </c>
      <c r="F3151" s="125" t="s">
        <v>5452</v>
      </c>
      <c r="G3151" s="124" t="s">
        <v>406</v>
      </c>
      <c r="H3151" s="125" t="str">
        <f>IF(Proc[[#This Row],[type]]="LFF (MDG-F)",MID(Proc[[#This Row],[Obj]],13,10),"")</f>
        <v>DE10512500</v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MGF</v>
      </c>
      <c r="L3151" s="125" t="s">
        <v>4894</v>
      </c>
      <c r="M3151" s="113">
        <v>45874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87</v>
      </c>
      <c r="R3151" s="115" t="s">
        <v>1459</v>
      </c>
      <c r="S3151" s="125"/>
    </row>
    <row r="3152" spans="1:19" hidden="1">
      <c r="A3152" s="124" t="s">
        <v>5478</v>
      </c>
      <c r="B3152" s="149" t="str">
        <f>IFERROR(VLOOKUP(Proc[[#This Row],[App]],Table2[],3,0),"open")</f>
        <v>ok</v>
      </c>
      <c r="C3152" s="124" t="s">
        <v>369</v>
      </c>
      <c r="D3152" t="s">
        <v>5324</v>
      </c>
      <c r="E3152" t="s">
        <v>5444</v>
      </c>
      <c r="F3152" s="125" t="s">
        <v>5444</v>
      </c>
      <c r="G3152" s="124" t="s">
        <v>406</v>
      </c>
      <c r="H3152" s="125" t="str">
        <f>IF(Proc[[#This Row],[type]]="LFF (MDG-F)",MID(Proc[[#This Row],[Obj]],13,10),"")</f>
        <v>DE10656400</v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MGF</v>
      </c>
      <c r="L3152" s="125" t="s">
        <v>4894</v>
      </c>
      <c r="M3152" s="113">
        <v>45874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87</v>
      </c>
      <c r="R3152" s="115" t="s">
        <v>1459</v>
      </c>
      <c r="S3152" s="125"/>
    </row>
    <row r="3153" spans="1:19" hidden="1">
      <c r="A3153" s="124" t="s">
        <v>5478</v>
      </c>
      <c r="B3153" s="149" t="str">
        <f>IFERROR(VLOOKUP(Proc[[#This Row],[App]],Table2[],3,0),"open")</f>
        <v>ok</v>
      </c>
      <c r="C3153" s="124" t="s">
        <v>369</v>
      </c>
      <c r="D3153" t="s">
        <v>5325</v>
      </c>
      <c r="E3153" t="s">
        <v>5464</v>
      </c>
      <c r="F3153" s="125" t="s">
        <v>5464</v>
      </c>
      <c r="G3153" s="124" t="s">
        <v>406</v>
      </c>
      <c r="H3153" s="125" t="str">
        <f>IF(Proc[[#This Row],[type]]="LFF (MDG-F)",MID(Proc[[#This Row],[Obj]],13,10),"")</f>
        <v>DE10677200</v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MGF</v>
      </c>
      <c r="L3153" s="125" t="s">
        <v>4894</v>
      </c>
      <c r="M3153" s="113">
        <v>45874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87</v>
      </c>
      <c r="R3153" s="115" t="s">
        <v>1459</v>
      </c>
      <c r="S3153" s="125"/>
    </row>
    <row r="3154" spans="1:19" hidden="1">
      <c r="A3154" s="124" t="s">
        <v>5478</v>
      </c>
      <c r="B3154" s="149" t="str">
        <f>IFERROR(VLOOKUP(Proc[[#This Row],[App]],Table2[],3,0),"open")</f>
        <v>ok</v>
      </c>
      <c r="C3154" s="124" t="s">
        <v>369</v>
      </c>
      <c r="D3154" t="s">
        <v>5326</v>
      </c>
      <c r="E3154" t="s">
        <v>4410</v>
      </c>
      <c r="F3154" s="140" t="s">
        <v>4410</v>
      </c>
      <c r="G3154" s="124" t="s">
        <v>406</v>
      </c>
      <c r="H3154" s="125" t="str">
        <f>IF(Proc[[#This Row],[type]]="LFF (MDG-F)",MID(Proc[[#This Row],[Obj]],13,10),"")</f>
        <v>DE10685700</v>
      </c>
      <c r="I3154" t="s">
        <v>5479</v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MGF</v>
      </c>
      <c r="L3154" s="125" t="s">
        <v>4894</v>
      </c>
      <c r="M3154" s="113">
        <v>45874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87</v>
      </c>
      <c r="R3154" s="115" t="s">
        <v>1459</v>
      </c>
      <c r="S3154" s="125"/>
    </row>
    <row r="3155" spans="1:19" hidden="1">
      <c r="A3155" s="124" t="s">
        <v>5478</v>
      </c>
      <c r="B3155" s="149" t="str">
        <f>IFERROR(VLOOKUP(Proc[[#This Row],[App]],Table2[],3,0),"open")</f>
        <v>ok</v>
      </c>
      <c r="C3155" s="124" t="s">
        <v>369</v>
      </c>
      <c r="D3155" t="s">
        <v>5327</v>
      </c>
      <c r="E3155" t="s">
        <v>5444</v>
      </c>
      <c r="F3155" s="125" t="s">
        <v>5444</v>
      </c>
      <c r="G3155" s="124" t="s">
        <v>406</v>
      </c>
      <c r="H3155" s="125" t="str">
        <f>IF(Proc[[#This Row],[type]]="LFF (MDG-F)",MID(Proc[[#This Row],[Obj]],13,10),"")</f>
        <v>DE10643100</v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MGF</v>
      </c>
      <c r="L3155" s="125" t="s">
        <v>4894</v>
      </c>
      <c r="M3155" s="113">
        <v>45874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87</v>
      </c>
      <c r="R3155" s="115" t="s">
        <v>1459</v>
      </c>
      <c r="S3155" s="125"/>
    </row>
    <row r="3156" spans="1:19" hidden="1">
      <c r="A3156" s="124" t="s">
        <v>5478</v>
      </c>
      <c r="B3156" s="149" t="str">
        <f>IFERROR(VLOOKUP(Proc[[#This Row],[App]],Table2[],3,0),"open")</f>
        <v>ok</v>
      </c>
      <c r="C3156" s="124" t="s">
        <v>369</v>
      </c>
      <c r="D3156" t="s">
        <v>5328</v>
      </c>
      <c r="E3156" t="s">
        <v>5456</v>
      </c>
      <c r="F3156" s="125" t="s">
        <v>5456</v>
      </c>
      <c r="G3156" s="124" t="s">
        <v>406</v>
      </c>
      <c r="H3156" s="125" t="str">
        <f>IF(Proc[[#This Row],[type]]="LFF (MDG-F)",MID(Proc[[#This Row],[Obj]],13,10),"")</f>
        <v>DE10669636</v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MGF</v>
      </c>
      <c r="L3156" s="125" t="s">
        <v>4894</v>
      </c>
      <c r="M3156" s="113">
        <v>45874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87</v>
      </c>
      <c r="R3156" s="115" t="s">
        <v>1459</v>
      </c>
      <c r="S3156" s="125"/>
    </row>
    <row r="3157" spans="1:19" hidden="1">
      <c r="A3157" s="124" t="s">
        <v>5478</v>
      </c>
      <c r="B3157" s="149" t="str">
        <f>IFERROR(VLOOKUP(Proc[[#This Row],[App]],Table2[],3,0),"open")</f>
        <v>ok</v>
      </c>
      <c r="C3157" s="124" t="s">
        <v>369</v>
      </c>
      <c r="D3157" t="s">
        <v>5329</v>
      </c>
      <c r="E3157" t="s">
        <v>5452</v>
      </c>
      <c r="F3157" s="125" t="s">
        <v>5452</v>
      </c>
      <c r="G3157" s="124" t="s">
        <v>406</v>
      </c>
      <c r="H3157" s="125" t="str">
        <f>IF(Proc[[#This Row],[type]]="LFF (MDG-F)",MID(Proc[[#This Row],[Obj]],13,10),"")</f>
        <v>DE10635800</v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MGF</v>
      </c>
      <c r="L3157" s="125" t="s">
        <v>4894</v>
      </c>
      <c r="M3157" s="113">
        <v>45874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87</v>
      </c>
      <c r="R3157" s="115" t="s">
        <v>1459</v>
      </c>
      <c r="S3157" s="125"/>
    </row>
    <row r="3158" spans="1:19" hidden="1">
      <c r="A3158" s="124" t="s">
        <v>5478</v>
      </c>
      <c r="B3158" s="149" t="str">
        <f>IFERROR(VLOOKUP(Proc[[#This Row],[App]],Table2[],3,0),"open")</f>
        <v>ok</v>
      </c>
      <c r="C3158" s="124" t="s">
        <v>369</v>
      </c>
      <c r="D3158" t="s">
        <v>5330</v>
      </c>
      <c r="E3158" t="s">
        <v>5452</v>
      </c>
      <c r="F3158" s="125" t="s">
        <v>5452</v>
      </c>
      <c r="G3158" s="124" t="s">
        <v>406</v>
      </c>
      <c r="H3158" s="125" t="str">
        <f>IF(Proc[[#This Row],[type]]="LFF (MDG-F)",MID(Proc[[#This Row],[Obj]],13,10),"")</f>
        <v>DE10561800</v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MGF</v>
      </c>
      <c r="L3158" s="125" t="s">
        <v>4894</v>
      </c>
      <c r="M3158" s="113">
        <v>45874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87</v>
      </c>
      <c r="R3158" s="115" t="s">
        <v>1459</v>
      </c>
      <c r="S3158" s="125"/>
    </row>
    <row r="3159" spans="1:19" hidden="1">
      <c r="A3159" s="124" t="s">
        <v>5478</v>
      </c>
      <c r="B3159" s="149" t="str">
        <f>IFERROR(VLOOKUP(Proc[[#This Row],[App]],Table2[],3,0),"open")</f>
        <v>ok</v>
      </c>
      <c r="C3159" s="124" t="s">
        <v>369</v>
      </c>
      <c r="D3159" t="s">
        <v>5331</v>
      </c>
      <c r="E3159" t="s">
        <v>5445</v>
      </c>
      <c r="F3159" s="125" t="s">
        <v>5445</v>
      </c>
      <c r="G3159" s="124" t="s">
        <v>406</v>
      </c>
      <c r="H3159" s="125" t="str">
        <f>IF(Proc[[#This Row],[type]]="LFF (MDG-F)",MID(Proc[[#This Row],[Obj]],13,10),"")</f>
        <v>DE10GIT706</v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MGF</v>
      </c>
      <c r="L3159" s="125" t="s">
        <v>4894</v>
      </c>
      <c r="M3159" s="113">
        <v>45874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87</v>
      </c>
      <c r="R3159" s="115" t="s">
        <v>1459</v>
      </c>
      <c r="S3159" s="125"/>
    </row>
    <row r="3160" spans="1:19" hidden="1">
      <c r="A3160" s="124" t="s">
        <v>5478</v>
      </c>
      <c r="B3160" s="149" t="str">
        <f>IFERROR(VLOOKUP(Proc[[#This Row],[App]],Table2[],3,0),"open")</f>
        <v>ok</v>
      </c>
      <c r="C3160" s="124" t="s">
        <v>369</v>
      </c>
      <c r="D3160" t="s">
        <v>5332</v>
      </c>
      <c r="E3160" t="s">
        <v>5457</v>
      </c>
      <c r="F3160" s="125" t="s">
        <v>5457</v>
      </c>
      <c r="G3160" s="124" t="s">
        <v>406</v>
      </c>
      <c r="H3160" s="125" t="str">
        <f>IF(Proc[[#This Row],[type]]="LFF (MDG-F)",MID(Proc[[#This Row],[Obj]],13,10),"")</f>
        <v>DE10669635</v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MGF</v>
      </c>
      <c r="L3160" s="125" t="s">
        <v>4894</v>
      </c>
      <c r="M3160" s="113">
        <v>45874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87</v>
      </c>
      <c r="R3160" s="115" t="s">
        <v>1459</v>
      </c>
      <c r="S3160" s="125"/>
    </row>
    <row r="3161" spans="1:19" hidden="1">
      <c r="A3161" s="124" t="s">
        <v>5478</v>
      </c>
      <c r="B3161" s="149" t="str">
        <f>IFERROR(VLOOKUP(Proc[[#This Row],[App]],Table2[],3,0),"open")</f>
        <v>ok</v>
      </c>
      <c r="C3161" s="124" t="s">
        <v>369</v>
      </c>
      <c r="D3161" t="s">
        <v>5333</v>
      </c>
      <c r="E3161" t="s">
        <v>5444</v>
      </c>
      <c r="F3161" s="125" t="s">
        <v>5444</v>
      </c>
      <c r="G3161" s="124" t="s">
        <v>406</v>
      </c>
      <c r="H3161" s="125" t="str">
        <f>IF(Proc[[#This Row],[type]]="LFF (MDG-F)",MID(Proc[[#This Row],[Obj]],13,10),"")</f>
        <v>DE10GIT06A</v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MGF</v>
      </c>
      <c r="L3161" s="125" t="s">
        <v>4894</v>
      </c>
      <c r="M3161" s="113">
        <v>45874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87</v>
      </c>
      <c r="R3161" s="115" t="s">
        <v>1459</v>
      </c>
      <c r="S3161" s="125"/>
    </row>
    <row r="3162" spans="1:19" hidden="1">
      <c r="A3162" s="124" t="s">
        <v>5478</v>
      </c>
      <c r="B3162" s="149" t="str">
        <f>IFERROR(VLOOKUP(Proc[[#This Row],[App]],Table2[],3,0),"open")</f>
        <v>ok</v>
      </c>
      <c r="C3162" s="124" t="s">
        <v>369</v>
      </c>
      <c r="D3162" t="s">
        <v>1457</v>
      </c>
      <c r="E3162" t="s">
        <v>5444</v>
      </c>
      <c r="F3162" s="125" t="s">
        <v>5444</v>
      </c>
      <c r="G3162" s="124" t="s">
        <v>406</v>
      </c>
      <c r="H3162" s="125" t="str">
        <f>IF(Proc[[#This Row],[type]]="LFF (MDG-F)",MID(Proc[[#This Row],[Obj]],13,10),"")</f>
        <v>DE10GIT05A</v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MGF</v>
      </c>
      <c r="L3162" s="125" t="s">
        <v>4894</v>
      </c>
      <c r="M3162" s="113">
        <v>45874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87</v>
      </c>
      <c r="R3162" s="115" t="s">
        <v>1459</v>
      </c>
      <c r="S3162" s="125"/>
    </row>
    <row r="3163" spans="1:19" hidden="1">
      <c r="A3163" s="124" t="s">
        <v>5478</v>
      </c>
      <c r="B3163" s="149" t="str">
        <f>IFERROR(VLOOKUP(Proc[[#This Row],[App]],Table2[],3,0),"open")</f>
        <v>ok</v>
      </c>
      <c r="C3163" s="124" t="s">
        <v>369</v>
      </c>
      <c r="D3163" t="s">
        <v>5334</v>
      </c>
      <c r="E3163" t="s">
        <v>662</v>
      </c>
      <c r="F3163" s="125" t="s">
        <v>662</v>
      </c>
      <c r="G3163" s="124" t="s">
        <v>406</v>
      </c>
      <c r="H3163" s="125" t="str">
        <f>IF(Proc[[#This Row],[type]]="LFF (MDG-F)",MID(Proc[[#This Row],[Obj]],13,10),"")</f>
        <v>DE10YIT009</v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MGF</v>
      </c>
      <c r="L3163" s="125" t="s">
        <v>4894</v>
      </c>
      <c r="M3163" s="113">
        <v>45874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87</v>
      </c>
      <c r="R3163" s="115" t="s">
        <v>1459</v>
      </c>
      <c r="S3163" s="125"/>
    </row>
    <row r="3164" spans="1:19" hidden="1">
      <c r="A3164" s="124" t="s">
        <v>5478</v>
      </c>
      <c r="B3164" s="149" t="str">
        <f>IFERROR(VLOOKUP(Proc[[#This Row],[App]],Table2[],3,0),"open")</f>
        <v>ok</v>
      </c>
      <c r="C3164" s="124" t="s">
        <v>369</v>
      </c>
      <c r="D3164" t="s">
        <v>5335</v>
      </c>
      <c r="E3164" t="s">
        <v>661</v>
      </c>
      <c r="F3164" s="125" t="s">
        <v>661</v>
      </c>
      <c r="G3164" s="124" t="s">
        <v>406</v>
      </c>
      <c r="H3164" s="125" t="str">
        <f>IF(Proc[[#This Row],[type]]="LFF (MDG-F)",MID(Proc[[#This Row],[Obj]],13,10),"")</f>
        <v>DE10YIT008</v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MGF</v>
      </c>
      <c r="L3164" s="125" t="s">
        <v>4894</v>
      </c>
      <c r="M3164" s="113">
        <v>45874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87</v>
      </c>
      <c r="R3164" s="115" t="s">
        <v>1459</v>
      </c>
      <c r="S3164" s="125"/>
    </row>
    <row r="3165" spans="1:19" hidden="1">
      <c r="A3165" s="124" t="s">
        <v>5478</v>
      </c>
      <c r="B3165" s="149" t="str">
        <f>IFERROR(VLOOKUP(Proc[[#This Row],[App]],Table2[],3,0),"open")</f>
        <v>ok</v>
      </c>
      <c r="C3165" s="124" t="s">
        <v>369</v>
      </c>
      <c r="D3165" t="s">
        <v>5336</v>
      </c>
      <c r="E3165" t="s">
        <v>5465</v>
      </c>
      <c r="F3165" s="125" t="s">
        <v>5465</v>
      </c>
      <c r="G3165" s="124" t="s">
        <v>406</v>
      </c>
      <c r="H3165" s="125" t="str">
        <f>IF(Proc[[#This Row],[type]]="LFF (MDG-F)",MID(Proc[[#This Row],[Obj]],13,10),"")</f>
        <v>DE10YIT012</v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MGF</v>
      </c>
      <c r="L3165" s="125" t="s">
        <v>4894</v>
      </c>
      <c r="M3165" s="113">
        <v>45874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87</v>
      </c>
      <c r="R3165" s="115" t="s">
        <v>1459</v>
      </c>
      <c r="S3165" s="125"/>
    </row>
    <row r="3166" spans="1:19" hidden="1">
      <c r="A3166" s="124" t="s">
        <v>5478</v>
      </c>
      <c r="B3166" s="149" t="str">
        <f>IFERROR(VLOOKUP(Proc[[#This Row],[App]],Table2[],3,0),"open")</f>
        <v>ok</v>
      </c>
      <c r="C3166" s="124" t="s">
        <v>369</v>
      </c>
      <c r="D3166" t="s">
        <v>5337</v>
      </c>
      <c r="E3166" t="s">
        <v>5466</v>
      </c>
      <c r="F3166" s="125" t="s">
        <v>5466</v>
      </c>
      <c r="G3166" s="124" t="s">
        <v>406</v>
      </c>
      <c r="H3166" s="125" t="str">
        <f>IF(Proc[[#This Row],[type]]="LFF (MDG-F)",MID(Proc[[#This Row],[Obj]],13,10),"")</f>
        <v>DE10YIT011</v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MGF</v>
      </c>
      <c r="L3166" s="125" t="s">
        <v>4894</v>
      </c>
      <c r="M3166" s="113">
        <v>45874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87</v>
      </c>
      <c r="R3166" s="115" t="s">
        <v>1459</v>
      </c>
      <c r="S3166" s="125"/>
    </row>
    <row r="3167" spans="1:19" hidden="1">
      <c r="A3167" s="124" t="s">
        <v>5478</v>
      </c>
      <c r="B3167" s="149" t="str">
        <f>IFERROR(VLOOKUP(Proc[[#This Row],[App]],Table2[],3,0),"open")</f>
        <v>ok</v>
      </c>
      <c r="C3167" s="124" t="s">
        <v>369</v>
      </c>
      <c r="D3167" t="s">
        <v>5338</v>
      </c>
      <c r="E3167" t="s">
        <v>5449</v>
      </c>
      <c r="F3167" s="125" t="s">
        <v>5449</v>
      </c>
      <c r="G3167" s="124" t="s">
        <v>406</v>
      </c>
      <c r="H3167" s="125" t="str">
        <f>IF(Proc[[#This Row],[type]]="LFF (MDG-F)",MID(Proc[[#This Row],[Obj]],13,10),"")</f>
        <v>DE10669632</v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MGF</v>
      </c>
      <c r="L3167" s="125" t="s">
        <v>4894</v>
      </c>
      <c r="M3167" s="113">
        <v>45874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87</v>
      </c>
      <c r="R3167" s="115" t="s">
        <v>1459</v>
      </c>
      <c r="S3167" s="125"/>
    </row>
    <row r="3168" spans="1:19" hidden="1">
      <c r="A3168" s="124" t="s">
        <v>5478</v>
      </c>
      <c r="B3168" s="149" t="str">
        <f>IFERROR(VLOOKUP(Proc[[#This Row],[App]],Table2[],3,0),"open")</f>
        <v>ok</v>
      </c>
      <c r="C3168" s="124" t="s">
        <v>369</v>
      </c>
      <c r="D3168" t="s">
        <v>5339</v>
      </c>
      <c r="E3168" t="s">
        <v>5458</v>
      </c>
      <c r="F3168" s="125" t="s">
        <v>5458</v>
      </c>
      <c r="G3168" s="124" t="s">
        <v>406</v>
      </c>
      <c r="H3168" s="125" t="str">
        <f>IF(Proc[[#This Row],[type]]="LFF (MDG-F)",MID(Proc[[#This Row],[Obj]],13,10),"")</f>
        <v>DE10669646</v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MGF</v>
      </c>
      <c r="L3168" s="125" t="s">
        <v>4894</v>
      </c>
      <c r="M3168" s="113">
        <v>45874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87</v>
      </c>
      <c r="R3168" s="115" t="s">
        <v>1459</v>
      </c>
      <c r="S3168" s="125"/>
    </row>
    <row r="3169" spans="1:19" hidden="1">
      <c r="A3169" s="124" t="s">
        <v>5478</v>
      </c>
      <c r="B3169" s="149" t="str">
        <f>IFERROR(VLOOKUP(Proc[[#This Row],[App]],Table2[],3,0),"open")</f>
        <v>ok</v>
      </c>
      <c r="C3169" s="124" t="s">
        <v>369</v>
      </c>
      <c r="D3169" t="s">
        <v>5340</v>
      </c>
      <c r="E3169" t="s">
        <v>5460</v>
      </c>
      <c r="F3169" s="125" t="s">
        <v>5460</v>
      </c>
      <c r="G3169" s="124" t="s">
        <v>406</v>
      </c>
      <c r="H3169" s="125" t="str">
        <f>IF(Proc[[#This Row],[type]]="LFF (MDG-F)",MID(Proc[[#This Row],[Obj]],13,10),"")</f>
        <v>DE10669656</v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MGF</v>
      </c>
      <c r="L3169" s="125" t="s">
        <v>4894</v>
      </c>
      <c r="M3169" s="113">
        <v>45874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87</v>
      </c>
      <c r="R3169" s="115" t="s">
        <v>1459</v>
      </c>
      <c r="S3169" s="125"/>
    </row>
    <row r="3170" spans="1:19" hidden="1">
      <c r="A3170" s="124" t="s">
        <v>5478</v>
      </c>
      <c r="B3170" s="149" t="str">
        <f>IFERROR(VLOOKUP(Proc[[#This Row],[App]],Table2[],3,0),"open")</f>
        <v>ok</v>
      </c>
      <c r="C3170" s="124" t="s">
        <v>369</v>
      </c>
      <c r="D3170" t="s">
        <v>5341</v>
      </c>
      <c r="E3170" t="s">
        <v>5459</v>
      </c>
      <c r="F3170" s="125" t="s">
        <v>5459</v>
      </c>
      <c r="G3170" s="124" t="s">
        <v>406</v>
      </c>
      <c r="H3170" s="125" t="str">
        <f>IF(Proc[[#This Row],[type]]="LFF (MDG-F)",MID(Proc[[#This Row],[Obj]],13,10),"")</f>
        <v>DE10YIT013</v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MGF</v>
      </c>
      <c r="L3170" s="125" t="s">
        <v>4894</v>
      </c>
      <c r="M3170" s="113">
        <v>45874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87</v>
      </c>
      <c r="R3170" s="115" t="s">
        <v>1459</v>
      </c>
      <c r="S3170" s="125"/>
    </row>
    <row r="3171" spans="1:19" hidden="1">
      <c r="A3171" s="124" t="s">
        <v>5478</v>
      </c>
      <c r="B3171" s="149" t="str">
        <f>IFERROR(VLOOKUP(Proc[[#This Row],[App]],Table2[],3,0),"open")</f>
        <v>ok</v>
      </c>
      <c r="C3171" s="124" t="s">
        <v>369</v>
      </c>
      <c r="D3171" t="s">
        <v>5342</v>
      </c>
      <c r="E3171" t="s">
        <v>5452</v>
      </c>
      <c r="F3171" s="125" t="s">
        <v>5452</v>
      </c>
      <c r="G3171" s="124" t="s">
        <v>406</v>
      </c>
      <c r="H3171" s="125" t="str">
        <f>IF(Proc[[#This Row],[type]]="LFF (MDG-F)",MID(Proc[[#This Row],[Obj]],13,10),"")</f>
        <v>DE10638480</v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MGF</v>
      </c>
      <c r="L3171" s="125" t="s">
        <v>4894</v>
      </c>
      <c r="M3171" s="113">
        <v>45874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87</v>
      </c>
      <c r="R3171" s="115" t="s">
        <v>1459</v>
      </c>
      <c r="S3171" s="125"/>
    </row>
    <row r="3172" spans="1:19" hidden="1">
      <c r="A3172" s="124" t="s">
        <v>5478</v>
      </c>
      <c r="B3172" s="149" t="str">
        <f>IFERROR(VLOOKUP(Proc[[#This Row],[App]],Table2[],3,0),"open")</f>
        <v>ok</v>
      </c>
      <c r="C3172" s="124" t="s">
        <v>369</v>
      </c>
      <c r="D3172" t="s">
        <v>5343</v>
      </c>
      <c r="E3172" t="s">
        <v>5452</v>
      </c>
      <c r="F3172" s="125" t="s">
        <v>5452</v>
      </c>
      <c r="G3172" s="124" t="s">
        <v>406</v>
      </c>
      <c r="H3172" s="125" t="str">
        <f>IF(Proc[[#This Row],[type]]="LFF (MDG-F)",MID(Proc[[#This Row],[Obj]],13,10),"")</f>
        <v>DE10638470</v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MGF</v>
      </c>
      <c r="L3172" s="125" t="s">
        <v>4894</v>
      </c>
      <c r="M3172" s="113">
        <v>45874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87</v>
      </c>
      <c r="R3172" s="115" t="s">
        <v>1459</v>
      </c>
      <c r="S3172" s="125"/>
    </row>
    <row r="3173" spans="1:19" hidden="1">
      <c r="A3173" s="124" t="s">
        <v>5478</v>
      </c>
      <c r="B3173" s="149" t="str">
        <f>IFERROR(VLOOKUP(Proc[[#This Row],[App]],Table2[],3,0),"open")</f>
        <v>ok</v>
      </c>
      <c r="C3173" s="124" t="s">
        <v>369</v>
      </c>
      <c r="D3173" t="s">
        <v>5344</v>
      </c>
      <c r="E3173" t="s">
        <v>5452</v>
      </c>
      <c r="F3173" s="125" t="s">
        <v>5452</v>
      </c>
      <c r="G3173" s="124" t="s">
        <v>406</v>
      </c>
      <c r="H3173" s="125" t="str">
        <f>IF(Proc[[#This Row],[type]]="LFF (MDG-F)",MID(Proc[[#This Row],[Obj]],13,10),"")</f>
        <v>DE10512503</v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MGF</v>
      </c>
      <c r="L3173" s="125" t="s">
        <v>4894</v>
      </c>
      <c r="M3173" s="113">
        <v>45874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87</v>
      </c>
      <c r="R3173" s="115" t="s">
        <v>1459</v>
      </c>
      <c r="S3173" s="125"/>
    </row>
    <row r="3174" spans="1:19" hidden="1">
      <c r="A3174" s="124" t="s">
        <v>5478</v>
      </c>
      <c r="B3174" s="149" t="str">
        <f>IFERROR(VLOOKUP(Proc[[#This Row],[App]],Table2[],3,0),"open")</f>
        <v>ok</v>
      </c>
      <c r="C3174" s="124" t="s">
        <v>369</v>
      </c>
      <c r="D3174" t="s">
        <v>5345</v>
      </c>
      <c r="E3174" t="s">
        <v>5452</v>
      </c>
      <c r="F3174" s="125" t="s">
        <v>5452</v>
      </c>
      <c r="G3174" s="124" t="s">
        <v>406</v>
      </c>
      <c r="H3174" s="125" t="str">
        <f>IF(Proc[[#This Row],[type]]="LFF (MDG-F)",MID(Proc[[#This Row],[Obj]],13,10),"")</f>
        <v>DE10638460</v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MGF</v>
      </c>
      <c r="L3174" s="125" t="s">
        <v>4894</v>
      </c>
      <c r="M3174" s="113">
        <v>45874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87</v>
      </c>
      <c r="R3174" s="115" t="s">
        <v>1459</v>
      </c>
      <c r="S3174" s="125"/>
    </row>
    <row r="3175" spans="1:19" hidden="1">
      <c r="A3175" s="124" t="s">
        <v>5478</v>
      </c>
      <c r="B3175" s="149" t="str">
        <f>IFERROR(VLOOKUP(Proc[[#This Row],[App]],Table2[],3,0),"open")</f>
        <v>ok</v>
      </c>
      <c r="C3175" s="124" t="s">
        <v>369</v>
      </c>
      <c r="D3175" t="s">
        <v>5346</v>
      </c>
      <c r="E3175" t="s">
        <v>5452</v>
      </c>
      <c r="F3175" s="125" t="s">
        <v>5452</v>
      </c>
      <c r="G3175" s="124" t="s">
        <v>406</v>
      </c>
      <c r="H3175" s="125" t="str">
        <f>IF(Proc[[#This Row],[type]]="LFF (MDG-F)",MID(Proc[[#This Row],[Obj]],13,10),"")</f>
        <v>DE10512502</v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MGF</v>
      </c>
      <c r="L3175" s="125" t="s">
        <v>4894</v>
      </c>
      <c r="M3175" s="113">
        <v>45874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87</v>
      </c>
      <c r="R3175" s="115" t="s">
        <v>1459</v>
      </c>
      <c r="S3175" s="125"/>
    </row>
    <row r="3176" spans="1:19" hidden="1">
      <c r="A3176" s="124" t="s">
        <v>5478</v>
      </c>
      <c r="B3176" s="149" t="str">
        <f>IFERROR(VLOOKUP(Proc[[#This Row],[App]],Table2[],3,0),"open")</f>
        <v>ok</v>
      </c>
      <c r="C3176" s="124" t="s">
        <v>369</v>
      </c>
      <c r="D3176" t="s">
        <v>5347</v>
      </c>
      <c r="E3176" t="s">
        <v>5452</v>
      </c>
      <c r="F3176" s="125" t="s">
        <v>5452</v>
      </c>
      <c r="G3176" s="124" t="s">
        <v>406</v>
      </c>
      <c r="H3176" s="125" t="str">
        <f>IF(Proc[[#This Row],[type]]="LFF (MDG-F)",MID(Proc[[#This Row],[Obj]],13,10),"")</f>
        <v>DE10512501</v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MGF</v>
      </c>
      <c r="L3176" s="125" t="s">
        <v>4894</v>
      </c>
      <c r="M3176" s="113">
        <v>45874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87</v>
      </c>
      <c r="R3176" s="115" t="s">
        <v>1459</v>
      </c>
      <c r="S3176" s="125"/>
    </row>
    <row r="3177" spans="1:19" hidden="1">
      <c r="A3177" s="124" t="s">
        <v>5478</v>
      </c>
      <c r="B3177" s="149" t="str">
        <f>IFERROR(VLOOKUP(Proc[[#This Row],[App]],Table2[],3,0),"open")</f>
        <v>ok</v>
      </c>
      <c r="C3177" s="124" t="s">
        <v>369</v>
      </c>
      <c r="D3177" t="s">
        <v>5348</v>
      </c>
      <c r="E3177" t="s">
        <v>5452</v>
      </c>
      <c r="F3177" s="125" t="s">
        <v>5452</v>
      </c>
      <c r="G3177" s="124" t="s">
        <v>406</v>
      </c>
      <c r="H3177" s="125" t="str">
        <f>IF(Proc[[#This Row],[type]]="LFF (MDG-F)",MID(Proc[[#This Row],[Obj]],13,10),"")</f>
        <v>DE10638450</v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MGF</v>
      </c>
      <c r="L3177" s="125" t="s">
        <v>4894</v>
      </c>
      <c r="M3177" s="113">
        <v>45874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87</v>
      </c>
      <c r="R3177" s="115" t="s">
        <v>1459</v>
      </c>
      <c r="S3177" s="125"/>
    </row>
    <row r="3178" spans="1:19" hidden="1">
      <c r="A3178" s="124" t="s">
        <v>5478</v>
      </c>
      <c r="B3178" s="149" t="str">
        <f>IFERROR(VLOOKUP(Proc[[#This Row],[App]],Table2[],3,0),"open")</f>
        <v>ok</v>
      </c>
      <c r="C3178" s="124" t="s">
        <v>369</v>
      </c>
      <c r="D3178" t="s">
        <v>5349</v>
      </c>
      <c r="E3178" t="s">
        <v>5450</v>
      </c>
      <c r="F3178" s="125" t="s">
        <v>5450</v>
      </c>
      <c r="G3178" s="124" t="s">
        <v>406</v>
      </c>
      <c r="H3178" s="125" t="str">
        <f>IF(Proc[[#This Row],[type]]="LFF (MDG-F)",MID(Proc[[#This Row],[Obj]],13,10),"")</f>
        <v>DE10GMS020</v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MGF</v>
      </c>
      <c r="L3178" s="125" t="s">
        <v>4894</v>
      </c>
      <c r="M3178" s="113">
        <v>45874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87</v>
      </c>
      <c r="R3178" s="115" t="s">
        <v>1459</v>
      </c>
      <c r="S3178" s="125"/>
    </row>
    <row r="3179" spans="1:19" hidden="1">
      <c r="A3179" s="124" t="s">
        <v>5478</v>
      </c>
      <c r="B3179" s="149" t="str">
        <f>IFERROR(VLOOKUP(Proc[[#This Row],[App]],Table2[],3,0),"open")</f>
        <v>ok</v>
      </c>
      <c r="C3179" s="124" t="s">
        <v>369</v>
      </c>
      <c r="D3179" t="s">
        <v>5350</v>
      </c>
      <c r="E3179" t="s">
        <v>5449</v>
      </c>
      <c r="F3179" s="125" t="s">
        <v>5449</v>
      </c>
      <c r="G3179" s="124" t="s">
        <v>406</v>
      </c>
      <c r="H3179" s="125" t="str">
        <f>IF(Proc[[#This Row],[type]]="LFF (MDG-F)",MID(Proc[[#This Row],[Obj]],13,10),"")</f>
        <v>DE10GMS041</v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MGF</v>
      </c>
      <c r="L3179" s="125" t="s">
        <v>4894</v>
      </c>
      <c r="M3179" s="113">
        <v>45874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87</v>
      </c>
      <c r="R3179" s="115" t="s">
        <v>1459</v>
      </c>
      <c r="S3179" s="125"/>
    </row>
    <row r="3180" spans="1:19" hidden="1">
      <c r="A3180" s="124" t="s">
        <v>5478</v>
      </c>
      <c r="B3180" s="149" t="str">
        <f>IFERROR(VLOOKUP(Proc[[#This Row],[App]],Table2[],3,0),"open")</f>
        <v>ok</v>
      </c>
      <c r="C3180" s="124" t="s">
        <v>369</v>
      </c>
      <c r="D3180" t="s">
        <v>5351</v>
      </c>
      <c r="E3180" t="s">
        <v>5450</v>
      </c>
      <c r="F3180" s="125" t="s">
        <v>5450</v>
      </c>
      <c r="G3180" s="124" t="s">
        <v>406</v>
      </c>
      <c r="H3180" s="125" t="str">
        <f>IF(Proc[[#This Row],[type]]="LFF (MDG-F)",MID(Proc[[#This Row],[Obj]],13,10),"")</f>
        <v>DE10698300</v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MGF</v>
      </c>
      <c r="L3180" s="125" t="s">
        <v>4894</v>
      </c>
      <c r="M3180" s="113">
        <v>45874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87</v>
      </c>
      <c r="R3180" s="115" t="s">
        <v>1459</v>
      </c>
      <c r="S3180" s="125"/>
    </row>
    <row r="3181" spans="1:19" hidden="1">
      <c r="A3181" s="124" t="s">
        <v>5478</v>
      </c>
      <c r="B3181" s="149" t="str">
        <f>IFERROR(VLOOKUP(Proc[[#This Row],[App]],Table2[],3,0),"open")</f>
        <v>ok</v>
      </c>
      <c r="C3181" s="124" t="s">
        <v>369</v>
      </c>
      <c r="D3181" t="s">
        <v>5352</v>
      </c>
      <c r="E3181" t="s">
        <v>5450</v>
      </c>
      <c r="F3181" s="125" t="s">
        <v>5450</v>
      </c>
      <c r="G3181" s="124" t="s">
        <v>406</v>
      </c>
      <c r="H3181" s="125" t="str">
        <f>IF(Proc[[#This Row],[type]]="LFF (MDG-F)",MID(Proc[[#This Row],[Obj]],13,10),"")</f>
        <v>DE10669630</v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MGF</v>
      </c>
      <c r="L3181" s="125" t="s">
        <v>4894</v>
      </c>
      <c r="M3181" s="113">
        <v>45874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87</v>
      </c>
      <c r="R3181" s="115" t="s">
        <v>1459</v>
      </c>
      <c r="S3181" s="125"/>
    </row>
    <row r="3182" spans="1:19" hidden="1">
      <c r="A3182" s="124" t="s">
        <v>5478</v>
      </c>
      <c r="B3182" s="149" t="str">
        <f>IFERROR(VLOOKUP(Proc[[#This Row],[App]],Table2[],3,0),"open")</f>
        <v>ok</v>
      </c>
      <c r="C3182" s="124" t="s">
        <v>369</v>
      </c>
      <c r="D3182" t="s">
        <v>5353</v>
      </c>
      <c r="E3182" t="s">
        <v>5450</v>
      </c>
      <c r="F3182" s="125" t="s">
        <v>5450</v>
      </c>
      <c r="G3182" s="124" t="s">
        <v>406</v>
      </c>
      <c r="H3182" s="125" t="str">
        <f>IF(Proc[[#This Row],[type]]="LFF (MDG-F)",MID(Proc[[#This Row],[Obj]],13,10),"")</f>
        <v>DE10669642</v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MGF</v>
      </c>
      <c r="L3182" s="125" t="s">
        <v>4894</v>
      </c>
      <c r="M3182" s="113">
        <v>45874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87</v>
      </c>
      <c r="R3182" s="115" t="s">
        <v>1459</v>
      </c>
      <c r="S3182" s="125"/>
    </row>
    <row r="3183" spans="1:19" hidden="1">
      <c r="A3183" s="124" t="s">
        <v>5478</v>
      </c>
      <c r="B3183" s="149" t="str">
        <f>IFERROR(VLOOKUP(Proc[[#This Row],[App]],Table2[],3,0),"open")</f>
        <v>ok</v>
      </c>
      <c r="C3183" s="124" t="s">
        <v>369</v>
      </c>
      <c r="D3183" t="s">
        <v>5354</v>
      </c>
      <c r="E3183" t="s">
        <v>5450</v>
      </c>
      <c r="F3183" s="125" t="s">
        <v>5450</v>
      </c>
      <c r="G3183" s="124" t="s">
        <v>406</v>
      </c>
      <c r="H3183" s="125" t="str">
        <f>IF(Proc[[#This Row],[type]]="LFF (MDG-F)",MID(Proc[[#This Row],[Obj]],13,10),"")</f>
        <v>DE10Y00008</v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MGF</v>
      </c>
      <c r="L3183" s="125" t="s">
        <v>4894</v>
      </c>
      <c r="M3183" s="113">
        <v>45874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87</v>
      </c>
      <c r="R3183" s="115" t="s">
        <v>1459</v>
      </c>
      <c r="S3183" s="125"/>
    </row>
    <row r="3184" spans="1:19" hidden="1">
      <c r="A3184" s="124" t="s">
        <v>5478</v>
      </c>
      <c r="B3184" s="149" t="str">
        <f>IFERROR(VLOOKUP(Proc[[#This Row],[App]],Table2[],3,0),"open")</f>
        <v>ok</v>
      </c>
      <c r="C3184" s="124" t="s">
        <v>369</v>
      </c>
      <c r="D3184" t="s">
        <v>5355</v>
      </c>
      <c r="E3184" t="s">
        <v>5446</v>
      </c>
      <c r="F3184" s="125" t="s">
        <v>5446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MGF</v>
      </c>
      <c r="L3184" s="125" t="s">
        <v>4894</v>
      </c>
      <c r="M3184" s="113">
        <v>45874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87</v>
      </c>
      <c r="R3184" s="115" t="s">
        <v>1459</v>
      </c>
      <c r="S3184" s="125"/>
    </row>
    <row r="3185" spans="1:19" hidden="1">
      <c r="A3185" s="124" t="s">
        <v>5478</v>
      </c>
      <c r="B3185" s="149" t="str">
        <f>IFERROR(VLOOKUP(Proc[[#This Row],[App]],Table2[],3,0),"open")</f>
        <v>ok</v>
      </c>
      <c r="C3185" s="124" t="s">
        <v>369</v>
      </c>
      <c r="D3185" t="s">
        <v>5356</v>
      </c>
      <c r="E3185" t="s">
        <v>5446</v>
      </c>
      <c r="F3185" s="125" t="s">
        <v>5446</v>
      </c>
      <c r="G3185" s="124" t="s">
        <v>406</v>
      </c>
      <c r="H3185" s="125" t="str">
        <f>IF(Proc[[#This Row],[type]]="LFF (MDG-F)",MID(Proc[[#This Row],[Obj]],13,10),"")</f>
        <v>CN70GIT301</v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MGF</v>
      </c>
      <c r="L3185" s="125" t="s">
        <v>4894</v>
      </c>
      <c r="M3185" s="113">
        <v>45874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87</v>
      </c>
      <c r="R3185" s="115" t="s">
        <v>1459</v>
      </c>
      <c r="S3185" s="125"/>
    </row>
    <row r="3186" spans="1:19" hidden="1">
      <c r="A3186" s="124" t="s">
        <v>5478</v>
      </c>
      <c r="B3186" s="149" t="str">
        <f>IFERROR(VLOOKUP(Proc[[#This Row],[App]],Table2[],3,0),"open")</f>
        <v>ok</v>
      </c>
      <c r="C3186" s="124" t="s">
        <v>369</v>
      </c>
      <c r="D3186" t="s">
        <v>5357</v>
      </c>
      <c r="E3186" t="s">
        <v>5452</v>
      </c>
      <c r="F3186" s="125" t="s">
        <v>5452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MGF</v>
      </c>
      <c r="L3186" s="125" t="s">
        <v>4894</v>
      </c>
      <c r="M3186" s="113">
        <v>45874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87</v>
      </c>
      <c r="R3186" s="115" t="s">
        <v>1459</v>
      </c>
      <c r="S3186" s="125"/>
    </row>
    <row r="3187" spans="1:19" hidden="1">
      <c r="A3187" s="124" t="s">
        <v>5478</v>
      </c>
      <c r="B3187" s="149" t="str">
        <f>IFERROR(VLOOKUP(Proc[[#This Row],[App]],Table2[],3,0),"open")</f>
        <v>ok</v>
      </c>
      <c r="C3187" s="124" t="s">
        <v>369</v>
      </c>
      <c r="D3187" t="s">
        <v>5358</v>
      </c>
      <c r="E3187" t="s">
        <v>5467</v>
      </c>
      <c r="F3187" s="125" t="s">
        <v>5467</v>
      </c>
      <c r="G3187" s="124" t="s">
        <v>406</v>
      </c>
      <c r="H3187" s="125" t="str">
        <f>IF(Proc[[#This Row],[type]]="LFF (MDG-F)",MID(Proc[[#This Row],[Obj]],13,10),"")</f>
        <v>EG50GIT051</v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MGF</v>
      </c>
      <c r="L3187" s="125" t="s">
        <v>4894</v>
      </c>
      <c r="M3187" s="113">
        <v>45874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87</v>
      </c>
      <c r="R3187" s="115" t="s">
        <v>1459</v>
      </c>
      <c r="S3187" s="125"/>
    </row>
    <row r="3188" spans="1:19" hidden="1">
      <c r="A3188" s="124" t="s">
        <v>5478</v>
      </c>
      <c r="B3188" s="149" t="str">
        <f>IFERROR(VLOOKUP(Proc[[#This Row],[App]],Table2[],3,0),"open")</f>
        <v>ok</v>
      </c>
      <c r="C3188" s="124" t="s">
        <v>369</v>
      </c>
      <c r="D3188" t="s">
        <v>5359</v>
      </c>
      <c r="E3188" t="s">
        <v>5468</v>
      </c>
      <c r="F3188" s="125" t="s">
        <v>5468</v>
      </c>
      <c r="G3188" s="124" t="s">
        <v>406</v>
      </c>
      <c r="H3188" s="125" t="str">
        <f>IF(Proc[[#This Row],[type]]="LFF (MDG-F)",MID(Proc[[#This Row],[Obj]],13,10),"")</f>
        <v>EG50GIT030</v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MGF</v>
      </c>
      <c r="L3188" s="125" t="s">
        <v>4894</v>
      </c>
      <c r="M3188" s="113">
        <v>45874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87</v>
      </c>
      <c r="R3188" s="115" t="s">
        <v>1459</v>
      </c>
      <c r="S3188" s="125"/>
    </row>
    <row r="3189" spans="1:19" hidden="1">
      <c r="A3189" s="124" t="s">
        <v>5478</v>
      </c>
      <c r="B3189" s="149" t="str">
        <f>IFERROR(VLOOKUP(Proc[[#This Row],[App]],Table2[],3,0),"open")</f>
        <v>ok</v>
      </c>
      <c r="C3189" s="124" t="s">
        <v>369</v>
      </c>
      <c r="D3189" t="s">
        <v>5360</v>
      </c>
      <c r="E3189" t="s">
        <v>5445</v>
      </c>
      <c r="F3189" s="125" t="s">
        <v>5445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MGF</v>
      </c>
      <c r="L3189" s="125" t="s">
        <v>4894</v>
      </c>
      <c r="M3189" s="113">
        <v>45874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87</v>
      </c>
      <c r="R3189" s="115" t="s">
        <v>1459</v>
      </c>
      <c r="S3189" s="125"/>
    </row>
    <row r="3190" spans="1:19" hidden="1">
      <c r="A3190" s="124" t="s">
        <v>5478</v>
      </c>
      <c r="B3190" s="149" t="str">
        <f>IFERROR(VLOOKUP(Proc[[#This Row],[App]],Table2[],3,0),"open")</f>
        <v>ok</v>
      </c>
      <c r="C3190" s="124" t="s">
        <v>369</v>
      </c>
      <c r="D3190" t="s">
        <v>5361</v>
      </c>
      <c r="E3190" t="s">
        <v>5449</v>
      </c>
      <c r="F3190" s="125" t="s">
        <v>5449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MGF</v>
      </c>
      <c r="L3190" s="125" t="s">
        <v>4894</v>
      </c>
      <c r="M3190" s="113">
        <v>45874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87</v>
      </c>
      <c r="R3190" s="115" t="s">
        <v>1459</v>
      </c>
      <c r="S3190" s="125"/>
    </row>
    <row r="3191" spans="1:19" hidden="1">
      <c r="A3191" s="124" t="s">
        <v>5478</v>
      </c>
      <c r="B3191" s="149" t="str">
        <f>IFERROR(VLOOKUP(Proc[[#This Row],[App]],Table2[],3,0),"open")</f>
        <v>ok</v>
      </c>
      <c r="C3191" s="124" t="s">
        <v>369</v>
      </c>
      <c r="D3191" t="s">
        <v>5362</v>
      </c>
      <c r="E3191" t="s">
        <v>5449</v>
      </c>
      <c r="F3191" s="125" t="s">
        <v>5449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MGF</v>
      </c>
      <c r="L3191" s="125" t="s">
        <v>4894</v>
      </c>
      <c r="M3191" s="113">
        <v>45874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87</v>
      </c>
      <c r="R3191" s="115" t="s">
        <v>1459</v>
      </c>
      <c r="S3191" s="125"/>
    </row>
    <row r="3192" spans="1:19" hidden="1">
      <c r="A3192" s="124" t="s">
        <v>5478</v>
      </c>
      <c r="B3192" s="149" t="str">
        <f>IFERROR(VLOOKUP(Proc[[#This Row],[App]],Table2[],3,0),"open")</f>
        <v>ok</v>
      </c>
      <c r="C3192" s="124" t="s">
        <v>369</v>
      </c>
      <c r="D3192" t="s">
        <v>5363</v>
      </c>
      <c r="E3192" t="s">
        <v>5457</v>
      </c>
      <c r="F3192" s="125" t="s">
        <v>5457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MGF</v>
      </c>
      <c r="L3192" s="125" t="s">
        <v>4894</v>
      </c>
      <c r="M3192" s="113">
        <v>45874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87</v>
      </c>
      <c r="R3192" s="115" t="s">
        <v>1459</v>
      </c>
      <c r="S3192" s="125"/>
    </row>
    <row r="3193" spans="1:19" hidden="1">
      <c r="A3193" s="124" t="s">
        <v>5478</v>
      </c>
      <c r="B3193" s="149" t="str">
        <f>IFERROR(VLOOKUP(Proc[[#This Row],[App]],Table2[],3,0),"open")</f>
        <v>ok</v>
      </c>
      <c r="C3193" s="124" t="s">
        <v>369</v>
      </c>
      <c r="D3193" t="s">
        <v>5364</v>
      </c>
      <c r="E3193" t="s">
        <v>5446</v>
      </c>
      <c r="F3193" s="125" t="s">
        <v>5446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MGF</v>
      </c>
      <c r="L3193" s="125" t="s">
        <v>4894</v>
      </c>
      <c r="M3193" s="113">
        <v>45874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87</v>
      </c>
      <c r="R3193" s="115" t="s">
        <v>1459</v>
      </c>
      <c r="S3193" s="125"/>
    </row>
    <row r="3194" spans="1:19" hidden="1">
      <c r="A3194" s="124" t="s">
        <v>5478</v>
      </c>
      <c r="B3194" s="149" t="str">
        <f>IFERROR(VLOOKUP(Proc[[#This Row],[App]],Table2[],3,0),"open")</f>
        <v>ok</v>
      </c>
      <c r="C3194" s="124" t="s">
        <v>369</v>
      </c>
      <c r="D3194" t="s">
        <v>5365</v>
      </c>
      <c r="E3194" t="s">
        <v>5469</v>
      </c>
      <c r="F3194" s="125" t="s">
        <v>5469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MGF</v>
      </c>
      <c r="L3194" s="125" t="s">
        <v>4894</v>
      </c>
      <c r="M3194" s="113">
        <v>45874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87</v>
      </c>
      <c r="R3194" s="115" t="s">
        <v>1459</v>
      </c>
      <c r="S3194" s="125"/>
    </row>
    <row r="3195" spans="1:19" hidden="1">
      <c r="A3195" s="124" t="s">
        <v>5478</v>
      </c>
      <c r="B3195" s="149" t="str">
        <f>IFERROR(VLOOKUP(Proc[[#This Row],[App]],Table2[],3,0),"open")</f>
        <v>ok</v>
      </c>
      <c r="C3195" s="124" t="s">
        <v>369</v>
      </c>
      <c r="D3195" t="s">
        <v>5366</v>
      </c>
      <c r="E3195" t="s">
        <v>5456</v>
      </c>
      <c r="F3195" s="125" t="s">
        <v>5456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MGF</v>
      </c>
      <c r="L3195" s="125" t="s">
        <v>4894</v>
      </c>
      <c r="M3195" s="113">
        <v>45874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87</v>
      </c>
      <c r="R3195" s="115" t="s">
        <v>1459</v>
      </c>
      <c r="S3195" s="125"/>
    </row>
    <row r="3196" spans="1:19" hidden="1">
      <c r="A3196" s="124" t="s">
        <v>5478</v>
      </c>
      <c r="B3196" s="149" t="str">
        <f>IFERROR(VLOOKUP(Proc[[#This Row],[App]],Table2[],3,0),"open")</f>
        <v>ok</v>
      </c>
      <c r="C3196" s="124" t="s">
        <v>369</v>
      </c>
      <c r="D3196" t="s">
        <v>5367</v>
      </c>
      <c r="E3196" t="s">
        <v>5452</v>
      </c>
      <c r="F3196" s="125" t="s">
        <v>5452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MGF</v>
      </c>
      <c r="L3196" s="125" t="s">
        <v>4894</v>
      </c>
      <c r="M3196" s="113">
        <v>45874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87</v>
      </c>
      <c r="R3196" s="115" t="s">
        <v>1459</v>
      </c>
      <c r="S3196" s="125"/>
    </row>
    <row r="3197" spans="1:19" hidden="1">
      <c r="A3197" s="124" t="s">
        <v>5478</v>
      </c>
      <c r="B3197" s="149" t="str">
        <f>IFERROR(VLOOKUP(Proc[[#This Row],[App]],Table2[],3,0),"open")</f>
        <v>ok</v>
      </c>
      <c r="C3197" s="124" t="s">
        <v>369</v>
      </c>
      <c r="D3197" t="s">
        <v>5368</v>
      </c>
      <c r="E3197" t="s">
        <v>661</v>
      </c>
      <c r="F3197" s="125" t="s">
        <v>661</v>
      </c>
      <c r="G3197" s="124" t="s">
        <v>406</v>
      </c>
      <c r="H3197" s="125" t="str">
        <f>IF(Proc[[#This Row],[type]]="LFF (MDG-F)",MID(Proc[[#This Row],[Obj]],13,10),"")</f>
        <v>CH65YIT001</v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MGF</v>
      </c>
      <c r="L3197" s="125" t="s">
        <v>4894</v>
      </c>
      <c r="M3197" s="113">
        <v>45874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87</v>
      </c>
      <c r="R3197" s="115" t="s">
        <v>1459</v>
      </c>
      <c r="S3197" s="125"/>
    </row>
    <row r="3198" spans="1:19" hidden="1">
      <c r="A3198" s="124" t="s">
        <v>5478</v>
      </c>
      <c r="B3198" s="149" t="str">
        <f>IFERROR(VLOOKUP(Proc[[#This Row],[App]],Table2[],3,0),"open")</f>
        <v>ok</v>
      </c>
      <c r="C3198" s="124" t="s">
        <v>369</v>
      </c>
      <c r="D3198" t="s">
        <v>5369</v>
      </c>
      <c r="E3198" t="s">
        <v>5444</v>
      </c>
      <c r="F3198" s="125" t="s">
        <v>5444</v>
      </c>
      <c r="G3198" s="124" t="s">
        <v>406</v>
      </c>
      <c r="H3198" s="125" t="str">
        <f>IF(Proc[[#This Row],[type]]="LFF (MDG-F)",MID(Proc[[#This Row],[Obj]],13,10),"")</f>
        <v>CH65GIT011</v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MGF</v>
      </c>
      <c r="L3198" s="125" t="s">
        <v>4894</v>
      </c>
      <c r="M3198" s="113">
        <v>45874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87</v>
      </c>
      <c r="R3198" s="115" t="s">
        <v>1459</v>
      </c>
      <c r="S3198" s="125"/>
    </row>
    <row r="3199" spans="1:19" hidden="1">
      <c r="A3199" s="124" t="s">
        <v>5478</v>
      </c>
      <c r="B3199" s="149" t="str">
        <f>IFERROR(VLOOKUP(Proc[[#This Row],[App]],Table2[],3,0),"open")</f>
        <v>ok</v>
      </c>
      <c r="C3199" s="124" t="s">
        <v>369</v>
      </c>
      <c r="D3199" t="s">
        <v>5370</v>
      </c>
      <c r="E3199" t="s">
        <v>5445</v>
      </c>
      <c r="F3199" s="125" t="s">
        <v>5445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MGF</v>
      </c>
      <c r="L3199" s="125" t="s">
        <v>4894</v>
      </c>
      <c r="M3199" s="113">
        <v>45874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87</v>
      </c>
      <c r="R3199" s="115" t="s">
        <v>1459</v>
      </c>
      <c r="S3199" s="125"/>
    </row>
    <row r="3200" spans="1:19" hidden="1">
      <c r="A3200" s="124" t="s">
        <v>5478</v>
      </c>
      <c r="B3200" s="149" t="str">
        <f>IFERROR(VLOOKUP(Proc[[#This Row],[App]],Table2[],3,0),"open")</f>
        <v>ok</v>
      </c>
      <c r="C3200" s="124" t="s">
        <v>369</v>
      </c>
      <c r="D3200" t="s">
        <v>5371</v>
      </c>
      <c r="E3200" t="s">
        <v>5446</v>
      </c>
      <c r="F3200" s="125" t="s">
        <v>5446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MGF</v>
      </c>
      <c r="L3200" s="125" t="s">
        <v>4894</v>
      </c>
      <c r="M3200" s="113">
        <v>45874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87</v>
      </c>
      <c r="R3200" s="115" t="s">
        <v>1459</v>
      </c>
      <c r="S3200" s="125"/>
    </row>
    <row r="3201" spans="1:19" hidden="1">
      <c r="A3201" s="124" t="s">
        <v>5478</v>
      </c>
      <c r="B3201" s="149" t="str">
        <f>IFERROR(VLOOKUP(Proc[[#This Row],[App]],Table2[],3,0),"open")</f>
        <v>ok</v>
      </c>
      <c r="C3201" s="124" t="s">
        <v>369</v>
      </c>
      <c r="D3201" t="s">
        <v>2569</v>
      </c>
      <c r="E3201" t="s">
        <v>5453</v>
      </c>
      <c r="F3201" s="125" t="s">
        <v>5453</v>
      </c>
      <c r="G3201" s="124" t="s">
        <v>406</v>
      </c>
      <c r="H3201" s="125" t="str">
        <f>IF(Proc[[#This Row],[type]]="LFF (MDG-F)",MID(Proc[[#This Row],[Obj]],13,10),"")</f>
        <v>CH50GIT032</v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MGF</v>
      </c>
      <c r="L3201" s="125" t="s">
        <v>4894</v>
      </c>
      <c r="M3201" s="113">
        <v>45874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87</v>
      </c>
      <c r="R3201" s="115" t="s">
        <v>1459</v>
      </c>
      <c r="S3201" s="125"/>
    </row>
    <row r="3202" spans="1:19" hidden="1">
      <c r="A3202" s="124" t="s">
        <v>5478</v>
      </c>
      <c r="B3202" s="149" t="str">
        <f>IFERROR(VLOOKUP(Proc[[#This Row],[App]],Table2[],3,0),"open")</f>
        <v>ok</v>
      </c>
      <c r="C3202" s="124" t="s">
        <v>369</v>
      </c>
      <c r="D3202" t="s">
        <v>5372</v>
      </c>
      <c r="E3202" t="s">
        <v>424</v>
      </c>
      <c r="F3202" s="125" t="s">
        <v>424</v>
      </c>
      <c r="G3202" s="124" t="s">
        <v>406</v>
      </c>
      <c r="H3202" s="125" t="str">
        <f>IF(Proc[[#This Row],[type]]="LFF (MDG-F)",MID(Proc[[#This Row],[Obj]],13,10),"")</f>
        <v>KR03GIT01B</v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MGF</v>
      </c>
      <c r="L3202" s="125" t="s">
        <v>4894</v>
      </c>
      <c r="M3202" s="113">
        <v>45874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87</v>
      </c>
      <c r="R3202" s="115" t="s">
        <v>1459</v>
      </c>
      <c r="S3202" s="125"/>
    </row>
    <row r="3203" spans="1:19" hidden="1">
      <c r="A3203" s="124" t="s">
        <v>5478</v>
      </c>
      <c r="B3203" s="149" t="str">
        <f>IFERROR(VLOOKUP(Proc[[#This Row],[App]],Table2[],3,0),"open")</f>
        <v>ok</v>
      </c>
      <c r="C3203" s="124" t="s">
        <v>369</v>
      </c>
      <c r="D3203" t="s">
        <v>5373</v>
      </c>
      <c r="E3203" t="s">
        <v>5446</v>
      </c>
      <c r="F3203" s="125" t="s">
        <v>5446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MGF</v>
      </c>
      <c r="L3203" s="125" t="s">
        <v>4894</v>
      </c>
      <c r="M3203" s="113">
        <v>45874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87</v>
      </c>
      <c r="R3203" s="115" t="s">
        <v>1459</v>
      </c>
      <c r="S3203" s="125"/>
    </row>
    <row r="3204" spans="1:19" hidden="1">
      <c r="A3204" s="124" t="s">
        <v>5478</v>
      </c>
      <c r="B3204" s="149" t="str">
        <f>IFERROR(VLOOKUP(Proc[[#This Row],[App]],Table2[],3,0),"open")</f>
        <v>ok</v>
      </c>
      <c r="C3204" s="124" t="s">
        <v>369</v>
      </c>
      <c r="D3204" t="s">
        <v>5374</v>
      </c>
      <c r="E3204" t="s">
        <v>5445</v>
      </c>
      <c r="F3204" s="125" t="s">
        <v>5445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MGF</v>
      </c>
      <c r="L3204" s="125" t="s">
        <v>4894</v>
      </c>
      <c r="M3204" s="113">
        <v>45874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87</v>
      </c>
      <c r="R3204" s="115" t="s">
        <v>1459</v>
      </c>
      <c r="S3204" s="125"/>
    </row>
    <row r="3205" spans="1:19" hidden="1">
      <c r="A3205" s="124" t="s">
        <v>5478</v>
      </c>
      <c r="B3205" s="149" t="str">
        <f>IFERROR(VLOOKUP(Proc[[#This Row],[App]],Table2[],3,0),"open")</f>
        <v>ok</v>
      </c>
      <c r="C3205" s="124" t="s">
        <v>369</v>
      </c>
      <c r="D3205" t="s">
        <v>5375</v>
      </c>
      <c r="E3205" t="s">
        <v>5470</v>
      </c>
      <c r="F3205" s="125" t="s">
        <v>5470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MGF</v>
      </c>
      <c r="L3205" s="125" t="s">
        <v>4894</v>
      </c>
      <c r="M3205" s="113">
        <v>45874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87</v>
      </c>
      <c r="R3205" s="115" t="s">
        <v>1459</v>
      </c>
      <c r="S3205" s="125"/>
    </row>
    <row r="3206" spans="1:19" hidden="1">
      <c r="A3206" s="124" t="s">
        <v>5478</v>
      </c>
      <c r="B3206" s="149" t="str">
        <f>IFERROR(VLOOKUP(Proc[[#This Row],[App]],Table2[],3,0),"open")</f>
        <v>ok</v>
      </c>
      <c r="C3206" s="124" t="s">
        <v>369</v>
      </c>
      <c r="D3206" t="s">
        <v>5376</v>
      </c>
      <c r="E3206" t="s">
        <v>5444</v>
      </c>
      <c r="F3206" s="125" t="s">
        <v>5444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MGF</v>
      </c>
      <c r="L3206" s="125" t="s">
        <v>4894</v>
      </c>
      <c r="M3206" s="113">
        <v>45874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87</v>
      </c>
      <c r="R3206" s="115" t="s">
        <v>1459</v>
      </c>
      <c r="S3206" s="125"/>
    </row>
    <row r="3207" spans="1:19" hidden="1">
      <c r="A3207" s="124" t="s">
        <v>5478</v>
      </c>
      <c r="B3207" s="149" t="str">
        <f>IFERROR(VLOOKUP(Proc[[#This Row],[App]],Table2[],3,0),"open")</f>
        <v>ok</v>
      </c>
      <c r="C3207" s="124" t="s">
        <v>369</v>
      </c>
      <c r="D3207" t="s">
        <v>5377</v>
      </c>
      <c r="E3207" t="s">
        <v>5464</v>
      </c>
      <c r="F3207" s="125" t="s">
        <v>5464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MGF</v>
      </c>
      <c r="L3207" s="125" t="s">
        <v>4894</v>
      </c>
      <c r="M3207" s="113">
        <v>45874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87</v>
      </c>
      <c r="R3207" s="115" t="s">
        <v>1459</v>
      </c>
      <c r="S3207" s="125"/>
    </row>
    <row r="3208" spans="1:19" hidden="1">
      <c r="A3208" s="124" t="s">
        <v>5478</v>
      </c>
      <c r="B3208" s="149" t="str">
        <f>IFERROR(VLOOKUP(Proc[[#This Row],[App]],Table2[],3,0),"open")</f>
        <v>ok</v>
      </c>
      <c r="C3208" s="124" t="s">
        <v>369</v>
      </c>
      <c r="D3208" t="s">
        <v>5378</v>
      </c>
      <c r="E3208" t="s">
        <v>5446</v>
      </c>
      <c r="F3208" s="125" t="s">
        <v>5446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MGF</v>
      </c>
      <c r="L3208" s="125" t="s">
        <v>4894</v>
      </c>
      <c r="M3208" s="113">
        <v>45874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87</v>
      </c>
      <c r="R3208" s="115" t="s">
        <v>1459</v>
      </c>
      <c r="S3208" s="125"/>
    </row>
    <row r="3209" spans="1:19" hidden="1">
      <c r="A3209" s="124" t="s">
        <v>5478</v>
      </c>
      <c r="B3209" s="149" t="str">
        <f>IFERROR(VLOOKUP(Proc[[#This Row],[App]],Table2[],3,0),"open")</f>
        <v>ok</v>
      </c>
      <c r="C3209" s="124" t="s">
        <v>369</v>
      </c>
      <c r="D3209" t="s">
        <v>5379</v>
      </c>
      <c r="E3209" t="s">
        <v>5455</v>
      </c>
      <c r="F3209" s="125" t="s">
        <v>5455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MGF</v>
      </c>
      <c r="L3209" s="125" t="s">
        <v>4894</v>
      </c>
      <c r="M3209" s="113">
        <v>45874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87</v>
      </c>
      <c r="R3209" s="115" t="s">
        <v>1459</v>
      </c>
      <c r="S3209" s="125"/>
    </row>
    <row r="3210" spans="1:19" hidden="1">
      <c r="A3210" s="124" t="s">
        <v>5478</v>
      </c>
      <c r="B3210" s="149" t="str">
        <f>IFERROR(VLOOKUP(Proc[[#This Row],[App]],Table2[],3,0),"open")</f>
        <v>ok</v>
      </c>
      <c r="C3210" s="124" t="s">
        <v>369</v>
      </c>
      <c r="D3210" t="s">
        <v>5380</v>
      </c>
      <c r="E3210" t="s">
        <v>5445</v>
      </c>
      <c r="F3210" s="125" t="s">
        <v>5445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MGF</v>
      </c>
      <c r="L3210" s="125" t="s">
        <v>4894</v>
      </c>
      <c r="M3210" s="113">
        <v>45874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87</v>
      </c>
      <c r="R3210" s="115" t="s">
        <v>1459</v>
      </c>
      <c r="S3210" s="125"/>
    </row>
    <row r="3211" spans="1:19" hidden="1">
      <c r="A3211" s="124" t="s">
        <v>5478</v>
      </c>
      <c r="B3211" s="149" t="str">
        <f>IFERROR(VLOOKUP(Proc[[#This Row],[App]],Table2[],3,0),"open")</f>
        <v>ok</v>
      </c>
      <c r="C3211" s="124" t="s">
        <v>369</v>
      </c>
      <c r="D3211" t="s">
        <v>5381</v>
      </c>
      <c r="E3211" t="s">
        <v>5453</v>
      </c>
      <c r="F3211" s="125" t="s">
        <v>5453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MGF</v>
      </c>
      <c r="L3211" s="125" t="s">
        <v>4894</v>
      </c>
      <c r="M3211" s="113">
        <v>45874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87</v>
      </c>
      <c r="R3211" s="115" t="s">
        <v>1459</v>
      </c>
      <c r="S3211" s="125"/>
    </row>
    <row r="3212" spans="1:19" hidden="1">
      <c r="A3212" s="124" t="s">
        <v>5478</v>
      </c>
      <c r="B3212" s="149" t="str">
        <f>IFERROR(VLOOKUP(Proc[[#This Row],[App]],Table2[],3,0),"open")</f>
        <v>ok</v>
      </c>
      <c r="C3212" s="124" t="s">
        <v>369</v>
      </c>
      <c r="D3212" t="s">
        <v>5382</v>
      </c>
      <c r="E3212" t="s">
        <v>5448</v>
      </c>
      <c r="F3212" s="125" t="s">
        <v>5448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MGF</v>
      </c>
      <c r="L3212" s="125" t="s">
        <v>4894</v>
      </c>
      <c r="M3212" s="113">
        <v>45874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87</v>
      </c>
      <c r="R3212" s="115" t="s">
        <v>1459</v>
      </c>
      <c r="S3212" s="125"/>
    </row>
    <row r="3213" spans="1:19" hidden="1">
      <c r="A3213" s="124" t="s">
        <v>5478</v>
      </c>
      <c r="B3213" s="149" t="str">
        <f>IFERROR(VLOOKUP(Proc[[#This Row],[App]],Table2[],3,0),"open")</f>
        <v>ok</v>
      </c>
      <c r="C3213" s="124" t="s">
        <v>369</v>
      </c>
      <c r="D3213" t="s">
        <v>5383</v>
      </c>
      <c r="E3213" t="s">
        <v>5455</v>
      </c>
      <c r="F3213" s="125" t="s">
        <v>5455</v>
      </c>
      <c r="G3213" s="124" t="s">
        <v>406</v>
      </c>
      <c r="H3213" s="125" t="str">
        <f>IF(Proc[[#This Row],[type]]="LFF (MDG-F)",MID(Proc[[#This Row],[Obj]],13,10),"")</f>
        <v>2029GIT120</v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MGF</v>
      </c>
      <c r="L3213" s="125" t="s">
        <v>4894</v>
      </c>
      <c r="M3213" s="113">
        <v>45874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87</v>
      </c>
      <c r="R3213" s="115" t="s">
        <v>1459</v>
      </c>
      <c r="S3213" s="125"/>
    </row>
    <row r="3214" spans="1:19" hidden="1">
      <c r="A3214" s="124" t="s">
        <v>5478</v>
      </c>
      <c r="B3214" s="149" t="str">
        <f>IFERROR(VLOOKUP(Proc[[#This Row],[App]],Table2[],3,0),"open")</f>
        <v>ok</v>
      </c>
      <c r="C3214" s="124" t="s">
        <v>369</v>
      </c>
      <c r="D3214" t="s">
        <v>5384</v>
      </c>
      <c r="E3214" t="s">
        <v>5445</v>
      </c>
      <c r="F3214" s="125" t="s">
        <v>5445</v>
      </c>
      <c r="G3214" s="124" t="s">
        <v>406</v>
      </c>
      <c r="H3214" s="125" t="str">
        <f>IF(Proc[[#This Row],[type]]="LFF (MDG-F)",MID(Proc[[#This Row],[Obj]],13,10),"")</f>
        <v>2034GIT120</v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MGF</v>
      </c>
      <c r="L3214" s="125" t="s">
        <v>4894</v>
      </c>
      <c r="M3214" s="113">
        <v>45874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87</v>
      </c>
      <c r="R3214" s="115" t="s">
        <v>1459</v>
      </c>
      <c r="S3214" s="125"/>
    </row>
    <row r="3215" spans="1:19" hidden="1">
      <c r="A3215" s="124" t="s">
        <v>5478</v>
      </c>
      <c r="B3215" s="149" t="str">
        <f>IFERROR(VLOOKUP(Proc[[#This Row],[App]],Table2[],3,0),"open")</f>
        <v>ok</v>
      </c>
      <c r="C3215" s="124" t="s">
        <v>369</v>
      </c>
      <c r="D3215" t="s">
        <v>5385</v>
      </c>
      <c r="E3215" t="s">
        <v>661</v>
      </c>
      <c r="F3215" s="125" t="s">
        <v>661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MGF</v>
      </c>
      <c r="L3215" s="125" t="s">
        <v>4894</v>
      </c>
      <c r="M3215" s="113">
        <v>45874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87</v>
      </c>
      <c r="R3215" s="115" t="s">
        <v>1459</v>
      </c>
      <c r="S3215" s="125"/>
    </row>
    <row r="3216" spans="1:19" hidden="1">
      <c r="A3216" s="124" t="s">
        <v>5478</v>
      </c>
      <c r="B3216" s="149" t="str">
        <f>IFERROR(VLOOKUP(Proc[[#This Row],[App]],Table2[],3,0),"open")</f>
        <v>ok</v>
      </c>
      <c r="C3216" s="124" t="s">
        <v>369</v>
      </c>
      <c r="D3216" t="s">
        <v>5386</v>
      </c>
      <c r="E3216" t="s">
        <v>5445</v>
      </c>
      <c r="F3216" s="125" t="s">
        <v>5445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MGF</v>
      </c>
      <c r="L3216" s="125" t="s">
        <v>4894</v>
      </c>
      <c r="M3216" s="113">
        <v>45874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87</v>
      </c>
      <c r="R3216" s="115" t="s">
        <v>1459</v>
      </c>
      <c r="S3216" s="125"/>
    </row>
    <row r="3217" spans="1:19" hidden="1">
      <c r="A3217" s="124" t="s">
        <v>5478</v>
      </c>
      <c r="B3217" s="149" t="str">
        <f>IFERROR(VLOOKUP(Proc[[#This Row],[App]],Table2[],3,0),"open")</f>
        <v>ok</v>
      </c>
      <c r="C3217" s="124" t="s">
        <v>369</v>
      </c>
      <c r="D3217" t="s">
        <v>5387</v>
      </c>
      <c r="E3217" t="s">
        <v>5471</v>
      </c>
      <c r="F3217" s="125" t="s">
        <v>5471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MGF</v>
      </c>
      <c r="L3217" s="125" t="s">
        <v>4894</v>
      </c>
      <c r="M3217" s="113">
        <v>45874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87</v>
      </c>
      <c r="R3217" s="115" t="s">
        <v>1459</v>
      </c>
      <c r="S3217" s="125"/>
    </row>
    <row r="3218" spans="1:19" hidden="1">
      <c r="A3218" s="124" t="s">
        <v>5478</v>
      </c>
      <c r="B3218" s="149" t="str">
        <f>IFERROR(VLOOKUP(Proc[[#This Row],[App]],Table2[],3,0),"open")</f>
        <v>ok</v>
      </c>
      <c r="C3218" s="124" t="s">
        <v>369</v>
      </c>
      <c r="D3218" t="s">
        <v>5388</v>
      </c>
      <c r="E3218" t="s">
        <v>5472</v>
      </c>
      <c r="F3218" s="125" t="s">
        <v>5472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MGF</v>
      </c>
      <c r="L3218" s="125" t="s">
        <v>4894</v>
      </c>
      <c r="M3218" s="113">
        <v>45874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87</v>
      </c>
      <c r="R3218" s="115" t="s">
        <v>1459</v>
      </c>
      <c r="S3218" s="125"/>
    </row>
    <row r="3219" spans="1:19" hidden="1">
      <c r="A3219" s="124" t="s">
        <v>5478</v>
      </c>
      <c r="B3219" s="149" t="str">
        <f>IFERROR(VLOOKUP(Proc[[#This Row],[App]],Table2[],3,0),"open")</f>
        <v>ok</v>
      </c>
      <c r="C3219" s="124" t="s">
        <v>369</v>
      </c>
      <c r="D3219" t="s">
        <v>5389</v>
      </c>
      <c r="E3219" t="s">
        <v>5453</v>
      </c>
      <c r="F3219" s="125" t="s">
        <v>5453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MGF</v>
      </c>
      <c r="L3219" s="125" t="s">
        <v>4894</v>
      </c>
      <c r="M3219" s="113">
        <v>45874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87</v>
      </c>
      <c r="R3219" s="115" t="s">
        <v>1459</v>
      </c>
      <c r="S3219" s="125"/>
    </row>
    <row r="3220" spans="1:19" hidden="1">
      <c r="A3220" s="124" t="s">
        <v>5478</v>
      </c>
      <c r="B3220" s="149" t="str">
        <f>IFERROR(VLOOKUP(Proc[[#This Row],[App]],Table2[],3,0),"open")</f>
        <v>ok</v>
      </c>
      <c r="C3220" s="124" t="s">
        <v>369</v>
      </c>
      <c r="D3220" t="s">
        <v>5390</v>
      </c>
      <c r="E3220" t="s">
        <v>5446</v>
      </c>
      <c r="F3220" s="125" t="s">
        <v>5446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MGF</v>
      </c>
      <c r="L3220" s="125" t="s">
        <v>4894</v>
      </c>
      <c r="M3220" s="113">
        <v>45874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87</v>
      </c>
      <c r="R3220" s="115" t="s">
        <v>1459</v>
      </c>
      <c r="S3220" s="125"/>
    </row>
    <row r="3221" spans="1:19" hidden="1">
      <c r="A3221" s="124" t="s">
        <v>5478</v>
      </c>
      <c r="B3221" s="149" t="str">
        <f>IFERROR(VLOOKUP(Proc[[#This Row],[App]],Table2[],3,0),"open")</f>
        <v>ok</v>
      </c>
      <c r="C3221" s="124" t="s">
        <v>369</v>
      </c>
      <c r="D3221" t="s">
        <v>5391</v>
      </c>
      <c r="E3221" t="s">
        <v>5455</v>
      </c>
      <c r="F3221" s="125" t="s">
        <v>5455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MGF</v>
      </c>
      <c r="L3221" s="125" t="s">
        <v>4894</v>
      </c>
      <c r="M3221" s="113">
        <v>45874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87</v>
      </c>
      <c r="R3221" s="115" t="s">
        <v>1459</v>
      </c>
      <c r="S3221" s="125"/>
    </row>
    <row r="3222" spans="1:19" hidden="1">
      <c r="A3222" s="124" t="s">
        <v>5478</v>
      </c>
      <c r="B3222" s="149" t="str">
        <f>IFERROR(VLOOKUP(Proc[[#This Row],[App]],Table2[],3,0),"open")</f>
        <v>ok</v>
      </c>
      <c r="C3222" s="124" t="s">
        <v>369</v>
      </c>
      <c r="D3222" t="s">
        <v>5392</v>
      </c>
      <c r="E3222" t="s">
        <v>5453</v>
      </c>
      <c r="F3222" s="125" t="s">
        <v>5453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MGF</v>
      </c>
      <c r="L3222" s="125" t="s">
        <v>4894</v>
      </c>
      <c r="M3222" s="113">
        <v>45874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87</v>
      </c>
      <c r="R3222" s="115" t="s">
        <v>1459</v>
      </c>
      <c r="S3222" s="125"/>
    </row>
    <row r="3223" spans="1:19" hidden="1">
      <c r="A3223" s="124" t="s">
        <v>5478</v>
      </c>
      <c r="B3223" s="149" t="str">
        <f>IFERROR(VLOOKUP(Proc[[#This Row],[App]],Table2[],3,0),"open")</f>
        <v>ok</v>
      </c>
      <c r="C3223" s="124" t="s">
        <v>369</v>
      </c>
      <c r="D3223" t="s">
        <v>5393</v>
      </c>
      <c r="E3223" t="s">
        <v>5445</v>
      </c>
      <c r="F3223" s="125" t="s">
        <v>5445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MGF</v>
      </c>
      <c r="L3223" s="125" t="s">
        <v>4894</v>
      </c>
      <c r="M3223" s="113">
        <v>45874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87</v>
      </c>
      <c r="R3223" s="115" t="s">
        <v>1459</v>
      </c>
      <c r="S3223" s="125"/>
    </row>
    <row r="3224" spans="1:19" hidden="1">
      <c r="A3224" s="124" t="s">
        <v>5478</v>
      </c>
      <c r="B3224" s="149" t="str">
        <f>IFERROR(VLOOKUP(Proc[[#This Row],[App]],Table2[],3,0),"open")</f>
        <v>ok</v>
      </c>
      <c r="C3224" s="124" t="s">
        <v>369</v>
      </c>
      <c r="D3224" t="s">
        <v>5394</v>
      </c>
      <c r="E3224" t="s">
        <v>5452</v>
      </c>
      <c r="F3224" s="125" t="s">
        <v>5452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MGF</v>
      </c>
      <c r="L3224" s="125" t="s">
        <v>4894</v>
      </c>
      <c r="M3224" s="113">
        <v>45874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87</v>
      </c>
      <c r="R3224" s="115" t="s">
        <v>1459</v>
      </c>
      <c r="S3224" s="125"/>
    </row>
    <row r="3225" spans="1:19" hidden="1">
      <c r="A3225" s="124" t="s">
        <v>5478</v>
      </c>
      <c r="B3225" s="149" t="str">
        <f>IFERROR(VLOOKUP(Proc[[#This Row],[App]],Table2[],3,0),"open")</f>
        <v>ok</v>
      </c>
      <c r="C3225" s="124" t="s">
        <v>369</v>
      </c>
      <c r="D3225" t="s">
        <v>5395</v>
      </c>
      <c r="E3225" t="s">
        <v>5446</v>
      </c>
      <c r="F3225" s="125" t="s">
        <v>5446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MGF</v>
      </c>
      <c r="L3225" s="125" t="s">
        <v>4894</v>
      </c>
      <c r="M3225" s="113">
        <v>45874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87</v>
      </c>
      <c r="R3225" s="115" t="s">
        <v>1459</v>
      </c>
      <c r="S3225" s="125"/>
    </row>
    <row r="3226" spans="1:19" hidden="1">
      <c r="A3226" s="124" t="s">
        <v>5478</v>
      </c>
      <c r="B3226" s="149" t="str">
        <f>IFERROR(VLOOKUP(Proc[[#This Row],[App]],Table2[],3,0),"open")</f>
        <v>ok</v>
      </c>
      <c r="C3226" s="124" t="s">
        <v>369</v>
      </c>
      <c r="D3226" t="s">
        <v>5396</v>
      </c>
      <c r="E3226" t="s">
        <v>5445</v>
      </c>
      <c r="F3226" s="125" t="s">
        <v>5445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MGF</v>
      </c>
      <c r="L3226" s="125" t="s">
        <v>4894</v>
      </c>
      <c r="M3226" s="113">
        <v>45874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87</v>
      </c>
      <c r="R3226" s="115" t="s">
        <v>1459</v>
      </c>
      <c r="S3226" s="125"/>
    </row>
    <row r="3227" spans="1:19" hidden="1">
      <c r="A3227" s="124" t="s">
        <v>5478</v>
      </c>
      <c r="B3227" s="149" t="str">
        <f>IFERROR(VLOOKUP(Proc[[#This Row],[App]],Table2[],3,0),"open")</f>
        <v>ok</v>
      </c>
      <c r="C3227" s="124" t="s">
        <v>369</v>
      </c>
      <c r="D3227" t="s">
        <v>5397</v>
      </c>
      <c r="E3227" t="s">
        <v>5445</v>
      </c>
      <c r="F3227" s="125" t="s">
        <v>5445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MGF</v>
      </c>
      <c r="L3227" s="125" t="s">
        <v>4894</v>
      </c>
      <c r="M3227" s="113">
        <v>45874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87</v>
      </c>
      <c r="R3227" s="115" t="s">
        <v>1459</v>
      </c>
      <c r="S3227" s="125"/>
    </row>
    <row r="3228" spans="1:19" hidden="1">
      <c r="A3228" s="124" t="s">
        <v>5478</v>
      </c>
      <c r="B3228" s="149" t="str">
        <f>IFERROR(VLOOKUP(Proc[[#This Row],[App]],Table2[],3,0),"open")</f>
        <v>ok</v>
      </c>
      <c r="C3228" s="124" t="s">
        <v>369</v>
      </c>
      <c r="D3228" t="s">
        <v>5398</v>
      </c>
      <c r="E3228" t="s">
        <v>5448</v>
      </c>
      <c r="F3228" s="125" t="s">
        <v>5448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MGF</v>
      </c>
      <c r="L3228" s="125" t="s">
        <v>4894</v>
      </c>
      <c r="M3228" s="113">
        <v>45874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87</v>
      </c>
      <c r="R3228" s="115" t="s">
        <v>1459</v>
      </c>
      <c r="S3228" s="125"/>
    </row>
    <row r="3229" spans="1:19" hidden="1">
      <c r="A3229" s="124" t="s">
        <v>5478</v>
      </c>
      <c r="B3229" s="149" t="str">
        <f>IFERROR(VLOOKUP(Proc[[#This Row],[App]],Table2[],3,0),"open")</f>
        <v>ok</v>
      </c>
      <c r="C3229" s="124" t="s">
        <v>369</v>
      </c>
      <c r="D3229" t="s">
        <v>5399</v>
      </c>
      <c r="E3229" t="s">
        <v>5448</v>
      </c>
      <c r="F3229" s="125" t="s">
        <v>5448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MGF</v>
      </c>
      <c r="L3229" s="125" t="s">
        <v>4894</v>
      </c>
      <c r="M3229" s="113">
        <v>45874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87</v>
      </c>
      <c r="R3229" s="115" t="s">
        <v>1459</v>
      </c>
      <c r="S3229" s="125"/>
    </row>
    <row r="3230" spans="1:19" hidden="1">
      <c r="A3230" s="124" t="s">
        <v>5478</v>
      </c>
      <c r="B3230" s="149" t="str">
        <f>IFERROR(VLOOKUP(Proc[[#This Row],[App]],Table2[],3,0),"open")</f>
        <v>ok</v>
      </c>
      <c r="C3230" s="124" t="s">
        <v>369</v>
      </c>
      <c r="D3230" t="s">
        <v>5400</v>
      </c>
      <c r="E3230" t="s">
        <v>5456</v>
      </c>
      <c r="F3230" s="125" t="s">
        <v>5456</v>
      </c>
      <c r="G3230" s="124" t="s">
        <v>406</v>
      </c>
      <c r="H3230" s="125" t="str">
        <f>IF(Proc[[#This Row],[type]]="LFF (MDG-F)",MID(Proc[[#This Row],[Obj]],13,10),"")</f>
        <v>2123TQJZ94</v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MGF</v>
      </c>
      <c r="L3230" s="125" t="s">
        <v>4894</v>
      </c>
      <c r="M3230" s="113">
        <v>45874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87</v>
      </c>
      <c r="R3230" s="115" t="s">
        <v>1459</v>
      </c>
      <c r="S3230" s="125"/>
    </row>
    <row r="3231" spans="1:19" hidden="1">
      <c r="A3231" s="124" t="s">
        <v>5478</v>
      </c>
      <c r="B3231" s="149" t="str">
        <f>IFERROR(VLOOKUP(Proc[[#This Row],[App]],Table2[],3,0),"open")</f>
        <v>ok</v>
      </c>
      <c r="C3231" s="124" t="s">
        <v>369</v>
      </c>
      <c r="D3231" t="s">
        <v>5401</v>
      </c>
      <c r="E3231" t="s">
        <v>5464</v>
      </c>
      <c r="F3231" s="125" t="s">
        <v>5464</v>
      </c>
      <c r="G3231" s="124" t="s">
        <v>406</v>
      </c>
      <c r="H3231" s="125" t="str">
        <f>IF(Proc[[#This Row],[type]]="LFF (MDG-F)",MID(Proc[[#This Row],[Obj]],13,10),"")</f>
        <v>2123GIT126</v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MGF</v>
      </c>
      <c r="L3231" s="125" t="s">
        <v>4894</v>
      </c>
      <c r="M3231" s="113">
        <v>45874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87</v>
      </c>
      <c r="R3231" s="115" t="s">
        <v>1459</v>
      </c>
      <c r="S3231" s="125"/>
    </row>
    <row r="3232" spans="1:19" hidden="1">
      <c r="A3232" s="124" t="s">
        <v>5478</v>
      </c>
      <c r="B3232" s="149" t="str">
        <f>IFERROR(VLOOKUP(Proc[[#This Row],[App]],Table2[],3,0),"open")</f>
        <v>ok</v>
      </c>
      <c r="C3232" s="124" t="s">
        <v>369</v>
      </c>
      <c r="D3232" t="s">
        <v>5402</v>
      </c>
      <c r="E3232" t="s">
        <v>5456</v>
      </c>
      <c r="F3232" s="125" t="s">
        <v>5456</v>
      </c>
      <c r="G3232" s="124" t="s">
        <v>406</v>
      </c>
      <c r="H3232" s="125" t="str">
        <f>IF(Proc[[#This Row],[type]]="LFF (MDG-F)",MID(Proc[[#This Row],[Obj]],13,10),"")</f>
        <v>2123GMI020</v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MGF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87</v>
      </c>
      <c r="R3232" s="115" t="s">
        <v>1459</v>
      </c>
      <c r="S3232" s="125"/>
    </row>
    <row r="3233" spans="1:19" hidden="1">
      <c r="A3233" s="124" t="s">
        <v>5478</v>
      </c>
      <c r="B3233" s="149" t="str">
        <f>IFERROR(VLOOKUP(Proc[[#This Row],[App]],Table2[],3,0),"open")</f>
        <v>ok</v>
      </c>
      <c r="C3233" s="124" t="s">
        <v>369</v>
      </c>
      <c r="D3233" t="s">
        <v>4828</v>
      </c>
      <c r="E3233" t="s">
        <v>5473</v>
      </c>
      <c r="F3233" s="125" t="s">
        <v>5473</v>
      </c>
      <c r="G3233" s="124" t="s">
        <v>406</v>
      </c>
      <c r="H3233" s="125" t="str">
        <f>IF(Proc[[#This Row],[type]]="LFF (MDG-F)",MID(Proc[[#This Row],[Obj]],13,10),"")</f>
        <v>2123OF0033</v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MGF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87</v>
      </c>
      <c r="R3233" s="115" t="s">
        <v>1459</v>
      </c>
      <c r="S3233" s="125"/>
    </row>
    <row r="3234" spans="1:19" hidden="1">
      <c r="A3234" s="124" t="s">
        <v>5478</v>
      </c>
      <c r="B3234" s="149" t="str">
        <f>IFERROR(VLOOKUP(Proc[[#This Row],[App]],Table2[],3,0),"open")</f>
        <v>ok</v>
      </c>
      <c r="C3234" s="124" t="s">
        <v>369</v>
      </c>
      <c r="D3234" t="s">
        <v>5403</v>
      </c>
      <c r="E3234" t="s">
        <v>5473</v>
      </c>
      <c r="F3234" s="125" t="s">
        <v>5473</v>
      </c>
      <c r="G3234" s="124" t="s">
        <v>406</v>
      </c>
      <c r="H3234" s="125" t="str">
        <f>IF(Proc[[#This Row],[type]]="LFF (MDG-F)",MID(Proc[[#This Row],[Obj]],13,10),"")</f>
        <v>2123OF0027</v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MGF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87</v>
      </c>
      <c r="R3234" s="115" t="s">
        <v>1459</v>
      </c>
      <c r="S3234" s="125"/>
    </row>
    <row r="3235" spans="1:19" hidden="1">
      <c r="A3235" s="124" t="s">
        <v>5478</v>
      </c>
      <c r="B3235" s="149" t="str">
        <f>IFERROR(VLOOKUP(Proc[[#This Row],[App]],Table2[],3,0),"open")</f>
        <v>ok</v>
      </c>
      <c r="C3235" s="124" t="s">
        <v>369</v>
      </c>
      <c r="D3235" t="s">
        <v>5404</v>
      </c>
      <c r="E3235" t="s">
        <v>5449</v>
      </c>
      <c r="F3235" s="125" t="s">
        <v>5449</v>
      </c>
      <c r="G3235" s="124" t="s">
        <v>406</v>
      </c>
      <c r="H3235" s="125" t="str">
        <f>IF(Proc[[#This Row],[type]]="LFF (MDG-F)",MID(Proc[[#This Row],[Obj]],13,10),"")</f>
        <v>2123GMS040</v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MGF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87</v>
      </c>
      <c r="R3235" s="115" t="s">
        <v>1459</v>
      </c>
      <c r="S3235" s="125"/>
    </row>
    <row r="3236" spans="1:19" hidden="1">
      <c r="A3236" s="124" t="s">
        <v>5478</v>
      </c>
      <c r="B3236" s="149" t="str">
        <f>IFERROR(VLOOKUP(Proc[[#This Row],[App]],Table2[],3,0),"open")</f>
        <v>ok</v>
      </c>
      <c r="C3236" s="124" t="s">
        <v>369</v>
      </c>
      <c r="D3236" t="s">
        <v>5405</v>
      </c>
      <c r="E3236" t="s">
        <v>5457</v>
      </c>
      <c r="F3236" s="125" t="s">
        <v>5457</v>
      </c>
      <c r="G3236" s="124" t="s">
        <v>406</v>
      </c>
      <c r="H3236" s="125" t="str">
        <f>IF(Proc[[#This Row],[type]]="LFF (MDG-F)",MID(Proc[[#This Row],[Obj]],13,10),"")</f>
        <v>2123GMS030</v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MGF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87</v>
      </c>
      <c r="R3236" s="115" t="s">
        <v>1459</v>
      </c>
      <c r="S3236" s="125"/>
    </row>
    <row r="3237" spans="1:19" hidden="1">
      <c r="A3237" s="124" t="s">
        <v>5478</v>
      </c>
      <c r="B3237" s="149" t="str">
        <f>IFERROR(VLOOKUP(Proc[[#This Row],[App]],Table2[],3,0),"open")</f>
        <v>ok</v>
      </c>
      <c r="C3237" s="124" t="s">
        <v>369</v>
      </c>
      <c r="D3237" t="s">
        <v>5406</v>
      </c>
      <c r="E3237" t="s">
        <v>5473</v>
      </c>
      <c r="F3237" s="125" t="s">
        <v>5473</v>
      </c>
      <c r="G3237" s="124" t="s">
        <v>406</v>
      </c>
      <c r="H3237" s="125" t="str">
        <f>IF(Proc[[#This Row],[type]]="LFF (MDG-F)",MID(Proc[[#This Row],[Obj]],13,10),"")</f>
        <v>2123C00009</v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MGF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87</v>
      </c>
      <c r="R3237" s="115" t="s">
        <v>1459</v>
      </c>
      <c r="S3237" s="125"/>
    </row>
    <row r="3238" spans="1:19" hidden="1">
      <c r="A3238" s="124" t="s">
        <v>5478</v>
      </c>
      <c r="B3238" s="149" t="str">
        <f>IFERROR(VLOOKUP(Proc[[#This Row],[App]],Table2[],3,0),"open")</f>
        <v>ok</v>
      </c>
      <c r="C3238" s="124" t="s">
        <v>369</v>
      </c>
      <c r="D3238" t="s">
        <v>5407</v>
      </c>
      <c r="E3238" t="s">
        <v>5455</v>
      </c>
      <c r="F3238" s="125" t="s">
        <v>5455</v>
      </c>
      <c r="G3238" s="124" t="s">
        <v>406</v>
      </c>
      <c r="H3238" s="125" t="str">
        <f>IF(Proc[[#This Row],[type]]="LFF (MDG-F)",MID(Proc[[#This Row],[Obj]],13,10),"")</f>
        <v>2123GIT127</v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MGF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87</v>
      </c>
      <c r="R3238" s="115" t="s">
        <v>1459</v>
      </c>
      <c r="S3238" s="125"/>
    </row>
    <row r="3239" spans="1:19" hidden="1">
      <c r="A3239" s="124" t="s">
        <v>5478</v>
      </c>
      <c r="B3239" s="149" t="str">
        <f>IFERROR(VLOOKUP(Proc[[#This Row],[App]],Table2[],3,0),"open")</f>
        <v>ok</v>
      </c>
      <c r="C3239" s="124" t="s">
        <v>369</v>
      </c>
      <c r="D3239" t="s">
        <v>5408</v>
      </c>
      <c r="E3239" t="s">
        <v>5450</v>
      </c>
      <c r="F3239" s="125" t="s">
        <v>5450</v>
      </c>
      <c r="G3239" s="124" t="s">
        <v>406</v>
      </c>
      <c r="H3239" s="125" t="str">
        <f>IF(Proc[[#This Row],[type]]="LFF (MDG-F)",MID(Proc[[#This Row],[Obj]],13,10),"")</f>
        <v>2123GMB010</v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MGF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87</v>
      </c>
      <c r="R3239" s="115" t="s">
        <v>1459</v>
      </c>
      <c r="S3239" s="125"/>
    </row>
    <row r="3240" spans="1:19" hidden="1">
      <c r="A3240" s="124" t="s">
        <v>5478</v>
      </c>
      <c r="B3240" s="149" t="str">
        <f>IFERROR(VLOOKUP(Proc[[#This Row],[App]],Table2[],3,0),"open")</f>
        <v>ok</v>
      </c>
      <c r="C3240" s="124" t="s">
        <v>369</v>
      </c>
      <c r="D3240" t="s">
        <v>5409</v>
      </c>
      <c r="E3240" t="s">
        <v>5456</v>
      </c>
      <c r="F3240" s="125" t="s">
        <v>5456</v>
      </c>
      <c r="G3240" s="124" t="s">
        <v>406</v>
      </c>
      <c r="H3240" s="125" t="str">
        <f>IF(Proc[[#This Row],[type]]="LFF (MDG-F)",MID(Proc[[#This Row],[Obj]],13,10),"")</f>
        <v>2123OF0010</v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MGF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87</v>
      </c>
      <c r="R3240" s="115" t="s">
        <v>1459</v>
      </c>
      <c r="S3240" s="125"/>
    </row>
    <row r="3241" spans="1:19" hidden="1">
      <c r="A3241" s="124" t="s">
        <v>5478</v>
      </c>
      <c r="B3241" s="149" t="str">
        <f>IFERROR(VLOOKUP(Proc[[#This Row],[App]],Table2[],3,0),"open")</f>
        <v>ok</v>
      </c>
      <c r="C3241" s="124" t="s">
        <v>369</v>
      </c>
      <c r="D3241" t="s">
        <v>5410</v>
      </c>
      <c r="E3241" t="s">
        <v>5456</v>
      </c>
      <c r="F3241" s="125" t="s">
        <v>5456</v>
      </c>
      <c r="G3241" s="124" t="s">
        <v>406</v>
      </c>
      <c r="H3241" s="125" t="str">
        <f>IF(Proc[[#This Row],[type]]="LFF (MDG-F)",MID(Proc[[#This Row],[Obj]],13,10),"")</f>
        <v>2123GM1110</v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MGF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87</v>
      </c>
      <c r="R3241" s="115" t="s">
        <v>1459</v>
      </c>
      <c r="S3241" s="125"/>
    </row>
    <row r="3242" spans="1:19" hidden="1">
      <c r="A3242" s="124" t="s">
        <v>5478</v>
      </c>
      <c r="B3242" s="149" t="str">
        <f>IFERROR(VLOOKUP(Proc[[#This Row],[App]],Table2[],3,0),"open")</f>
        <v>ok</v>
      </c>
      <c r="C3242" s="124" t="s">
        <v>369</v>
      </c>
      <c r="D3242" t="s">
        <v>5411</v>
      </c>
      <c r="E3242" t="s">
        <v>5474</v>
      </c>
      <c r="F3242" s="125" t="s">
        <v>5474</v>
      </c>
      <c r="G3242" s="124" t="s">
        <v>406</v>
      </c>
      <c r="H3242" s="125" t="str">
        <f>IF(Proc[[#This Row],[type]]="LFF (MDG-F)",MID(Proc[[#This Row],[Obj]],13,10),"")</f>
        <v>2123GMI021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MGF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87</v>
      </c>
      <c r="R3242" s="115" t="s">
        <v>1459</v>
      </c>
      <c r="S3242" s="125"/>
    </row>
    <row r="3243" spans="1:19" hidden="1">
      <c r="A3243" s="124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5412</v>
      </c>
      <c r="E3243" t="s">
        <v>5456</v>
      </c>
      <c r="F3243" s="125" t="s">
        <v>5456</v>
      </c>
      <c r="G3243" s="124" t="s">
        <v>406</v>
      </c>
      <c r="H3243" s="125" t="str">
        <f>IF(Proc[[#This Row],[type]]="LFF (MDG-F)",MID(Proc[[#This Row],[Obj]],13,10),"")</f>
        <v>2123L50005</v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87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5413</v>
      </c>
      <c r="E3244" t="s">
        <v>5456</v>
      </c>
      <c r="F3244" s="125" t="s">
        <v>5456</v>
      </c>
      <c r="G3244" s="124" t="s">
        <v>406</v>
      </c>
      <c r="H3244" s="125" t="str">
        <f>IF(Proc[[#This Row],[type]]="LFF (MDG-F)",MID(Proc[[#This Row],[Obj]],13,10),"")</f>
        <v>2123YIT005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87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5414</v>
      </c>
      <c r="E3245" t="s">
        <v>5456</v>
      </c>
      <c r="F3245" s="125" t="s">
        <v>5456</v>
      </c>
      <c r="G3245" s="124" t="s">
        <v>406</v>
      </c>
      <c r="H3245" s="125" t="str">
        <f>IF(Proc[[#This Row],[type]]="LFF (MDG-F)",MID(Proc[[#This Row],[Obj]],13,10),"")</f>
        <v>2123YIT004</v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87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5415</v>
      </c>
      <c r="E3246" t="s">
        <v>5475</v>
      </c>
      <c r="F3246" s="125" t="s">
        <v>5475</v>
      </c>
      <c r="G3246" s="124" t="s">
        <v>406</v>
      </c>
      <c r="H3246" s="125" t="str">
        <f>IF(Proc[[#This Row],[type]]="LFF (MDG-F)",MID(Proc[[#This Row],[Obj]],13,10),"")</f>
        <v>2123C00028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87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5416</v>
      </c>
      <c r="E3247" t="s">
        <v>5456</v>
      </c>
      <c r="F3247" s="125" t="s">
        <v>5456</v>
      </c>
      <c r="G3247" s="124" t="s">
        <v>406</v>
      </c>
      <c r="H3247" s="125" t="str">
        <f>IF(Proc[[#This Row],[type]]="LFF (MDG-F)",MID(Proc[[#This Row],[Obj]],13,10),"")</f>
        <v>2123TPSZ93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87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5417</v>
      </c>
      <c r="E3248" t="s">
        <v>5456</v>
      </c>
      <c r="F3248" s="125" t="s">
        <v>5456</v>
      </c>
      <c r="G3248" s="124" t="s">
        <v>406</v>
      </c>
      <c r="H3248" s="125" t="str">
        <f>IF(Proc[[#This Row],[type]]="LFF (MDG-F)",MID(Proc[[#This Row],[Obj]],13,10),"")</f>
        <v>2123C00103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87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5418</v>
      </c>
      <c r="E3249" t="s">
        <v>5448</v>
      </c>
      <c r="F3249" s="125" t="s">
        <v>5448</v>
      </c>
      <c r="G3249" s="124" t="s">
        <v>406</v>
      </c>
      <c r="H3249" s="125" t="str">
        <f>IF(Proc[[#This Row],[type]]="LFF (MDG-F)",MID(Proc[[#This Row],[Obj]],13,10),"")</f>
        <v>2123GIT129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87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5419</v>
      </c>
      <c r="E3250" t="s">
        <v>5464</v>
      </c>
      <c r="F3250" s="125" t="s">
        <v>5464</v>
      </c>
      <c r="G3250" s="124" t="s">
        <v>406</v>
      </c>
      <c r="H3250" s="125" t="str">
        <f>IF(Proc[[#This Row],[type]]="LFF (MDG-F)",MID(Proc[[#This Row],[Obj]],13,10),"")</f>
        <v>2123GIT027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87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5420</v>
      </c>
      <c r="E3251" t="s">
        <v>5447</v>
      </c>
      <c r="F3251" s="125" t="s">
        <v>5447</v>
      </c>
      <c r="G3251" s="124" t="s">
        <v>406</v>
      </c>
      <c r="H3251" s="125" t="str">
        <f>IF(Proc[[#This Row],[type]]="LFF (MDG-F)",MID(Proc[[#This Row],[Obj]],13,10),"")</f>
        <v>2123GIT212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87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5421</v>
      </c>
      <c r="E3252" t="s">
        <v>5464</v>
      </c>
      <c r="F3252" s="125" t="s">
        <v>5464</v>
      </c>
      <c r="G3252" s="124" t="s">
        <v>406</v>
      </c>
      <c r="H3252" s="125" t="str">
        <f>IF(Proc[[#This Row],[type]]="LFF (MDG-F)",MID(Proc[[#This Row],[Obj]],13,10),"")</f>
        <v>2123GIT448</v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87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5422</v>
      </c>
      <c r="E3253" t="s">
        <v>5446</v>
      </c>
      <c r="F3253" s="125" t="s">
        <v>5446</v>
      </c>
      <c r="G3253" s="124" t="s">
        <v>406</v>
      </c>
      <c r="H3253" s="125" t="str">
        <f>IF(Proc[[#This Row],[type]]="LFF (MDG-F)",MID(Proc[[#This Row],[Obj]],13,10),"")</f>
        <v>2123GIT520</v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87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5423</v>
      </c>
      <c r="E3254" t="s">
        <v>5467</v>
      </c>
      <c r="F3254" s="125" t="s">
        <v>5467</v>
      </c>
      <c r="G3254" s="124" t="s">
        <v>406</v>
      </c>
      <c r="H3254" s="125" t="str">
        <f>IF(Proc[[#This Row],[type]]="LFF (MDG-F)",MID(Proc[[#This Row],[Obj]],13,10),"")</f>
        <v>2123GST008</v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87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5424</v>
      </c>
      <c r="E3255" t="s">
        <v>5445</v>
      </c>
      <c r="F3255" s="125" t="s">
        <v>5445</v>
      </c>
      <c r="G3255" s="124" t="s">
        <v>406</v>
      </c>
      <c r="H3255" s="125" t="str">
        <f>IF(Proc[[#This Row],[type]]="LFF (MDG-F)",MID(Proc[[#This Row],[Obj]],13,10),"")</f>
        <v>2123GIT098</v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87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5425</v>
      </c>
      <c r="E3256" t="s">
        <v>5464</v>
      </c>
      <c r="F3256" s="125" t="s">
        <v>5464</v>
      </c>
      <c r="G3256" s="124" t="s">
        <v>406</v>
      </c>
      <c r="H3256" s="125" t="str">
        <f>IF(Proc[[#This Row],[type]]="LFF (MDG-F)",MID(Proc[[#This Row],[Obj]],13,10),"")</f>
        <v>2123GIT096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87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5426</v>
      </c>
      <c r="E3257" t="s">
        <v>5473</v>
      </c>
      <c r="F3257" s="125" t="s">
        <v>5473</v>
      </c>
      <c r="G3257" s="124" t="s">
        <v>406</v>
      </c>
      <c r="H3257" s="125" t="str">
        <f>IF(Proc[[#This Row],[type]]="LFF (MDG-F)",MID(Proc[[#This Row],[Obj]],13,10),"")</f>
        <v>2123C00079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87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5427</v>
      </c>
      <c r="E3258" t="s">
        <v>5446</v>
      </c>
      <c r="F3258" s="125" t="s">
        <v>5446</v>
      </c>
      <c r="G3258" s="124" t="s">
        <v>406</v>
      </c>
      <c r="H3258" s="125" t="str">
        <f>IF(Proc[[#This Row],[type]]="LFF (MDG-F)",MID(Proc[[#This Row],[Obj]],13,10),"")</f>
        <v>2123GIT135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87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5428</v>
      </c>
      <c r="E3259" t="s">
        <v>5453</v>
      </c>
      <c r="F3259" s="125" t="s">
        <v>5453</v>
      </c>
      <c r="G3259" s="124" t="s">
        <v>406</v>
      </c>
      <c r="H3259" s="125" t="str">
        <f>IF(Proc[[#This Row],[type]]="LFF (MDG-F)",MID(Proc[[#This Row],[Obj]],13,10),"")</f>
        <v>2123GIT085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87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5429</v>
      </c>
      <c r="E3260" t="s">
        <v>5453</v>
      </c>
      <c r="F3260" s="125" t="s">
        <v>5453</v>
      </c>
      <c r="G3260" s="124" t="s">
        <v>406</v>
      </c>
      <c r="H3260" s="125" t="str">
        <f>IF(Proc[[#This Row],[type]]="LFF (MDG-F)",MID(Proc[[#This Row],[Obj]],13,10),"")</f>
        <v>2123GIT097</v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87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5430</v>
      </c>
      <c r="E3261" t="s">
        <v>5464</v>
      </c>
      <c r="F3261" s="125" t="s">
        <v>5464</v>
      </c>
      <c r="G3261" s="124" t="s">
        <v>406</v>
      </c>
      <c r="H3261" s="125" t="str">
        <f>IF(Proc[[#This Row],[type]]="LFF (MDG-F)",MID(Proc[[#This Row],[Obj]],13,10),"")</f>
        <v>2123GIT025</v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87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5431</v>
      </c>
      <c r="E3262" t="s">
        <v>5453</v>
      </c>
      <c r="F3262" s="125" t="s">
        <v>5453</v>
      </c>
      <c r="G3262" s="124" t="s">
        <v>406</v>
      </c>
      <c r="H3262" s="125" t="str">
        <f>IF(Proc[[#This Row],[type]]="LFF (MDG-F)",MID(Proc[[#This Row],[Obj]],13,10),"")</f>
        <v>2123GIT311</v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87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5432</v>
      </c>
      <c r="E3263" t="s">
        <v>5447</v>
      </c>
      <c r="F3263" s="125" t="s">
        <v>5447</v>
      </c>
      <c r="G3263" s="124" t="s">
        <v>406</v>
      </c>
      <c r="H3263" s="125" t="str">
        <f>IF(Proc[[#This Row],[type]]="LFF (MDG-F)",MID(Proc[[#This Row],[Obj]],13,10),"")</f>
        <v>2123GIT312</v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87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5433</v>
      </c>
      <c r="E3264" t="s">
        <v>5447</v>
      </c>
      <c r="F3264" s="125" t="s">
        <v>5447</v>
      </c>
      <c r="G3264" s="124" t="s">
        <v>406</v>
      </c>
      <c r="H3264" s="125" t="str">
        <f>IF(Proc[[#This Row],[type]]="LFF (MDG-F)",MID(Proc[[#This Row],[Obj]],13,10),"")</f>
        <v>2123GIT313</v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87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5434</v>
      </c>
      <c r="E3265" t="s">
        <v>427</v>
      </c>
      <c r="F3265" s="125" t="s">
        <v>427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87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5435</v>
      </c>
      <c r="E3266" t="s">
        <v>5446</v>
      </c>
      <c r="F3266" s="125" t="s">
        <v>5446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87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5436</v>
      </c>
      <c r="E3267" t="s">
        <v>5476</v>
      </c>
      <c r="F3267" s="125" t="s">
        <v>5476</v>
      </c>
      <c r="G3267" s="124" t="s">
        <v>406</v>
      </c>
      <c r="H3267" s="125" t="str">
        <f>IF(Proc[[#This Row],[type]]="LFF (MDG-F)",MID(Proc[[#This Row],[Obj]],13,10),"")</f>
        <v>DE10669638</v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87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5437</v>
      </c>
      <c r="E3268" t="s">
        <v>5477</v>
      </c>
      <c r="F3268" s="125" t="s">
        <v>5477</v>
      </c>
      <c r="G3268" s="124" t="s">
        <v>406</v>
      </c>
      <c r="H3268" s="125" t="str">
        <f>IF(Proc[[#This Row],[type]]="LFF (MDG-F)",MID(Proc[[#This Row],[Obj]],13,10),"")</f>
        <v>DE10YIT014</v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87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5438</v>
      </c>
      <c r="E3269" t="s">
        <v>5476</v>
      </c>
      <c r="F3269" s="125" t="s">
        <v>5476</v>
      </c>
      <c r="G3269" s="124" t="s">
        <v>406</v>
      </c>
      <c r="H3269" s="125" t="str">
        <f>IF(Proc[[#This Row],[type]]="LFF (MDG-F)",MID(Proc[[#This Row],[Obj]],13,10),"")</f>
        <v>DE10GMS070</v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87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5439</v>
      </c>
      <c r="E3270" t="s">
        <v>5476</v>
      </c>
      <c r="F3270" s="125" t="s">
        <v>5476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87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5440</v>
      </c>
      <c r="E3271" t="s">
        <v>5476</v>
      </c>
      <c r="F3271" s="125" t="s">
        <v>5476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87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5441</v>
      </c>
      <c r="E3272" t="s">
        <v>5476</v>
      </c>
      <c r="F3272" s="125" t="s">
        <v>5476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87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5442</v>
      </c>
      <c r="E3273" t="s">
        <v>5476</v>
      </c>
      <c r="F3273" s="125" t="s">
        <v>5476</v>
      </c>
      <c r="G3273" s="124" t="s">
        <v>406</v>
      </c>
      <c r="H3273" s="125" t="str">
        <f>IF(Proc[[#This Row],[type]]="LFF (MDG-F)",MID(Proc[[#This Row],[Obj]],13,10),"")</f>
        <v>2123GMS050</v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87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5443</v>
      </c>
      <c r="E3274" t="s">
        <v>5476</v>
      </c>
      <c r="F3274" s="125" t="s">
        <v>5476</v>
      </c>
      <c r="G3274" s="124" t="s">
        <v>406</v>
      </c>
      <c r="H3274" s="125" t="str">
        <f>IF(Proc[[#This Row],[type]]="LFF (MDG-F)",MID(Proc[[#This Row],[Obj]],13,10),"")</f>
        <v>2123GMS080</v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87</v>
      </c>
      <c r="R3274" s="115" t="s">
        <v>1459</v>
      </c>
      <c r="S3274" s="125"/>
    </row>
    <row r="3275" spans="1:19" hidden="1">
      <c r="A3275" t="s">
        <v>5493</v>
      </c>
      <c r="B3275" s="149" t="str">
        <f>IFERROR(VLOOKUP(Proc[[#This Row],[App]],Table2[],3,0),"open")</f>
        <v>ok</v>
      </c>
      <c r="C3275" s="124" t="s">
        <v>369</v>
      </c>
      <c r="D3275" t="s">
        <v>5480</v>
      </c>
      <c r="E3275" t="s">
        <v>5494</v>
      </c>
      <c r="F3275" s="125" t="s">
        <v>5494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HC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87</v>
      </c>
      <c r="R3275" s="115" t="s">
        <v>1013</v>
      </c>
      <c r="S3275" s="125"/>
    </row>
    <row r="3276" spans="1:19" hidden="1">
      <c r="A3276" s="124" t="s">
        <v>5493</v>
      </c>
      <c r="B3276" s="149" t="str">
        <f>IFERROR(VLOOKUP(Proc[[#This Row],[App]],Table2[],3,0),"open")</f>
        <v>ok</v>
      </c>
      <c r="C3276" s="124" t="s">
        <v>369</v>
      </c>
      <c r="D3276" t="s">
        <v>5481</v>
      </c>
      <c r="E3276" t="s">
        <v>5495</v>
      </c>
      <c r="F3276" s="125" t="s">
        <v>5495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HC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87</v>
      </c>
      <c r="R3276" s="115" t="s">
        <v>1013</v>
      </c>
      <c r="S3276" s="125"/>
    </row>
    <row r="3277" spans="1:19" hidden="1">
      <c r="A3277" s="124" t="s">
        <v>5493</v>
      </c>
      <c r="B3277" s="149" t="str">
        <f>IFERROR(VLOOKUP(Proc[[#This Row],[App]],Table2[],3,0),"open")</f>
        <v>ok</v>
      </c>
      <c r="C3277" s="124" t="s">
        <v>369</v>
      </c>
      <c r="D3277" t="s">
        <v>5482</v>
      </c>
      <c r="E3277" t="s">
        <v>5496</v>
      </c>
      <c r="F3277" s="125" t="s">
        <v>5496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HC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87</v>
      </c>
      <c r="R3277" s="115" t="s">
        <v>1013</v>
      </c>
      <c r="S3277" s="125"/>
    </row>
    <row r="3278" spans="1:19" hidden="1">
      <c r="A3278" s="124" t="s">
        <v>5493</v>
      </c>
      <c r="B3278" s="149" t="str">
        <f>IFERROR(VLOOKUP(Proc[[#This Row],[App]],Table2[],3,0),"open")</f>
        <v>ok</v>
      </c>
      <c r="C3278" s="124" t="s">
        <v>369</v>
      </c>
      <c r="D3278" t="s">
        <v>5483</v>
      </c>
      <c r="E3278" t="s">
        <v>5497</v>
      </c>
      <c r="F3278" s="125" t="s">
        <v>5497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HC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87</v>
      </c>
      <c r="R3278" s="115" t="s">
        <v>1013</v>
      </c>
      <c r="S3278" s="125"/>
    </row>
    <row r="3279" spans="1:19" hidden="1">
      <c r="A3279" s="124" t="s">
        <v>5493</v>
      </c>
      <c r="B3279" s="149" t="str">
        <f>IFERROR(VLOOKUP(Proc[[#This Row],[App]],Table2[],3,0),"open")</f>
        <v>ok</v>
      </c>
      <c r="C3279" s="124" t="s">
        <v>369</v>
      </c>
      <c r="D3279" t="s">
        <v>5484</v>
      </c>
      <c r="E3279" t="s">
        <v>5497</v>
      </c>
      <c r="F3279" s="125" t="s">
        <v>5497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HC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87</v>
      </c>
      <c r="R3279" s="115" t="s">
        <v>1013</v>
      </c>
      <c r="S3279" s="125"/>
    </row>
    <row r="3280" spans="1:19" hidden="1">
      <c r="A3280" s="124" t="s">
        <v>5493</v>
      </c>
      <c r="B3280" s="149" t="str">
        <f>IFERROR(VLOOKUP(Proc[[#This Row],[App]],Table2[],3,0),"open")</f>
        <v>ok</v>
      </c>
      <c r="C3280" s="124" t="s">
        <v>369</v>
      </c>
      <c r="D3280" t="s">
        <v>5485</v>
      </c>
      <c r="E3280" t="s">
        <v>5494</v>
      </c>
      <c r="F3280" s="125" t="s">
        <v>5494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HC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87</v>
      </c>
      <c r="R3280" s="115" t="s">
        <v>1013</v>
      </c>
      <c r="S3280" s="125"/>
    </row>
    <row r="3281" spans="1:19" hidden="1">
      <c r="A3281" s="124" t="s">
        <v>5493</v>
      </c>
      <c r="B3281" s="149" t="str">
        <f>IFERROR(VLOOKUP(Proc[[#This Row],[App]],Table2[],3,0),"open")</f>
        <v>ok</v>
      </c>
      <c r="C3281" s="124" t="s">
        <v>369</v>
      </c>
      <c r="D3281" t="s">
        <v>5486</v>
      </c>
      <c r="E3281" t="s">
        <v>5495</v>
      </c>
      <c r="F3281" s="125" t="s">
        <v>5495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HC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87</v>
      </c>
      <c r="R3281" s="115" t="s">
        <v>1013</v>
      </c>
      <c r="S3281" s="125"/>
    </row>
    <row r="3282" spans="1:19" hidden="1">
      <c r="A3282" s="124" t="s">
        <v>5493</v>
      </c>
      <c r="B3282" s="149" t="str">
        <f>IFERROR(VLOOKUP(Proc[[#This Row],[App]],Table2[],3,0),"open")</f>
        <v>ok</v>
      </c>
      <c r="C3282" s="124" t="s">
        <v>369</v>
      </c>
      <c r="D3282" t="s">
        <v>5487</v>
      </c>
      <c r="E3282" t="s">
        <v>2222</v>
      </c>
      <c r="F3282" s="125" t="s">
        <v>2222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HC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87</v>
      </c>
      <c r="R3282" s="115" t="s">
        <v>1013</v>
      </c>
      <c r="S3282" s="125"/>
    </row>
    <row r="3283" spans="1:19" hidden="1">
      <c r="A3283" s="124" t="s">
        <v>5493</v>
      </c>
      <c r="B3283" s="149" t="str">
        <f>IFERROR(VLOOKUP(Proc[[#This Row],[App]],Table2[],3,0),"open")</f>
        <v>ok</v>
      </c>
      <c r="C3283" s="124" t="s">
        <v>369</v>
      </c>
      <c r="D3283" t="s">
        <v>5488</v>
      </c>
      <c r="E3283" t="s">
        <v>2222</v>
      </c>
      <c r="F3283" s="125" t="s">
        <v>2222</v>
      </c>
      <c r="G3283" s="124" t="s">
        <v>400</v>
      </c>
      <c r="H3283" s="125" t="str">
        <f>IF(Proc[[#This Row],[type]]="LFF (MDG-F)",MID(Proc[[#This Row],[Obj]],13,10),"")</f>
        <v/>
      </c>
      <c r="J3283" s="125" t="b">
        <f>Proc[[#This Row],[Requested]]=Proc[[#This Row],[CurrentParent]]</f>
        <v>1</v>
      </c>
      <c r="K3283" s="144" t="str">
        <f>IF(Proc[[#This Row],[Author]]="Marcela Urrego",VLOOKUP(LEFT(Proc[[#This Row],[Requested]],1),Table3[#All],2,0),VLOOKUP(Proc[[#This Row],[Author]],Table4[],2,0))</f>
        <v>HC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87</v>
      </c>
      <c r="R3283" s="115" t="s">
        <v>1013</v>
      </c>
      <c r="S3283" s="125"/>
    </row>
    <row r="3284" spans="1:19" hidden="1">
      <c r="A3284" s="124" t="s">
        <v>5493</v>
      </c>
      <c r="B3284" s="149" t="str">
        <f>IFERROR(VLOOKUP(Proc[[#This Row],[App]],Table2[],3,0),"open")</f>
        <v>ok</v>
      </c>
      <c r="C3284" s="124" t="s">
        <v>369</v>
      </c>
      <c r="D3284" t="s">
        <v>5489</v>
      </c>
      <c r="E3284" t="s">
        <v>2224</v>
      </c>
      <c r="F3284" s="125" t="s">
        <v>2224</v>
      </c>
      <c r="G3284" s="124" t="s">
        <v>400</v>
      </c>
      <c r="H3284" s="125" t="str">
        <f>IF(Proc[[#This Row],[type]]="LFF (MDG-F)",MID(Proc[[#This Row],[Obj]],13,10),"")</f>
        <v/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HC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87</v>
      </c>
      <c r="R3284" s="115" t="s">
        <v>1013</v>
      </c>
      <c r="S3284" s="125"/>
    </row>
    <row r="3285" spans="1:19" hidden="1">
      <c r="A3285" s="124" t="s">
        <v>5493</v>
      </c>
      <c r="B3285" s="149" t="str">
        <f>IFERROR(VLOOKUP(Proc[[#This Row],[App]],Table2[],3,0),"open")</f>
        <v>ok</v>
      </c>
      <c r="C3285" s="124" t="s">
        <v>369</v>
      </c>
      <c r="D3285" t="s">
        <v>5490</v>
      </c>
      <c r="E3285" t="s">
        <v>5497</v>
      </c>
      <c r="F3285" s="125" t="s">
        <v>5497</v>
      </c>
      <c r="G3285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HC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87</v>
      </c>
      <c r="R3285" s="115" t="s">
        <v>1013</v>
      </c>
      <c r="S3285" s="125"/>
    </row>
    <row r="3286" spans="1:19" hidden="1">
      <c r="A3286" s="124" t="s">
        <v>5493</v>
      </c>
      <c r="B3286" s="149" t="str">
        <f>IFERROR(VLOOKUP(Proc[[#This Row],[App]],Table2[],3,0),"open")</f>
        <v>ok</v>
      </c>
      <c r="C3286" s="124" t="s">
        <v>369</v>
      </c>
      <c r="D3286" t="s">
        <v>5491</v>
      </c>
      <c r="E3286" t="s">
        <v>5497</v>
      </c>
      <c r="F3286" s="125" t="s">
        <v>5497</v>
      </c>
      <c r="G3286" t="s">
        <v>406</v>
      </c>
      <c r="H3286" s="125" t="str">
        <f>IF(Proc[[#This Row],[type]]="LFF (MDG-F)",MID(Proc[[#This Row],[Obj]],13,10),"")</f>
        <v>NL50C06884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HC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87</v>
      </c>
      <c r="R3286" s="115" t="s">
        <v>1013</v>
      </c>
      <c r="S3286" s="125"/>
    </row>
    <row r="3287" spans="1:19" hidden="1">
      <c r="A3287" s="124" t="s">
        <v>5493</v>
      </c>
      <c r="B3287" s="149" t="str">
        <f>IFERROR(VLOOKUP(Proc[[#This Row],[App]],Table2[],3,0),"open")</f>
        <v>ok</v>
      </c>
      <c r="C3287" s="124" t="s">
        <v>369</v>
      </c>
      <c r="D3287" t="s">
        <v>5492</v>
      </c>
      <c r="E3287" t="s">
        <v>5498</v>
      </c>
      <c r="F3287" s="125" t="s">
        <v>5498</v>
      </c>
      <c r="G3287" s="124" t="s">
        <v>400</v>
      </c>
      <c r="H3287" s="125" t="str">
        <f>IF(Proc[[#This Row],[type]]="LFF (MDG-F)",MID(Proc[[#This Row],[Obj]],13,10),"")</f>
        <v/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HC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87</v>
      </c>
      <c r="R3287" s="115" t="s">
        <v>1013</v>
      </c>
      <c r="S3287" s="125"/>
    </row>
    <row r="3288" spans="1:19" hidden="1">
      <c r="A3288" t="s">
        <v>5499</v>
      </c>
      <c r="B3288" s="149" t="str">
        <f>IFERROR(VLOOKUP(Proc[[#This Row],[App]],Table2[],3,0),"open")</f>
        <v>ok</v>
      </c>
      <c r="C3288" s="124" t="s">
        <v>369</v>
      </c>
      <c r="D3288" t="s">
        <v>5544</v>
      </c>
      <c r="E3288" t="s">
        <v>5500</v>
      </c>
      <c r="F3288" s="125" t="s">
        <v>5500</v>
      </c>
      <c r="G3288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EL</v>
      </c>
      <c r="L3288" s="125" t="s">
        <v>4894</v>
      </c>
      <c r="M3288" s="127">
        <v>45877</v>
      </c>
      <c r="N3288" s="127"/>
      <c r="O3288" s="127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84</v>
      </c>
      <c r="R3288" s="115" t="s">
        <v>5501</v>
      </c>
      <c r="S3288" s="125"/>
    </row>
    <row r="3289" spans="1:19" hidden="1">
      <c r="A3289" s="124" t="s">
        <v>5499</v>
      </c>
      <c r="B3289" s="149" t="str">
        <f>IFERROR(VLOOKUP(Proc[[#This Row],[App]],Table2[],3,0),"open")</f>
        <v>ok</v>
      </c>
      <c r="C3289" s="124" t="s">
        <v>369</v>
      </c>
      <c r="D3289" t="s">
        <v>5545</v>
      </c>
      <c r="E3289" t="s">
        <v>5500</v>
      </c>
      <c r="F3289" s="125" t="s">
        <v>5500</v>
      </c>
      <c r="G3289" s="124" t="s">
        <v>400</v>
      </c>
      <c r="H3289" s="125" t="str">
        <f>IF(Proc[[#This Row],[type]]="LFF (MDG-F)",MID(Proc[[#This Row],[Obj]],13,10),"")</f>
        <v/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EL</v>
      </c>
      <c r="L3289" s="125" t="s">
        <v>4894</v>
      </c>
      <c r="M3289" s="127">
        <v>45877</v>
      </c>
      <c r="N3289" s="127"/>
      <c r="O3289" s="127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84</v>
      </c>
      <c r="R3289" s="115" t="s">
        <v>5501</v>
      </c>
      <c r="S3289" s="125"/>
    </row>
    <row r="3290" spans="1:19" hidden="1">
      <c r="A3290" t="s">
        <v>5502</v>
      </c>
      <c r="B3290" s="149" t="str">
        <f>IFERROR(VLOOKUP(Proc[[#This Row],[App]],Table2[],3,0),"open")</f>
        <v>ok</v>
      </c>
      <c r="C3290" s="124" t="s">
        <v>369</v>
      </c>
      <c r="D3290" t="s">
        <v>5503</v>
      </c>
      <c r="E3290" t="s">
        <v>5551</v>
      </c>
      <c r="F3290" s="125" t="s">
        <v>5551</v>
      </c>
      <c r="G3290" s="124" t="s">
        <v>400</v>
      </c>
      <c r="H3290" s="125" t="str">
        <f>IF(Proc[[#This Row],[type]]="LFF (MDG-F)",MID(Proc[[#This Row],[Obj]],13,10),"")</f>
        <v/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LS</v>
      </c>
      <c r="L3290" s="125" t="s">
        <v>4894</v>
      </c>
      <c r="M3290" s="127">
        <v>45877</v>
      </c>
      <c r="N3290" s="127"/>
      <c r="O3290" s="127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84</v>
      </c>
      <c r="R3290" s="115" t="s">
        <v>489</v>
      </c>
      <c r="S3290" s="125"/>
    </row>
    <row r="3291" spans="1:19" hidden="1">
      <c r="A3291" s="124" t="s">
        <v>5502</v>
      </c>
      <c r="B3291" s="149" t="str">
        <f>IFERROR(VLOOKUP(Proc[[#This Row],[App]],Table2[],3,0),"open")</f>
        <v>ok</v>
      </c>
      <c r="C3291" s="124" t="s">
        <v>369</v>
      </c>
      <c r="D3291" t="s">
        <v>5504</v>
      </c>
      <c r="E3291" t="s">
        <v>5551</v>
      </c>
      <c r="F3291" s="125" t="s">
        <v>5551</v>
      </c>
      <c r="G3291" s="124" t="s">
        <v>400</v>
      </c>
      <c r="H3291" s="125" t="str">
        <f>IF(Proc[[#This Row],[type]]="LFF (MDG-F)",MID(Proc[[#This Row],[Obj]],13,10),"")</f>
        <v/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LS</v>
      </c>
      <c r="L3291" s="125" t="s">
        <v>4894</v>
      </c>
      <c r="M3291" s="127">
        <v>45877</v>
      </c>
      <c r="N3291" s="127"/>
      <c r="O3291" s="127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84</v>
      </c>
      <c r="R3291" s="115" t="s">
        <v>489</v>
      </c>
      <c r="S3291" s="125"/>
    </row>
    <row r="3292" spans="1:19" hidden="1">
      <c r="A3292" s="124" t="s">
        <v>5502</v>
      </c>
      <c r="B3292" s="149" t="str">
        <f>IFERROR(VLOOKUP(Proc[[#This Row],[App]],Table2[],3,0),"open")</f>
        <v>ok</v>
      </c>
      <c r="C3292" s="124" t="s">
        <v>369</v>
      </c>
      <c r="D3292" t="s">
        <v>5505</v>
      </c>
      <c r="E3292" t="s">
        <v>5551</v>
      </c>
      <c r="F3292" s="125" t="s">
        <v>5551</v>
      </c>
      <c r="G3292" s="124" t="s">
        <v>400</v>
      </c>
      <c r="H3292" s="125" t="str">
        <f>IF(Proc[[#This Row],[type]]="LFF (MDG-F)",MID(Proc[[#This Row],[Obj]],13,10),"")</f>
        <v/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LS</v>
      </c>
      <c r="L3292" s="125" t="s">
        <v>4894</v>
      </c>
      <c r="M3292" s="127">
        <v>45877</v>
      </c>
      <c r="N3292" s="127"/>
      <c r="O3292" s="127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84</v>
      </c>
      <c r="R3292" s="115" t="s">
        <v>489</v>
      </c>
      <c r="S3292" s="125"/>
    </row>
    <row r="3293" spans="1:19" hidden="1">
      <c r="A3293" s="124" t="s">
        <v>5502</v>
      </c>
      <c r="B3293" s="149" t="str">
        <f>IFERROR(VLOOKUP(Proc[[#This Row],[App]],Table2[],3,0),"open")</f>
        <v>ok</v>
      </c>
      <c r="C3293" s="124" t="s">
        <v>369</v>
      </c>
      <c r="D3293" t="s">
        <v>5506</v>
      </c>
      <c r="E3293" t="s">
        <v>5551</v>
      </c>
      <c r="F3293" s="125" t="s">
        <v>5551</v>
      </c>
      <c r="G3293" s="124" t="s">
        <v>400</v>
      </c>
      <c r="H3293" s="125" t="str">
        <f>IF(Proc[[#This Row],[type]]="LFF (MDG-F)",MID(Proc[[#This Row],[Obj]],13,10),"")</f>
        <v/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LS</v>
      </c>
      <c r="L3293" s="125" t="s">
        <v>4894</v>
      </c>
      <c r="M3293" s="127">
        <v>45877</v>
      </c>
      <c r="N3293" s="127"/>
      <c r="O3293" s="127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84</v>
      </c>
      <c r="R3293" s="115" t="s">
        <v>489</v>
      </c>
      <c r="S3293" s="125"/>
    </row>
    <row r="3294" spans="1:19" hidden="1">
      <c r="A3294" s="124" t="s">
        <v>5502</v>
      </c>
      <c r="B3294" s="149" t="str">
        <f>IFERROR(VLOOKUP(Proc[[#This Row],[App]],Table2[],3,0),"open")</f>
        <v>ok</v>
      </c>
      <c r="C3294" s="124" t="s">
        <v>369</v>
      </c>
      <c r="D3294" t="s">
        <v>5507</v>
      </c>
      <c r="E3294" t="s">
        <v>5551</v>
      </c>
      <c r="F3294" s="125" t="s">
        <v>5551</v>
      </c>
      <c r="G3294" s="124" t="s">
        <v>400</v>
      </c>
      <c r="H3294" s="125" t="str">
        <f>IF(Proc[[#This Row],[type]]="LFF (MDG-F)",MID(Proc[[#This Row],[Obj]],13,10),"")</f>
        <v/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LS</v>
      </c>
      <c r="L3294" s="125" t="s">
        <v>4894</v>
      </c>
      <c r="M3294" s="127">
        <v>45877</v>
      </c>
      <c r="N3294" s="127"/>
      <c r="O3294" s="127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84</v>
      </c>
      <c r="R3294" s="115" t="s">
        <v>489</v>
      </c>
      <c r="S3294" s="125"/>
    </row>
    <row r="3295" spans="1:19" hidden="1">
      <c r="A3295" s="124" t="s">
        <v>5502</v>
      </c>
      <c r="B3295" s="149" t="str">
        <f>IFERROR(VLOOKUP(Proc[[#This Row],[App]],Table2[],3,0),"open")</f>
        <v>ok</v>
      </c>
      <c r="C3295" s="124" t="s">
        <v>369</v>
      </c>
      <c r="D3295" t="s">
        <v>5508</v>
      </c>
      <c r="E3295" t="s">
        <v>5551</v>
      </c>
      <c r="F3295" s="125" t="s">
        <v>5551</v>
      </c>
      <c r="G3295" s="124" t="s">
        <v>400</v>
      </c>
      <c r="H3295" s="125" t="str">
        <f>IF(Proc[[#This Row],[type]]="LFF (MDG-F)",MID(Proc[[#This Row],[Obj]],13,10),"")</f>
        <v/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LS</v>
      </c>
      <c r="L3295" s="125" t="s">
        <v>4894</v>
      </c>
      <c r="M3295" s="127">
        <v>45877</v>
      </c>
      <c r="N3295" s="127"/>
      <c r="O3295" s="127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84</v>
      </c>
      <c r="R3295" s="115" t="s">
        <v>489</v>
      </c>
      <c r="S3295" s="125"/>
    </row>
    <row r="3296" spans="1:19" hidden="1">
      <c r="A3296" s="124" t="s">
        <v>5502</v>
      </c>
      <c r="B3296" s="149" t="str">
        <f>IFERROR(VLOOKUP(Proc[[#This Row],[App]],Table2[],3,0),"open")</f>
        <v>ok</v>
      </c>
      <c r="C3296" s="124" t="s">
        <v>369</v>
      </c>
      <c r="D3296" t="s">
        <v>5509</v>
      </c>
      <c r="E3296" t="s">
        <v>5551</v>
      </c>
      <c r="F3296" s="125" t="s">
        <v>5551</v>
      </c>
      <c r="G3296" s="124" t="s">
        <v>400</v>
      </c>
      <c r="H3296" s="125" t="str">
        <f>IF(Proc[[#This Row],[type]]="LFF (MDG-F)",MID(Proc[[#This Row],[Obj]],13,10),"")</f>
        <v/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LS</v>
      </c>
      <c r="L3296" s="125" t="s">
        <v>4894</v>
      </c>
      <c r="M3296" s="127">
        <v>45877</v>
      </c>
      <c r="N3296" s="127"/>
      <c r="O3296" s="127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84</v>
      </c>
      <c r="R3296" s="115" t="s">
        <v>489</v>
      </c>
      <c r="S3296" s="125"/>
    </row>
    <row r="3297" spans="1:19" hidden="1">
      <c r="A3297" s="124" t="s">
        <v>5502</v>
      </c>
      <c r="B3297" s="149" t="str">
        <f>IFERROR(VLOOKUP(Proc[[#This Row],[App]],Table2[],3,0),"open")</f>
        <v>ok</v>
      </c>
      <c r="C3297" s="124" t="s">
        <v>369</v>
      </c>
      <c r="D3297" t="s">
        <v>5510</v>
      </c>
      <c r="E3297" t="s">
        <v>5551</v>
      </c>
      <c r="F3297" s="125" t="s">
        <v>5551</v>
      </c>
      <c r="G3297" s="124" t="s">
        <v>400</v>
      </c>
      <c r="H3297" s="125" t="str">
        <f>IF(Proc[[#This Row],[type]]="LFF (MDG-F)",MID(Proc[[#This Row],[Obj]],13,10),"")</f>
        <v/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LS</v>
      </c>
      <c r="L3297" s="125" t="s">
        <v>4894</v>
      </c>
      <c r="M3297" s="127">
        <v>45877</v>
      </c>
      <c r="N3297" s="127"/>
      <c r="O3297" s="127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84</v>
      </c>
      <c r="R3297" s="115" t="s">
        <v>489</v>
      </c>
      <c r="S3297" s="125"/>
    </row>
    <row r="3298" spans="1:19" hidden="1">
      <c r="A3298" s="124" t="s">
        <v>5502</v>
      </c>
      <c r="B3298" s="149" t="str">
        <f>IFERROR(VLOOKUP(Proc[[#This Row],[App]],Table2[],3,0),"open")</f>
        <v>ok</v>
      </c>
      <c r="C3298" s="124" t="s">
        <v>369</v>
      </c>
      <c r="D3298" t="s">
        <v>5511</v>
      </c>
      <c r="E3298" t="s">
        <v>5551</v>
      </c>
      <c r="F3298" s="125" t="s">
        <v>5551</v>
      </c>
      <c r="G3298" s="124" t="s">
        <v>400</v>
      </c>
      <c r="H3298" s="125" t="str">
        <f>IF(Proc[[#This Row],[type]]="LFF (MDG-F)",MID(Proc[[#This Row],[Obj]],13,10),"")</f>
        <v/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LS</v>
      </c>
      <c r="L3298" s="125" t="s">
        <v>4894</v>
      </c>
      <c r="M3298" s="127">
        <v>45877</v>
      </c>
      <c r="N3298" s="127"/>
      <c r="O3298" s="127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84</v>
      </c>
      <c r="R3298" s="115" t="s">
        <v>489</v>
      </c>
      <c r="S3298" s="125"/>
    </row>
    <row r="3299" spans="1:19" hidden="1">
      <c r="A3299" s="124" t="s">
        <v>5502</v>
      </c>
      <c r="B3299" s="149" t="str">
        <f>IFERROR(VLOOKUP(Proc[[#This Row],[App]],Table2[],3,0),"open")</f>
        <v>ok</v>
      </c>
      <c r="C3299" s="124" t="s">
        <v>369</v>
      </c>
      <c r="D3299" t="s">
        <v>5512</v>
      </c>
      <c r="E3299" t="s">
        <v>5551</v>
      </c>
      <c r="F3299" s="125" t="s">
        <v>5551</v>
      </c>
      <c r="G3299" s="124" t="s">
        <v>400</v>
      </c>
      <c r="H3299" s="125" t="str">
        <f>IF(Proc[[#This Row],[type]]="LFF (MDG-F)",MID(Proc[[#This Row],[Obj]],13,10),"")</f>
        <v/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LS</v>
      </c>
      <c r="L3299" s="125" t="s">
        <v>4894</v>
      </c>
      <c r="M3299" s="127">
        <v>45877</v>
      </c>
      <c r="N3299" s="127"/>
      <c r="O3299" s="127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84</v>
      </c>
      <c r="R3299" s="115" t="s">
        <v>489</v>
      </c>
      <c r="S3299" s="125"/>
    </row>
    <row r="3300" spans="1:19" hidden="1">
      <c r="A3300" s="124" t="s">
        <v>5502</v>
      </c>
      <c r="B3300" s="149" t="str">
        <f>IFERROR(VLOOKUP(Proc[[#This Row],[App]],Table2[],3,0),"open")</f>
        <v>ok</v>
      </c>
      <c r="C3300" s="124" t="s">
        <v>369</v>
      </c>
      <c r="D3300" t="s">
        <v>5513</v>
      </c>
      <c r="E3300" t="s">
        <v>5551</v>
      </c>
      <c r="F3300" s="125" t="s">
        <v>5551</v>
      </c>
      <c r="G3300" s="124" t="s">
        <v>400</v>
      </c>
      <c r="H3300" s="125" t="str">
        <f>IF(Proc[[#This Row],[type]]="LFF (MDG-F)",MID(Proc[[#This Row],[Obj]],13,10),"")</f>
        <v/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LS</v>
      </c>
      <c r="L3300" s="125" t="s">
        <v>4894</v>
      </c>
      <c r="M3300" s="127">
        <v>45877</v>
      </c>
      <c r="N3300" s="127"/>
      <c r="O3300" s="127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84</v>
      </c>
      <c r="R3300" s="115" t="s">
        <v>489</v>
      </c>
      <c r="S3300" s="125"/>
    </row>
    <row r="3301" spans="1:19" hidden="1">
      <c r="A3301" s="124" t="s">
        <v>5502</v>
      </c>
      <c r="B3301" s="149" t="str">
        <f>IFERROR(VLOOKUP(Proc[[#This Row],[App]],Table2[],3,0),"open")</f>
        <v>ok</v>
      </c>
      <c r="C3301" s="124" t="s">
        <v>369</v>
      </c>
      <c r="D3301" t="s">
        <v>5514</v>
      </c>
      <c r="E3301" t="s">
        <v>5551</v>
      </c>
      <c r="F3301" s="125" t="s">
        <v>5551</v>
      </c>
      <c r="G3301" s="124" t="s">
        <v>400</v>
      </c>
      <c r="H3301" s="125" t="str">
        <f>IF(Proc[[#This Row],[type]]="LFF (MDG-F)",MID(Proc[[#This Row],[Obj]],13,10),"")</f>
        <v/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LS</v>
      </c>
      <c r="L3301" s="125" t="s">
        <v>4894</v>
      </c>
      <c r="M3301" s="127">
        <v>45877</v>
      </c>
      <c r="N3301" s="127"/>
      <c r="O3301" s="127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84</v>
      </c>
      <c r="R3301" s="115" t="s">
        <v>489</v>
      </c>
      <c r="S3301" s="125"/>
    </row>
    <row r="3302" spans="1:19" hidden="1">
      <c r="A3302" s="124" t="s">
        <v>5502</v>
      </c>
      <c r="B3302" s="149" t="str">
        <f>IFERROR(VLOOKUP(Proc[[#This Row],[App]],Table2[],3,0),"open")</f>
        <v>ok</v>
      </c>
      <c r="C3302" s="124" t="s">
        <v>369</v>
      </c>
      <c r="D3302" t="s">
        <v>5515</v>
      </c>
      <c r="E3302" t="s">
        <v>5551</v>
      </c>
      <c r="F3302" s="125" t="s">
        <v>5551</v>
      </c>
      <c r="G3302" s="124" t="s">
        <v>400</v>
      </c>
      <c r="H3302" s="125" t="str">
        <f>IF(Proc[[#This Row],[type]]="LFF (MDG-F)",MID(Proc[[#This Row],[Obj]],13,10),"")</f>
        <v/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LS</v>
      </c>
      <c r="L3302" s="125" t="s">
        <v>4894</v>
      </c>
      <c r="M3302" s="127">
        <v>45877</v>
      </c>
      <c r="N3302" s="127"/>
      <c r="O3302" s="127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84</v>
      </c>
      <c r="R3302" s="115" t="s">
        <v>489</v>
      </c>
      <c r="S3302" s="125"/>
    </row>
    <row r="3303" spans="1:19" hidden="1">
      <c r="A3303" s="124" t="s">
        <v>5502</v>
      </c>
      <c r="B3303" s="149" t="str">
        <f>IFERROR(VLOOKUP(Proc[[#This Row],[App]],Table2[],3,0),"open")</f>
        <v>ok</v>
      </c>
      <c r="C3303" s="124" t="s">
        <v>369</v>
      </c>
      <c r="D3303" t="s">
        <v>5516</v>
      </c>
      <c r="E3303" t="s">
        <v>5551</v>
      </c>
      <c r="F3303" s="125" t="s">
        <v>5551</v>
      </c>
      <c r="G3303" s="124" t="s">
        <v>400</v>
      </c>
      <c r="H3303" s="125" t="str">
        <f>IF(Proc[[#This Row],[type]]="LFF (MDG-F)",MID(Proc[[#This Row],[Obj]],13,10),"")</f>
        <v/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LS</v>
      </c>
      <c r="L3303" s="125" t="s">
        <v>4894</v>
      </c>
      <c r="M3303" s="127">
        <v>45877</v>
      </c>
      <c r="N3303" s="127"/>
      <c r="O3303" s="127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84</v>
      </c>
      <c r="R3303" s="115" t="s">
        <v>489</v>
      </c>
      <c r="S3303" s="125"/>
    </row>
    <row r="3304" spans="1:19" hidden="1">
      <c r="A3304" s="124" t="s">
        <v>5502</v>
      </c>
      <c r="B3304" s="149" t="str">
        <f>IFERROR(VLOOKUP(Proc[[#This Row],[App]],Table2[],3,0),"open")</f>
        <v>ok</v>
      </c>
      <c r="C3304" s="124" t="s">
        <v>369</v>
      </c>
      <c r="D3304" t="s">
        <v>5517</v>
      </c>
      <c r="E3304" t="s">
        <v>5551</v>
      </c>
      <c r="F3304" s="125" t="s">
        <v>5551</v>
      </c>
      <c r="G3304" s="124" t="s">
        <v>400</v>
      </c>
      <c r="H3304" s="125" t="str">
        <f>IF(Proc[[#This Row],[type]]="LFF (MDG-F)",MID(Proc[[#This Row],[Obj]],13,10),"")</f>
        <v/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LS</v>
      </c>
      <c r="L3304" s="125" t="s">
        <v>4894</v>
      </c>
      <c r="M3304" s="127">
        <v>45877</v>
      </c>
      <c r="N3304" s="127"/>
      <c r="O3304" s="127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84</v>
      </c>
      <c r="R3304" s="115" t="s">
        <v>489</v>
      </c>
      <c r="S3304" s="125"/>
    </row>
    <row r="3305" spans="1:19" hidden="1">
      <c r="A3305" s="124" t="s">
        <v>5502</v>
      </c>
      <c r="B3305" s="149" t="str">
        <f>IFERROR(VLOOKUP(Proc[[#This Row],[App]],Table2[],3,0),"open")</f>
        <v>ok</v>
      </c>
      <c r="C3305" s="124" t="s">
        <v>369</v>
      </c>
      <c r="D3305" t="s">
        <v>5518</v>
      </c>
      <c r="E3305" t="s">
        <v>5551</v>
      </c>
      <c r="F3305" s="125" t="s">
        <v>5551</v>
      </c>
      <c r="G3305" s="124" t="s">
        <v>400</v>
      </c>
      <c r="H3305" s="125" t="str">
        <f>IF(Proc[[#This Row],[type]]="LFF (MDG-F)",MID(Proc[[#This Row],[Obj]],13,10),"")</f>
        <v/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LS</v>
      </c>
      <c r="L3305" s="125" t="s">
        <v>4894</v>
      </c>
      <c r="M3305" s="127">
        <v>45877</v>
      </c>
      <c r="N3305" s="127"/>
      <c r="O3305" s="127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84</v>
      </c>
      <c r="R3305" s="115" t="s">
        <v>489</v>
      </c>
      <c r="S3305" s="125"/>
    </row>
    <row r="3306" spans="1:19" hidden="1">
      <c r="A3306" s="124" t="s">
        <v>5502</v>
      </c>
      <c r="B3306" s="149" t="str">
        <f>IFERROR(VLOOKUP(Proc[[#This Row],[App]],Table2[],3,0),"open")</f>
        <v>ok</v>
      </c>
      <c r="C3306" s="124" t="s">
        <v>369</v>
      </c>
      <c r="D3306" t="s">
        <v>5519</v>
      </c>
      <c r="E3306" t="s">
        <v>5551</v>
      </c>
      <c r="F3306" s="125" t="s">
        <v>5551</v>
      </c>
      <c r="G3306" s="124" t="s">
        <v>400</v>
      </c>
      <c r="H3306" s="125" t="str">
        <f>IF(Proc[[#This Row],[type]]="LFF (MDG-F)",MID(Proc[[#This Row],[Obj]],13,10),"")</f>
        <v/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LS</v>
      </c>
      <c r="L3306" s="125" t="s">
        <v>4894</v>
      </c>
      <c r="M3306" s="127">
        <v>45877</v>
      </c>
      <c r="N3306" s="127"/>
      <c r="O3306" s="127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84</v>
      </c>
      <c r="R3306" s="115" t="s">
        <v>489</v>
      </c>
      <c r="S3306" s="125"/>
    </row>
    <row r="3307" spans="1:19" hidden="1">
      <c r="A3307" s="124" t="s">
        <v>5502</v>
      </c>
      <c r="B3307" s="149" t="str">
        <f>IFERROR(VLOOKUP(Proc[[#This Row],[App]],Table2[],3,0),"open")</f>
        <v>ok</v>
      </c>
      <c r="C3307" s="124" t="s">
        <v>369</v>
      </c>
      <c r="D3307" t="s">
        <v>5520</v>
      </c>
      <c r="E3307" t="s">
        <v>5551</v>
      </c>
      <c r="F3307" s="125" t="s">
        <v>5551</v>
      </c>
      <c r="G3307" s="124" t="s">
        <v>400</v>
      </c>
      <c r="H3307" s="125" t="str">
        <f>IF(Proc[[#This Row],[type]]="LFF (MDG-F)",MID(Proc[[#This Row],[Obj]],13,10),"")</f>
        <v/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LS</v>
      </c>
      <c r="L3307" s="125" t="s">
        <v>4894</v>
      </c>
      <c r="M3307" s="127">
        <v>45877</v>
      </c>
      <c r="N3307" s="127"/>
      <c r="O3307" s="127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84</v>
      </c>
      <c r="R3307" s="115" t="s">
        <v>489</v>
      </c>
      <c r="S3307" s="125"/>
    </row>
    <row r="3308" spans="1:19" hidden="1">
      <c r="A3308" s="124" t="s">
        <v>5502</v>
      </c>
      <c r="B3308" s="149" t="str">
        <f>IFERROR(VLOOKUP(Proc[[#This Row],[App]],Table2[],3,0),"open")</f>
        <v>ok</v>
      </c>
      <c r="C3308" s="124" t="s">
        <v>369</v>
      </c>
      <c r="D3308" t="s">
        <v>5521</v>
      </c>
      <c r="E3308" t="s">
        <v>5551</v>
      </c>
      <c r="F3308" s="125" t="s">
        <v>5551</v>
      </c>
      <c r="G3308" s="124" t="s">
        <v>400</v>
      </c>
      <c r="H3308" s="125" t="str">
        <f>IF(Proc[[#This Row],[type]]="LFF (MDG-F)",MID(Proc[[#This Row],[Obj]],13,10),"")</f>
        <v/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LS</v>
      </c>
      <c r="L3308" s="125" t="s">
        <v>4894</v>
      </c>
      <c r="M3308" s="127">
        <v>45877</v>
      </c>
      <c r="N3308" s="127"/>
      <c r="O3308" s="127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84</v>
      </c>
      <c r="R3308" s="115" t="s">
        <v>489</v>
      </c>
      <c r="S3308" s="125"/>
    </row>
    <row r="3309" spans="1:19" hidden="1">
      <c r="A3309" t="s">
        <v>5522</v>
      </c>
      <c r="B3309" s="149" t="str">
        <f>IFERROR(VLOOKUP(Proc[[#This Row],[App]],Table2[],3,0),"open")</f>
        <v>ok</v>
      </c>
      <c r="C3309" s="124" t="s">
        <v>369</v>
      </c>
      <c r="D3309" t="s">
        <v>5523</v>
      </c>
      <c r="E3309" t="s">
        <v>1251</v>
      </c>
      <c r="F3309" s="125" t="s">
        <v>1251</v>
      </c>
      <c r="G3309" s="124" t="s">
        <v>406</v>
      </c>
      <c r="H3309" s="125" t="str">
        <f>IF(Proc[[#This Row],[type]]="LFF (MDG-F)",MID(Proc[[#This Row],[Obj]],13,10),"")</f>
        <v>DE10Z03112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27">
        <v>45877</v>
      </c>
      <c r="N3309" s="127"/>
      <c r="O3309" s="127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84</v>
      </c>
      <c r="R3309" s="115" t="s">
        <v>1459</v>
      </c>
      <c r="S3309" s="125"/>
    </row>
    <row r="3310" spans="1:19" hidden="1">
      <c r="A3310" t="s">
        <v>5524</v>
      </c>
      <c r="B3310" s="149" t="str">
        <f>IFERROR(VLOOKUP(Proc[[#This Row],[App]],Table2[],3,0),"open")</f>
        <v>ok</v>
      </c>
      <c r="C3310" s="124" t="s">
        <v>369</v>
      </c>
      <c r="D3310" t="s">
        <v>5525</v>
      </c>
      <c r="E3310" t="s">
        <v>5527</v>
      </c>
      <c r="F3310" s="124" t="s">
        <v>5527</v>
      </c>
      <c r="G3310" s="124" t="s">
        <v>400</v>
      </c>
      <c r="H3310" s="125" t="str">
        <f>IF(Proc[[#This Row],[type]]="LFF (MDG-F)",MID(Proc[[#This Row],[Obj]],13,10),"")</f>
        <v/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LS</v>
      </c>
      <c r="L3310" s="125" t="s">
        <v>4894</v>
      </c>
      <c r="M3310" s="127">
        <v>45877</v>
      </c>
      <c r="N3310" s="127"/>
      <c r="O3310" s="127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84</v>
      </c>
      <c r="R3310" s="115" t="s">
        <v>489</v>
      </c>
      <c r="S3310" s="125"/>
    </row>
    <row r="3311" spans="1:19" hidden="1">
      <c r="A3311" s="124" t="s">
        <v>5524</v>
      </c>
      <c r="B3311" s="149" t="str">
        <f>IFERROR(VLOOKUP(Proc[[#This Row],[App]],Table2[],3,0),"open")</f>
        <v>ok</v>
      </c>
      <c r="C3311" s="124" t="s">
        <v>369</v>
      </c>
      <c r="D3311" t="s">
        <v>5526</v>
      </c>
      <c r="E3311" t="s">
        <v>5528</v>
      </c>
      <c r="F3311" s="124" t="s">
        <v>5528</v>
      </c>
      <c r="G3311" s="124" t="s">
        <v>400</v>
      </c>
      <c r="H3311" s="125" t="str">
        <f>IF(Proc[[#This Row],[type]]="LFF (MDG-F)",MID(Proc[[#This Row],[Obj]],13,10),"")</f>
        <v/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LS</v>
      </c>
      <c r="L3311" s="125" t="s">
        <v>4894</v>
      </c>
      <c r="M3311" s="127">
        <v>45877</v>
      </c>
      <c r="N3311" s="127"/>
      <c r="O3311" s="127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84</v>
      </c>
      <c r="R3311" s="115" t="s">
        <v>489</v>
      </c>
      <c r="S3311" s="125"/>
    </row>
    <row r="3312" spans="1:19" hidden="1">
      <c r="A3312" t="s">
        <v>5529</v>
      </c>
      <c r="B3312" s="149" t="str">
        <f>IFERROR(VLOOKUP(Proc[[#This Row],[App]],Table2[],3,0),"open")</f>
        <v>ok</v>
      </c>
      <c r="C3312" s="124" t="s">
        <v>369</v>
      </c>
      <c r="D3312" t="s">
        <v>4321</v>
      </c>
      <c r="E3312" t="s">
        <v>5552</v>
      </c>
      <c r="F3312" s="125" t="s">
        <v>5552</v>
      </c>
      <c r="G3312" s="124" t="s">
        <v>406</v>
      </c>
      <c r="H3312" s="125" t="str">
        <f>IF(Proc[[#This Row],[type]]="LFF (MDG-F)",MID(Proc[[#This Row],[Obj]],13,10),"")</f>
        <v>2068TAUA01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LS</v>
      </c>
      <c r="L3312" s="125" t="s">
        <v>4894</v>
      </c>
      <c r="M3312" s="127">
        <v>45877</v>
      </c>
      <c r="N3312" s="127"/>
      <c r="O3312" s="127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84</v>
      </c>
      <c r="R3312" s="115" t="s">
        <v>489</v>
      </c>
      <c r="S3312" s="125"/>
    </row>
    <row r="3313" spans="1:19" hidden="1">
      <c r="A3313" t="s">
        <v>5530</v>
      </c>
      <c r="B3313" s="149" t="str">
        <f>IFERROR(VLOOKUP(Proc[[#This Row],[App]],Table2[],3,0),"open")</f>
        <v>ok</v>
      </c>
      <c r="C3313" s="124" t="s">
        <v>369</v>
      </c>
      <c r="D3313" t="s">
        <v>5557</v>
      </c>
      <c r="E3313" t="s">
        <v>5552</v>
      </c>
      <c r="F3313" s="125" t="s">
        <v>5552</v>
      </c>
      <c r="G3313" s="124" t="s">
        <v>406</v>
      </c>
      <c r="H3313" s="125" t="str">
        <f>IF(Proc[[#This Row],[type]]="LFF (MDG-F)",MID(Proc[[#This Row],[Obj]],13,10),"")</f>
        <v>2068TAUA00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LS</v>
      </c>
      <c r="L3313" s="125" t="s">
        <v>4894</v>
      </c>
      <c r="M3313" s="127">
        <v>45877</v>
      </c>
      <c r="N3313" s="127"/>
      <c r="O3313" s="127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84</v>
      </c>
      <c r="R3313" s="115" t="s">
        <v>489</v>
      </c>
      <c r="S3313" s="125"/>
    </row>
    <row r="3314" spans="1:19" hidden="1">
      <c r="A3314" s="124" t="s">
        <v>5530</v>
      </c>
      <c r="B3314" s="149" t="str">
        <f>IFERROR(VLOOKUP(Proc[[#This Row],[App]],Table2[],3,0),"open")</f>
        <v>ok</v>
      </c>
      <c r="C3314" s="124" t="s">
        <v>369</v>
      </c>
      <c r="D3314" t="s">
        <v>5558</v>
      </c>
      <c r="E3314" t="s">
        <v>5552</v>
      </c>
      <c r="F3314" s="125" t="s">
        <v>5552</v>
      </c>
      <c r="G3314" s="124" t="s">
        <v>406</v>
      </c>
      <c r="H3314" s="125" t="str">
        <f>IF(Proc[[#This Row],[type]]="LFF (MDG-F)",MID(Proc[[#This Row],[Obj]],13,10),"")</f>
        <v>2068TAUA99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LS</v>
      </c>
      <c r="L3314" s="125" t="s">
        <v>4894</v>
      </c>
      <c r="M3314" s="127">
        <v>45877</v>
      </c>
      <c r="N3314" s="127"/>
      <c r="O3314" s="127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84</v>
      </c>
      <c r="R3314" s="115" t="s">
        <v>489</v>
      </c>
      <c r="S3314" s="125"/>
    </row>
    <row r="3315" spans="1:19" hidden="1">
      <c r="A3315" s="124" t="s">
        <v>5530</v>
      </c>
      <c r="B3315" s="149" t="str">
        <f>IFERROR(VLOOKUP(Proc[[#This Row],[App]],Table2[],3,0),"open")</f>
        <v>ok</v>
      </c>
      <c r="C3315" s="124" t="s">
        <v>369</v>
      </c>
      <c r="D3315" t="s">
        <v>5559</v>
      </c>
      <c r="E3315" t="s">
        <v>5552</v>
      </c>
      <c r="F3315" s="125" t="s">
        <v>5552</v>
      </c>
      <c r="G3315" s="124" t="s">
        <v>406</v>
      </c>
      <c r="H3315" s="125" t="str">
        <f>IF(Proc[[#This Row],[type]]="LFF (MDG-F)",MID(Proc[[#This Row],[Obj]],13,10),"")</f>
        <v>2068TBUZ21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LS</v>
      </c>
      <c r="L3315" s="125" t="s">
        <v>4894</v>
      </c>
      <c r="M3315" s="127">
        <v>45877</v>
      </c>
      <c r="N3315" s="127"/>
      <c r="O3315" s="127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84</v>
      </c>
      <c r="R3315" s="115" t="s">
        <v>489</v>
      </c>
      <c r="S3315" s="125"/>
    </row>
    <row r="3316" spans="1:19" hidden="1">
      <c r="A3316" s="124" t="s">
        <v>5530</v>
      </c>
      <c r="B3316" s="149" t="str">
        <f>IFERROR(VLOOKUP(Proc[[#This Row],[App]],Table2[],3,0),"open")</f>
        <v>ok</v>
      </c>
      <c r="C3316" s="124" t="s">
        <v>369</v>
      </c>
      <c r="D3316" t="s">
        <v>5560</v>
      </c>
      <c r="E3316" t="s">
        <v>5552</v>
      </c>
      <c r="F3316" s="125" t="s">
        <v>5552</v>
      </c>
      <c r="G3316" s="124" t="s">
        <v>406</v>
      </c>
      <c r="H3316" s="125" t="str">
        <f>IF(Proc[[#This Row],[type]]="LFF (MDG-F)",MID(Proc[[#This Row],[Obj]],13,10),"")</f>
        <v>2068TFUZ61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LS</v>
      </c>
      <c r="L3316" s="125" t="s">
        <v>4894</v>
      </c>
      <c r="M3316" s="127">
        <v>45877</v>
      </c>
      <c r="N3316" s="127"/>
      <c r="O3316" s="127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84</v>
      </c>
      <c r="R3316" s="115" t="s">
        <v>489</v>
      </c>
      <c r="S3316" s="125"/>
    </row>
    <row r="3317" spans="1:19" hidden="1">
      <c r="A3317" s="124" t="s">
        <v>5530</v>
      </c>
      <c r="B3317" s="149" t="str">
        <f>IFERROR(VLOOKUP(Proc[[#This Row],[App]],Table2[],3,0),"open")</f>
        <v>ok</v>
      </c>
      <c r="C3317" s="124" t="s">
        <v>369</v>
      </c>
      <c r="D3317" t="s">
        <v>5561</v>
      </c>
      <c r="E3317" t="s">
        <v>5552</v>
      </c>
      <c r="F3317" s="125" t="s">
        <v>5552</v>
      </c>
      <c r="G3317" s="124" t="s">
        <v>406</v>
      </c>
      <c r="H3317" s="125" t="str">
        <f>IF(Proc[[#This Row],[type]]="LFF (MDG-F)",MID(Proc[[#This Row],[Obj]],13,10),"")</f>
        <v>2068TKUZ70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LS</v>
      </c>
      <c r="L3317" s="125" t="s">
        <v>4894</v>
      </c>
      <c r="M3317" s="127">
        <v>45877</v>
      </c>
      <c r="N3317" s="127"/>
      <c r="O3317" s="127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84</v>
      </c>
      <c r="R3317" s="115" t="s">
        <v>489</v>
      </c>
      <c r="S3317" s="125"/>
    </row>
    <row r="3318" spans="1:19" hidden="1">
      <c r="A3318" s="124" t="s">
        <v>5530</v>
      </c>
      <c r="B3318" s="149" t="str">
        <f>IFERROR(VLOOKUP(Proc[[#This Row],[App]],Table2[],3,0),"open")</f>
        <v>ok</v>
      </c>
      <c r="C3318" s="124" t="s">
        <v>369</v>
      </c>
      <c r="D3318" t="s">
        <v>5562</v>
      </c>
      <c r="E3318" t="s">
        <v>5552</v>
      </c>
      <c r="F3318" s="125" t="s">
        <v>5552</v>
      </c>
      <c r="G3318" s="124" t="s">
        <v>406</v>
      </c>
      <c r="H3318" s="125" t="str">
        <f>IF(Proc[[#This Row],[type]]="LFF (MDG-F)",MID(Proc[[#This Row],[Obj]],13,10),"")</f>
        <v>2068TQUZ90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LS</v>
      </c>
      <c r="L3318" s="125" t="s">
        <v>4894</v>
      </c>
      <c r="M3318" s="127">
        <v>45877</v>
      </c>
      <c r="N3318" s="127"/>
      <c r="O3318" s="127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84</v>
      </c>
      <c r="R3318" s="115" t="s">
        <v>489</v>
      </c>
      <c r="S3318" s="125"/>
    </row>
    <row r="3319" spans="1:19" hidden="1">
      <c r="A3319" s="124" t="s">
        <v>5530</v>
      </c>
      <c r="B3319" s="149" t="str">
        <f>IFERROR(VLOOKUP(Proc[[#This Row],[App]],Table2[],3,0),"open")</f>
        <v>ok</v>
      </c>
      <c r="C3319" s="124" t="s">
        <v>369</v>
      </c>
      <c r="D3319" t="s">
        <v>5563</v>
      </c>
      <c r="E3319" t="s">
        <v>5531</v>
      </c>
      <c r="F3319" s="125" t="s">
        <v>5531</v>
      </c>
      <c r="G3319" s="124" t="s">
        <v>406</v>
      </c>
      <c r="H3319" s="125" t="str">
        <f>IF(Proc[[#This Row],[type]]="LFF (MDG-F)",MID(Proc[[#This Row],[Obj]],13,10),"")</f>
        <v>2148TFCZ62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LS</v>
      </c>
      <c r="L3319" s="125" t="s">
        <v>4894</v>
      </c>
      <c r="M3319" s="127">
        <v>45877</v>
      </c>
      <c r="N3319" s="127"/>
      <c r="O3319" s="127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84</v>
      </c>
      <c r="R3319" s="115" t="s">
        <v>489</v>
      </c>
      <c r="S3319" s="125"/>
    </row>
    <row r="3320" spans="1:19" hidden="1">
      <c r="A3320" s="124" t="s">
        <v>5530</v>
      </c>
      <c r="B3320" s="149" t="str">
        <f>IFERROR(VLOOKUP(Proc[[#This Row],[App]],Table2[],3,0),"open")</f>
        <v>ok</v>
      </c>
      <c r="C3320" s="124" t="s">
        <v>369</v>
      </c>
      <c r="D3320" t="s">
        <v>5564</v>
      </c>
      <c r="E3320" t="s">
        <v>5531</v>
      </c>
      <c r="F3320" s="125" t="s">
        <v>5531</v>
      </c>
      <c r="G3320" s="124" t="s">
        <v>406</v>
      </c>
      <c r="H3320" s="125" t="str">
        <f>IF(Proc[[#This Row],[type]]="LFF (MDG-F)",MID(Proc[[#This Row],[Obj]],13,10),"")</f>
        <v>2148TFSZ62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LS</v>
      </c>
      <c r="L3320" s="125" t="s">
        <v>4894</v>
      </c>
      <c r="M3320" s="127">
        <v>45877</v>
      </c>
      <c r="N3320" s="127"/>
      <c r="O3320" s="127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84</v>
      </c>
      <c r="R3320" s="115" t="s">
        <v>489</v>
      </c>
      <c r="S3320" s="125"/>
    </row>
    <row r="3321" spans="1:19" hidden="1">
      <c r="A3321" t="s">
        <v>5533</v>
      </c>
      <c r="B3321" s="149" t="str">
        <f>IFERROR(VLOOKUP(Proc[[#This Row],[App]],Table2[],3,0),"open")</f>
        <v>ok</v>
      </c>
      <c r="C3321" s="124" t="s">
        <v>369</v>
      </c>
      <c r="D3321" t="s">
        <v>5534</v>
      </c>
      <c r="E3321" t="s">
        <v>5532</v>
      </c>
      <c r="F3321" s="125" t="s">
        <v>5532</v>
      </c>
      <c r="G3321" s="124" t="s">
        <v>400</v>
      </c>
      <c r="H3321" s="125" t="str">
        <f>IF(Proc[[#This Row],[type]]="LFF (MDG-F)",MID(Proc[[#This Row],[Obj]],13,10),"")</f>
        <v/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HC</v>
      </c>
      <c r="L3321" s="125" t="s">
        <v>4894</v>
      </c>
      <c r="M3321" s="127">
        <v>45877</v>
      </c>
      <c r="N3321" s="127"/>
      <c r="O3321" s="127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84</v>
      </c>
      <c r="R3321" s="115" t="s">
        <v>415</v>
      </c>
      <c r="S3321" s="125"/>
    </row>
    <row r="3322" spans="1:19" hidden="1">
      <c r="A3322" s="124" t="s">
        <v>5533</v>
      </c>
      <c r="B3322" s="149" t="str">
        <f>IFERROR(VLOOKUP(Proc[[#This Row],[App]],Table2[],3,0),"open")</f>
        <v>ok</v>
      </c>
      <c r="C3322" s="124" t="s">
        <v>369</v>
      </c>
      <c r="D3322" t="s">
        <v>5535</v>
      </c>
      <c r="E3322" t="s">
        <v>5532</v>
      </c>
      <c r="F3322" s="125" t="s">
        <v>5532</v>
      </c>
      <c r="G3322" s="124" t="s">
        <v>400</v>
      </c>
      <c r="H3322" s="125" t="str">
        <f>IF(Proc[[#This Row],[type]]="LFF (MDG-F)",MID(Proc[[#This Row],[Obj]],13,10),"")</f>
        <v/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HC</v>
      </c>
      <c r="L3322" s="125" t="s">
        <v>4894</v>
      </c>
      <c r="M3322" s="127">
        <v>45877</v>
      </c>
      <c r="N3322" s="127"/>
      <c r="O3322" s="127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84</v>
      </c>
      <c r="R3322" s="115" t="s">
        <v>415</v>
      </c>
      <c r="S3322" s="125"/>
    </row>
    <row r="3323" spans="1:19" hidden="1">
      <c r="A3323" s="124" t="s">
        <v>5533</v>
      </c>
      <c r="B3323" s="149" t="str">
        <f>IFERROR(VLOOKUP(Proc[[#This Row],[App]],Table2[],3,0),"open")</f>
        <v>ok</v>
      </c>
      <c r="C3323" s="124" t="s">
        <v>369</v>
      </c>
      <c r="D3323" t="s">
        <v>5536</v>
      </c>
      <c r="E3323" t="s">
        <v>5532</v>
      </c>
      <c r="F3323" s="125" t="s">
        <v>5532</v>
      </c>
      <c r="G3323" s="124" t="s">
        <v>400</v>
      </c>
      <c r="H3323" s="125" t="str">
        <f>IF(Proc[[#This Row],[type]]="LFF (MDG-F)",MID(Proc[[#This Row],[Obj]],13,10),"")</f>
        <v/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HC</v>
      </c>
      <c r="L3323" s="125" t="s">
        <v>4894</v>
      </c>
      <c r="M3323" s="127">
        <v>45877</v>
      </c>
      <c r="N3323" s="127"/>
      <c r="O3323" s="127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84</v>
      </c>
      <c r="R3323" s="115" t="s">
        <v>415</v>
      </c>
      <c r="S3323" s="125"/>
    </row>
    <row r="3324" spans="1:19" hidden="1">
      <c r="A3324" s="124" t="s">
        <v>5533</v>
      </c>
      <c r="B3324" s="149" t="str">
        <f>IFERROR(VLOOKUP(Proc[[#This Row],[App]],Table2[],3,0),"open")</f>
        <v>ok</v>
      </c>
      <c r="C3324" s="124" t="s">
        <v>369</v>
      </c>
      <c r="D3324" t="s">
        <v>5537</v>
      </c>
      <c r="E3324" t="s">
        <v>5532</v>
      </c>
      <c r="F3324" s="125" t="s">
        <v>5532</v>
      </c>
      <c r="G3324" s="124" t="s">
        <v>400</v>
      </c>
      <c r="H3324" s="125" t="str">
        <f>IF(Proc[[#This Row],[type]]="LFF (MDG-F)",MID(Proc[[#This Row],[Obj]],13,10),"")</f>
        <v/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HC</v>
      </c>
      <c r="L3324" s="125" t="s">
        <v>4894</v>
      </c>
      <c r="M3324" s="127">
        <v>45877</v>
      </c>
      <c r="N3324" s="127"/>
      <c r="O3324" s="127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84</v>
      </c>
      <c r="R3324" s="115" t="s">
        <v>415</v>
      </c>
      <c r="S3324" s="125"/>
    </row>
    <row r="3325" spans="1:19" hidden="1">
      <c r="A3325" s="124" t="s">
        <v>5533</v>
      </c>
      <c r="B3325" s="149" t="str">
        <f>IFERROR(VLOOKUP(Proc[[#This Row],[App]],Table2[],3,0),"open")</f>
        <v>ok</v>
      </c>
      <c r="C3325" s="124" t="s">
        <v>369</v>
      </c>
      <c r="D3325" t="s">
        <v>5538</v>
      </c>
      <c r="E3325" t="s">
        <v>5532</v>
      </c>
      <c r="F3325" s="125" t="s">
        <v>5532</v>
      </c>
      <c r="G3325" s="124" t="s">
        <v>400</v>
      </c>
      <c r="H3325" s="125" t="str">
        <f>IF(Proc[[#This Row],[type]]="LFF (MDG-F)",MID(Proc[[#This Row],[Obj]],13,10),"")</f>
        <v/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HC</v>
      </c>
      <c r="L3325" s="125" t="s">
        <v>4894</v>
      </c>
      <c r="M3325" s="127">
        <v>45877</v>
      </c>
      <c r="N3325" s="127"/>
      <c r="O3325" s="127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84</v>
      </c>
      <c r="R3325" s="115" t="s">
        <v>415</v>
      </c>
      <c r="S3325" s="125"/>
    </row>
    <row r="3326" spans="1:19" hidden="1">
      <c r="A3326" s="124" t="s">
        <v>5533</v>
      </c>
      <c r="B3326" s="149" t="str">
        <f>IFERROR(VLOOKUP(Proc[[#This Row],[App]],Table2[],3,0),"open")</f>
        <v>ok</v>
      </c>
      <c r="C3326" s="124" t="s">
        <v>369</v>
      </c>
      <c r="D3326" t="s">
        <v>5539</v>
      </c>
      <c r="E3326" t="s">
        <v>5532</v>
      </c>
      <c r="F3326" s="125" t="s">
        <v>5532</v>
      </c>
      <c r="G3326" s="124" t="s">
        <v>400</v>
      </c>
      <c r="H3326" s="125" t="str">
        <f>IF(Proc[[#This Row],[type]]="LFF (MDG-F)",MID(Proc[[#This Row],[Obj]],13,10),"")</f>
        <v/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HC</v>
      </c>
      <c r="L3326" s="125" t="s">
        <v>4894</v>
      </c>
      <c r="M3326" s="127">
        <v>45877</v>
      </c>
      <c r="N3326" s="127"/>
      <c r="O3326" s="127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84</v>
      </c>
      <c r="R3326" s="115" t="s">
        <v>415</v>
      </c>
      <c r="S3326" s="125"/>
    </row>
    <row r="3327" spans="1:19" hidden="1">
      <c r="A3327" s="124" t="s">
        <v>5533</v>
      </c>
      <c r="B3327" s="149" t="str">
        <f>IFERROR(VLOOKUP(Proc[[#This Row],[App]],Table2[],3,0),"open")</f>
        <v>ok</v>
      </c>
      <c r="C3327" s="124" t="s">
        <v>369</v>
      </c>
      <c r="D3327" t="s">
        <v>5540</v>
      </c>
      <c r="E3327" t="s">
        <v>5532</v>
      </c>
      <c r="F3327" s="125" t="s">
        <v>5532</v>
      </c>
      <c r="G3327" s="124" t="s">
        <v>400</v>
      </c>
      <c r="H3327" s="125" t="str">
        <f>IF(Proc[[#This Row],[type]]="LFF (MDG-F)",MID(Proc[[#This Row],[Obj]],13,10),"")</f>
        <v/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HC</v>
      </c>
      <c r="L3327" s="125" t="s">
        <v>4894</v>
      </c>
      <c r="M3327" s="127">
        <v>45877</v>
      </c>
      <c r="N3327" s="127"/>
      <c r="O3327" s="127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84</v>
      </c>
      <c r="R3327" s="115" t="s">
        <v>415</v>
      </c>
      <c r="S3327" s="125"/>
    </row>
    <row r="3328" spans="1:19" hidden="1">
      <c r="A3328" s="124" t="s">
        <v>5533</v>
      </c>
      <c r="B3328" s="149" t="str">
        <f>IFERROR(VLOOKUP(Proc[[#This Row],[App]],Table2[],3,0),"open")</f>
        <v>ok</v>
      </c>
      <c r="C3328" s="124" t="s">
        <v>369</v>
      </c>
      <c r="D3328" t="s">
        <v>5541</v>
      </c>
      <c r="E3328" t="s">
        <v>5532</v>
      </c>
      <c r="F3328" s="125" t="s">
        <v>5532</v>
      </c>
      <c r="G3328" s="124" t="s">
        <v>400</v>
      </c>
      <c r="H3328" s="125" t="str">
        <f>IF(Proc[[#This Row],[type]]="LFF (MDG-F)",MID(Proc[[#This Row],[Obj]],13,10),"")</f>
        <v/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HC</v>
      </c>
      <c r="L3328" s="125" t="s">
        <v>4894</v>
      </c>
      <c r="M3328" s="127">
        <v>45877</v>
      </c>
      <c r="N3328" s="127"/>
      <c r="O3328" s="127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84</v>
      </c>
      <c r="R3328" s="115" t="s">
        <v>415</v>
      </c>
      <c r="S3328" s="125"/>
    </row>
    <row r="3329" spans="1:19" hidden="1">
      <c r="A3329" s="124" t="s">
        <v>5533</v>
      </c>
      <c r="B3329" s="149" t="str">
        <f>IFERROR(VLOOKUP(Proc[[#This Row],[App]],Table2[],3,0),"open")</f>
        <v>ok</v>
      </c>
      <c r="C3329" s="124" t="s">
        <v>369</v>
      </c>
      <c r="D3329" t="s">
        <v>5542</v>
      </c>
      <c r="E3329" t="s">
        <v>5532</v>
      </c>
      <c r="F3329" s="125" t="s">
        <v>5532</v>
      </c>
      <c r="G3329" s="124" t="s">
        <v>400</v>
      </c>
      <c r="H3329" s="125" t="str">
        <f>IF(Proc[[#This Row],[type]]="LFF (MDG-F)",MID(Proc[[#This Row],[Obj]],13,10),"")</f>
        <v/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HC</v>
      </c>
      <c r="L3329" s="125" t="s">
        <v>4894</v>
      </c>
      <c r="M3329" s="127">
        <v>45877</v>
      </c>
      <c r="N3329" s="127"/>
      <c r="O3329" s="127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84</v>
      </c>
      <c r="R3329" s="115" t="s">
        <v>415</v>
      </c>
      <c r="S3329" s="125"/>
    </row>
    <row r="3330" spans="1:19" hidden="1">
      <c r="A3330" s="124" t="s">
        <v>5533</v>
      </c>
      <c r="B3330" s="149" t="str">
        <f>IFERROR(VLOOKUP(Proc[[#This Row],[App]],Table2[],3,0),"open")</f>
        <v>ok</v>
      </c>
      <c r="C3330" s="124" t="s">
        <v>369</v>
      </c>
      <c r="D3330" t="s">
        <v>5543</v>
      </c>
      <c r="E3330" t="s">
        <v>5532</v>
      </c>
      <c r="F3330" s="125" t="s">
        <v>5532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HC</v>
      </c>
      <c r="L3330" s="125" t="s">
        <v>4894</v>
      </c>
      <c r="M3330" s="127">
        <v>45877</v>
      </c>
      <c r="N3330" s="127"/>
      <c r="O3330" s="127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84</v>
      </c>
      <c r="R3330" s="115" t="s">
        <v>415</v>
      </c>
      <c r="S3330" s="125"/>
    </row>
    <row r="3331" spans="1:19" hidden="1">
      <c r="A3331" t="s">
        <v>5546</v>
      </c>
      <c r="B3331" s="149" t="str">
        <f>IFERROR(VLOOKUP(Proc[[#This Row],[App]],Table2[],3,0),"open")</f>
        <v>ok</v>
      </c>
      <c r="C3331" s="124" t="s">
        <v>369</v>
      </c>
      <c r="D3331" t="s">
        <v>5547</v>
      </c>
      <c r="E3331" s="124" t="s">
        <v>5548</v>
      </c>
      <c r="F3331" s="125" t="s">
        <v>5548</v>
      </c>
      <c r="G3331" t="s">
        <v>400</v>
      </c>
      <c r="H3331" s="125" t="str">
        <f>IF(Proc[[#This Row],[type]]="LFF (MDG-F)",MID(Proc[[#This Row],[Obj]],13,10),"")</f>
        <v/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HC</v>
      </c>
      <c r="L3331" s="125" t="s">
        <v>4894</v>
      </c>
      <c r="M3331" s="127">
        <v>45880</v>
      </c>
      <c r="N3331" s="127"/>
      <c r="O3331" s="127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83</v>
      </c>
      <c r="R3331" s="115" t="s">
        <v>410</v>
      </c>
      <c r="S3331" s="125"/>
    </row>
    <row r="3332" spans="1:19" hidden="1">
      <c r="A3332" t="s">
        <v>5549</v>
      </c>
      <c r="B3332" s="149" t="str">
        <f>IFERROR(VLOOKUP(Proc[[#This Row],[App]],Table2[],3,0),"open")</f>
        <v>ok</v>
      </c>
      <c r="C3332" s="124" t="s">
        <v>369</v>
      </c>
      <c r="D3332" t="s">
        <v>5550</v>
      </c>
      <c r="E3332" t="s">
        <v>5553</v>
      </c>
      <c r="F3332" s="125" t="s">
        <v>5553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27">
        <v>45880</v>
      </c>
      <c r="N3332" s="127"/>
      <c r="O3332" s="127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83</v>
      </c>
      <c r="R3332" s="115" t="s">
        <v>515</v>
      </c>
      <c r="S3332" s="125"/>
    </row>
    <row r="3333" spans="1:19" hidden="1">
      <c r="A3333" t="s">
        <v>5554</v>
      </c>
      <c r="B3333" s="149" t="str">
        <f>IFERROR(VLOOKUP(Proc[[#This Row],[App]],Table2[],3,0),"open")</f>
        <v>ok</v>
      </c>
      <c r="C3333" t="s">
        <v>369</v>
      </c>
      <c r="D3333" t="s">
        <v>5565</v>
      </c>
      <c r="E3333" t="s">
        <v>5555</v>
      </c>
      <c r="F3333" s="129" t="s">
        <v>5555</v>
      </c>
      <c r="G3333" s="124" t="s">
        <v>406</v>
      </c>
      <c r="H3333" s="125" t="str">
        <f>IF(Proc[[#This Row],[type]]="LFF (MDG-F)",MID(Proc[[#This Row],[Obj]],13,10),"")</f>
        <v>CN70R03104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HC</v>
      </c>
      <c r="L3333" s="129" t="s">
        <v>4894</v>
      </c>
      <c r="M3333" s="127">
        <v>45881</v>
      </c>
      <c r="N3333" s="127"/>
      <c r="O3333" s="127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82</v>
      </c>
      <c r="R3333" s="115" t="s">
        <v>410</v>
      </c>
      <c r="S3333" s="125"/>
    </row>
    <row r="3334" spans="1:19" hidden="1">
      <c r="A3334" s="124" t="s">
        <v>5554</v>
      </c>
      <c r="B3334" s="149" t="str">
        <f>IFERROR(VLOOKUP(Proc[[#This Row],[App]],Table2[],3,0),"open")</f>
        <v>ok</v>
      </c>
      <c r="C3334" s="128" t="s">
        <v>369</v>
      </c>
      <c r="D3334" t="s">
        <v>5566</v>
      </c>
      <c r="E3334" t="s">
        <v>5555</v>
      </c>
      <c r="F3334" s="129" t="s">
        <v>5555</v>
      </c>
      <c r="G3334" s="124" t="s">
        <v>406</v>
      </c>
      <c r="H3334" s="125" t="str">
        <f>IF(Proc[[#This Row],[type]]="LFF (MDG-F)",MID(Proc[[#This Row],[Obj]],13,10),"")</f>
        <v>DE50TMDA06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HC</v>
      </c>
      <c r="L3334" s="129" t="s">
        <v>4894</v>
      </c>
      <c r="M3334" s="127">
        <v>45881</v>
      </c>
      <c r="N3334" s="127"/>
      <c r="O3334" s="127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82</v>
      </c>
      <c r="R3334" s="115" t="s">
        <v>410</v>
      </c>
      <c r="S3334" s="125"/>
    </row>
    <row r="3335" spans="1:19" hidden="1">
      <c r="A3335" s="124" t="s">
        <v>5554</v>
      </c>
      <c r="B3335" s="149" t="str">
        <f>IFERROR(VLOOKUP(Proc[[#This Row],[App]],Table2[],3,0),"open")</f>
        <v>ok</v>
      </c>
      <c r="C3335" s="128" t="s">
        <v>369</v>
      </c>
      <c r="D3335" t="s">
        <v>2394</v>
      </c>
      <c r="E3335" t="s">
        <v>2391</v>
      </c>
      <c r="F3335" s="129" t="s">
        <v>2391</v>
      </c>
      <c r="G3335" s="124" t="s">
        <v>406</v>
      </c>
      <c r="H3335" s="125" t="str">
        <f>IF(Proc[[#This Row],[type]]="LFF (MDG-F)",MID(Proc[[#This Row],[Obj]],13,10),"")</f>
        <v>CH65R00046</v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HC</v>
      </c>
      <c r="L3335" s="129" t="s">
        <v>4894</v>
      </c>
      <c r="M3335" s="127">
        <v>45881</v>
      </c>
      <c r="N3335" s="127"/>
      <c r="O3335" s="127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82</v>
      </c>
      <c r="R3335" s="115" t="s">
        <v>410</v>
      </c>
      <c r="S3335" s="125"/>
    </row>
    <row r="3336" spans="1:19" hidden="1">
      <c r="A3336" s="124" t="s">
        <v>5554</v>
      </c>
      <c r="B3336" s="149" t="str">
        <f>IFERROR(VLOOKUP(Proc[[#This Row],[App]],Table2[],3,0),"open")</f>
        <v>ok</v>
      </c>
      <c r="C3336" s="128" t="s">
        <v>369</v>
      </c>
      <c r="D3336" t="s">
        <v>2393</v>
      </c>
      <c r="E3336" t="s">
        <v>2391</v>
      </c>
      <c r="F3336" s="129" t="s">
        <v>2391</v>
      </c>
      <c r="G3336" s="124" t="s">
        <v>406</v>
      </c>
      <c r="H3336" s="125" t="str">
        <f>IF(Proc[[#This Row],[type]]="LFF (MDG-F)",MID(Proc[[#This Row],[Obj]],13,10),"")</f>
        <v>CH65R00045</v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HC</v>
      </c>
      <c r="L3336" s="129" t="s">
        <v>4894</v>
      </c>
      <c r="M3336" s="127">
        <v>45881</v>
      </c>
      <c r="N3336" s="127"/>
      <c r="O3336" s="127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82</v>
      </c>
      <c r="R3336" s="115" t="s">
        <v>410</v>
      </c>
      <c r="S3336" s="125"/>
    </row>
    <row r="3337" spans="1:19" hidden="1">
      <c r="A3337" s="124" t="s">
        <v>5554</v>
      </c>
      <c r="B3337" s="149" t="str">
        <f>IFERROR(VLOOKUP(Proc[[#This Row],[App]],Table2[],3,0),"open")</f>
        <v>ok</v>
      </c>
      <c r="C3337" s="128" t="s">
        <v>369</v>
      </c>
      <c r="D3337" t="s">
        <v>2392</v>
      </c>
      <c r="E3337" t="s">
        <v>2391</v>
      </c>
      <c r="F3337" s="129" t="s">
        <v>2391</v>
      </c>
      <c r="G3337" s="124" t="s">
        <v>406</v>
      </c>
      <c r="H3337" s="125" t="str">
        <f>IF(Proc[[#This Row],[type]]="LFF (MDG-F)",MID(Proc[[#This Row],[Obj]],13,10),"")</f>
        <v>CH65R00044</v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HC</v>
      </c>
      <c r="L3337" s="129" t="s">
        <v>4894</v>
      </c>
      <c r="M3337" s="127">
        <v>45881</v>
      </c>
      <c r="N3337" s="127"/>
      <c r="O3337" s="127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82</v>
      </c>
      <c r="R3337" s="115" t="s">
        <v>410</v>
      </c>
      <c r="S3337" s="125"/>
    </row>
    <row r="3338" spans="1:19" hidden="1">
      <c r="A3338" s="124" t="s">
        <v>5554</v>
      </c>
      <c r="B3338" s="149" t="str">
        <f>IFERROR(VLOOKUP(Proc[[#This Row],[App]],Table2[],3,0),"open")</f>
        <v>ok</v>
      </c>
      <c r="C3338" s="128" t="s">
        <v>369</v>
      </c>
      <c r="D3338" t="s">
        <v>5567</v>
      </c>
      <c r="E3338" t="s">
        <v>5556</v>
      </c>
      <c r="F3338" s="129" t="s">
        <v>5556</v>
      </c>
      <c r="G3338" s="124" t="s">
        <v>406</v>
      </c>
      <c r="H3338" s="125" t="str">
        <f>IF(Proc[[#This Row],[type]]="LFF (MDG-F)",MID(Proc[[#This Row],[Obj]],13,10),"")</f>
        <v>IT50R02001</v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HC</v>
      </c>
      <c r="L3338" s="129" t="s">
        <v>4894</v>
      </c>
      <c r="M3338" s="127">
        <v>45881</v>
      </c>
      <c r="N3338" s="127"/>
      <c r="O3338" s="127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82</v>
      </c>
      <c r="R3338" s="115" t="s">
        <v>410</v>
      </c>
      <c r="S3338" s="125"/>
    </row>
    <row r="3339" spans="1:19" hidden="1">
      <c r="A3339" s="124" t="s">
        <v>5554</v>
      </c>
      <c r="B3339" s="149" t="str">
        <f>IFERROR(VLOOKUP(Proc[[#This Row],[App]],Table2[],3,0),"open")</f>
        <v>ok</v>
      </c>
      <c r="C3339" s="128" t="s">
        <v>369</v>
      </c>
      <c r="D3339" t="s">
        <v>5568</v>
      </c>
      <c r="E3339" t="s">
        <v>5556</v>
      </c>
      <c r="F3339" s="129" t="s">
        <v>5556</v>
      </c>
      <c r="G3339" s="124" t="s">
        <v>406</v>
      </c>
      <c r="H3339" s="125" t="str">
        <f>IF(Proc[[#This Row],[type]]="LFF (MDG-F)",MID(Proc[[#This Row],[Obj]],13,10),"")</f>
        <v>IT50R02002</v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HC</v>
      </c>
      <c r="L3339" s="129" t="s">
        <v>4894</v>
      </c>
      <c r="M3339" s="127">
        <v>45881</v>
      </c>
      <c r="N3339" s="127"/>
      <c r="O3339" s="127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82</v>
      </c>
      <c r="R3339" s="115" t="s">
        <v>410</v>
      </c>
      <c r="S3339" s="125"/>
    </row>
    <row r="3340" spans="1:19" hidden="1">
      <c r="A3340" t="s">
        <v>5571</v>
      </c>
      <c r="B3340" s="149" t="str">
        <f>IFERROR(VLOOKUP(Proc[[#This Row],[App]],Table2[],3,0),"open")</f>
        <v>ok</v>
      </c>
      <c r="C3340" s="128" t="s">
        <v>369</v>
      </c>
      <c r="D3340" t="s">
        <v>5575</v>
      </c>
      <c r="E3340" s="128" t="s">
        <v>5570</v>
      </c>
      <c r="F3340" s="129" t="s">
        <v>5570</v>
      </c>
      <c r="G3340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LS</v>
      </c>
      <c r="L3340" s="129" t="s">
        <v>4894</v>
      </c>
      <c r="M3340" s="127">
        <v>45882</v>
      </c>
      <c r="N3340" s="127"/>
      <c r="O3340" s="127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81</v>
      </c>
      <c r="R3340" s="115" t="s">
        <v>1262</v>
      </c>
      <c r="S3340" s="125"/>
    </row>
    <row r="3341" spans="1:19" hidden="1">
      <c r="A3341" t="s">
        <v>5574</v>
      </c>
      <c r="B3341" s="149" t="str">
        <f>IFERROR(VLOOKUP(Proc[[#This Row],[App]],Table2[],3,0),"open")</f>
        <v>ok</v>
      </c>
      <c r="C3341" s="128" t="s">
        <v>369</v>
      </c>
      <c r="D3341" t="s">
        <v>5572</v>
      </c>
      <c r="E3341" t="s">
        <v>2416</v>
      </c>
      <c r="F3341" s="129" t="s">
        <v>2416</v>
      </c>
      <c r="G3341" t="s">
        <v>406</v>
      </c>
      <c r="H3341" s="129" t="str">
        <f>IF(Proc[[#This Row],[type]]="LFF (MDG-F)",MID(Proc[[#This Row],[Obj]],13,10),"")</f>
        <v>DK50GEQ010</v>
      </c>
      <c r="J3341" s="129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9" t="s">
        <v>4894</v>
      </c>
      <c r="M3341" s="127">
        <v>45882</v>
      </c>
      <c r="N3341" s="127"/>
      <c r="O3341" s="127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81</v>
      </c>
      <c r="R3341" s="115" t="s">
        <v>515</v>
      </c>
      <c r="S3341" s="129"/>
    </row>
    <row r="3342" spans="1:19" hidden="1">
      <c r="A3342" s="128" t="s">
        <v>5574</v>
      </c>
      <c r="B3342" s="149" t="str">
        <f>IFERROR(VLOOKUP(Proc[[#This Row],[App]],Table2[],3,0),"open")</f>
        <v>ok</v>
      </c>
      <c r="C3342" s="128" t="s">
        <v>369</v>
      </c>
      <c r="D3342" t="s">
        <v>5573</v>
      </c>
      <c r="E3342" t="s">
        <v>2416</v>
      </c>
      <c r="F3342" s="129" t="s">
        <v>2416</v>
      </c>
      <c r="G3342" s="128" t="s">
        <v>400</v>
      </c>
      <c r="H3342" s="129" t="str">
        <f>IF(Proc[[#This Row],[type]]="LFF (MDG-F)",MID(Proc[[#This Row],[Obj]],13,10),"")</f>
        <v/>
      </c>
      <c r="J3342" s="129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9" t="s">
        <v>4894</v>
      </c>
      <c r="M3342" s="127">
        <v>45882</v>
      </c>
      <c r="N3342" s="127"/>
      <c r="O3342" s="127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81</v>
      </c>
      <c r="R3342" s="115" t="s">
        <v>515</v>
      </c>
      <c r="S3342" s="129"/>
    </row>
    <row r="3343" spans="1:19" hidden="1">
      <c r="A3343" t="s">
        <v>5669</v>
      </c>
      <c r="B3343" s="149" t="str">
        <f>IFERROR(VLOOKUP(Proc[[#This Row],[App]],Table2[],3,0),"open")</f>
        <v>ok</v>
      </c>
      <c r="C3343" s="128" t="s">
        <v>369</v>
      </c>
      <c r="D3343" t="s">
        <v>5576</v>
      </c>
      <c r="E3343" t="s">
        <v>5668</v>
      </c>
      <c r="F3343" s="129" t="s">
        <v>5668</v>
      </c>
      <c r="G3343" t="s">
        <v>400</v>
      </c>
      <c r="H3343" s="129" t="str">
        <f>IF(Proc[[#This Row],[type]]="LFF (MDG-F)",MID(Proc[[#This Row],[Obj]],13,10),"")</f>
        <v/>
      </c>
      <c r="J3343" s="129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9" t="s">
        <v>4894</v>
      </c>
      <c r="M3343" s="127">
        <v>45883</v>
      </c>
      <c r="N3343" s="127"/>
      <c r="O3343" s="127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80</v>
      </c>
      <c r="R3343" s="115" t="s">
        <v>515</v>
      </c>
      <c r="S3343" s="129"/>
    </row>
    <row r="3344" spans="1:19" hidden="1">
      <c r="A3344" s="128" t="s">
        <v>5669</v>
      </c>
      <c r="B3344" s="149" t="str">
        <f>IFERROR(VLOOKUP(Proc[[#This Row],[App]],Table2[],3,0),"open")</f>
        <v>ok</v>
      </c>
      <c r="C3344" s="128" t="s">
        <v>369</v>
      </c>
      <c r="D3344" t="s">
        <v>5577</v>
      </c>
      <c r="E3344" t="s">
        <v>5668</v>
      </c>
      <c r="F3344" s="129" t="s">
        <v>5668</v>
      </c>
      <c r="G3344" s="128" t="s">
        <v>400</v>
      </c>
      <c r="H3344" s="129" t="str">
        <f>IF(Proc[[#This Row],[type]]="LFF (MDG-F)",MID(Proc[[#This Row],[Obj]],13,10),"")</f>
        <v/>
      </c>
      <c r="J3344" s="129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9" t="s">
        <v>4894</v>
      </c>
      <c r="M3344" s="127">
        <v>45883</v>
      </c>
      <c r="N3344" s="127"/>
      <c r="O3344" s="127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80</v>
      </c>
      <c r="R3344" s="115" t="s">
        <v>515</v>
      </c>
      <c r="S3344" s="129"/>
    </row>
    <row r="3345" spans="1:19" hidden="1">
      <c r="A3345" s="128" t="s">
        <v>5669</v>
      </c>
      <c r="B3345" s="149" t="str">
        <f>IFERROR(VLOOKUP(Proc[[#This Row],[App]],Table2[],3,0),"open")</f>
        <v>ok</v>
      </c>
      <c r="C3345" s="128" t="s">
        <v>369</v>
      </c>
      <c r="D3345" t="s">
        <v>5578</v>
      </c>
      <c r="E3345" t="s">
        <v>5668</v>
      </c>
      <c r="F3345" s="129" t="s">
        <v>5668</v>
      </c>
      <c r="G3345" s="128" t="s">
        <v>400</v>
      </c>
      <c r="H3345" s="129" t="str">
        <f>IF(Proc[[#This Row],[type]]="LFF (MDG-F)",MID(Proc[[#This Row],[Obj]],13,10),"")</f>
        <v/>
      </c>
      <c r="J3345" s="129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9" t="s">
        <v>4894</v>
      </c>
      <c r="M3345" s="127">
        <v>45883</v>
      </c>
      <c r="N3345" s="127"/>
      <c r="O3345" s="127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80</v>
      </c>
      <c r="R3345" s="115" t="s">
        <v>515</v>
      </c>
      <c r="S3345" s="129"/>
    </row>
    <row r="3346" spans="1:19" hidden="1">
      <c r="A3346" s="128" t="s">
        <v>5669</v>
      </c>
      <c r="B3346" s="149" t="str">
        <f>IFERROR(VLOOKUP(Proc[[#This Row],[App]],Table2[],3,0),"open")</f>
        <v>ok</v>
      </c>
      <c r="C3346" s="128" t="s">
        <v>369</v>
      </c>
      <c r="D3346" t="s">
        <v>5579</v>
      </c>
      <c r="E3346" t="s">
        <v>5668</v>
      </c>
      <c r="F3346" s="129" t="s">
        <v>5668</v>
      </c>
      <c r="G3346" s="128" t="s">
        <v>400</v>
      </c>
      <c r="H3346" s="129" t="str">
        <f>IF(Proc[[#This Row],[type]]="LFF (MDG-F)",MID(Proc[[#This Row],[Obj]],13,10),"")</f>
        <v/>
      </c>
      <c r="J3346" s="129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9" t="s">
        <v>4894</v>
      </c>
      <c r="M3346" s="127">
        <v>45883</v>
      </c>
      <c r="N3346" s="127"/>
      <c r="O3346" s="127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80</v>
      </c>
      <c r="R3346" s="115" t="s">
        <v>515</v>
      </c>
      <c r="S3346" s="129"/>
    </row>
    <row r="3347" spans="1:19" hidden="1">
      <c r="A3347" s="128" t="s">
        <v>5669</v>
      </c>
      <c r="B3347" s="149" t="str">
        <f>IFERROR(VLOOKUP(Proc[[#This Row],[App]],Table2[],3,0),"open")</f>
        <v>ok</v>
      </c>
      <c r="C3347" s="128" t="s">
        <v>369</v>
      </c>
      <c r="D3347" t="s">
        <v>5580</v>
      </c>
      <c r="E3347" t="s">
        <v>5668</v>
      </c>
      <c r="F3347" s="129" t="s">
        <v>5668</v>
      </c>
      <c r="G3347" s="128" t="s">
        <v>400</v>
      </c>
      <c r="H3347" s="129" t="str">
        <f>IF(Proc[[#This Row],[type]]="LFF (MDG-F)",MID(Proc[[#This Row],[Obj]],13,10),"")</f>
        <v/>
      </c>
      <c r="J3347" s="129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9" t="s">
        <v>4894</v>
      </c>
      <c r="M3347" s="127">
        <v>45883</v>
      </c>
      <c r="N3347" s="127"/>
      <c r="O3347" s="127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80</v>
      </c>
      <c r="R3347" s="115" t="s">
        <v>515</v>
      </c>
      <c r="S3347" s="129"/>
    </row>
    <row r="3348" spans="1:19" hidden="1">
      <c r="A3348" s="128" t="s">
        <v>5669</v>
      </c>
      <c r="B3348" s="149" t="str">
        <f>IFERROR(VLOOKUP(Proc[[#This Row],[App]],Table2[],3,0),"open")</f>
        <v>ok</v>
      </c>
      <c r="C3348" s="128" t="s">
        <v>369</v>
      </c>
      <c r="D3348" t="s">
        <v>5581</v>
      </c>
      <c r="E3348" t="s">
        <v>5668</v>
      </c>
      <c r="F3348" s="129" t="s">
        <v>5668</v>
      </c>
      <c r="G3348" s="128" t="s">
        <v>400</v>
      </c>
      <c r="H3348" s="129" t="str">
        <f>IF(Proc[[#This Row],[type]]="LFF (MDG-F)",MID(Proc[[#This Row],[Obj]],13,10),"")</f>
        <v/>
      </c>
      <c r="J3348" s="129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9" t="s">
        <v>4894</v>
      </c>
      <c r="M3348" s="127">
        <v>45883</v>
      </c>
      <c r="N3348" s="127"/>
      <c r="O3348" s="127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80</v>
      </c>
      <c r="R3348" s="115" t="s">
        <v>515</v>
      </c>
      <c r="S3348" s="129"/>
    </row>
    <row r="3349" spans="1:19" hidden="1">
      <c r="A3349" s="128" t="s">
        <v>5669</v>
      </c>
      <c r="B3349" s="149" t="str">
        <f>IFERROR(VLOOKUP(Proc[[#This Row],[App]],Table2[],3,0),"open")</f>
        <v>ok</v>
      </c>
      <c r="C3349" s="128" t="s">
        <v>369</v>
      </c>
      <c r="D3349" t="s">
        <v>5582</v>
      </c>
      <c r="E3349" t="s">
        <v>5668</v>
      </c>
      <c r="F3349" s="129" t="s">
        <v>5668</v>
      </c>
      <c r="G3349" s="128" t="s">
        <v>400</v>
      </c>
      <c r="H3349" s="129" t="str">
        <f>IF(Proc[[#This Row],[type]]="LFF (MDG-F)",MID(Proc[[#This Row],[Obj]],13,10),"")</f>
        <v/>
      </c>
      <c r="J3349" s="129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9" t="s">
        <v>4894</v>
      </c>
      <c r="M3349" s="127">
        <v>45883</v>
      </c>
      <c r="N3349" s="127"/>
      <c r="O3349" s="127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80</v>
      </c>
      <c r="R3349" s="115" t="s">
        <v>515</v>
      </c>
      <c r="S3349" s="129"/>
    </row>
    <row r="3350" spans="1:19" hidden="1">
      <c r="A3350" s="128" t="s">
        <v>5669</v>
      </c>
      <c r="B3350" s="149" t="str">
        <f>IFERROR(VLOOKUP(Proc[[#This Row],[App]],Table2[],3,0),"open")</f>
        <v>ok</v>
      </c>
      <c r="C3350" s="128" t="s">
        <v>369</v>
      </c>
      <c r="D3350" t="s">
        <v>5583</v>
      </c>
      <c r="E3350" t="s">
        <v>5668</v>
      </c>
      <c r="F3350" s="129" t="s">
        <v>5668</v>
      </c>
      <c r="G3350" s="128" t="s">
        <v>400</v>
      </c>
      <c r="H3350" s="129" t="str">
        <f>IF(Proc[[#This Row],[type]]="LFF (MDG-F)",MID(Proc[[#This Row],[Obj]],13,10),"")</f>
        <v/>
      </c>
      <c r="J3350" s="129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9" t="s">
        <v>4894</v>
      </c>
      <c r="M3350" s="127">
        <v>45883</v>
      </c>
      <c r="N3350" s="127"/>
      <c r="O3350" s="127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80</v>
      </c>
      <c r="R3350" s="115" t="s">
        <v>515</v>
      </c>
      <c r="S3350" s="129"/>
    </row>
    <row r="3351" spans="1:19" hidden="1">
      <c r="A3351" s="128" t="s">
        <v>5669</v>
      </c>
      <c r="B3351" s="149" t="str">
        <f>IFERROR(VLOOKUP(Proc[[#This Row],[App]],Table2[],3,0),"open")</f>
        <v>ok</v>
      </c>
      <c r="C3351" s="128" t="s">
        <v>369</v>
      </c>
      <c r="D3351" t="s">
        <v>5584</v>
      </c>
      <c r="E3351" t="s">
        <v>5668</v>
      </c>
      <c r="F3351" s="129" t="s">
        <v>5668</v>
      </c>
      <c r="G3351" s="128" t="s">
        <v>400</v>
      </c>
      <c r="H3351" s="129" t="str">
        <f>IF(Proc[[#This Row],[type]]="LFF (MDG-F)",MID(Proc[[#This Row],[Obj]],13,10),"")</f>
        <v/>
      </c>
      <c r="J3351" s="129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9" t="s">
        <v>4894</v>
      </c>
      <c r="M3351" s="127">
        <v>45883</v>
      </c>
      <c r="N3351" s="127"/>
      <c r="O3351" s="127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80</v>
      </c>
      <c r="R3351" s="115" t="s">
        <v>515</v>
      </c>
      <c r="S3351" s="129"/>
    </row>
    <row r="3352" spans="1:19" hidden="1">
      <c r="A3352" s="128" t="s">
        <v>5669</v>
      </c>
      <c r="B3352" s="149" t="str">
        <f>IFERROR(VLOOKUP(Proc[[#This Row],[App]],Table2[],3,0),"open")</f>
        <v>ok</v>
      </c>
      <c r="C3352" s="128" t="s">
        <v>369</v>
      </c>
      <c r="D3352" t="s">
        <v>5585</v>
      </c>
      <c r="E3352" t="s">
        <v>5668</v>
      </c>
      <c r="F3352" s="129" t="s">
        <v>5668</v>
      </c>
      <c r="G3352" s="128" t="s">
        <v>400</v>
      </c>
      <c r="H3352" s="129" t="str">
        <f>IF(Proc[[#This Row],[type]]="LFF (MDG-F)",MID(Proc[[#This Row],[Obj]],13,10),"")</f>
        <v/>
      </c>
      <c r="J3352" s="129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9" t="s">
        <v>4894</v>
      </c>
      <c r="M3352" s="127">
        <v>45883</v>
      </c>
      <c r="N3352" s="127"/>
      <c r="O3352" s="127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80</v>
      </c>
      <c r="R3352" s="115" t="s">
        <v>515</v>
      </c>
      <c r="S3352" s="129"/>
    </row>
    <row r="3353" spans="1:19" hidden="1">
      <c r="A3353" s="128" t="s">
        <v>5669</v>
      </c>
      <c r="B3353" s="149" t="str">
        <f>IFERROR(VLOOKUP(Proc[[#This Row],[App]],Table2[],3,0),"open")</f>
        <v>ok</v>
      </c>
      <c r="C3353" s="128" t="s">
        <v>369</v>
      </c>
      <c r="D3353" t="s">
        <v>5586</v>
      </c>
      <c r="E3353" t="s">
        <v>5668</v>
      </c>
      <c r="F3353" s="129" t="s">
        <v>5668</v>
      </c>
      <c r="G3353" s="128" t="s">
        <v>400</v>
      </c>
      <c r="H3353" s="129" t="str">
        <f>IF(Proc[[#This Row],[type]]="LFF (MDG-F)",MID(Proc[[#This Row],[Obj]],13,10),"")</f>
        <v/>
      </c>
      <c r="J3353" s="129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9" t="s">
        <v>4894</v>
      </c>
      <c r="M3353" s="127">
        <v>45883</v>
      </c>
      <c r="N3353" s="127"/>
      <c r="O3353" s="127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80</v>
      </c>
      <c r="R3353" s="115" t="s">
        <v>515</v>
      </c>
      <c r="S3353" s="129"/>
    </row>
    <row r="3354" spans="1:19" hidden="1">
      <c r="A3354" s="128" t="s">
        <v>5669</v>
      </c>
      <c r="B3354" s="149" t="str">
        <f>IFERROR(VLOOKUP(Proc[[#This Row],[App]],Table2[],3,0),"open")</f>
        <v>ok</v>
      </c>
      <c r="C3354" s="128" t="s">
        <v>369</v>
      </c>
      <c r="D3354" t="s">
        <v>5587</v>
      </c>
      <c r="E3354" t="s">
        <v>5668</v>
      </c>
      <c r="F3354" s="129" t="s">
        <v>5668</v>
      </c>
      <c r="G3354" s="128" t="s">
        <v>400</v>
      </c>
      <c r="H3354" s="129" t="str">
        <f>IF(Proc[[#This Row],[type]]="LFF (MDG-F)",MID(Proc[[#This Row],[Obj]],13,10),"")</f>
        <v/>
      </c>
      <c r="J3354" s="129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9" t="s">
        <v>4894</v>
      </c>
      <c r="M3354" s="127">
        <v>45883</v>
      </c>
      <c r="N3354" s="127"/>
      <c r="O3354" s="127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80</v>
      </c>
      <c r="R3354" s="115" t="s">
        <v>515</v>
      </c>
      <c r="S3354" s="129"/>
    </row>
    <row r="3355" spans="1:19" hidden="1">
      <c r="A3355" s="128" t="s">
        <v>5669</v>
      </c>
      <c r="B3355" s="149" t="str">
        <f>IFERROR(VLOOKUP(Proc[[#This Row],[App]],Table2[],3,0),"open")</f>
        <v>ok</v>
      </c>
      <c r="C3355" s="128" t="s">
        <v>369</v>
      </c>
      <c r="D3355" t="s">
        <v>5588</v>
      </c>
      <c r="E3355" t="s">
        <v>5668</v>
      </c>
      <c r="F3355" s="129" t="s">
        <v>5668</v>
      </c>
      <c r="G3355" s="128" t="s">
        <v>400</v>
      </c>
      <c r="H3355" s="129" t="str">
        <f>IF(Proc[[#This Row],[type]]="LFF (MDG-F)",MID(Proc[[#This Row],[Obj]],13,10),"")</f>
        <v/>
      </c>
      <c r="J3355" s="129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9" t="s">
        <v>4894</v>
      </c>
      <c r="M3355" s="127">
        <v>45883</v>
      </c>
      <c r="N3355" s="127"/>
      <c r="O3355" s="127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80</v>
      </c>
      <c r="R3355" s="115" t="s">
        <v>515</v>
      </c>
      <c r="S3355" s="129"/>
    </row>
    <row r="3356" spans="1:19" hidden="1">
      <c r="A3356" s="128" t="s">
        <v>5669</v>
      </c>
      <c r="B3356" s="149" t="str">
        <f>IFERROR(VLOOKUP(Proc[[#This Row],[App]],Table2[],3,0),"open")</f>
        <v>ok</v>
      </c>
      <c r="C3356" s="128" t="s">
        <v>369</v>
      </c>
      <c r="D3356" t="s">
        <v>5589</v>
      </c>
      <c r="E3356" t="s">
        <v>5668</v>
      </c>
      <c r="F3356" s="129" t="s">
        <v>5668</v>
      </c>
      <c r="G3356" s="128" t="s">
        <v>400</v>
      </c>
      <c r="H3356" s="129" t="str">
        <f>IF(Proc[[#This Row],[type]]="LFF (MDG-F)",MID(Proc[[#This Row],[Obj]],13,10),"")</f>
        <v/>
      </c>
      <c r="J3356" s="129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9" t="s">
        <v>4894</v>
      </c>
      <c r="M3356" s="127">
        <v>45883</v>
      </c>
      <c r="N3356" s="127"/>
      <c r="O3356" s="127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80</v>
      </c>
      <c r="R3356" s="115" t="s">
        <v>515</v>
      </c>
      <c r="S3356" s="129"/>
    </row>
    <row r="3357" spans="1:19" hidden="1">
      <c r="A3357" s="128" t="s">
        <v>5669</v>
      </c>
      <c r="B3357" s="149" t="str">
        <f>IFERROR(VLOOKUP(Proc[[#This Row],[App]],Table2[],3,0),"open")</f>
        <v>ok</v>
      </c>
      <c r="C3357" s="128" t="s">
        <v>369</v>
      </c>
      <c r="D3357" t="s">
        <v>5590</v>
      </c>
      <c r="E3357" t="s">
        <v>5668</v>
      </c>
      <c r="F3357" s="129" t="s">
        <v>5668</v>
      </c>
      <c r="G3357" s="128" t="s">
        <v>406</v>
      </c>
      <c r="H3357" s="129" t="str">
        <f>IF(Proc[[#This Row],[type]]="LFF (MDG-F)",MID(Proc[[#This Row],[Obj]],13,10),"")</f>
        <v>CH50GPO004</v>
      </c>
      <c r="J3357" s="129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9" t="s">
        <v>4894</v>
      </c>
      <c r="M3357" s="127">
        <v>45883</v>
      </c>
      <c r="N3357" s="127"/>
      <c r="O3357" s="127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80</v>
      </c>
      <c r="R3357" s="115" t="s">
        <v>515</v>
      </c>
      <c r="S3357" s="129"/>
    </row>
    <row r="3358" spans="1:19" hidden="1">
      <c r="A3358" s="128" t="s">
        <v>5669</v>
      </c>
      <c r="B3358" s="149" t="str">
        <f>IFERROR(VLOOKUP(Proc[[#This Row],[App]],Table2[],3,0),"open")</f>
        <v>ok</v>
      </c>
      <c r="C3358" s="128" t="s">
        <v>369</v>
      </c>
      <c r="D3358" t="s">
        <v>5591</v>
      </c>
      <c r="E3358" t="s">
        <v>5668</v>
      </c>
      <c r="F3358" s="129" t="s">
        <v>5668</v>
      </c>
      <c r="G3358" s="128" t="s">
        <v>406</v>
      </c>
      <c r="H3358" s="129" t="str">
        <f>IF(Proc[[#This Row],[type]]="LFF (MDG-F)",MID(Proc[[#This Row],[Obj]],13,10),"")</f>
        <v>CH50GPO101</v>
      </c>
      <c r="J3358" s="129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9" t="s">
        <v>4894</v>
      </c>
      <c r="M3358" s="127">
        <v>45883</v>
      </c>
      <c r="N3358" s="127"/>
      <c r="O3358" s="127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80</v>
      </c>
      <c r="R3358" s="115" t="s">
        <v>515</v>
      </c>
      <c r="S3358" s="129"/>
    </row>
    <row r="3359" spans="1:19" hidden="1">
      <c r="A3359" s="128" t="s">
        <v>5669</v>
      </c>
      <c r="B3359" s="149" t="str">
        <f>IFERROR(VLOOKUP(Proc[[#This Row],[App]],Table2[],3,0),"open")</f>
        <v>ok</v>
      </c>
      <c r="C3359" s="128" t="s">
        <v>369</v>
      </c>
      <c r="D3359" t="s">
        <v>5592</v>
      </c>
      <c r="E3359" t="s">
        <v>5668</v>
      </c>
      <c r="F3359" s="129" t="s">
        <v>5668</v>
      </c>
      <c r="G3359" s="128" t="s">
        <v>406</v>
      </c>
      <c r="H3359" s="129" t="str">
        <f>IF(Proc[[#This Row],[type]]="LFF (MDG-F)",MID(Proc[[#This Row],[Obj]],13,10),"")</f>
        <v>CH50GPO204</v>
      </c>
      <c r="J3359" s="129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9" t="s">
        <v>4894</v>
      </c>
      <c r="M3359" s="127">
        <v>45883</v>
      </c>
      <c r="N3359" s="127"/>
      <c r="O3359" s="127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80</v>
      </c>
      <c r="R3359" s="115" t="s">
        <v>515</v>
      </c>
      <c r="S3359" s="129"/>
    </row>
    <row r="3360" spans="1:19" hidden="1">
      <c r="A3360" s="128" t="s">
        <v>5669</v>
      </c>
      <c r="B3360" s="149" t="str">
        <f>IFERROR(VLOOKUP(Proc[[#This Row],[App]],Table2[],3,0),"open")</f>
        <v>ok</v>
      </c>
      <c r="C3360" s="128" t="s">
        <v>369</v>
      </c>
      <c r="D3360" t="s">
        <v>5593</v>
      </c>
      <c r="E3360" t="s">
        <v>5668</v>
      </c>
      <c r="F3360" s="129" t="s">
        <v>5668</v>
      </c>
      <c r="G3360" s="128" t="s">
        <v>406</v>
      </c>
      <c r="H3360" s="129" t="str">
        <f>IF(Proc[[#This Row],[type]]="LFF (MDG-F)",MID(Proc[[#This Row],[Obj]],13,10),"")</f>
        <v>CH65GPO001</v>
      </c>
      <c r="J3360" s="129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9" t="s">
        <v>4894</v>
      </c>
      <c r="M3360" s="127">
        <v>45883</v>
      </c>
      <c r="N3360" s="127"/>
      <c r="O3360" s="127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80</v>
      </c>
      <c r="R3360" s="115" t="s">
        <v>515</v>
      </c>
      <c r="S3360" s="129"/>
    </row>
    <row r="3361" spans="1:19" hidden="1">
      <c r="A3361" s="128" t="s">
        <v>5669</v>
      </c>
      <c r="B3361" s="149" t="str">
        <f>IFERROR(VLOOKUP(Proc[[#This Row],[App]],Table2[],3,0),"open")</f>
        <v>ok</v>
      </c>
      <c r="C3361" s="128" t="s">
        <v>369</v>
      </c>
      <c r="D3361" t="s">
        <v>5594</v>
      </c>
      <c r="E3361" t="s">
        <v>5668</v>
      </c>
      <c r="F3361" s="129" t="s">
        <v>5668</v>
      </c>
      <c r="G3361" s="128" t="s">
        <v>406</v>
      </c>
      <c r="H3361" s="129" t="str">
        <f>IF(Proc[[#This Row],[type]]="LFF (MDG-F)",MID(Proc[[#This Row],[Obj]],13,10),"")</f>
        <v>CN90GPO005</v>
      </c>
      <c r="J3361" s="129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9" t="s">
        <v>4894</v>
      </c>
      <c r="M3361" s="127">
        <v>45883</v>
      </c>
      <c r="N3361" s="127"/>
      <c r="O3361" s="127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80</v>
      </c>
      <c r="R3361" s="115" t="s">
        <v>515</v>
      </c>
      <c r="S3361" s="129"/>
    </row>
    <row r="3362" spans="1:19" hidden="1">
      <c r="A3362" s="128" t="s">
        <v>5669</v>
      </c>
      <c r="B3362" s="149" t="str">
        <f>IFERROR(VLOOKUP(Proc[[#This Row],[App]],Table2[],3,0),"open")</f>
        <v>ok</v>
      </c>
      <c r="C3362" s="128" t="s">
        <v>369</v>
      </c>
      <c r="D3362" t="s">
        <v>5595</v>
      </c>
      <c r="E3362" t="s">
        <v>5668</v>
      </c>
      <c r="F3362" s="129" t="s">
        <v>5668</v>
      </c>
      <c r="G3362" s="128" t="s">
        <v>406</v>
      </c>
      <c r="H3362" s="129" t="str">
        <f>IF(Proc[[#This Row],[type]]="LFF (MDG-F)",MID(Proc[[#This Row],[Obj]],13,10),"")</f>
        <v>DE10560000</v>
      </c>
      <c r="J3362" s="129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9" t="s">
        <v>4894</v>
      </c>
      <c r="M3362" s="127">
        <v>45883</v>
      </c>
      <c r="N3362" s="127"/>
      <c r="O3362" s="127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80</v>
      </c>
      <c r="R3362" s="115" t="s">
        <v>515</v>
      </c>
      <c r="S3362" s="129"/>
    </row>
    <row r="3363" spans="1:19" hidden="1">
      <c r="A3363" s="128" t="s">
        <v>5669</v>
      </c>
      <c r="B3363" s="149" t="str">
        <f>IFERROR(VLOOKUP(Proc[[#This Row],[App]],Table2[],3,0),"open")</f>
        <v>ok</v>
      </c>
      <c r="C3363" s="128" t="s">
        <v>369</v>
      </c>
      <c r="D3363" t="s">
        <v>5596</v>
      </c>
      <c r="E3363" t="s">
        <v>5668</v>
      </c>
      <c r="F3363" s="129" t="s">
        <v>5668</v>
      </c>
      <c r="G3363" s="128" t="s">
        <v>406</v>
      </c>
      <c r="H3363" s="129" t="str">
        <f>IF(Proc[[#This Row],[type]]="LFF (MDG-F)",MID(Proc[[#This Row],[Obj]],13,10),"")</f>
        <v>DE10661200</v>
      </c>
      <c r="J3363" s="129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9" t="s">
        <v>4894</v>
      </c>
      <c r="M3363" s="127">
        <v>45883</v>
      </c>
      <c r="N3363" s="127"/>
      <c r="O3363" s="127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80</v>
      </c>
      <c r="R3363" s="115" t="s">
        <v>515</v>
      </c>
      <c r="S3363" s="129"/>
    </row>
    <row r="3364" spans="1:19" hidden="1">
      <c r="A3364" s="128" t="s">
        <v>5669</v>
      </c>
      <c r="B3364" s="149" t="str">
        <f>IFERROR(VLOOKUP(Proc[[#This Row],[App]],Table2[],3,0),"open")</f>
        <v>ok</v>
      </c>
      <c r="C3364" s="128" t="s">
        <v>369</v>
      </c>
      <c r="D3364" t="s">
        <v>5597</v>
      </c>
      <c r="E3364" t="s">
        <v>5668</v>
      </c>
      <c r="F3364" s="129" t="s">
        <v>5668</v>
      </c>
      <c r="G3364" s="128" t="s">
        <v>406</v>
      </c>
      <c r="H3364" s="129" t="str">
        <f>IF(Proc[[#This Row],[type]]="LFF (MDG-F)",MID(Proc[[#This Row],[Obj]],13,10),"")</f>
        <v>DE10667900</v>
      </c>
      <c r="J3364" s="129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9" t="s">
        <v>4894</v>
      </c>
      <c r="M3364" s="127">
        <v>45883</v>
      </c>
      <c r="N3364" s="127"/>
      <c r="O3364" s="127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80</v>
      </c>
      <c r="R3364" s="115" t="s">
        <v>515</v>
      </c>
      <c r="S3364" s="129"/>
    </row>
    <row r="3365" spans="1:19" hidden="1">
      <c r="A3365" s="128" t="s">
        <v>5669</v>
      </c>
      <c r="B3365" s="149" t="str">
        <f>IFERROR(VLOOKUP(Proc[[#This Row],[App]],Table2[],3,0),"open")</f>
        <v>ok</v>
      </c>
      <c r="C3365" s="128" t="s">
        <v>369</v>
      </c>
      <c r="D3365" t="s">
        <v>5598</v>
      </c>
      <c r="E3365" t="s">
        <v>5668</v>
      </c>
      <c r="F3365" s="129" t="s">
        <v>5668</v>
      </c>
      <c r="G3365" s="128" t="s">
        <v>406</v>
      </c>
      <c r="H3365" s="129" t="str">
        <f>IF(Proc[[#This Row],[type]]="LFF (MDG-F)",MID(Proc[[#This Row],[Obj]],13,10),"")</f>
        <v>DE10672010</v>
      </c>
      <c r="J3365" s="129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9" t="s">
        <v>4894</v>
      </c>
      <c r="M3365" s="127">
        <v>45883</v>
      </c>
      <c r="N3365" s="127"/>
      <c r="O3365" s="127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80</v>
      </c>
      <c r="R3365" s="115" t="s">
        <v>515</v>
      </c>
      <c r="S3365" s="129"/>
    </row>
    <row r="3366" spans="1:19" hidden="1">
      <c r="A3366" s="128" t="s">
        <v>5669</v>
      </c>
      <c r="B3366" s="149" t="str">
        <f>IFERROR(VLOOKUP(Proc[[#This Row],[App]],Table2[],3,0),"open")</f>
        <v>ok</v>
      </c>
      <c r="C3366" s="128" t="s">
        <v>369</v>
      </c>
      <c r="D3366" t="s">
        <v>5599</v>
      </c>
      <c r="E3366" t="s">
        <v>5668</v>
      </c>
      <c r="F3366" s="129" t="s">
        <v>5668</v>
      </c>
      <c r="G3366" s="128" t="s">
        <v>406</v>
      </c>
      <c r="H3366" s="129" t="str">
        <f>IF(Proc[[#This Row],[type]]="LFF (MDG-F)",MID(Proc[[#This Row],[Obj]],13,10),"")</f>
        <v>DE65GPO001</v>
      </c>
      <c r="J3366" s="129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9" t="s">
        <v>4894</v>
      </c>
      <c r="M3366" s="127">
        <v>45883</v>
      </c>
      <c r="N3366" s="127"/>
      <c r="O3366" s="127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80</v>
      </c>
      <c r="R3366" s="115" t="s">
        <v>515</v>
      </c>
      <c r="S3366" s="129"/>
    </row>
    <row r="3367" spans="1:19" hidden="1">
      <c r="A3367" s="128" t="s">
        <v>5669</v>
      </c>
      <c r="B3367" s="149" t="str">
        <f>IFERROR(VLOOKUP(Proc[[#This Row],[App]],Table2[],3,0),"open")</f>
        <v>ok</v>
      </c>
      <c r="C3367" s="128" t="s">
        <v>369</v>
      </c>
      <c r="D3367" t="s">
        <v>5600</v>
      </c>
      <c r="E3367" t="s">
        <v>5668</v>
      </c>
      <c r="F3367" s="129" t="s">
        <v>5668</v>
      </c>
      <c r="G3367" s="128" t="s">
        <v>406</v>
      </c>
      <c r="H3367" s="129" t="str">
        <f>IF(Proc[[#This Row],[type]]="LFF (MDG-F)",MID(Proc[[#This Row],[Obj]],13,10),"")</f>
        <v>DK50GPO004</v>
      </c>
      <c r="J3367" s="129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9" t="s">
        <v>4894</v>
      </c>
      <c r="M3367" s="127">
        <v>45883</v>
      </c>
      <c r="N3367" s="127"/>
      <c r="O3367" s="127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80</v>
      </c>
      <c r="R3367" s="115" t="s">
        <v>515</v>
      </c>
      <c r="S3367" s="129"/>
    </row>
    <row r="3368" spans="1:19" hidden="1">
      <c r="A3368" s="128" t="s">
        <v>5669</v>
      </c>
      <c r="B3368" s="149" t="str">
        <f>IFERROR(VLOOKUP(Proc[[#This Row],[App]],Table2[],3,0),"open")</f>
        <v>ok</v>
      </c>
      <c r="C3368" s="128" t="s">
        <v>369</v>
      </c>
      <c r="D3368" t="s">
        <v>5601</v>
      </c>
      <c r="E3368" t="s">
        <v>5668</v>
      </c>
      <c r="F3368" s="129" t="s">
        <v>5668</v>
      </c>
      <c r="G3368" s="128" t="s">
        <v>406</v>
      </c>
      <c r="H3368" s="129" t="str">
        <f>IF(Proc[[#This Row],[type]]="LFF (MDG-F)",MID(Proc[[#This Row],[Obj]],13,10),"")</f>
        <v>ES50GPO792</v>
      </c>
      <c r="J3368" s="129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9" t="s">
        <v>4894</v>
      </c>
      <c r="M3368" s="127">
        <v>45883</v>
      </c>
      <c r="N3368" s="127"/>
      <c r="O3368" s="127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80</v>
      </c>
      <c r="R3368" s="115" t="s">
        <v>515</v>
      </c>
      <c r="S3368" s="129"/>
    </row>
    <row r="3369" spans="1:19" hidden="1">
      <c r="A3369" s="128" t="s">
        <v>5669</v>
      </c>
      <c r="B3369" s="149" t="str">
        <f>IFERROR(VLOOKUP(Proc[[#This Row],[App]],Table2[],3,0),"open")</f>
        <v>ok</v>
      </c>
      <c r="C3369" s="128" t="s">
        <v>369</v>
      </c>
      <c r="D3369" t="s">
        <v>5602</v>
      </c>
      <c r="E3369" t="s">
        <v>5668</v>
      </c>
      <c r="F3369" s="129" t="s">
        <v>5668</v>
      </c>
      <c r="G3369" s="128" t="s">
        <v>406</v>
      </c>
      <c r="H3369" s="129" t="str">
        <f>IF(Proc[[#This Row],[type]]="LFF (MDG-F)",MID(Proc[[#This Row],[Obj]],13,10),"")</f>
        <v>FR01GPO004</v>
      </c>
      <c r="J3369" s="129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9" t="s">
        <v>4894</v>
      </c>
      <c r="M3369" s="127">
        <v>45883</v>
      </c>
      <c r="N3369" s="127"/>
      <c r="O3369" s="127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80</v>
      </c>
      <c r="R3369" s="115" t="s">
        <v>515</v>
      </c>
      <c r="S3369" s="129"/>
    </row>
    <row r="3370" spans="1:19" hidden="1">
      <c r="A3370" s="128" t="s">
        <v>5669</v>
      </c>
      <c r="B3370" s="149" t="str">
        <f>IFERROR(VLOOKUP(Proc[[#This Row],[App]],Table2[],3,0),"open")</f>
        <v>ok</v>
      </c>
      <c r="C3370" s="128" t="s">
        <v>369</v>
      </c>
      <c r="D3370" t="s">
        <v>5603</v>
      </c>
      <c r="E3370" t="s">
        <v>5668</v>
      </c>
      <c r="F3370" s="129" t="s">
        <v>5668</v>
      </c>
      <c r="G3370" s="128" t="s">
        <v>406</v>
      </c>
      <c r="H3370" s="129" t="str">
        <f>IF(Proc[[#This Row],[type]]="LFF (MDG-F)",MID(Proc[[#This Row],[Obj]],13,10),"")</f>
        <v>IT50GPO004</v>
      </c>
      <c r="J3370" s="129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9" t="s">
        <v>4894</v>
      </c>
      <c r="M3370" s="127">
        <v>45883</v>
      </c>
      <c r="N3370" s="127"/>
      <c r="O3370" s="127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80</v>
      </c>
      <c r="R3370" s="115" t="s">
        <v>515</v>
      </c>
      <c r="S3370" s="129"/>
    </row>
    <row r="3371" spans="1:19" hidden="1">
      <c r="A3371" s="128" t="s">
        <v>5669</v>
      </c>
      <c r="B3371" s="149" t="str">
        <f>IFERROR(VLOOKUP(Proc[[#This Row],[App]],Table2[],3,0),"open")</f>
        <v>ok</v>
      </c>
      <c r="C3371" s="128" t="s">
        <v>369</v>
      </c>
      <c r="D3371" t="s">
        <v>5604</v>
      </c>
      <c r="E3371" t="s">
        <v>5668</v>
      </c>
      <c r="F3371" s="129" t="s">
        <v>5668</v>
      </c>
      <c r="G3371" s="128" t="s">
        <v>406</v>
      </c>
      <c r="H3371" s="129" t="str">
        <f>IF(Proc[[#This Row],[type]]="LFF (MDG-F)",MID(Proc[[#This Row],[Obj]],13,10),"")</f>
        <v>IT50GPO0C3</v>
      </c>
      <c r="J3371" s="129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9" t="s">
        <v>4894</v>
      </c>
      <c r="M3371" s="127">
        <v>45883</v>
      </c>
      <c r="N3371" s="127"/>
      <c r="O3371" s="127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80</v>
      </c>
      <c r="R3371" s="115" t="s">
        <v>515</v>
      </c>
      <c r="S3371" s="129"/>
    </row>
    <row r="3372" spans="1:19" hidden="1">
      <c r="A3372" s="128" t="s">
        <v>5669</v>
      </c>
      <c r="B3372" s="149" t="str">
        <f>IFERROR(VLOOKUP(Proc[[#This Row],[App]],Table2[],3,0),"open")</f>
        <v>ok</v>
      </c>
      <c r="C3372" s="128" t="s">
        <v>369</v>
      </c>
      <c r="D3372" t="s">
        <v>5605</v>
      </c>
      <c r="E3372" t="s">
        <v>5668</v>
      </c>
      <c r="F3372" s="129" t="s">
        <v>5668</v>
      </c>
      <c r="G3372" s="128" t="s">
        <v>406</v>
      </c>
      <c r="H3372" s="129" t="str">
        <f>IF(Proc[[#This Row],[type]]="LFF (MDG-F)",MID(Proc[[#This Row],[Obj]],13,10),"")</f>
        <v>JP01GPO302</v>
      </c>
      <c r="J3372" s="129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9" t="s">
        <v>4894</v>
      </c>
      <c r="M3372" s="127">
        <v>45883</v>
      </c>
      <c r="N3372" s="127"/>
      <c r="O3372" s="127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80</v>
      </c>
      <c r="R3372" s="115" t="s">
        <v>515</v>
      </c>
      <c r="S3372" s="129"/>
    </row>
    <row r="3373" spans="1:19" hidden="1">
      <c r="A3373" s="128" t="s">
        <v>5669</v>
      </c>
      <c r="B3373" s="149" t="str">
        <f>IFERROR(VLOOKUP(Proc[[#This Row],[App]],Table2[],3,0),"open")</f>
        <v>ok</v>
      </c>
      <c r="C3373" s="128" t="s">
        <v>369</v>
      </c>
      <c r="D3373" t="s">
        <v>5606</v>
      </c>
      <c r="E3373" t="s">
        <v>5668</v>
      </c>
      <c r="F3373" s="129" t="s">
        <v>5668</v>
      </c>
      <c r="G3373" s="128" t="s">
        <v>406</v>
      </c>
      <c r="H3373" s="129" t="str">
        <f>IF(Proc[[#This Row],[type]]="LFF (MDG-F)",MID(Proc[[#This Row],[Obj]],13,10),"")</f>
        <v>JP02GPO302</v>
      </c>
      <c r="J3373" s="129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9" t="s">
        <v>4894</v>
      </c>
      <c r="M3373" s="127">
        <v>45883</v>
      </c>
      <c r="N3373" s="127"/>
      <c r="O3373" s="127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80</v>
      </c>
      <c r="R3373" s="115" t="s">
        <v>515</v>
      </c>
      <c r="S3373" s="129"/>
    </row>
    <row r="3374" spans="1:19" hidden="1">
      <c r="A3374" s="128" t="s">
        <v>5669</v>
      </c>
      <c r="B3374" s="149" t="str">
        <f>IFERROR(VLOOKUP(Proc[[#This Row],[App]],Table2[],3,0),"open")</f>
        <v>ok</v>
      </c>
      <c r="C3374" s="128" t="s">
        <v>369</v>
      </c>
      <c r="D3374" t="s">
        <v>5607</v>
      </c>
      <c r="E3374" t="s">
        <v>5668</v>
      </c>
      <c r="F3374" s="129" t="s">
        <v>5668</v>
      </c>
      <c r="G3374" s="128" t="s">
        <v>406</v>
      </c>
      <c r="H3374" s="129" t="str">
        <f>IF(Proc[[#This Row],[type]]="LFF (MDG-F)",MID(Proc[[#This Row],[Obj]],13,10),"")</f>
        <v>KE50GPO004</v>
      </c>
      <c r="J3374" s="129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9" t="s">
        <v>4894</v>
      </c>
      <c r="M3374" s="127">
        <v>45883</v>
      </c>
      <c r="N3374" s="127"/>
      <c r="O3374" s="127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80</v>
      </c>
      <c r="R3374" s="115" t="s">
        <v>515</v>
      </c>
      <c r="S3374" s="129"/>
    </row>
    <row r="3375" spans="1:19" hidden="1">
      <c r="A3375" s="128" t="s">
        <v>5669</v>
      </c>
      <c r="B3375" s="149" t="str">
        <f>IFERROR(VLOOKUP(Proc[[#This Row],[App]],Table2[],3,0),"open")</f>
        <v>ok</v>
      </c>
      <c r="C3375" s="128" t="s">
        <v>369</v>
      </c>
      <c r="D3375" t="s">
        <v>5608</v>
      </c>
      <c r="E3375" t="s">
        <v>5668</v>
      </c>
      <c r="F3375" s="129" t="s">
        <v>5668</v>
      </c>
      <c r="G3375" s="128" t="s">
        <v>406</v>
      </c>
      <c r="H3375" s="129" t="str">
        <f>IF(Proc[[#This Row],[type]]="LFF (MDG-F)",MID(Proc[[#This Row],[Obj]],13,10),"")</f>
        <v>KR02GPO001</v>
      </c>
      <c r="J3375" s="129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9" t="s">
        <v>4894</v>
      </c>
      <c r="M3375" s="127">
        <v>45883</v>
      </c>
      <c r="N3375" s="127"/>
      <c r="O3375" s="127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80</v>
      </c>
      <c r="R3375" s="115" t="s">
        <v>515</v>
      </c>
      <c r="S3375" s="129"/>
    </row>
    <row r="3376" spans="1:19" hidden="1">
      <c r="A3376" s="128" t="s">
        <v>5669</v>
      </c>
      <c r="B3376" s="149" t="str">
        <f>IFERROR(VLOOKUP(Proc[[#This Row],[App]],Table2[],3,0),"open")</f>
        <v>ok</v>
      </c>
      <c r="C3376" s="128" t="s">
        <v>369</v>
      </c>
      <c r="D3376" t="s">
        <v>5609</v>
      </c>
      <c r="E3376" t="s">
        <v>5668</v>
      </c>
      <c r="F3376" s="129" t="s">
        <v>5668</v>
      </c>
      <c r="G3376" s="128" t="s">
        <v>406</v>
      </c>
      <c r="H3376" s="129" t="str">
        <f>IF(Proc[[#This Row],[type]]="LFF (MDG-F)",MID(Proc[[#This Row],[Obj]],13,10),"")</f>
        <v>TW02GPO004</v>
      </c>
      <c r="J3376" s="129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9" t="s">
        <v>4894</v>
      </c>
      <c r="M3376" s="127">
        <v>45883</v>
      </c>
      <c r="N3376" s="127"/>
      <c r="O3376" s="127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80</v>
      </c>
      <c r="R3376" s="115" t="s">
        <v>515</v>
      </c>
      <c r="S3376" s="129"/>
    </row>
    <row r="3377" spans="1:19" hidden="1">
      <c r="A3377" s="128" t="s">
        <v>5669</v>
      </c>
      <c r="B3377" s="149" t="str">
        <f>IFERROR(VLOOKUP(Proc[[#This Row],[App]],Table2[],3,0),"open")</f>
        <v>ok</v>
      </c>
      <c r="C3377" s="128" t="s">
        <v>369</v>
      </c>
      <c r="D3377" t="s">
        <v>5610</v>
      </c>
      <c r="E3377" t="s">
        <v>5668</v>
      </c>
      <c r="F3377" s="129" t="s">
        <v>5668</v>
      </c>
      <c r="G3377" s="128" t="s">
        <v>406</v>
      </c>
      <c r="H3377" s="129" t="str">
        <f>IF(Proc[[#This Row],[type]]="LFF (MDG-F)",MID(Proc[[#This Row],[Obj]],13,10),"")</f>
        <v>TW03GPO005</v>
      </c>
      <c r="J3377" s="129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9" t="s">
        <v>4894</v>
      </c>
      <c r="M3377" s="127">
        <v>45883</v>
      </c>
      <c r="N3377" s="127"/>
      <c r="O3377" s="127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80</v>
      </c>
      <c r="R3377" s="115" t="s">
        <v>515</v>
      </c>
      <c r="S3377" s="129"/>
    </row>
    <row r="3378" spans="1:19" hidden="1">
      <c r="A3378" s="128" t="s">
        <v>5669</v>
      </c>
      <c r="B3378" s="149" t="str">
        <f>IFERROR(VLOOKUP(Proc[[#This Row],[App]],Table2[],3,0),"open")</f>
        <v>ok</v>
      </c>
      <c r="C3378" s="128" t="s">
        <v>369</v>
      </c>
      <c r="D3378" t="s">
        <v>5611</v>
      </c>
      <c r="E3378" t="s">
        <v>5668</v>
      </c>
      <c r="F3378" s="129" t="s">
        <v>5668</v>
      </c>
      <c r="G3378" s="128" t="s">
        <v>406</v>
      </c>
      <c r="H3378" s="129" t="str">
        <f>IF(Proc[[#This Row],[type]]="LFF (MDG-F)",MID(Proc[[#This Row],[Obj]],13,10),"")</f>
        <v>US01GPO004</v>
      </c>
      <c r="J3378" s="129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9" t="s">
        <v>4894</v>
      </c>
      <c r="M3378" s="127">
        <v>45883</v>
      </c>
      <c r="N3378" s="127"/>
      <c r="O3378" s="127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80</v>
      </c>
      <c r="R3378" s="115" t="s">
        <v>515</v>
      </c>
      <c r="S3378" s="129"/>
    </row>
    <row r="3379" spans="1:19" hidden="1">
      <c r="A3379" s="128" t="s">
        <v>5669</v>
      </c>
      <c r="B3379" s="149" t="str">
        <f>IFERROR(VLOOKUP(Proc[[#This Row],[App]],Table2[],3,0),"open")</f>
        <v>ok</v>
      </c>
      <c r="C3379" s="128" t="s">
        <v>369</v>
      </c>
      <c r="D3379" t="s">
        <v>5612</v>
      </c>
      <c r="E3379" t="s">
        <v>5668</v>
      </c>
      <c r="F3379" s="129" t="s">
        <v>5668</v>
      </c>
      <c r="G3379" s="128" t="s">
        <v>406</v>
      </c>
      <c r="H3379" s="129" t="str">
        <f>IF(Proc[[#This Row],[type]]="LFF (MDG-F)",MID(Proc[[#This Row],[Obj]],13,10),"")</f>
        <v>US01GPO101</v>
      </c>
      <c r="J3379" s="129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9" t="s">
        <v>4894</v>
      </c>
      <c r="M3379" s="127">
        <v>45883</v>
      </c>
      <c r="N3379" s="127"/>
      <c r="O3379" s="127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80</v>
      </c>
      <c r="R3379" s="115" t="s">
        <v>515</v>
      </c>
      <c r="S3379" s="129"/>
    </row>
    <row r="3380" spans="1:19" hidden="1">
      <c r="A3380" s="128" t="s">
        <v>5669</v>
      </c>
      <c r="B3380" s="149" t="str">
        <f>IFERROR(VLOOKUP(Proc[[#This Row],[App]],Table2[],3,0),"open")</f>
        <v>ok</v>
      </c>
      <c r="C3380" s="128" t="s">
        <v>369</v>
      </c>
      <c r="D3380" t="s">
        <v>5613</v>
      </c>
      <c r="E3380" t="s">
        <v>5668</v>
      </c>
      <c r="F3380" s="129" t="s">
        <v>5668</v>
      </c>
      <c r="G3380" s="128" t="s">
        <v>406</v>
      </c>
      <c r="H3380" s="129" t="str">
        <f>IF(Proc[[#This Row],[type]]="LFF (MDG-F)",MID(Proc[[#This Row],[Obj]],13,10),"")</f>
        <v>US01GPO401</v>
      </c>
      <c r="J3380" s="129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9" t="s">
        <v>4894</v>
      </c>
      <c r="M3380" s="127">
        <v>45883</v>
      </c>
      <c r="N3380" s="127"/>
      <c r="O3380" s="127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80</v>
      </c>
      <c r="R3380" s="115" t="s">
        <v>515</v>
      </c>
      <c r="S3380" s="129"/>
    </row>
    <row r="3381" spans="1:19" hidden="1">
      <c r="A3381" s="128" t="s">
        <v>5669</v>
      </c>
      <c r="B3381" s="149" t="str">
        <f>IFERROR(VLOOKUP(Proc[[#This Row],[App]],Table2[],3,0),"open")</f>
        <v>ok</v>
      </c>
      <c r="C3381" s="128" t="s">
        <v>369</v>
      </c>
      <c r="D3381" t="s">
        <v>5614</v>
      </c>
      <c r="E3381" t="s">
        <v>5668</v>
      </c>
      <c r="F3381" s="129" t="s">
        <v>5668</v>
      </c>
      <c r="G3381" s="128" t="s">
        <v>406</v>
      </c>
      <c r="H3381" s="129" t="str">
        <f>IF(Proc[[#This Row],[type]]="LFF (MDG-F)",MID(Proc[[#This Row],[Obj]],13,10),"")</f>
        <v>VN50GPO005</v>
      </c>
      <c r="J3381" s="129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9" t="s">
        <v>4894</v>
      </c>
      <c r="M3381" s="127">
        <v>45883</v>
      </c>
      <c r="N3381" s="127"/>
      <c r="O3381" s="127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80</v>
      </c>
      <c r="R3381" s="115" t="s">
        <v>515</v>
      </c>
      <c r="S3381" s="129"/>
    </row>
    <row r="3382" spans="1:19" hidden="1">
      <c r="A3382" s="128" t="s">
        <v>5669</v>
      </c>
      <c r="B3382" s="149" t="str">
        <f>IFERROR(VLOOKUP(Proc[[#This Row],[App]],Table2[],3,0),"open")</f>
        <v>ok</v>
      </c>
      <c r="C3382" s="128" t="s">
        <v>369</v>
      </c>
      <c r="D3382" t="s">
        <v>5615</v>
      </c>
      <c r="E3382" t="s">
        <v>5668</v>
      </c>
      <c r="F3382" s="129" t="s">
        <v>5668</v>
      </c>
      <c r="G3382" s="128" t="s">
        <v>406</v>
      </c>
      <c r="H3382" s="129" t="str">
        <f>IF(Proc[[#This Row],[type]]="LFF (MDG-F)",MID(Proc[[#This Row],[Obj]],13,10),"")</f>
        <v>ZA50GPO004</v>
      </c>
      <c r="J3382" s="129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9" t="s">
        <v>4894</v>
      </c>
      <c r="M3382" s="127">
        <v>45883</v>
      </c>
      <c r="N3382" s="127"/>
      <c r="O3382" s="127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80</v>
      </c>
      <c r="R3382" s="115" t="s">
        <v>515</v>
      </c>
      <c r="S3382" s="129"/>
    </row>
    <row r="3383" spans="1:19" hidden="1">
      <c r="A3383" s="128" t="s">
        <v>5669</v>
      </c>
      <c r="B3383" s="149" t="str">
        <f>IFERROR(VLOOKUP(Proc[[#This Row],[App]],Table2[],3,0),"open")</f>
        <v>ok</v>
      </c>
      <c r="C3383" s="128" t="s">
        <v>369</v>
      </c>
      <c r="D3383" t="s">
        <v>5616</v>
      </c>
      <c r="E3383" t="s">
        <v>5668</v>
      </c>
      <c r="F3383" s="129" t="s">
        <v>5668</v>
      </c>
      <c r="G3383" s="128" t="s">
        <v>406</v>
      </c>
      <c r="H3383" s="129" t="str">
        <f>IF(Proc[[#This Row],[type]]="LFF (MDG-F)",MID(Proc[[#This Row],[Obj]],13,10),"")</f>
        <v>2031GPO004</v>
      </c>
      <c r="J3383" s="129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9" t="s">
        <v>4894</v>
      </c>
      <c r="M3383" s="127">
        <v>45883</v>
      </c>
      <c r="N3383" s="127"/>
      <c r="O3383" s="127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80</v>
      </c>
      <c r="R3383" s="115" t="s">
        <v>515</v>
      </c>
      <c r="S3383" s="129"/>
    </row>
    <row r="3384" spans="1:19" hidden="1">
      <c r="A3384" s="128" t="s">
        <v>5669</v>
      </c>
      <c r="B3384" s="149" t="str">
        <f>IFERROR(VLOOKUP(Proc[[#This Row],[App]],Table2[],3,0),"open")</f>
        <v>ok</v>
      </c>
      <c r="C3384" s="128" t="s">
        <v>369</v>
      </c>
      <c r="D3384" t="s">
        <v>5617</v>
      </c>
      <c r="E3384" t="s">
        <v>5668</v>
      </c>
      <c r="F3384" s="129" t="s">
        <v>5668</v>
      </c>
      <c r="G3384" s="128" t="s">
        <v>406</v>
      </c>
      <c r="H3384" s="129" t="str">
        <f>IF(Proc[[#This Row],[type]]="LFF (MDG-F)",MID(Proc[[#This Row],[Obj]],13,10),"")</f>
        <v>2057GPO008</v>
      </c>
      <c r="J3384" s="129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9" t="s">
        <v>4894</v>
      </c>
      <c r="M3384" s="127">
        <v>45883</v>
      </c>
      <c r="N3384" s="127"/>
      <c r="O3384" s="127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80</v>
      </c>
      <c r="R3384" s="115" t="s">
        <v>515</v>
      </c>
      <c r="S3384" s="129"/>
    </row>
    <row r="3385" spans="1:19" hidden="1">
      <c r="A3385" s="128" t="s">
        <v>5669</v>
      </c>
      <c r="B3385" s="149" t="str">
        <f>IFERROR(VLOOKUP(Proc[[#This Row],[App]],Table2[],3,0),"open")</f>
        <v>ok</v>
      </c>
      <c r="C3385" s="128" t="s">
        <v>369</v>
      </c>
      <c r="D3385" t="s">
        <v>5618</v>
      </c>
      <c r="E3385" t="s">
        <v>5668</v>
      </c>
      <c r="F3385" s="129" t="s">
        <v>5668</v>
      </c>
      <c r="G3385" s="128" t="s">
        <v>406</v>
      </c>
      <c r="H3385" s="129" t="str">
        <f>IF(Proc[[#This Row],[type]]="LFF (MDG-F)",MID(Proc[[#This Row],[Obj]],13,10),"")</f>
        <v>2102GPO003</v>
      </c>
      <c r="J3385" s="129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9" t="s">
        <v>4894</v>
      </c>
      <c r="M3385" s="127">
        <v>45883</v>
      </c>
      <c r="N3385" s="127"/>
      <c r="O3385" s="127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80</v>
      </c>
      <c r="R3385" s="115" t="s">
        <v>515</v>
      </c>
      <c r="S3385" s="129"/>
    </row>
    <row r="3386" spans="1:19" hidden="1">
      <c r="A3386" s="128" t="s">
        <v>5669</v>
      </c>
      <c r="B3386" s="149" t="str">
        <f>IFERROR(VLOOKUP(Proc[[#This Row],[App]],Table2[],3,0),"open")</f>
        <v>ok</v>
      </c>
      <c r="C3386" s="128" t="s">
        <v>369</v>
      </c>
      <c r="D3386" t="s">
        <v>5619</v>
      </c>
      <c r="E3386" t="s">
        <v>5668</v>
      </c>
      <c r="F3386" s="129" t="s">
        <v>5668</v>
      </c>
      <c r="G3386" s="128" t="s">
        <v>406</v>
      </c>
      <c r="H3386" s="129" t="str">
        <f>IF(Proc[[#This Row],[type]]="LFF (MDG-F)",MID(Proc[[#This Row],[Obj]],13,10),"")</f>
        <v>2123GPO001</v>
      </c>
      <c r="J3386" s="129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9" t="s">
        <v>4894</v>
      </c>
      <c r="M3386" s="127">
        <v>45883</v>
      </c>
      <c r="N3386" s="127"/>
      <c r="O3386" s="127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80</v>
      </c>
      <c r="R3386" s="115" t="s">
        <v>515</v>
      </c>
      <c r="S3386" s="129"/>
    </row>
    <row r="3387" spans="1:19" hidden="1">
      <c r="A3387" s="128" t="s">
        <v>5669</v>
      </c>
      <c r="B3387" s="149" t="str">
        <f>IFERROR(VLOOKUP(Proc[[#This Row],[App]],Table2[],3,0),"open")</f>
        <v>ok</v>
      </c>
      <c r="C3387" s="128" t="s">
        <v>369</v>
      </c>
      <c r="D3387" t="s">
        <v>5620</v>
      </c>
      <c r="E3387" t="s">
        <v>5668</v>
      </c>
      <c r="F3387" s="129" t="s">
        <v>5668</v>
      </c>
      <c r="G3387" s="128" t="s">
        <v>406</v>
      </c>
      <c r="H3387" s="129" t="str">
        <f>IF(Proc[[#This Row],[type]]="LFF (MDG-F)",MID(Proc[[#This Row],[Obj]],13,10),"")</f>
        <v>2128L40014</v>
      </c>
      <c r="J3387" s="129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9" t="s">
        <v>4894</v>
      </c>
      <c r="M3387" s="127">
        <v>45883</v>
      </c>
      <c r="N3387" s="127"/>
      <c r="O3387" s="127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80</v>
      </c>
      <c r="R3387" s="115" t="s">
        <v>515</v>
      </c>
      <c r="S3387" s="129"/>
    </row>
    <row r="3388" spans="1:19" hidden="1">
      <c r="A3388" s="128" t="s">
        <v>5669</v>
      </c>
      <c r="B3388" s="149" t="str">
        <f>IFERROR(VLOOKUP(Proc[[#This Row],[App]],Table2[],3,0),"open")</f>
        <v>ok</v>
      </c>
      <c r="C3388" s="128" t="s">
        <v>369</v>
      </c>
      <c r="D3388" t="s">
        <v>5621</v>
      </c>
      <c r="E3388" t="s">
        <v>5668</v>
      </c>
      <c r="F3388" s="129" t="s">
        <v>5668</v>
      </c>
      <c r="G3388" s="128" t="s">
        <v>406</v>
      </c>
      <c r="H3388" s="129" t="str">
        <f>IF(Proc[[#This Row],[type]]="LFF (MDG-F)",MID(Proc[[#This Row],[Obj]],13,10),"")</f>
        <v>2131GPO821</v>
      </c>
      <c r="J3388" s="129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9" t="s">
        <v>4894</v>
      </c>
      <c r="M3388" s="127">
        <v>45883</v>
      </c>
      <c r="N3388" s="127"/>
      <c r="O3388" s="127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80</v>
      </c>
      <c r="R3388" s="115" t="s">
        <v>515</v>
      </c>
      <c r="S3388" s="129"/>
    </row>
    <row r="3389" spans="1:19" hidden="1">
      <c r="A3389" s="128" t="s">
        <v>5669</v>
      </c>
      <c r="B3389" s="149" t="str">
        <f>IFERROR(VLOOKUP(Proc[[#This Row],[App]],Table2[],3,0),"open")</f>
        <v>ok</v>
      </c>
      <c r="C3389" s="128" t="s">
        <v>369</v>
      </c>
      <c r="D3389" t="s">
        <v>5622</v>
      </c>
      <c r="E3389" t="s">
        <v>5668</v>
      </c>
      <c r="F3389" s="129" t="s">
        <v>5668</v>
      </c>
      <c r="G3389" s="128" t="s">
        <v>406</v>
      </c>
      <c r="H3389" s="129" t="str">
        <f>IF(Proc[[#This Row],[type]]="LFF (MDG-F)",MID(Proc[[#This Row],[Obj]],13,10),"")</f>
        <v>KR03GPO001</v>
      </c>
      <c r="J3389" s="129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9" t="s">
        <v>4894</v>
      </c>
      <c r="M3389" s="127">
        <v>45883</v>
      </c>
      <c r="N3389" s="127"/>
      <c r="O3389" s="127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80</v>
      </c>
      <c r="R3389" s="115" t="s">
        <v>515</v>
      </c>
      <c r="S3389" s="129"/>
    </row>
    <row r="3390" spans="1:19" hidden="1">
      <c r="A3390" s="128" t="s">
        <v>5669</v>
      </c>
      <c r="B3390" s="149" t="str">
        <f>IFERROR(VLOOKUP(Proc[[#This Row],[App]],Table2[],3,0),"open")</f>
        <v>ok</v>
      </c>
      <c r="C3390" s="128" t="s">
        <v>369</v>
      </c>
      <c r="D3390" t="s">
        <v>5735</v>
      </c>
      <c r="E3390" t="s">
        <v>5668</v>
      </c>
      <c r="F3390" s="133" t="s">
        <v>5668</v>
      </c>
      <c r="G3390" s="128" t="s">
        <v>406</v>
      </c>
      <c r="H3390" s="129" t="str">
        <f>IF(Proc[[#This Row],[type]]="LFF (MDG-F)",MID(Proc[[#This Row],[Obj]],13,10),"")</f>
        <v>TW91GPO013</v>
      </c>
      <c r="J3390" s="129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9" t="s">
        <v>4894</v>
      </c>
      <c r="M3390" s="127">
        <v>45883</v>
      </c>
      <c r="N3390" s="127"/>
      <c r="O3390" s="127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80</v>
      </c>
      <c r="R3390" s="115" t="s">
        <v>515</v>
      </c>
      <c r="S3390" s="129"/>
    </row>
    <row r="3391" spans="1:19" hidden="1">
      <c r="A3391" s="128" t="s">
        <v>5669</v>
      </c>
      <c r="B3391" s="149" t="str">
        <f>IFERROR(VLOOKUP(Proc[[#This Row],[App]],Table2[],3,0),"open")</f>
        <v>ok</v>
      </c>
      <c r="C3391" s="133" t="s">
        <v>369</v>
      </c>
      <c r="D3391" t="s">
        <v>5623</v>
      </c>
      <c r="E3391" t="s">
        <v>5668</v>
      </c>
      <c r="F3391" s="129" t="s">
        <v>5668</v>
      </c>
      <c r="G3391" s="128" t="s">
        <v>406</v>
      </c>
      <c r="H3391" s="129" t="str">
        <f>IF(Proc[[#This Row],[type]]="LFF (MDG-F)",MID(Proc[[#This Row],[Obj]],13,10),"")</f>
        <v>US10GPO022</v>
      </c>
      <c r="J3391" s="129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9" t="s">
        <v>4894</v>
      </c>
      <c r="M3391" s="127">
        <v>45883</v>
      </c>
      <c r="N3391" s="127"/>
      <c r="O3391" s="127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80</v>
      </c>
      <c r="R3391" s="115" t="s">
        <v>515</v>
      </c>
      <c r="S3391" s="129"/>
    </row>
    <row r="3392" spans="1:19" hidden="1">
      <c r="A3392" s="128" t="s">
        <v>5669</v>
      </c>
      <c r="B3392" s="149" t="str">
        <f>IFERROR(VLOOKUP(Proc[[#This Row],[App]],Table2[],3,0),"open")</f>
        <v>ok</v>
      </c>
      <c r="C3392" s="133" t="s">
        <v>369</v>
      </c>
      <c r="D3392" t="s">
        <v>5624</v>
      </c>
      <c r="E3392" t="s">
        <v>5668</v>
      </c>
      <c r="F3392" s="129" t="s">
        <v>5668</v>
      </c>
      <c r="G3392" s="128" t="s">
        <v>406</v>
      </c>
      <c r="H3392" s="129" t="str">
        <f>IF(Proc[[#This Row],[type]]="LFF (MDG-F)",MID(Proc[[#This Row],[Obj]],13,10),"")</f>
        <v>US10GPO024</v>
      </c>
      <c r="J3392" s="129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9" t="s">
        <v>4894</v>
      </c>
      <c r="M3392" s="127">
        <v>45883</v>
      </c>
      <c r="N3392" s="127"/>
      <c r="O3392" s="127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80</v>
      </c>
      <c r="R3392" s="115" t="s">
        <v>515</v>
      </c>
      <c r="S3392" s="129"/>
    </row>
    <row r="3393" spans="1:19" hidden="1">
      <c r="A3393" s="128" t="s">
        <v>5669</v>
      </c>
      <c r="B3393" s="149" t="str">
        <f>IFERROR(VLOOKUP(Proc[[#This Row],[App]],Table2[],3,0),"open")</f>
        <v>ok</v>
      </c>
      <c r="C3393" s="128" t="s">
        <v>369</v>
      </c>
      <c r="D3393" t="s">
        <v>5625</v>
      </c>
      <c r="E3393" t="s">
        <v>5668</v>
      </c>
      <c r="F3393" s="129" t="s">
        <v>5668</v>
      </c>
      <c r="G3393" s="128" t="s">
        <v>400</v>
      </c>
      <c r="H3393" s="129" t="str">
        <f>IF(Proc[[#This Row],[type]]="LFF (MDG-F)",MID(Proc[[#This Row],[Obj]],13,10),"")</f>
        <v/>
      </c>
      <c r="J3393" s="129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9" t="s">
        <v>4894</v>
      </c>
      <c r="M3393" s="127">
        <v>45883</v>
      </c>
      <c r="N3393" s="127"/>
      <c r="O3393" s="127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80</v>
      </c>
      <c r="R3393" s="115" t="s">
        <v>515</v>
      </c>
      <c r="S3393" s="129"/>
    </row>
    <row r="3394" spans="1:19" hidden="1">
      <c r="A3394" s="128" t="s">
        <v>5669</v>
      </c>
      <c r="B3394" s="149" t="str">
        <f>IFERROR(VLOOKUP(Proc[[#This Row],[App]],Table2[],3,0),"open")</f>
        <v>ok</v>
      </c>
      <c r="C3394" s="128" t="s">
        <v>369</v>
      </c>
      <c r="D3394" t="s">
        <v>5626</v>
      </c>
      <c r="E3394" t="s">
        <v>5668</v>
      </c>
      <c r="F3394" s="129" t="s">
        <v>5668</v>
      </c>
      <c r="G3394" s="128" t="s">
        <v>400</v>
      </c>
      <c r="H3394" s="129" t="str">
        <f>IF(Proc[[#This Row],[type]]="LFF (MDG-F)",MID(Proc[[#This Row],[Obj]],13,10),"")</f>
        <v/>
      </c>
      <c r="J3394" s="129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9" t="s">
        <v>4894</v>
      </c>
      <c r="M3394" s="127">
        <v>45883</v>
      </c>
      <c r="N3394" s="127"/>
      <c r="O3394" s="127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80</v>
      </c>
      <c r="R3394" s="115" t="s">
        <v>515</v>
      </c>
      <c r="S3394" s="129"/>
    </row>
    <row r="3395" spans="1:19" hidden="1">
      <c r="A3395" s="128" t="s">
        <v>5669</v>
      </c>
      <c r="B3395" s="149" t="str">
        <f>IFERROR(VLOOKUP(Proc[[#This Row],[App]],Table2[],3,0),"open")</f>
        <v>ok</v>
      </c>
      <c r="C3395" s="128" t="s">
        <v>369</v>
      </c>
      <c r="D3395" t="s">
        <v>5627</v>
      </c>
      <c r="E3395" t="s">
        <v>5668</v>
      </c>
      <c r="F3395" s="129" t="s">
        <v>5668</v>
      </c>
      <c r="G3395" s="128" t="s">
        <v>400</v>
      </c>
      <c r="H3395" s="129" t="str">
        <f>IF(Proc[[#This Row],[type]]="LFF (MDG-F)",MID(Proc[[#This Row],[Obj]],13,10),"")</f>
        <v/>
      </c>
      <c r="J3395" s="129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9" t="s">
        <v>4894</v>
      </c>
      <c r="M3395" s="127">
        <v>45883</v>
      </c>
      <c r="N3395" s="127"/>
      <c r="O3395" s="127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80</v>
      </c>
      <c r="R3395" s="115" t="s">
        <v>515</v>
      </c>
      <c r="S3395" s="129"/>
    </row>
    <row r="3396" spans="1:19" hidden="1">
      <c r="A3396" s="128" t="s">
        <v>5669</v>
      </c>
      <c r="B3396" s="149" t="str">
        <f>IFERROR(VLOOKUP(Proc[[#This Row],[App]],Table2[],3,0),"open")</f>
        <v>ok</v>
      </c>
      <c r="C3396" s="128" t="s">
        <v>369</v>
      </c>
      <c r="D3396" t="s">
        <v>5628</v>
      </c>
      <c r="E3396" t="s">
        <v>5668</v>
      </c>
      <c r="F3396" s="129" t="s">
        <v>5668</v>
      </c>
      <c r="G3396" s="128" t="s">
        <v>400</v>
      </c>
      <c r="H3396" s="129" t="str">
        <f>IF(Proc[[#This Row],[type]]="LFF (MDG-F)",MID(Proc[[#This Row],[Obj]],13,10),"")</f>
        <v/>
      </c>
      <c r="J3396" s="129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9" t="s">
        <v>4894</v>
      </c>
      <c r="M3396" s="127">
        <v>45883</v>
      </c>
      <c r="N3396" s="127"/>
      <c r="O3396" s="127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80</v>
      </c>
      <c r="R3396" s="115" t="s">
        <v>515</v>
      </c>
      <c r="S3396" s="129"/>
    </row>
    <row r="3397" spans="1:19" hidden="1">
      <c r="A3397" s="128" t="s">
        <v>5669</v>
      </c>
      <c r="B3397" s="149" t="str">
        <f>IFERROR(VLOOKUP(Proc[[#This Row],[App]],Table2[],3,0),"open")</f>
        <v>ok</v>
      </c>
      <c r="C3397" s="128" t="s">
        <v>369</v>
      </c>
      <c r="D3397" t="s">
        <v>5629</v>
      </c>
      <c r="E3397" t="s">
        <v>5668</v>
      </c>
      <c r="F3397" s="129" t="s">
        <v>5668</v>
      </c>
      <c r="G3397" s="128" t="s">
        <v>400</v>
      </c>
      <c r="H3397" s="129" t="str">
        <f>IF(Proc[[#This Row],[type]]="LFF (MDG-F)",MID(Proc[[#This Row],[Obj]],13,10),"")</f>
        <v/>
      </c>
      <c r="J3397" s="129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9" t="s">
        <v>4894</v>
      </c>
      <c r="M3397" s="127">
        <v>45883</v>
      </c>
      <c r="N3397" s="127"/>
      <c r="O3397" s="127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80</v>
      </c>
      <c r="R3397" s="115" t="s">
        <v>515</v>
      </c>
      <c r="S3397" s="129"/>
    </row>
    <row r="3398" spans="1:19" hidden="1">
      <c r="A3398" s="128" t="s">
        <v>5669</v>
      </c>
      <c r="B3398" s="149" t="str">
        <f>IFERROR(VLOOKUP(Proc[[#This Row],[App]],Table2[],3,0),"open")</f>
        <v>ok</v>
      </c>
      <c r="C3398" s="128" t="s">
        <v>369</v>
      </c>
      <c r="D3398" t="s">
        <v>5630</v>
      </c>
      <c r="E3398" t="s">
        <v>5668</v>
      </c>
      <c r="F3398" s="129" t="s">
        <v>5668</v>
      </c>
      <c r="G3398" s="128" t="s">
        <v>400</v>
      </c>
      <c r="H3398" s="129" t="str">
        <f>IF(Proc[[#This Row],[type]]="LFF (MDG-F)",MID(Proc[[#This Row],[Obj]],13,10),"")</f>
        <v/>
      </c>
      <c r="J3398" s="129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9" t="s">
        <v>4894</v>
      </c>
      <c r="M3398" s="127">
        <v>45883</v>
      </c>
      <c r="N3398" s="127"/>
      <c r="O3398" s="127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80</v>
      </c>
      <c r="R3398" s="115" t="s">
        <v>515</v>
      </c>
      <c r="S3398" s="129"/>
    </row>
    <row r="3399" spans="1:19" hidden="1">
      <c r="A3399" s="128" t="s">
        <v>5669</v>
      </c>
      <c r="B3399" s="149" t="str">
        <f>IFERROR(VLOOKUP(Proc[[#This Row],[App]],Table2[],3,0),"open")</f>
        <v>ok</v>
      </c>
      <c r="C3399" s="128" t="s">
        <v>369</v>
      </c>
      <c r="D3399" t="s">
        <v>5631</v>
      </c>
      <c r="E3399" t="s">
        <v>5668</v>
      </c>
      <c r="F3399" s="129" t="s">
        <v>5668</v>
      </c>
      <c r="G3399" s="128" t="s">
        <v>400</v>
      </c>
      <c r="H3399" s="129" t="str">
        <f>IF(Proc[[#This Row],[type]]="LFF (MDG-F)",MID(Proc[[#This Row],[Obj]],13,10),"")</f>
        <v/>
      </c>
      <c r="J3399" s="129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9" t="s">
        <v>4894</v>
      </c>
      <c r="M3399" s="127">
        <v>45883</v>
      </c>
      <c r="N3399" s="127"/>
      <c r="O3399" s="127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80</v>
      </c>
      <c r="R3399" s="115" t="s">
        <v>515</v>
      </c>
      <c r="S3399" s="129"/>
    </row>
    <row r="3400" spans="1:19" hidden="1">
      <c r="A3400" s="128" t="s">
        <v>5669</v>
      </c>
      <c r="B3400" s="149" t="str">
        <f>IFERROR(VLOOKUP(Proc[[#This Row],[App]],Table2[],3,0),"open")</f>
        <v>ok</v>
      </c>
      <c r="C3400" s="128" t="s">
        <v>369</v>
      </c>
      <c r="D3400" t="s">
        <v>5632</v>
      </c>
      <c r="E3400" t="s">
        <v>5668</v>
      </c>
      <c r="F3400" s="129" t="s">
        <v>5668</v>
      </c>
      <c r="G3400" s="128" t="s">
        <v>400</v>
      </c>
      <c r="H3400" s="129" t="str">
        <f>IF(Proc[[#This Row],[type]]="LFF (MDG-F)",MID(Proc[[#This Row],[Obj]],13,10),"")</f>
        <v/>
      </c>
      <c r="J3400" s="129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9" t="s">
        <v>4894</v>
      </c>
      <c r="M3400" s="127">
        <v>45883</v>
      </c>
      <c r="N3400" s="127"/>
      <c r="O3400" s="127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80</v>
      </c>
      <c r="R3400" s="115" t="s">
        <v>515</v>
      </c>
      <c r="S3400" s="129"/>
    </row>
    <row r="3401" spans="1:19" hidden="1">
      <c r="A3401" s="128" t="s">
        <v>5669</v>
      </c>
      <c r="B3401" s="149" t="str">
        <f>IFERROR(VLOOKUP(Proc[[#This Row],[App]],Table2[],3,0),"open")</f>
        <v>ok</v>
      </c>
      <c r="C3401" s="128" t="s">
        <v>369</v>
      </c>
      <c r="D3401" t="s">
        <v>5633</v>
      </c>
      <c r="E3401" t="s">
        <v>5668</v>
      </c>
      <c r="F3401" s="129" t="s">
        <v>5668</v>
      </c>
      <c r="G3401" s="128" t="s">
        <v>400</v>
      </c>
      <c r="H3401" s="129" t="str">
        <f>IF(Proc[[#This Row],[type]]="LFF (MDG-F)",MID(Proc[[#This Row],[Obj]],13,10),"")</f>
        <v/>
      </c>
      <c r="J3401" s="129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9" t="s">
        <v>4894</v>
      </c>
      <c r="M3401" s="127">
        <v>45883</v>
      </c>
      <c r="N3401" s="127"/>
      <c r="O3401" s="127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80</v>
      </c>
      <c r="R3401" s="115" t="s">
        <v>515</v>
      </c>
      <c r="S3401" s="129"/>
    </row>
    <row r="3402" spans="1:19" hidden="1">
      <c r="A3402" s="128" t="s">
        <v>5669</v>
      </c>
      <c r="B3402" s="149" t="str">
        <f>IFERROR(VLOOKUP(Proc[[#This Row],[App]],Table2[],3,0),"open")</f>
        <v>ok</v>
      </c>
      <c r="C3402" s="128" t="s">
        <v>369</v>
      </c>
      <c r="D3402" t="s">
        <v>5634</v>
      </c>
      <c r="E3402" t="s">
        <v>5668</v>
      </c>
      <c r="F3402" s="129" t="s">
        <v>5668</v>
      </c>
      <c r="G3402" s="128" t="s">
        <v>400</v>
      </c>
      <c r="H3402" s="129" t="str">
        <f>IF(Proc[[#This Row],[type]]="LFF (MDG-F)",MID(Proc[[#This Row],[Obj]],13,10),"")</f>
        <v/>
      </c>
      <c r="J3402" s="129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9" t="s">
        <v>4894</v>
      </c>
      <c r="M3402" s="127">
        <v>45883</v>
      </c>
      <c r="N3402" s="127"/>
      <c r="O3402" s="127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80</v>
      </c>
      <c r="R3402" s="115" t="s">
        <v>515</v>
      </c>
      <c r="S3402" s="129"/>
    </row>
    <row r="3403" spans="1:19" hidden="1">
      <c r="A3403" s="128" t="s">
        <v>5669</v>
      </c>
      <c r="B3403" s="149" t="str">
        <f>IFERROR(VLOOKUP(Proc[[#This Row],[App]],Table2[],3,0),"open")</f>
        <v>ok</v>
      </c>
      <c r="C3403" s="128" t="s">
        <v>369</v>
      </c>
      <c r="D3403" t="s">
        <v>5635</v>
      </c>
      <c r="E3403" t="s">
        <v>5668</v>
      </c>
      <c r="F3403" s="129" t="s">
        <v>5668</v>
      </c>
      <c r="G3403" s="128" t="s">
        <v>400</v>
      </c>
      <c r="H3403" s="129" t="str">
        <f>IF(Proc[[#This Row],[type]]="LFF (MDG-F)",MID(Proc[[#This Row],[Obj]],13,10),"")</f>
        <v/>
      </c>
      <c r="J3403" s="129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9" t="s">
        <v>4894</v>
      </c>
      <c r="M3403" s="127">
        <v>45883</v>
      </c>
      <c r="N3403" s="127"/>
      <c r="O3403" s="127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80</v>
      </c>
      <c r="R3403" s="115" t="s">
        <v>515</v>
      </c>
      <c r="S3403" s="129"/>
    </row>
    <row r="3404" spans="1:19" hidden="1">
      <c r="A3404" s="128" t="s">
        <v>5669</v>
      </c>
      <c r="B3404" s="149" t="str">
        <f>IFERROR(VLOOKUP(Proc[[#This Row],[App]],Table2[],3,0),"open")</f>
        <v>ok</v>
      </c>
      <c r="C3404" s="128" t="s">
        <v>369</v>
      </c>
      <c r="D3404" t="s">
        <v>5636</v>
      </c>
      <c r="E3404" t="s">
        <v>5668</v>
      </c>
      <c r="F3404" s="129" t="s">
        <v>5668</v>
      </c>
      <c r="G3404" s="128" t="s">
        <v>400</v>
      </c>
      <c r="H3404" s="129" t="str">
        <f>IF(Proc[[#This Row],[type]]="LFF (MDG-F)",MID(Proc[[#This Row],[Obj]],13,10),"")</f>
        <v/>
      </c>
      <c r="J3404" s="129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9" t="s">
        <v>4894</v>
      </c>
      <c r="M3404" s="127">
        <v>45883</v>
      </c>
      <c r="N3404" s="127"/>
      <c r="O3404" s="127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80</v>
      </c>
      <c r="R3404" s="115" t="s">
        <v>515</v>
      </c>
      <c r="S3404" s="129"/>
    </row>
    <row r="3405" spans="1:19" hidden="1">
      <c r="A3405" s="128" t="s">
        <v>5669</v>
      </c>
      <c r="B3405" s="149" t="str">
        <f>IFERROR(VLOOKUP(Proc[[#This Row],[App]],Table2[],3,0),"open")</f>
        <v>ok</v>
      </c>
      <c r="C3405" s="128" t="s">
        <v>369</v>
      </c>
      <c r="D3405" t="s">
        <v>5637</v>
      </c>
      <c r="E3405" t="s">
        <v>5668</v>
      </c>
      <c r="F3405" s="129" t="s">
        <v>5668</v>
      </c>
      <c r="G3405" s="128" t="s">
        <v>400</v>
      </c>
      <c r="H3405" s="129" t="str">
        <f>IF(Proc[[#This Row],[type]]="LFF (MDG-F)",MID(Proc[[#This Row],[Obj]],13,10),"")</f>
        <v/>
      </c>
      <c r="J3405" s="129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9" t="s">
        <v>4894</v>
      </c>
      <c r="M3405" s="127">
        <v>45883</v>
      </c>
      <c r="N3405" s="127"/>
      <c r="O3405" s="127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80</v>
      </c>
      <c r="R3405" s="115" t="s">
        <v>515</v>
      </c>
      <c r="S3405" s="129"/>
    </row>
    <row r="3406" spans="1:19" hidden="1">
      <c r="A3406" s="128" t="s">
        <v>5669</v>
      </c>
      <c r="B3406" s="149" t="str">
        <f>IFERROR(VLOOKUP(Proc[[#This Row],[App]],Table2[],3,0),"open")</f>
        <v>ok</v>
      </c>
      <c r="C3406" s="128" t="s">
        <v>369</v>
      </c>
      <c r="D3406" t="s">
        <v>5638</v>
      </c>
      <c r="E3406" t="s">
        <v>5668</v>
      </c>
      <c r="F3406" s="129" t="s">
        <v>5668</v>
      </c>
      <c r="G3406" s="128" t="s">
        <v>400</v>
      </c>
      <c r="H3406" s="129" t="str">
        <f>IF(Proc[[#This Row],[type]]="LFF (MDG-F)",MID(Proc[[#This Row],[Obj]],13,10),"")</f>
        <v/>
      </c>
      <c r="J3406" s="129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9" t="s">
        <v>4894</v>
      </c>
      <c r="M3406" s="127">
        <v>45883</v>
      </c>
      <c r="N3406" s="127"/>
      <c r="O3406" s="127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80</v>
      </c>
      <c r="R3406" s="115" t="s">
        <v>515</v>
      </c>
      <c r="S3406" s="129"/>
    </row>
    <row r="3407" spans="1:19" hidden="1">
      <c r="A3407" s="128" t="s">
        <v>5669</v>
      </c>
      <c r="B3407" s="149" t="str">
        <f>IFERROR(VLOOKUP(Proc[[#This Row],[App]],Table2[],3,0),"open")</f>
        <v>ok</v>
      </c>
      <c r="C3407" s="128" t="s">
        <v>369</v>
      </c>
      <c r="D3407" t="s">
        <v>5639</v>
      </c>
      <c r="E3407" t="s">
        <v>5668</v>
      </c>
      <c r="F3407" s="129" t="s">
        <v>5668</v>
      </c>
      <c r="G3407" s="128" t="s">
        <v>400</v>
      </c>
      <c r="H3407" s="129" t="str">
        <f>IF(Proc[[#This Row],[type]]="LFF (MDG-F)",MID(Proc[[#This Row],[Obj]],13,10),"")</f>
        <v/>
      </c>
      <c r="J3407" s="129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9" t="s">
        <v>4894</v>
      </c>
      <c r="M3407" s="127">
        <v>45883</v>
      </c>
      <c r="N3407" s="127"/>
      <c r="O3407" s="127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80</v>
      </c>
      <c r="R3407" s="115" t="s">
        <v>515</v>
      </c>
      <c r="S3407" s="129"/>
    </row>
    <row r="3408" spans="1:19" hidden="1">
      <c r="A3408" s="128" t="s">
        <v>5669</v>
      </c>
      <c r="B3408" s="149" t="str">
        <f>IFERROR(VLOOKUP(Proc[[#This Row],[App]],Table2[],3,0),"open")</f>
        <v>ok</v>
      </c>
      <c r="C3408" s="128" t="s">
        <v>369</v>
      </c>
      <c r="D3408" t="s">
        <v>5640</v>
      </c>
      <c r="E3408" t="s">
        <v>5668</v>
      </c>
      <c r="F3408" s="129" t="s">
        <v>5668</v>
      </c>
      <c r="G3408" s="128" t="s">
        <v>400</v>
      </c>
      <c r="H3408" s="129" t="str">
        <f>IF(Proc[[#This Row],[type]]="LFF (MDG-F)",MID(Proc[[#This Row],[Obj]],13,10),"")</f>
        <v/>
      </c>
      <c r="J3408" s="129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9" t="s">
        <v>4894</v>
      </c>
      <c r="M3408" s="127">
        <v>45883</v>
      </c>
      <c r="N3408" s="127"/>
      <c r="O3408" s="127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80</v>
      </c>
      <c r="R3408" s="115" t="s">
        <v>515</v>
      </c>
      <c r="S3408" s="129"/>
    </row>
    <row r="3409" spans="1:19" hidden="1">
      <c r="A3409" s="128" t="s">
        <v>5669</v>
      </c>
      <c r="B3409" s="149" t="str">
        <f>IFERROR(VLOOKUP(Proc[[#This Row],[App]],Table2[],3,0),"open")</f>
        <v>ok</v>
      </c>
      <c r="C3409" s="128" t="s">
        <v>369</v>
      </c>
      <c r="D3409" t="s">
        <v>5641</v>
      </c>
      <c r="E3409" t="s">
        <v>5668</v>
      </c>
      <c r="F3409" s="129" t="s">
        <v>5668</v>
      </c>
      <c r="G3409" s="128" t="s">
        <v>400</v>
      </c>
      <c r="H3409" s="129" t="str">
        <f>IF(Proc[[#This Row],[type]]="LFF (MDG-F)",MID(Proc[[#This Row],[Obj]],13,10),"")</f>
        <v/>
      </c>
      <c r="J3409" s="129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9" t="s">
        <v>4894</v>
      </c>
      <c r="M3409" s="127">
        <v>45883</v>
      </c>
      <c r="N3409" s="127"/>
      <c r="O3409" s="127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80</v>
      </c>
      <c r="R3409" s="115" t="s">
        <v>515</v>
      </c>
      <c r="S3409" s="129"/>
    </row>
    <row r="3410" spans="1:19" hidden="1">
      <c r="A3410" s="128" t="s">
        <v>5669</v>
      </c>
      <c r="B3410" s="149" t="str">
        <f>IFERROR(VLOOKUP(Proc[[#This Row],[App]],Table2[],3,0),"open")</f>
        <v>ok</v>
      </c>
      <c r="C3410" s="128" t="s">
        <v>369</v>
      </c>
      <c r="D3410" t="s">
        <v>5642</v>
      </c>
      <c r="E3410" t="s">
        <v>5668</v>
      </c>
      <c r="F3410" s="129" t="s">
        <v>5668</v>
      </c>
      <c r="G3410" s="128" t="s">
        <v>400</v>
      </c>
      <c r="H3410" s="129" t="str">
        <f>IF(Proc[[#This Row],[type]]="LFF (MDG-F)",MID(Proc[[#This Row],[Obj]],13,10),"")</f>
        <v/>
      </c>
      <c r="J3410" s="129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9" t="s">
        <v>4894</v>
      </c>
      <c r="M3410" s="127">
        <v>45883</v>
      </c>
      <c r="N3410" s="127"/>
      <c r="O3410" s="127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80</v>
      </c>
      <c r="R3410" s="115" t="s">
        <v>515</v>
      </c>
      <c r="S3410" s="129"/>
    </row>
    <row r="3411" spans="1:19" hidden="1">
      <c r="A3411" s="128" t="s">
        <v>5669</v>
      </c>
      <c r="B3411" s="149" t="str">
        <f>IFERROR(VLOOKUP(Proc[[#This Row],[App]],Table2[],3,0),"open")</f>
        <v>ok</v>
      </c>
      <c r="C3411" s="128" t="s">
        <v>369</v>
      </c>
      <c r="D3411" t="s">
        <v>5643</v>
      </c>
      <c r="E3411" t="s">
        <v>5668</v>
      </c>
      <c r="F3411" s="129" t="s">
        <v>5668</v>
      </c>
      <c r="G3411" s="128" t="s">
        <v>400</v>
      </c>
      <c r="H3411" s="129" t="str">
        <f>IF(Proc[[#This Row],[type]]="LFF (MDG-F)",MID(Proc[[#This Row],[Obj]],13,10),"")</f>
        <v/>
      </c>
      <c r="J3411" s="129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9" t="s">
        <v>4894</v>
      </c>
      <c r="M3411" s="127">
        <v>45883</v>
      </c>
      <c r="N3411" s="127"/>
      <c r="O3411" s="127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80</v>
      </c>
      <c r="R3411" s="115" t="s">
        <v>515</v>
      </c>
      <c r="S3411" s="129"/>
    </row>
    <row r="3412" spans="1:19" hidden="1">
      <c r="A3412" s="128" t="s">
        <v>5669</v>
      </c>
      <c r="B3412" s="149" t="str">
        <f>IFERROR(VLOOKUP(Proc[[#This Row],[App]],Table2[],3,0),"open")</f>
        <v>ok</v>
      </c>
      <c r="C3412" s="128" t="s">
        <v>369</v>
      </c>
      <c r="D3412" t="s">
        <v>5644</v>
      </c>
      <c r="E3412" t="s">
        <v>5668</v>
      </c>
      <c r="F3412" s="129" t="s">
        <v>5668</v>
      </c>
      <c r="G3412" s="128" t="s">
        <v>400</v>
      </c>
      <c r="H3412" s="129" t="str">
        <f>IF(Proc[[#This Row],[type]]="LFF (MDG-F)",MID(Proc[[#This Row],[Obj]],13,10),"")</f>
        <v/>
      </c>
      <c r="J3412" s="129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9" t="s">
        <v>4894</v>
      </c>
      <c r="M3412" s="127">
        <v>45883</v>
      </c>
      <c r="N3412" s="127"/>
      <c r="O3412" s="127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80</v>
      </c>
      <c r="R3412" s="115" t="s">
        <v>515</v>
      </c>
      <c r="S3412" s="129"/>
    </row>
    <row r="3413" spans="1:19" hidden="1">
      <c r="A3413" s="128" t="s">
        <v>5669</v>
      </c>
      <c r="B3413" s="149" t="str">
        <f>IFERROR(VLOOKUP(Proc[[#This Row],[App]],Table2[],3,0),"open")</f>
        <v>ok</v>
      </c>
      <c r="C3413" s="128" t="s">
        <v>369</v>
      </c>
      <c r="D3413" t="s">
        <v>5645</v>
      </c>
      <c r="E3413" t="s">
        <v>5668</v>
      </c>
      <c r="F3413" s="129" t="s">
        <v>5668</v>
      </c>
      <c r="G3413" s="128" t="s">
        <v>400</v>
      </c>
      <c r="H3413" s="129" t="str">
        <f>IF(Proc[[#This Row],[type]]="LFF (MDG-F)",MID(Proc[[#This Row],[Obj]],13,10),"")</f>
        <v/>
      </c>
      <c r="J3413" s="129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9" t="s">
        <v>4894</v>
      </c>
      <c r="M3413" s="127">
        <v>45883</v>
      </c>
      <c r="N3413" s="127"/>
      <c r="O3413" s="127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80</v>
      </c>
      <c r="R3413" s="115" t="s">
        <v>515</v>
      </c>
      <c r="S3413" s="129"/>
    </row>
    <row r="3414" spans="1:19" hidden="1">
      <c r="A3414" s="128" t="s">
        <v>5669</v>
      </c>
      <c r="B3414" s="149" t="str">
        <f>IFERROR(VLOOKUP(Proc[[#This Row],[App]],Table2[],3,0),"open")</f>
        <v>ok</v>
      </c>
      <c r="C3414" s="128" t="s">
        <v>369</v>
      </c>
      <c r="D3414" t="s">
        <v>5646</v>
      </c>
      <c r="E3414" t="s">
        <v>5668</v>
      </c>
      <c r="F3414" s="129" t="s">
        <v>5668</v>
      </c>
      <c r="G3414" s="128" t="s">
        <v>400</v>
      </c>
      <c r="H3414" s="129" t="str">
        <f>IF(Proc[[#This Row],[type]]="LFF (MDG-F)",MID(Proc[[#This Row],[Obj]],13,10),"")</f>
        <v/>
      </c>
      <c r="J3414" s="129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9" t="s">
        <v>4894</v>
      </c>
      <c r="M3414" s="127">
        <v>45883</v>
      </c>
      <c r="N3414" s="127"/>
      <c r="O3414" s="127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80</v>
      </c>
      <c r="R3414" s="115" t="s">
        <v>515</v>
      </c>
      <c r="S3414" s="129"/>
    </row>
    <row r="3415" spans="1:19" hidden="1">
      <c r="A3415" s="128" t="s">
        <v>5669</v>
      </c>
      <c r="B3415" s="149" t="str">
        <f>IFERROR(VLOOKUP(Proc[[#This Row],[App]],Table2[],3,0),"open")</f>
        <v>ok</v>
      </c>
      <c r="C3415" s="128" t="s">
        <v>369</v>
      </c>
      <c r="D3415" t="s">
        <v>5647</v>
      </c>
      <c r="E3415" t="s">
        <v>5668</v>
      </c>
      <c r="F3415" s="129" t="s">
        <v>5668</v>
      </c>
      <c r="G3415" s="128" t="s">
        <v>400</v>
      </c>
      <c r="H3415" s="129" t="str">
        <f>IF(Proc[[#This Row],[type]]="LFF (MDG-F)",MID(Proc[[#This Row],[Obj]],13,10),"")</f>
        <v/>
      </c>
      <c r="J3415" s="129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9" t="s">
        <v>4894</v>
      </c>
      <c r="M3415" s="127">
        <v>45883</v>
      </c>
      <c r="N3415" s="127"/>
      <c r="O3415" s="127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80</v>
      </c>
      <c r="R3415" s="115" t="s">
        <v>515</v>
      </c>
      <c r="S3415" s="129"/>
    </row>
    <row r="3416" spans="1:19" hidden="1">
      <c r="A3416" s="128" t="s">
        <v>5669</v>
      </c>
      <c r="B3416" s="149" t="str">
        <f>IFERROR(VLOOKUP(Proc[[#This Row],[App]],Table2[],3,0),"open")</f>
        <v>ok</v>
      </c>
      <c r="C3416" s="128" t="s">
        <v>369</v>
      </c>
      <c r="D3416" t="s">
        <v>5648</v>
      </c>
      <c r="E3416" t="s">
        <v>5668</v>
      </c>
      <c r="F3416" s="129" t="s">
        <v>5668</v>
      </c>
      <c r="G3416" s="128" t="s">
        <v>400</v>
      </c>
      <c r="H3416" s="129" t="str">
        <f>IF(Proc[[#This Row],[type]]="LFF (MDG-F)",MID(Proc[[#This Row],[Obj]],13,10),"")</f>
        <v/>
      </c>
      <c r="J3416" s="129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9" t="s">
        <v>4894</v>
      </c>
      <c r="M3416" s="127">
        <v>45883</v>
      </c>
      <c r="N3416" s="127"/>
      <c r="O3416" s="127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80</v>
      </c>
      <c r="R3416" s="115" t="s">
        <v>515</v>
      </c>
      <c r="S3416" s="129"/>
    </row>
    <row r="3417" spans="1:19" hidden="1">
      <c r="A3417" s="128" t="s">
        <v>5669</v>
      </c>
      <c r="B3417" s="149" t="str">
        <f>IFERROR(VLOOKUP(Proc[[#This Row],[App]],Table2[],3,0),"open")</f>
        <v>ok</v>
      </c>
      <c r="C3417" s="128" t="s">
        <v>369</v>
      </c>
      <c r="D3417" t="s">
        <v>5649</v>
      </c>
      <c r="E3417" t="s">
        <v>5668</v>
      </c>
      <c r="F3417" s="129" t="s">
        <v>5668</v>
      </c>
      <c r="G3417" s="128" t="s">
        <v>400</v>
      </c>
      <c r="H3417" s="129" t="str">
        <f>IF(Proc[[#This Row],[type]]="LFF (MDG-F)",MID(Proc[[#This Row],[Obj]],13,10),"")</f>
        <v/>
      </c>
      <c r="J3417" s="129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9" t="s">
        <v>4894</v>
      </c>
      <c r="M3417" s="127">
        <v>45883</v>
      </c>
      <c r="N3417" s="127"/>
      <c r="O3417" s="127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80</v>
      </c>
      <c r="R3417" s="115" t="s">
        <v>515</v>
      </c>
      <c r="S3417" s="129"/>
    </row>
    <row r="3418" spans="1:19" hidden="1">
      <c r="A3418" s="128" t="s">
        <v>5669</v>
      </c>
      <c r="B3418" s="149" t="str">
        <f>IFERROR(VLOOKUP(Proc[[#This Row],[App]],Table2[],3,0),"open")</f>
        <v>ok</v>
      </c>
      <c r="C3418" s="128" t="s">
        <v>369</v>
      </c>
      <c r="D3418" t="s">
        <v>5650</v>
      </c>
      <c r="E3418" t="s">
        <v>5668</v>
      </c>
      <c r="F3418" s="129" t="s">
        <v>5668</v>
      </c>
      <c r="G3418" s="128" t="s">
        <v>400</v>
      </c>
      <c r="H3418" s="129" t="str">
        <f>IF(Proc[[#This Row],[type]]="LFF (MDG-F)",MID(Proc[[#This Row],[Obj]],13,10),"")</f>
        <v/>
      </c>
      <c r="J3418" s="129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9" t="s">
        <v>4894</v>
      </c>
      <c r="M3418" s="127">
        <v>45883</v>
      </c>
      <c r="N3418" s="127"/>
      <c r="O3418" s="127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80</v>
      </c>
      <c r="R3418" s="115" t="s">
        <v>515</v>
      </c>
      <c r="S3418" s="129"/>
    </row>
    <row r="3419" spans="1:19" hidden="1">
      <c r="A3419" s="128" t="s">
        <v>5669</v>
      </c>
      <c r="B3419" s="149" t="str">
        <f>IFERROR(VLOOKUP(Proc[[#This Row],[App]],Table2[],3,0),"open")</f>
        <v>ok</v>
      </c>
      <c r="C3419" s="128" t="s">
        <v>369</v>
      </c>
      <c r="D3419" t="s">
        <v>5651</v>
      </c>
      <c r="E3419" t="s">
        <v>5668</v>
      </c>
      <c r="F3419" s="129" t="s">
        <v>5668</v>
      </c>
      <c r="G3419" s="128" t="s">
        <v>400</v>
      </c>
      <c r="H3419" s="129" t="str">
        <f>IF(Proc[[#This Row],[type]]="LFF (MDG-F)",MID(Proc[[#This Row],[Obj]],13,10),"")</f>
        <v/>
      </c>
      <c r="J3419" s="129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9" t="s">
        <v>4894</v>
      </c>
      <c r="M3419" s="127">
        <v>45883</v>
      </c>
      <c r="N3419" s="127"/>
      <c r="O3419" s="127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80</v>
      </c>
      <c r="R3419" s="115" t="s">
        <v>515</v>
      </c>
      <c r="S3419" s="129"/>
    </row>
    <row r="3420" spans="1:19" hidden="1">
      <c r="A3420" s="128" t="s">
        <v>5669</v>
      </c>
      <c r="B3420" s="149" t="str">
        <f>IFERROR(VLOOKUP(Proc[[#This Row],[App]],Table2[],3,0),"open")</f>
        <v>ok</v>
      </c>
      <c r="C3420" s="128" t="s">
        <v>369</v>
      </c>
      <c r="D3420" t="s">
        <v>5652</v>
      </c>
      <c r="E3420" t="s">
        <v>5668</v>
      </c>
      <c r="F3420" s="129" t="s">
        <v>5668</v>
      </c>
      <c r="G3420" s="128" t="s">
        <v>400</v>
      </c>
      <c r="H3420" s="129" t="str">
        <f>IF(Proc[[#This Row],[type]]="LFF (MDG-F)",MID(Proc[[#This Row],[Obj]],13,10),"")</f>
        <v/>
      </c>
      <c r="J3420" s="129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9" t="s">
        <v>4894</v>
      </c>
      <c r="M3420" s="127">
        <v>45883</v>
      </c>
      <c r="N3420" s="127"/>
      <c r="O3420" s="127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80</v>
      </c>
      <c r="R3420" s="115" t="s">
        <v>515</v>
      </c>
      <c r="S3420" s="129"/>
    </row>
    <row r="3421" spans="1:19" hidden="1">
      <c r="A3421" s="128" t="s">
        <v>5669</v>
      </c>
      <c r="B3421" s="149" t="str">
        <f>IFERROR(VLOOKUP(Proc[[#This Row],[App]],Table2[],3,0),"open")</f>
        <v>ok</v>
      </c>
      <c r="C3421" s="128" t="s">
        <v>369</v>
      </c>
      <c r="D3421" t="s">
        <v>5653</v>
      </c>
      <c r="E3421" t="s">
        <v>5668</v>
      </c>
      <c r="F3421" s="129" t="s">
        <v>5668</v>
      </c>
      <c r="G3421" s="128" t="s">
        <v>400</v>
      </c>
      <c r="H3421" s="129" t="str">
        <f>IF(Proc[[#This Row],[type]]="LFF (MDG-F)",MID(Proc[[#This Row],[Obj]],13,10),"")</f>
        <v/>
      </c>
      <c r="J3421" s="129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MGF</v>
      </c>
      <c r="L3421" s="129" t="s">
        <v>4894</v>
      </c>
      <c r="M3421" s="127">
        <v>45883</v>
      </c>
      <c r="N3421" s="127"/>
      <c r="O3421" s="127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80</v>
      </c>
      <c r="R3421" s="115" t="s">
        <v>515</v>
      </c>
      <c r="S3421" s="129"/>
    </row>
    <row r="3422" spans="1:19" hidden="1">
      <c r="A3422" s="128" t="s">
        <v>5669</v>
      </c>
      <c r="B3422" s="149" t="str">
        <f>IFERROR(VLOOKUP(Proc[[#This Row],[App]],Table2[],3,0),"open")</f>
        <v>ok</v>
      </c>
      <c r="C3422" s="128" t="s">
        <v>369</v>
      </c>
      <c r="D3422" t="s">
        <v>5654</v>
      </c>
      <c r="E3422" t="s">
        <v>5668</v>
      </c>
      <c r="F3422" s="129" t="s">
        <v>5668</v>
      </c>
      <c r="G3422" s="128" t="s">
        <v>400</v>
      </c>
      <c r="H3422" s="129" t="str">
        <f>IF(Proc[[#This Row],[type]]="LFF (MDG-F)",MID(Proc[[#This Row],[Obj]],13,10),"")</f>
        <v/>
      </c>
      <c r="J3422" s="129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MGF</v>
      </c>
      <c r="L3422" s="129" t="s">
        <v>4894</v>
      </c>
      <c r="M3422" s="127">
        <v>45883</v>
      </c>
      <c r="N3422" s="127"/>
      <c r="O3422" s="127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80</v>
      </c>
      <c r="R3422" s="115" t="s">
        <v>515</v>
      </c>
      <c r="S3422" s="129"/>
    </row>
    <row r="3423" spans="1:19" hidden="1">
      <c r="A3423" s="128" t="s">
        <v>5669</v>
      </c>
      <c r="B3423" s="149" t="str">
        <f>IFERROR(VLOOKUP(Proc[[#This Row],[App]],Table2[],3,0),"open")</f>
        <v>ok</v>
      </c>
      <c r="C3423" s="128" t="s">
        <v>369</v>
      </c>
      <c r="D3423" t="s">
        <v>5655</v>
      </c>
      <c r="E3423" t="s">
        <v>5668</v>
      </c>
      <c r="F3423" s="129" t="s">
        <v>5668</v>
      </c>
      <c r="G3423" s="128" t="s">
        <v>400</v>
      </c>
      <c r="H3423" s="129" t="str">
        <f>IF(Proc[[#This Row],[type]]="LFF (MDG-F)",MID(Proc[[#This Row],[Obj]],13,10),"")</f>
        <v/>
      </c>
      <c r="J3423" s="129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MGF</v>
      </c>
      <c r="L3423" s="129" t="s">
        <v>4894</v>
      </c>
      <c r="M3423" s="127">
        <v>45883</v>
      </c>
      <c r="N3423" s="127"/>
      <c r="O3423" s="127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80</v>
      </c>
      <c r="R3423" s="115" t="s">
        <v>515</v>
      </c>
      <c r="S3423" s="129"/>
    </row>
    <row r="3424" spans="1:19" hidden="1">
      <c r="A3424" s="128" t="s">
        <v>5669</v>
      </c>
      <c r="B3424" s="149" t="str">
        <f>IFERROR(VLOOKUP(Proc[[#This Row],[App]],Table2[],3,0),"open")</f>
        <v>ok</v>
      </c>
      <c r="C3424" s="128" t="s">
        <v>369</v>
      </c>
      <c r="D3424" t="s">
        <v>5656</v>
      </c>
      <c r="E3424" t="s">
        <v>5668</v>
      </c>
      <c r="F3424" s="129" t="s">
        <v>5668</v>
      </c>
      <c r="G3424" s="128" t="s">
        <v>400</v>
      </c>
      <c r="H3424" s="129" t="str">
        <f>IF(Proc[[#This Row],[type]]="LFF (MDG-F)",MID(Proc[[#This Row],[Obj]],13,10),"")</f>
        <v/>
      </c>
      <c r="J3424" s="129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MGF</v>
      </c>
      <c r="L3424" s="129" t="s">
        <v>4894</v>
      </c>
      <c r="M3424" s="127">
        <v>45883</v>
      </c>
      <c r="N3424" s="127"/>
      <c r="O3424" s="127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80</v>
      </c>
      <c r="R3424" s="115" t="s">
        <v>515</v>
      </c>
      <c r="S3424" s="129"/>
    </row>
    <row r="3425" spans="1:19" hidden="1">
      <c r="A3425" s="128" t="s">
        <v>5669</v>
      </c>
      <c r="B3425" s="149" t="str">
        <f>IFERROR(VLOOKUP(Proc[[#This Row],[App]],Table2[],3,0),"open")</f>
        <v>ok</v>
      </c>
      <c r="C3425" s="128" t="s">
        <v>369</v>
      </c>
      <c r="D3425" t="s">
        <v>5657</v>
      </c>
      <c r="E3425" t="s">
        <v>5668</v>
      </c>
      <c r="F3425" s="129" t="s">
        <v>5668</v>
      </c>
      <c r="G3425" s="128" t="s">
        <v>400</v>
      </c>
      <c r="H3425" s="129" t="str">
        <f>IF(Proc[[#This Row],[type]]="LFF (MDG-F)",MID(Proc[[#This Row],[Obj]],13,10),"")</f>
        <v/>
      </c>
      <c r="J3425" s="129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MGF</v>
      </c>
      <c r="L3425" s="129" t="s">
        <v>4894</v>
      </c>
      <c r="M3425" s="127">
        <v>45883</v>
      </c>
      <c r="N3425" s="127"/>
      <c r="O3425" s="127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80</v>
      </c>
      <c r="R3425" s="115" t="s">
        <v>515</v>
      </c>
      <c r="S3425" s="129"/>
    </row>
    <row r="3426" spans="1:19" hidden="1">
      <c r="A3426" s="128" t="s">
        <v>5669</v>
      </c>
      <c r="B3426" s="149" t="str">
        <f>IFERROR(VLOOKUP(Proc[[#This Row],[App]],Table2[],3,0),"open")</f>
        <v>ok</v>
      </c>
      <c r="C3426" s="128" t="s">
        <v>369</v>
      </c>
      <c r="D3426" t="s">
        <v>5658</v>
      </c>
      <c r="E3426" t="s">
        <v>5668</v>
      </c>
      <c r="F3426" s="129" t="s">
        <v>5668</v>
      </c>
      <c r="G3426" s="128" t="s">
        <v>400</v>
      </c>
      <c r="H3426" s="129" t="str">
        <f>IF(Proc[[#This Row],[type]]="LFF (MDG-F)",MID(Proc[[#This Row],[Obj]],13,10),"")</f>
        <v/>
      </c>
      <c r="J3426" s="129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MGF</v>
      </c>
      <c r="L3426" s="129" t="s">
        <v>4894</v>
      </c>
      <c r="M3426" s="127">
        <v>45883</v>
      </c>
      <c r="N3426" s="127"/>
      <c r="O3426" s="127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80</v>
      </c>
      <c r="R3426" s="115" t="s">
        <v>515</v>
      </c>
      <c r="S3426" s="129"/>
    </row>
    <row r="3427" spans="1:19" hidden="1">
      <c r="A3427" s="128" t="s">
        <v>5669</v>
      </c>
      <c r="B3427" s="149" t="str">
        <f>IFERROR(VLOOKUP(Proc[[#This Row],[App]],Table2[],3,0),"open")</f>
        <v>ok</v>
      </c>
      <c r="C3427" s="128" t="s">
        <v>369</v>
      </c>
      <c r="D3427" t="s">
        <v>5659</v>
      </c>
      <c r="E3427" t="s">
        <v>5668</v>
      </c>
      <c r="F3427" s="129" t="s">
        <v>5668</v>
      </c>
      <c r="G3427" s="128" t="s">
        <v>400</v>
      </c>
      <c r="H3427" s="129" t="str">
        <f>IF(Proc[[#This Row],[type]]="LFF (MDG-F)",MID(Proc[[#This Row],[Obj]],13,10),"")</f>
        <v/>
      </c>
      <c r="J3427" s="129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MGF</v>
      </c>
      <c r="L3427" s="129" t="s">
        <v>4894</v>
      </c>
      <c r="M3427" s="127">
        <v>45883</v>
      </c>
      <c r="N3427" s="127"/>
      <c r="O3427" s="127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80</v>
      </c>
      <c r="R3427" s="115" t="s">
        <v>515</v>
      </c>
      <c r="S3427" s="129"/>
    </row>
    <row r="3428" spans="1:19" hidden="1">
      <c r="A3428" s="128" t="s">
        <v>5669</v>
      </c>
      <c r="B3428" s="149" t="str">
        <f>IFERROR(VLOOKUP(Proc[[#This Row],[App]],Table2[],3,0),"open")</f>
        <v>ok</v>
      </c>
      <c r="C3428" s="128" t="s">
        <v>369</v>
      </c>
      <c r="D3428" t="s">
        <v>5660</v>
      </c>
      <c r="E3428" t="s">
        <v>5668</v>
      </c>
      <c r="F3428" s="129" t="s">
        <v>5668</v>
      </c>
      <c r="G3428" s="128" t="s">
        <v>400</v>
      </c>
      <c r="H3428" s="129" t="str">
        <f>IF(Proc[[#This Row],[type]]="LFF (MDG-F)",MID(Proc[[#This Row],[Obj]],13,10),"")</f>
        <v/>
      </c>
      <c r="J3428" s="129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MGF</v>
      </c>
      <c r="L3428" s="129" t="s">
        <v>4894</v>
      </c>
      <c r="M3428" s="127">
        <v>45883</v>
      </c>
      <c r="N3428" s="127"/>
      <c r="O3428" s="127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80</v>
      </c>
      <c r="R3428" s="115" t="s">
        <v>515</v>
      </c>
      <c r="S3428" s="129"/>
    </row>
    <row r="3429" spans="1:19" hidden="1">
      <c r="A3429" s="128" t="s">
        <v>5669</v>
      </c>
      <c r="B3429" s="149" t="str">
        <f>IFERROR(VLOOKUP(Proc[[#This Row],[App]],Table2[],3,0),"open")</f>
        <v>ok</v>
      </c>
      <c r="C3429" s="128" t="s">
        <v>369</v>
      </c>
      <c r="D3429" t="s">
        <v>5661</v>
      </c>
      <c r="E3429" t="s">
        <v>5668</v>
      </c>
      <c r="F3429" s="129" t="s">
        <v>5668</v>
      </c>
      <c r="G3429" s="128" t="s">
        <v>400</v>
      </c>
      <c r="H3429" s="129" t="str">
        <f>IF(Proc[[#This Row],[type]]="LFF (MDG-F)",MID(Proc[[#This Row],[Obj]],13,10),"")</f>
        <v/>
      </c>
      <c r="J3429" s="129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MGF</v>
      </c>
      <c r="L3429" s="129" t="s">
        <v>4894</v>
      </c>
      <c r="M3429" s="127">
        <v>45883</v>
      </c>
      <c r="N3429" s="127"/>
      <c r="O3429" s="127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80</v>
      </c>
      <c r="R3429" s="115" t="s">
        <v>515</v>
      </c>
      <c r="S3429" s="129"/>
    </row>
    <row r="3430" spans="1:19" hidden="1">
      <c r="A3430" s="128" t="s">
        <v>5669</v>
      </c>
      <c r="B3430" s="149" t="str">
        <f>IFERROR(VLOOKUP(Proc[[#This Row],[App]],Table2[],3,0),"open")</f>
        <v>ok</v>
      </c>
      <c r="C3430" s="128" t="s">
        <v>369</v>
      </c>
      <c r="D3430" t="s">
        <v>5662</v>
      </c>
      <c r="E3430" t="s">
        <v>5668</v>
      </c>
      <c r="F3430" s="129" t="s">
        <v>5668</v>
      </c>
      <c r="G3430" s="128" t="s">
        <v>400</v>
      </c>
      <c r="H3430" s="129" t="str">
        <f>IF(Proc[[#This Row],[type]]="LFF (MDG-F)",MID(Proc[[#This Row],[Obj]],13,10),"")</f>
        <v/>
      </c>
      <c r="J3430" s="129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MGF</v>
      </c>
      <c r="L3430" s="129" t="s">
        <v>4894</v>
      </c>
      <c r="M3430" s="127">
        <v>45883</v>
      </c>
      <c r="N3430" s="127"/>
      <c r="O3430" s="127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80</v>
      </c>
      <c r="R3430" s="115" t="s">
        <v>515</v>
      </c>
      <c r="S3430" s="129"/>
    </row>
    <row r="3431" spans="1:19" hidden="1">
      <c r="A3431" s="128" t="s">
        <v>5669</v>
      </c>
      <c r="B3431" s="149" t="str">
        <f>IFERROR(VLOOKUP(Proc[[#This Row],[App]],Table2[],3,0),"open")</f>
        <v>ok</v>
      </c>
      <c r="C3431" s="128" t="s">
        <v>369</v>
      </c>
      <c r="D3431" t="s">
        <v>5663</v>
      </c>
      <c r="E3431" t="s">
        <v>5668</v>
      </c>
      <c r="F3431" s="129" t="s">
        <v>5668</v>
      </c>
      <c r="G3431" s="128" t="s">
        <v>400</v>
      </c>
      <c r="H3431" s="129" t="str">
        <f>IF(Proc[[#This Row],[type]]="LFF (MDG-F)",MID(Proc[[#This Row],[Obj]],13,10),"")</f>
        <v/>
      </c>
      <c r="J3431" s="129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MGF</v>
      </c>
      <c r="L3431" s="129" t="s">
        <v>4894</v>
      </c>
      <c r="M3431" s="127">
        <v>45883</v>
      </c>
      <c r="N3431" s="127"/>
      <c r="O3431" s="127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80</v>
      </c>
      <c r="R3431" s="115" t="s">
        <v>515</v>
      </c>
      <c r="S3431" s="129"/>
    </row>
    <row r="3432" spans="1:19" hidden="1">
      <c r="A3432" s="128" t="s">
        <v>5669</v>
      </c>
      <c r="B3432" s="149" t="str">
        <f>IFERROR(VLOOKUP(Proc[[#This Row],[App]],Table2[],3,0),"open")</f>
        <v>ok</v>
      </c>
      <c r="C3432" s="128" t="s">
        <v>369</v>
      </c>
      <c r="D3432" t="s">
        <v>5664</v>
      </c>
      <c r="E3432" t="s">
        <v>5668</v>
      </c>
      <c r="F3432" s="129" t="s">
        <v>5668</v>
      </c>
      <c r="G3432" s="128" t="s">
        <v>400</v>
      </c>
      <c r="H3432" s="129" t="str">
        <f>IF(Proc[[#This Row],[type]]="LFF (MDG-F)",MID(Proc[[#This Row],[Obj]],13,10),"")</f>
        <v/>
      </c>
      <c r="J3432" s="129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MGF</v>
      </c>
      <c r="L3432" s="129" t="s">
        <v>4894</v>
      </c>
      <c r="M3432" s="127">
        <v>45883</v>
      </c>
      <c r="N3432" s="127"/>
      <c r="O3432" s="127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80</v>
      </c>
      <c r="R3432" s="115" t="s">
        <v>515</v>
      </c>
      <c r="S3432" s="129"/>
    </row>
    <row r="3433" spans="1:19" hidden="1">
      <c r="A3433" s="128" t="s">
        <v>5669</v>
      </c>
      <c r="B3433" s="149" t="str">
        <f>IFERROR(VLOOKUP(Proc[[#This Row],[App]],Table2[],3,0),"open")</f>
        <v>ok</v>
      </c>
      <c r="C3433" s="128" t="s">
        <v>369</v>
      </c>
      <c r="D3433" t="s">
        <v>5665</v>
      </c>
      <c r="E3433" t="s">
        <v>5668</v>
      </c>
      <c r="F3433" s="129" t="s">
        <v>5668</v>
      </c>
      <c r="G3433" s="128" t="s">
        <v>400</v>
      </c>
      <c r="H3433" s="129" t="str">
        <f>IF(Proc[[#This Row],[type]]="LFF (MDG-F)",MID(Proc[[#This Row],[Obj]],13,10),"")</f>
        <v/>
      </c>
      <c r="J3433" s="129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MGF</v>
      </c>
      <c r="L3433" s="129" t="s">
        <v>4894</v>
      </c>
      <c r="M3433" s="127">
        <v>45883</v>
      </c>
      <c r="N3433" s="127"/>
      <c r="O3433" s="127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80</v>
      </c>
      <c r="R3433" s="115" t="s">
        <v>515</v>
      </c>
      <c r="S3433" s="129"/>
    </row>
    <row r="3434" spans="1:19" hidden="1">
      <c r="A3434" s="128" t="s">
        <v>5669</v>
      </c>
      <c r="B3434" s="149" t="str">
        <f>IFERROR(VLOOKUP(Proc[[#This Row],[App]],Table2[],3,0),"open")</f>
        <v>ok</v>
      </c>
      <c r="C3434" s="128" t="s">
        <v>369</v>
      </c>
      <c r="D3434" t="s">
        <v>5666</v>
      </c>
      <c r="E3434" t="s">
        <v>5668</v>
      </c>
      <c r="F3434" s="129" t="s">
        <v>5668</v>
      </c>
      <c r="G3434" s="128" t="s">
        <v>400</v>
      </c>
      <c r="H3434" s="129" t="str">
        <f>IF(Proc[[#This Row],[type]]="LFF (MDG-F)",MID(Proc[[#This Row],[Obj]],13,10),"")</f>
        <v/>
      </c>
      <c r="J3434" s="129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MGF</v>
      </c>
      <c r="L3434" s="129" t="s">
        <v>4894</v>
      </c>
      <c r="M3434" s="127">
        <v>45883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80</v>
      </c>
      <c r="R3434" s="115" t="s">
        <v>515</v>
      </c>
      <c r="S3434" s="129"/>
    </row>
    <row r="3435" spans="1:19" hidden="1">
      <c r="A3435" s="128" t="s">
        <v>5669</v>
      </c>
      <c r="B3435" s="149" t="str">
        <f>IFERROR(VLOOKUP(Proc[[#This Row],[App]],Table2[],3,0),"open")</f>
        <v>ok</v>
      </c>
      <c r="C3435" s="128" t="s">
        <v>369</v>
      </c>
      <c r="D3435" t="s">
        <v>5667</v>
      </c>
      <c r="E3435" t="s">
        <v>5668</v>
      </c>
      <c r="F3435" s="129" t="s">
        <v>5668</v>
      </c>
      <c r="G3435" s="128" t="s">
        <v>400</v>
      </c>
      <c r="H3435" s="129" t="str">
        <f>IF(Proc[[#This Row],[type]]="LFF (MDG-F)",MID(Proc[[#This Row],[Obj]],13,10),"")</f>
        <v/>
      </c>
      <c r="J3435" s="129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MGF</v>
      </c>
      <c r="L3435" s="129" t="s">
        <v>4894</v>
      </c>
      <c r="M3435" s="127">
        <v>45883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80</v>
      </c>
      <c r="R3435" s="115" t="s">
        <v>515</v>
      </c>
      <c r="S3435" s="129"/>
    </row>
    <row r="3436" spans="1:19" hidden="1">
      <c r="A3436" t="s">
        <v>5670</v>
      </c>
      <c r="B3436" s="149" t="str">
        <f>IFERROR(VLOOKUP(Proc[[#This Row],[App]],Table2[],3,0),"open")</f>
        <v>ok</v>
      </c>
      <c r="C3436" s="128" t="s">
        <v>369</v>
      </c>
      <c r="D3436" t="s">
        <v>5699</v>
      </c>
      <c r="E3436" t="s">
        <v>5671</v>
      </c>
      <c r="F3436" s="129" t="s">
        <v>5671</v>
      </c>
      <c r="G3436" s="128" t="s">
        <v>400</v>
      </c>
      <c r="H3436" s="129" t="str">
        <f>IF(Proc[[#This Row],[type]]="LFF (MDG-F)",MID(Proc[[#This Row],[Obj]],13,10),"")</f>
        <v/>
      </c>
      <c r="J3436" s="129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9" t="s">
        <v>4894</v>
      </c>
      <c r="M3436" s="127">
        <v>45883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80</v>
      </c>
      <c r="R3436" s="115" t="s">
        <v>1262</v>
      </c>
      <c r="S3436" s="129"/>
    </row>
    <row r="3437" spans="1:19" hidden="1">
      <c r="A3437" t="s">
        <v>5672</v>
      </c>
      <c r="B3437" s="149" t="str">
        <f>IFERROR(VLOOKUP(Proc[[#This Row],[App]],Table2[],3,0),"open")</f>
        <v>ok</v>
      </c>
      <c r="C3437" s="128" t="s">
        <v>369</v>
      </c>
      <c r="D3437" t="s">
        <v>5673</v>
      </c>
      <c r="E3437" t="s">
        <v>5679</v>
      </c>
      <c r="F3437" s="129" t="s">
        <v>5679</v>
      </c>
      <c r="G3437" t="s">
        <v>400</v>
      </c>
      <c r="H3437" s="129" t="str">
        <f>IF(Proc[[#This Row],[type]]="LFF (MDG-F)",MID(Proc[[#This Row],[Obj]],13,10),"")</f>
        <v/>
      </c>
      <c r="J3437" s="129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HC</v>
      </c>
      <c r="L3437" s="129" t="s">
        <v>4894</v>
      </c>
      <c r="M3437" s="127">
        <v>45884</v>
      </c>
      <c r="N3437" s="127"/>
      <c r="O3437" s="127"/>
      <c r="P3437" s="130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79</v>
      </c>
      <c r="R3437" s="130" t="s">
        <v>5682</v>
      </c>
      <c r="S3437" s="129"/>
    </row>
    <row r="3438" spans="1:19" hidden="1">
      <c r="A3438" s="128" t="s">
        <v>5672</v>
      </c>
      <c r="B3438" s="149" t="str">
        <f>IFERROR(VLOOKUP(Proc[[#This Row],[App]],Table2[],3,0),"open")</f>
        <v>ok</v>
      </c>
      <c r="C3438" s="128" t="s">
        <v>369</v>
      </c>
      <c r="D3438" t="s">
        <v>5674</v>
      </c>
      <c r="E3438" t="s">
        <v>5680</v>
      </c>
      <c r="F3438" s="129" t="s">
        <v>5680</v>
      </c>
      <c r="G3438" s="128" t="s">
        <v>400</v>
      </c>
      <c r="H3438" s="129" t="str">
        <f>IF(Proc[[#This Row],[type]]="LFF (MDG-F)",MID(Proc[[#This Row],[Obj]],13,10),"")</f>
        <v/>
      </c>
      <c r="J3438" s="129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HC</v>
      </c>
      <c r="L3438" s="129" t="s">
        <v>4894</v>
      </c>
      <c r="M3438" s="127">
        <v>45884</v>
      </c>
      <c r="N3438" s="127"/>
      <c r="O3438" s="127"/>
      <c r="P3438" s="130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79</v>
      </c>
      <c r="R3438" s="130" t="s">
        <v>5682</v>
      </c>
      <c r="S3438" s="129"/>
    </row>
    <row r="3439" spans="1:19" hidden="1">
      <c r="A3439" s="128" t="s">
        <v>5672</v>
      </c>
      <c r="B3439" s="149" t="str">
        <f>IFERROR(VLOOKUP(Proc[[#This Row],[App]],Table2[],3,0),"open")</f>
        <v>ok</v>
      </c>
      <c r="C3439" s="128" t="s">
        <v>369</v>
      </c>
      <c r="D3439" t="s">
        <v>5675</v>
      </c>
      <c r="E3439" t="s">
        <v>5680</v>
      </c>
      <c r="F3439" s="129" t="s">
        <v>5680</v>
      </c>
      <c r="G3439" s="128" t="s">
        <v>400</v>
      </c>
      <c r="H3439" s="129" t="str">
        <f>IF(Proc[[#This Row],[type]]="LFF (MDG-F)",MID(Proc[[#This Row],[Obj]],13,10),"")</f>
        <v/>
      </c>
      <c r="J3439" s="129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HC</v>
      </c>
      <c r="L3439" s="129" t="s">
        <v>4894</v>
      </c>
      <c r="M3439" s="127">
        <v>45884</v>
      </c>
      <c r="N3439" s="127"/>
      <c r="O3439" s="127"/>
      <c r="P3439" s="130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79</v>
      </c>
      <c r="R3439" s="130" t="s">
        <v>5682</v>
      </c>
      <c r="S3439" s="129"/>
    </row>
    <row r="3440" spans="1:19" hidden="1">
      <c r="A3440" s="128" t="s">
        <v>5672</v>
      </c>
      <c r="B3440" s="149" t="str">
        <f>IFERROR(VLOOKUP(Proc[[#This Row],[App]],Table2[],3,0),"open")</f>
        <v>ok</v>
      </c>
      <c r="C3440" s="128" t="s">
        <v>369</v>
      </c>
      <c r="D3440" t="s">
        <v>5676</v>
      </c>
      <c r="E3440" t="s">
        <v>5681</v>
      </c>
      <c r="F3440" s="129" t="s">
        <v>5681</v>
      </c>
      <c r="G3440" s="128" t="s">
        <v>400</v>
      </c>
      <c r="H3440" s="129" t="str">
        <f>IF(Proc[[#This Row],[type]]="LFF (MDG-F)",MID(Proc[[#This Row],[Obj]],13,10),"")</f>
        <v/>
      </c>
      <c r="J3440" s="129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HC</v>
      </c>
      <c r="L3440" s="129" t="s">
        <v>4894</v>
      </c>
      <c r="M3440" s="127">
        <v>45884</v>
      </c>
      <c r="N3440" s="127"/>
      <c r="O3440" s="127"/>
      <c r="P3440" s="130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79</v>
      </c>
      <c r="R3440" s="130" t="s">
        <v>5682</v>
      </c>
      <c r="S3440" s="129"/>
    </row>
    <row r="3441" spans="1:19" hidden="1">
      <c r="A3441" s="128" t="s">
        <v>5672</v>
      </c>
      <c r="B3441" s="149" t="str">
        <f>IFERROR(VLOOKUP(Proc[[#This Row],[App]],Table2[],3,0),"open")</f>
        <v>ok</v>
      </c>
      <c r="C3441" s="128" t="s">
        <v>369</v>
      </c>
      <c r="D3441" t="s">
        <v>5677</v>
      </c>
      <c r="E3441" t="s">
        <v>5679</v>
      </c>
      <c r="F3441" s="129" t="s">
        <v>5679</v>
      </c>
      <c r="G3441" s="128" t="s">
        <v>400</v>
      </c>
      <c r="H3441" s="129" t="str">
        <f>IF(Proc[[#This Row],[type]]="LFF (MDG-F)",MID(Proc[[#This Row],[Obj]],13,10),"")</f>
        <v/>
      </c>
      <c r="J3441" s="129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HC</v>
      </c>
      <c r="L3441" s="129" t="s">
        <v>4894</v>
      </c>
      <c r="M3441" s="127">
        <v>45884</v>
      </c>
      <c r="N3441" s="127"/>
      <c r="O3441" s="127"/>
      <c r="P3441" s="130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79</v>
      </c>
      <c r="R3441" s="130" t="s">
        <v>5682</v>
      </c>
      <c r="S3441" s="129"/>
    </row>
    <row r="3442" spans="1:19" hidden="1">
      <c r="A3442" s="128" t="s">
        <v>5672</v>
      </c>
      <c r="B3442" s="149" t="str">
        <f>IFERROR(VLOOKUP(Proc[[#This Row],[App]],Table2[],3,0),"open")</f>
        <v>ok</v>
      </c>
      <c r="C3442" s="128" t="s">
        <v>369</v>
      </c>
      <c r="D3442" t="s">
        <v>5678</v>
      </c>
      <c r="E3442" t="s">
        <v>5679</v>
      </c>
      <c r="F3442" s="129" t="s">
        <v>5679</v>
      </c>
      <c r="G3442" s="128" t="s">
        <v>400</v>
      </c>
      <c r="H3442" s="129" t="str">
        <f>IF(Proc[[#This Row],[type]]="LFF (MDG-F)",MID(Proc[[#This Row],[Obj]],13,10),"")</f>
        <v/>
      </c>
      <c r="J3442" s="129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HC</v>
      </c>
      <c r="L3442" s="129" t="s">
        <v>4894</v>
      </c>
      <c r="M3442" s="127">
        <v>45884</v>
      </c>
      <c r="N3442" s="127"/>
      <c r="O3442" s="127"/>
      <c r="P3442" s="130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79</v>
      </c>
      <c r="R3442" s="130" t="s">
        <v>5682</v>
      </c>
      <c r="S3442" s="129"/>
    </row>
    <row r="3443" spans="1:19" hidden="1">
      <c r="A3443" t="s">
        <v>5683</v>
      </c>
      <c r="B3443" s="149" t="str">
        <f>IFERROR(VLOOKUP(Proc[[#This Row],[App]],Table2[],3,0),"open")</f>
        <v>ok</v>
      </c>
      <c r="C3443" s="128" t="s">
        <v>369</v>
      </c>
      <c r="D3443" t="s">
        <v>5684</v>
      </c>
      <c r="E3443" t="s">
        <v>2161</v>
      </c>
      <c r="F3443" s="129" t="s">
        <v>2161</v>
      </c>
      <c r="G3443" s="128" t="s">
        <v>400</v>
      </c>
      <c r="H3443" s="129" t="str">
        <f>IF(Proc[[#This Row],[type]]="LFF (MDG-F)",MID(Proc[[#This Row],[Obj]],13,10),"")</f>
        <v/>
      </c>
      <c r="J3443" s="129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HC</v>
      </c>
      <c r="L3443" s="129" t="s">
        <v>4894</v>
      </c>
      <c r="M3443" s="127">
        <v>45884</v>
      </c>
      <c r="N3443" s="127"/>
      <c r="O3443" s="127"/>
      <c r="P3443" s="130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79</v>
      </c>
      <c r="R3443" s="130" t="s">
        <v>5682</v>
      </c>
      <c r="S3443" s="129"/>
    </row>
    <row r="3444" spans="1:19" hidden="1">
      <c r="A3444" s="128" t="s">
        <v>5683</v>
      </c>
      <c r="B3444" s="149" t="str">
        <f>IFERROR(VLOOKUP(Proc[[#This Row],[App]],Table2[],3,0),"open")</f>
        <v>ok</v>
      </c>
      <c r="C3444" s="128" t="s">
        <v>369</v>
      </c>
      <c r="D3444" t="s">
        <v>5685</v>
      </c>
      <c r="E3444" t="s">
        <v>2161</v>
      </c>
      <c r="F3444" s="129" t="s">
        <v>2161</v>
      </c>
      <c r="G3444" s="128" t="s">
        <v>400</v>
      </c>
      <c r="H3444" s="129" t="str">
        <f>IF(Proc[[#This Row],[type]]="LFF (MDG-F)",MID(Proc[[#This Row],[Obj]],13,10),"")</f>
        <v/>
      </c>
      <c r="J3444" s="129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HC</v>
      </c>
      <c r="L3444" s="129" t="s">
        <v>4894</v>
      </c>
      <c r="M3444" s="127">
        <v>45884</v>
      </c>
      <c r="N3444" s="127"/>
      <c r="O3444" s="127"/>
      <c r="P3444" s="130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79</v>
      </c>
      <c r="R3444" s="130" t="s">
        <v>5682</v>
      </c>
      <c r="S3444" s="129"/>
    </row>
    <row r="3445" spans="1:19" hidden="1">
      <c r="A3445" s="128" t="s">
        <v>5683</v>
      </c>
      <c r="B3445" s="149" t="str">
        <f>IFERROR(VLOOKUP(Proc[[#This Row],[App]],Table2[],3,0),"open")</f>
        <v>ok</v>
      </c>
      <c r="C3445" s="128" t="s">
        <v>369</v>
      </c>
      <c r="D3445" t="s">
        <v>5686</v>
      </c>
      <c r="E3445" t="s">
        <v>2161</v>
      </c>
      <c r="F3445" s="129" t="s">
        <v>2161</v>
      </c>
      <c r="G3445" s="128" t="s">
        <v>400</v>
      </c>
      <c r="H3445" s="129" t="str">
        <f>IF(Proc[[#This Row],[type]]="LFF (MDG-F)",MID(Proc[[#This Row],[Obj]],13,10),"")</f>
        <v/>
      </c>
      <c r="J3445" s="129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HC</v>
      </c>
      <c r="L3445" s="129" t="s">
        <v>4894</v>
      </c>
      <c r="M3445" s="127">
        <v>45884</v>
      </c>
      <c r="N3445" s="127"/>
      <c r="O3445" s="127"/>
      <c r="P3445" s="130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79</v>
      </c>
      <c r="R3445" s="130" t="s">
        <v>5682</v>
      </c>
      <c r="S3445" s="129"/>
    </row>
    <row r="3446" spans="1:19" hidden="1">
      <c r="A3446" s="128" t="s">
        <v>5683</v>
      </c>
      <c r="B3446" s="149" t="str">
        <f>IFERROR(VLOOKUP(Proc[[#This Row],[App]],Table2[],3,0),"open")</f>
        <v>ok</v>
      </c>
      <c r="C3446" s="128" t="s">
        <v>369</v>
      </c>
      <c r="D3446" t="s">
        <v>5687</v>
      </c>
      <c r="E3446" t="s">
        <v>2161</v>
      </c>
      <c r="F3446" s="129" t="s">
        <v>2161</v>
      </c>
      <c r="G3446" s="128" t="s">
        <v>400</v>
      </c>
      <c r="H3446" s="129" t="str">
        <f>IF(Proc[[#This Row],[type]]="LFF (MDG-F)",MID(Proc[[#This Row],[Obj]],13,10),"")</f>
        <v/>
      </c>
      <c r="J3446" s="129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HC</v>
      </c>
      <c r="L3446" s="129" t="s">
        <v>4894</v>
      </c>
      <c r="M3446" s="127">
        <v>45884</v>
      </c>
      <c r="N3446" s="127"/>
      <c r="O3446" s="127"/>
      <c r="P3446" s="130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79</v>
      </c>
      <c r="R3446" s="130" t="s">
        <v>5682</v>
      </c>
      <c r="S3446" s="129"/>
    </row>
    <row r="3447" spans="1:19" hidden="1">
      <c r="A3447" s="128" t="s">
        <v>5683</v>
      </c>
      <c r="B3447" s="149" t="str">
        <f>IFERROR(VLOOKUP(Proc[[#This Row],[App]],Table2[],3,0),"open")</f>
        <v>ok</v>
      </c>
      <c r="C3447" s="128" t="s">
        <v>369</v>
      </c>
      <c r="D3447" t="s">
        <v>5688</v>
      </c>
      <c r="E3447" t="s">
        <v>2161</v>
      </c>
      <c r="F3447" s="129" t="s">
        <v>2161</v>
      </c>
      <c r="G3447" s="128" t="s">
        <v>400</v>
      </c>
      <c r="H3447" s="129" t="str">
        <f>IF(Proc[[#This Row],[type]]="LFF (MDG-F)",MID(Proc[[#This Row],[Obj]],13,10),"")</f>
        <v/>
      </c>
      <c r="J3447" s="129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HC</v>
      </c>
      <c r="L3447" s="129" t="s">
        <v>4894</v>
      </c>
      <c r="M3447" s="127">
        <v>45884</v>
      </c>
      <c r="N3447" s="127"/>
      <c r="O3447" s="127"/>
      <c r="P3447" s="130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79</v>
      </c>
      <c r="R3447" s="130" t="s">
        <v>5682</v>
      </c>
      <c r="S3447" s="129"/>
    </row>
    <row r="3448" spans="1:19" hidden="1">
      <c r="A3448" s="128" t="s">
        <v>5683</v>
      </c>
      <c r="B3448" s="149" t="str">
        <f>IFERROR(VLOOKUP(Proc[[#This Row],[App]],Table2[],3,0),"open")</f>
        <v>ok</v>
      </c>
      <c r="C3448" s="128" t="s">
        <v>369</v>
      </c>
      <c r="D3448" t="s">
        <v>5689</v>
      </c>
      <c r="E3448" t="s">
        <v>2161</v>
      </c>
      <c r="F3448" s="129" t="s">
        <v>2161</v>
      </c>
      <c r="G3448" s="128" t="s">
        <v>400</v>
      </c>
      <c r="H3448" s="129" t="str">
        <f>IF(Proc[[#This Row],[type]]="LFF (MDG-F)",MID(Proc[[#This Row],[Obj]],13,10),"")</f>
        <v/>
      </c>
      <c r="J3448" s="129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HC</v>
      </c>
      <c r="L3448" s="129" t="s">
        <v>4894</v>
      </c>
      <c r="M3448" s="127">
        <v>45884</v>
      </c>
      <c r="N3448" s="127"/>
      <c r="O3448" s="127"/>
      <c r="P3448" s="130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79</v>
      </c>
      <c r="R3448" s="130" t="s">
        <v>5682</v>
      </c>
      <c r="S3448" s="129"/>
    </row>
    <row r="3449" spans="1:19" hidden="1">
      <c r="A3449" s="128" t="s">
        <v>5683</v>
      </c>
      <c r="B3449" s="149" t="str">
        <f>IFERROR(VLOOKUP(Proc[[#This Row],[App]],Table2[],3,0),"open")</f>
        <v>ok</v>
      </c>
      <c r="C3449" s="128" t="s">
        <v>369</v>
      </c>
      <c r="D3449" t="s">
        <v>5690</v>
      </c>
      <c r="E3449" t="s">
        <v>2161</v>
      </c>
      <c r="F3449" s="129" t="s">
        <v>2161</v>
      </c>
      <c r="G3449" s="128" t="s">
        <v>400</v>
      </c>
      <c r="H3449" s="129" t="str">
        <f>IF(Proc[[#This Row],[type]]="LFF (MDG-F)",MID(Proc[[#This Row],[Obj]],13,10),"")</f>
        <v/>
      </c>
      <c r="J3449" s="129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HC</v>
      </c>
      <c r="L3449" s="129" t="s">
        <v>4894</v>
      </c>
      <c r="M3449" s="127">
        <v>45884</v>
      </c>
      <c r="N3449" s="127"/>
      <c r="O3449" s="127"/>
      <c r="P3449" s="130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79</v>
      </c>
      <c r="R3449" s="130" t="s">
        <v>5682</v>
      </c>
      <c r="S3449" s="129"/>
    </row>
    <row r="3450" spans="1:19" hidden="1">
      <c r="A3450" s="128" t="s">
        <v>5683</v>
      </c>
      <c r="B3450" s="149" t="str">
        <f>IFERROR(VLOOKUP(Proc[[#This Row],[App]],Table2[],3,0),"open")</f>
        <v>ok</v>
      </c>
      <c r="C3450" s="128" t="s">
        <v>369</v>
      </c>
      <c r="D3450" t="s">
        <v>5691</v>
      </c>
      <c r="E3450" t="s">
        <v>2161</v>
      </c>
      <c r="F3450" s="129" t="s">
        <v>2161</v>
      </c>
      <c r="G3450" s="128" t="s">
        <v>400</v>
      </c>
      <c r="H3450" s="129" t="str">
        <f>IF(Proc[[#This Row],[type]]="LFF (MDG-F)",MID(Proc[[#This Row],[Obj]],13,10),"")</f>
        <v/>
      </c>
      <c r="J3450" s="129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HC</v>
      </c>
      <c r="L3450" s="129" t="s">
        <v>4894</v>
      </c>
      <c r="M3450" s="127">
        <v>45884</v>
      </c>
      <c r="N3450" s="127"/>
      <c r="O3450" s="127"/>
      <c r="P3450" s="130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79</v>
      </c>
      <c r="R3450" s="130" t="s">
        <v>5682</v>
      </c>
      <c r="S3450" s="129"/>
    </row>
    <row r="3451" spans="1:19" hidden="1">
      <c r="A3451" s="128" t="s">
        <v>5683</v>
      </c>
      <c r="B3451" s="149" t="str">
        <f>IFERROR(VLOOKUP(Proc[[#This Row],[App]],Table2[],3,0),"open")</f>
        <v>ok</v>
      </c>
      <c r="C3451" s="128" t="s">
        <v>369</v>
      </c>
      <c r="D3451" t="s">
        <v>5692</v>
      </c>
      <c r="E3451" t="s">
        <v>2161</v>
      </c>
      <c r="F3451" s="129" t="s">
        <v>2161</v>
      </c>
      <c r="G3451" s="128" t="s">
        <v>400</v>
      </c>
      <c r="H3451" s="129" t="str">
        <f>IF(Proc[[#This Row],[type]]="LFF (MDG-F)",MID(Proc[[#This Row],[Obj]],13,10),"")</f>
        <v/>
      </c>
      <c r="J3451" s="129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HC</v>
      </c>
      <c r="L3451" s="129" t="s">
        <v>4894</v>
      </c>
      <c r="M3451" s="127">
        <v>45884</v>
      </c>
      <c r="N3451" s="127"/>
      <c r="O3451" s="127"/>
      <c r="P3451" s="130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79</v>
      </c>
      <c r="R3451" s="130" t="s">
        <v>5682</v>
      </c>
      <c r="S3451" s="129"/>
    </row>
    <row r="3452" spans="1:19" hidden="1">
      <c r="A3452" s="128" t="s">
        <v>5683</v>
      </c>
      <c r="B3452" s="149" t="str">
        <f>IFERROR(VLOOKUP(Proc[[#This Row],[App]],Table2[],3,0),"open")</f>
        <v>ok</v>
      </c>
      <c r="C3452" s="128" t="s">
        <v>369</v>
      </c>
      <c r="D3452" t="s">
        <v>5693</v>
      </c>
      <c r="E3452" t="s">
        <v>2161</v>
      </c>
      <c r="F3452" s="129" t="s">
        <v>2161</v>
      </c>
      <c r="G3452" s="128" t="s">
        <v>400</v>
      </c>
      <c r="H3452" s="129" t="str">
        <f>IF(Proc[[#This Row],[type]]="LFF (MDG-F)",MID(Proc[[#This Row],[Obj]],13,10),"")</f>
        <v/>
      </c>
      <c r="J3452" s="129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HC</v>
      </c>
      <c r="L3452" s="129" t="s">
        <v>4894</v>
      </c>
      <c r="M3452" s="127">
        <v>45884</v>
      </c>
      <c r="N3452" s="127"/>
      <c r="O3452" s="127"/>
      <c r="P3452" s="130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79</v>
      </c>
      <c r="R3452" s="130" t="s">
        <v>5682</v>
      </c>
      <c r="S3452" s="129"/>
    </row>
    <row r="3453" spans="1:19" hidden="1">
      <c r="A3453" s="128" t="s">
        <v>5683</v>
      </c>
      <c r="B3453" s="149" t="str">
        <f>IFERROR(VLOOKUP(Proc[[#This Row],[App]],Table2[],3,0),"open")</f>
        <v>ok</v>
      </c>
      <c r="C3453" s="128" t="s">
        <v>369</v>
      </c>
      <c r="D3453" t="s">
        <v>5694</v>
      </c>
      <c r="E3453" t="s">
        <v>2161</v>
      </c>
      <c r="F3453" s="129" t="s">
        <v>2161</v>
      </c>
      <c r="G3453" s="128" t="s">
        <v>400</v>
      </c>
      <c r="H3453" s="129" t="str">
        <f>IF(Proc[[#This Row],[type]]="LFF (MDG-F)",MID(Proc[[#This Row],[Obj]],13,10),"")</f>
        <v/>
      </c>
      <c r="J3453" s="129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HC</v>
      </c>
      <c r="L3453" s="129" t="s">
        <v>4894</v>
      </c>
      <c r="M3453" s="127">
        <v>45884</v>
      </c>
      <c r="N3453" s="127"/>
      <c r="O3453" s="127"/>
      <c r="P3453" s="130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79</v>
      </c>
      <c r="R3453" s="130" t="s">
        <v>5682</v>
      </c>
      <c r="S3453" s="129"/>
    </row>
    <row r="3454" spans="1:19" hidden="1">
      <c r="A3454" s="128" t="s">
        <v>5683</v>
      </c>
      <c r="B3454" s="149" t="str">
        <f>IFERROR(VLOOKUP(Proc[[#This Row],[App]],Table2[],3,0),"open")</f>
        <v>ok</v>
      </c>
      <c r="C3454" s="128" t="s">
        <v>369</v>
      </c>
      <c r="D3454" t="s">
        <v>5695</v>
      </c>
      <c r="E3454" t="s">
        <v>2161</v>
      </c>
      <c r="F3454" s="129" t="s">
        <v>2161</v>
      </c>
      <c r="G3454" s="128" t="s">
        <v>400</v>
      </c>
      <c r="H3454" s="129" t="str">
        <f>IF(Proc[[#This Row],[type]]="LFF (MDG-F)",MID(Proc[[#This Row],[Obj]],13,10),"")</f>
        <v/>
      </c>
      <c r="J3454" s="129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HC</v>
      </c>
      <c r="L3454" s="129" t="s">
        <v>4894</v>
      </c>
      <c r="M3454" s="127">
        <v>45884</v>
      </c>
      <c r="N3454" s="127"/>
      <c r="O3454" s="127"/>
      <c r="P3454" s="130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79</v>
      </c>
      <c r="R3454" s="130" t="s">
        <v>5682</v>
      </c>
      <c r="S3454" s="129"/>
    </row>
    <row r="3455" spans="1:19" hidden="1">
      <c r="A3455" t="s">
        <v>5696</v>
      </c>
      <c r="B3455" s="149" t="str">
        <f>IFERROR(VLOOKUP(Proc[[#This Row],[App]],Table2[],3,0),"open")</f>
        <v>ok</v>
      </c>
      <c r="C3455" s="128" t="s">
        <v>369</v>
      </c>
      <c r="D3455" t="s">
        <v>5697</v>
      </c>
      <c r="E3455" t="s">
        <v>5698</v>
      </c>
      <c r="F3455" s="129" t="s">
        <v>5698</v>
      </c>
      <c r="G3455" s="128" t="s">
        <v>400</v>
      </c>
      <c r="H3455" s="129" t="str">
        <f>IF(Proc[[#This Row],[type]]="LFF (MDG-F)",MID(Proc[[#This Row],[Obj]],13,10),"")</f>
        <v/>
      </c>
      <c r="J3455" s="129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HC</v>
      </c>
      <c r="L3455" s="129" t="s">
        <v>4894</v>
      </c>
      <c r="M3455" s="127">
        <v>45884</v>
      </c>
      <c r="N3455" s="127"/>
      <c r="O3455" s="127"/>
      <c r="P3455" s="130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79</v>
      </c>
      <c r="R3455" s="130" t="s">
        <v>5682</v>
      </c>
      <c r="S3455" s="129"/>
    </row>
    <row r="3456" spans="1:19" hidden="1">
      <c r="A3456" t="s">
        <v>5700</v>
      </c>
      <c r="B3456" s="149" t="str">
        <f>IFERROR(VLOOKUP(Proc[[#This Row],[App]],Table2[],3,0),"open")</f>
        <v>ok</v>
      </c>
      <c r="C3456" s="133" t="s">
        <v>369</v>
      </c>
      <c r="D3456" t="s">
        <v>5702</v>
      </c>
      <c r="E3456" t="s">
        <v>419</v>
      </c>
      <c r="F3456" s="129" t="s">
        <v>419</v>
      </c>
      <c r="G3456" s="128" t="s">
        <v>400</v>
      </c>
      <c r="H3456" s="129" t="str">
        <f>IF(Proc[[#This Row],[type]]="LFF (MDG-F)",MID(Proc[[#This Row],[Obj]],13,10),"")</f>
        <v/>
      </c>
      <c r="J3456" s="129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EL</v>
      </c>
      <c r="L3456" s="129" t="s">
        <v>4894</v>
      </c>
      <c r="M3456" s="130">
        <v>45887</v>
      </c>
      <c r="N3456" s="131"/>
      <c r="O3456" s="131"/>
      <c r="P3456" s="130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78</v>
      </c>
      <c r="R3456" s="130" t="s">
        <v>780</v>
      </c>
      <c r="S3456" s="129"/>
    </row>
    <row r="3457" spans="1:19" hidden="1">
      <c r="A3457" s="128" t="s">
        <v>5700</v>
      </c>
      <c r="B3457" s="149" t="str">
        <f>IFERROR(VLOOKUP(Proc[[#This Row],[App]],Table2[],3,0),"open")</f>
        <v>ok</v>
      </c>
      <c r="C3457" s="133" t="s">
        <v>369</v>
      </c>
      <c r="D3457" t="s">
        <v>5703</v>
      </c>
      <c r="E3457" t="s">
        <v>418</v>
      </c>
      <c r="F3457" s="129" t="s">
        <v>418</v>
      </c>
      <c r="G3457" s="128" t="s">
        <v>400</v>
      </c>
      <c r="H3457" s="129" t="str">
        <f>IF(Proc[[#This Row],[type]]="LFF (MDG-F)",MID(Proc[[#This Row],[Obj]],13,10),"")</f>
        <v/>
      </c>
      <c r="J3457" s="129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EL</v>
      </c>
      <c r="L3457" s="129" t="s">
        <v>4894</v>
      </c>
      <c r="M3457" s="130">
        <v>45887</v>
      </c>
      <c r="N3457" s="131"/>
      <c r="O3457" s="131"/>
      <c r="P3457" s="130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78</v>
      </c>
      <c r="R3457" s="130" t="s">
        <v>780</v>
      </c>
      <c r="S3457" s="129"/>
    </row>
    <row r="3458" spans="1:19" hidden="1">
      <c r="A3458" s="128" t="s">
        <v>5700</v>
      </c>
      <c r="B3458" s="149" t="str">
        <f>IFERROR(VLOOKUP(Proc[[#This Row],[App]],Table2[],3,0),"open")</f>
        <v>ok</v>
      </c>
      <c r="C3458" s="133" t="s">
        <v>369</v>
      </c>
      <c r="D3458" t="s">
        <v>5704</v>
      </c>
      <c r="E3458" t="s">
        <v>418</v>
      </c>
      <c r="F3458" s="129" t="s">
        <v>418</v>
      </c>
      <c r="G3458" s="128" t="s">
        <v>400</v>
      </c>
      <c r="H3458" s="129" t="str">
        <f>IF(Proc[[#This Row],[type]]="LFF (MDG-F)",MID(Proc[[#This Row],[Obj]],13,10),"")</f>
        <v/>
      </c>
      <c r="J3458" s="129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EL</v>
      </c>
      <c r="L3458" s="129" t="s">
        <v>4894</v>
      </c>
      <c r="M3458" s="130">
        <v>45887</v>
      </c>
      <c r="N3458" s="131"/>
      <c r="O3458" s="131"/>
      <c r="P3458" s="130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78</v>
      </c>
      <c r="R3458" s="130" t="s">
        <v>780</v>
      </c>
      <c r="S3458" s="129"/>
    </row>
    <row r="3459" spans="1:19" hidden="1">
      <c r="A3459" s="128" t="s">
        <v>5700</v>
      </c>
      <c r="B3459" s="149" t="str">
        <f>IFERROR(VLOOKUP(Proc[[#This Row],[App]],Table2[],3,0),"open")</f>
        <v>ok</v>
      </c>
      <c r="C3459" s="133" t="s">
        <v>369</v>
      </c>
      <c r="D3459" t="s">
        <v>5705</v>
      </c>
      <c r="E3459" t="s">
        <v>2430</v>
      </c>
      <c r="F3459" s="129" t="s">
        <v>2430</v>
      </c>
      <c r="G3459" s="128" t="s">
        <v>400</v>
      </c>
      <c r="H3459" s="129" t="str">
        <f>IF(Proc[[#This Row],[type]]="LFF (MDG-F)",MID(Proc[[#This Row],[Obj]],13,10),"")</f>
        <v/>
      </c>
      <c r="J3459" s="129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EL</v>
      </c>
      <c r="L3459" s="129" t="s">
        <v>4894</v>
      </c>
      <c r="M3459" s="130">
        <v>45887</v>
      </c>
      <c r="N3459" s="131"/>
      <c r="O3459" s="131"/>
      <c r="P3459" s="130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78</v>
      </c>
      <c r="R3459" s="130" t="s">
        <v>780</v>
      </c>
      <c r="S3459" s="129"/>
    </row>
    <row r="3460" spans="1:19" hidden="1">
      <c r="A3460" s="128" t="s">
        <v>5700</v>
      </c>
      <c r="B3460" s="149" t="str">
        <f>IFERROR(VLOOKUP(Proc[[#This Row],[App]],Table2[],3,0),"open")</f>
        <v>ok</v>
      </c>
      <c r="C3460" s="133" t="s">
        <v>369</v>
      </c>
      <c r="D3460" t="s">
        <v>5701</v>
      </c>
      <c r="E3460" t="s">
        <v>4132</v>
      </c>
      <c r="F3460" s="129" t="s">
        <v>4132</v>
      </c>
      <c r="G3460" s="128" t="s">
        <v>400</v>
      </c>
      <c r="H3460" s="129" t="str">
        <f>IF(Proc[[#This Row],[type]]="LFF (MDG-F)",MID(Proc[[#This Row],[Obj]],13,10),"")</f>
        <v/>
      </c>
      <c r="J3460" s="129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EL</v>
      </c>
      <c r="L3460" s="129" t="s">
        <v>4894</v>
      </c>
      <c r="M3460" s="130">
        <v>45887</v>
      </c>
      <c r="N3460" s="131"/>
      <c r="O3460" s="131"/>
      <c r="P3460" s="130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78</v>
      </c>
      <c r="R3460" s="130" t="s">
        <v>780</v>
      </c>
      <c r="S3460" s="129"/>
    </row>
    <row r="3461" spans="1:19" hidden="1">
      <c r="A3461" t="s">
        <v>5708</v>
      </c>
      <c r="B3461" s="149" t="str">
        <f>IFERROR(VLOOKUP(Proc[[#This Row],[App]],Table2[],3,0),"open")</f>
        <v>ok</v>
      </c>
      <c r="C3461" t="s">
        <v>369</v>
      </c>
      <c r="D3461" t="s">
        <v>5706</v>
      </c>
      <c r="E3461" t="s">
        <v>5707</v>
      </c>
      <c r="F3461" s="129" t="s">
        <v>5707</v>
      </c>
      <c r="G3461" t="s">
        <v>406</v>
      </c>
      <c r="H3461" s="129" t="str">
        <f>IF(Proc[[#This Row],[type]]="LFF (MDG-F)",MID(Proc[[#This Row],[Obj]],13,10),"")</f>
        <v>TW03TATA02</v>
      </c>
      <c r="J3461" s="129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EL</v>
      </c>
      <c r="L3461" s="129" t="s">
        <v>4894</v>
      </c>
      <c r="M3461" s="130">
        <v>45887</v>
      </c>
      <c r="N3461" s="131"/>
      <c r="O3461" s="131"/>
      <c r="P3461" s="130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78</v>
      </c>
      <c r="R3461" s="130" t="s">
        <v>5709</v>
      </c>
      <c r="S3461" s="129"/>
    </row>
    <row r="3462" spans="1:19" hidden="1">
      <c r="A3462" t="s">
        <v>5710</v>
      </c>
      <c r="B3462" s="149" t="str">
        <f>IFERROR(VLOOKUP(Proc[[#This Row],[App]],Table2[],3,0),"open")</f>
        <v>ok</v>
      </c>
      <c r="C3462" t="s">
        <v>369</v>
      </c>
      <c r="D3462" t="s">
        <v>5711</v>
      </c>
      <c r="E3462" t="s">
        <v>2109</v>
      </c>
      <c r="F3462" s="129" t="s">
        <v>2109</v>
      </c>
      <c r="G3462" s="128" t="s">
        <v>400</v>
      </c>
      <c r="H3462" s="129" t="str">
        <f>IF(Proc[[#This Row],[type]]="LFF (MDG-F)",MID(Proc[[#This Row],[Obj]],13,10),"")</f>
        <v/>
      </c>
      <c r="J3462" s="129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HC</v>
      </c>
      <c r="L3462" s="129" t="s">
        <v>4894</v>
      </c>
      <c r="M3462" s="130">
        <v>45887</v>
      </c>
      <c r="N3462" s="131"/>
      <c r="O3462" s="131"/>
      <c r="P3462" s="130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78</v>
      </c>
      <c r="R3462" s="130" t="s">
        <v>738</v>
      </c>
      <c r="S3462" s="129"/>
    </row>
    <row r="3463" spans="1:19" hidden="1">
      <c r="A3463" s="128" t="s">
        <v>5710</v>
      </c>
      <c r="B3463" s="149" t="str">
        <f>IFERROR(VLOOKUP(Proc[[#This Row],[App]],Table2[],3,0),"open")</f>
        <v>ok</v>
      </c>
      <c r="C3463" s="135" t="s">
        <v>369</v>
      </c>
      <c r="D3463" t="s">
        <v>5712</v>
      </c>
      <c r="E3463" t="s">
        <v>2117</v>
      </c>
      <c r="F3463" s="129" t="s">
        <v>2117</v>
      </c>
      <c r="G3463" s="128" t="s">
        <v>400</v>
      </c>
      <c r="H3463" s="129" t="str">
        <f>IF(Proc[[#This Row],[type]]="LFF (MDG-F)",MID(Proc[[#This Row],[Obj]],13,10),"")</f>
        <v/>
      </c>
      <c r="I3463" s="128"/>
      <c r="J3463" s="129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HC</v>
      </c>
      <c r="L3463" s="129" t="s">
        <v>4894</v>
      </c>
      <c r="M3463" s="130">
        <v>45887</v>
      </c>
      <c r="N3463" s="131"/>
      <c r="O3463" s="131"/>
      <c r="P3463" s="130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78</v>
      </c>
      <c r="R3463" s="130" t="s">
        <v>738</v>
      </c>
      <c r="S3463" s="129"/>
    </row>
    <row r="3464" spans="1:19" hidden="1">
      <c r="A3464" s="128" t="s">
        <v>5710</v>
      </c>
      <c r="B3464" s="149" t="str">
        <f>IFERROR(VLOOKUP(Proc[[#This Row],[App]],Table2[],3,0),"open")</f>
        <v>ok</v>
      </c>
      <c r="C3464" s="135" t="s">
        <v>369</v>
      </c>
      <c r="D3464" t="s">
        <v>5713</v>
      </c>
      <c r="E3464" t="s">
        <v>2117</v>
      </c>
      <c r="F3464" s="129" t="s">
        <v>2117</v>
      </c>
      <c r="G3464" s="128" t="s">
        <v>400</v>
      </c>
      <c r="H3464" s="129" t="str">
        <f>IF(Proc[[#This Row],[type]]="LFF (MDG-F)",MID(Proc[[#This Row],[Obj]],13,10),"")</f>
        <v/>
      </c>
      <c r="I3464" s="128"/>
      <c r="J3464" s="129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HC</v>
      </c>
      <c r="L3464" s="129" t="s">
        <v>4894</v>
      </c>
      <c r="M3464" s="130">
        <v>45887</v>
      </c>
      <c r="N3464" s="131"/>
      <c r="O3464" s="131"/>
      <c r="P3464" s="130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78</v>
      </c>
      <c r="R3464" s="130" t="s">
        <v>738</v>
      </c>
      <c r="S3464" s="129"/>
    </row>
    <row r="3465" spans="1:19" hidden="1">
      <c r="A3465" s="128" t="s">
        <v>5710</v>
      </c>
      <c r="B3465" s="149" t="str">
        <f>IFERROR(VLOOKUP(Proc[[#This Row],[App]],Table2[],3,0),"open")</f>
        <v>ok</v>
      </c>
      <c r="C3465" s="135" t="s">
        <v>369</v>
      </c>
      <c r="D3465" t="s">
        <v>5714</v>
      </c>
      <c r="E3465" t="s">
        <v>2117</v>
      </c>
      <c r="F3465" s="129" t="s">
        <v>2117</v>
      </c>
      <c r="G3465" s="128" t="s">
        <v>400</v>
      </c>
      <c r="H3465" s="129" t="str">
        <f>IF(Proc[[#This Row],[type]]="LFF (MDG-F)",MID(Proc[[#This Row],[Obj]],13,10),"")</f>
        <v/>
      </c>
      <c r="I3465" s="128"/>
      <c r="J3465" s="129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HC</v>
      </c>
      <c r="L3465" s="129" t="s">
        <v>4894</v>
      </c>
      <c r="M3465" s="130">
        <v>45887</v>
      </c>
      <c r="N3465" s="131"/>
      <c r="O3465" s="131"/>
      <c r="P3465" s="130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78</v>
      </c>
      <c r="R3465" s="130" t="s">
        <v>738</v>
      </c>
      <c r="S3465" s="129"/>
    </row>
    <row r="3466" spans="1:19" hidden="1">
      <c r="A3466" s="128" t="s">
        <v>5710</v>
      </c>
      <c r="B3466" s="149" t="str">
        <f>IFERROR(VLOOKUP(Proc[[#This Row],[App]],Table2[],3,0),"open")</f>
        <v>ok</v>
      </c>
      <c r="C3466" s="135" t="s">
        <v>369</v>
      </c>
      <c r="D3466" t="s">
        <v>5715</v>
      </c>
      <c r="E3466" t="s">
        <v>2117</v>
      </c>
      <c r="F3466" s="129" t="s">
        <v>2117</v>
      </c>
      <c r="G3466" s="128" t="s">
        <v>400</v>
      </c>
      <c r="H3466" s="129" t="str">
        <f>IF(Proc[[#This Row],[type]]="LFF (MDG-F)",MID(Proc[[#This Row],[Obj]],13,10),"")</f>
        <v/>
      </c>
      <c r="I3466" s="128"/>
      <c r="J3466" s="129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HC</v>
      </c>
      <c r="L3466" s="129" t="s">
        <v>4894</v>
      </c>
      <c r="M3466" s="130">
        <v>45887</v>
      </c>
      <c r="N3466" s="131"/>
      <c r="O3466" s="131"/>
      <c r="P3466" s="130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78</v>
      </c>
      <c r="R3466" s="130" t="s">
        <v>738</v>
      </c>
      <c r="S3466" s="129"/>
    </row>
    <row r="3467" spans="1:19" hidden="1">
      <c r="A3467" s="128" t="s">
        <v>5710</v>
      </c>
      <c r="B3467" s="149" t="str">
        <f>IFERROR(VLOOKUP(Proc[[#This Row],[App]],Table2[],3,0),"open")</f>
        <v>ok</v>
      </c>
      <c r="C3467" s="135" t="s">
        <v>369</v>
      </c>
      <c r="D3467" t="s">
        <v>5738</v>
      </c>
      <c r="E3467" t="s">
        <v>5720</v>
      </c>
      <c r="F3467" s="129" t="s">
        <v>5720</v>
      </c>
      <c r="G3467" s="128" t="s">
        <v>400</v>
      </c>
      <c r="H3467" s="129" t="str">
        <f>IF(Proc[[#This Row],[type]]="LFF (MDG-F)",MID(Proc[[#This Row],[Obj]],13,10),"")</f>
        <v/>
      </c>
      <c r="I3467" s="128"/>
      <c r="J3467" s="129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9" t="s">
        <v>4894</v>
      </c>
      <c r="M3467" s="130">
        <v>45887</v>
      </c>
      <c r="N3467" s="131"/>
      <c r="O3467" s="131"/>
      <c r="P3467" s="130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78</v>
      </c>
      <c r="R3467" s="130" t="s">
        <v>738</v>
      </c>
      <c r="S3467" s="129"/>
    </row>
    <row r="3468" spans="1:19" hidden="1">
      <c r="A3468" s="128" t="s">
        <v>5710</v>
      </c>
      <c r="B3468" s="149" t="str">
        <f>IFERROR(VLOOKUP(Proc[[#This Row],[App]],Table2[],3,0),"open")</f>
        <v>ok</v>
      </c>
      <c r="C3468" s="135" t="s">
        <v>369</v>
      </c>
      <c r="D3468" t="s">
        <v>5716</v>
      </c>
      <c r="E3468" t="s">
        <v>5720</v>
      </c>
      <c r="F3468" s="129" t="s">
        <v>5720</v>
      </c>
      <c r="G3468" s="128" t="s">
        <v>400</v>
      </c>
      <c r="H3468" s="129" t="str">
        <f>IF(Proc[[#This Row],[type]]="LFF (MDG-F)",MID(Proc[[#This Row],[Obj]],13,10),"")</f>
        <v/>
      </c>
      <c r="I3468" s="128"/>
      <c r="J3468" s="129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9" t="s">
        <v>4894</v>
      </c>
      <c r="M3468" s="130">
        <v>45887</v>
      </c>
      <c r="N3468" s="131"/>
      <c r="O3468" s="131"/>
      <c r="P3468" s="130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78</v>
      </c>
      <c r="R3468" s="130" t="s">
        <v>738</v>
      </c>
      <c r="S3468" s="129"/>
    </row>
    <row r="3469" spans="1:19" hidden="1">
      <c r="A3469" s="128" t="s">
        <v>5710</v>
      </c>
      <c r="B3469" s="149" t="str">
        <f>IFERROR(VLOOKUP(Proc[[#This Row],[App]],Table2[],3,0),"open")</f>
        <v>ok</v>
      </c>
      <c r="C3469" s="135" t="s">
        <v>369</v>
      </c>
      <c r="D3469" t="s">
        <v>5717</v>
      </c>
      <c r="E3469" t="s">
        <v>5720</v>
      </c>
      <c r="F3469" s="129" t="s">
        <v>5720</v>
      </c>
      <c r="G3469" s="128" t="s">
        <v>400</v>
      </c>
      <c r="H3469" s="129" t="str">
        <f>IF(Proc[[#This Row],[type]]="LFF (MDG-F)",MID(Proc[[#This Row],[Obj]],13,10),"")</f>
        <v/>
      </c>
      <c r="I3469" s="128"/>
      <c r="J3469" s="129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9" t="s">
        <v>4894</v>
      </c>
      <c r="M3469" s="130">
        <v>45887</v>
      </c>
      <c r="N3469" s="131"/>
      <c r="O3469" s="131"/>
      <c r="P3469" s="130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78</v>
      </c>
      <c r="R3469" s="130" t="s">
        <v>738</v>
      </c>
      <c r="S3469" s="129"/>
    </row>
    <row r="3470" spans="1:19" hidden="1">
      <c r="A3470" s="128" t="s">
        <v>5710</v>
      </c>
      <c r="B3470" s="149" t="str">
        <f>IFERROR(VLOOKUP(Proc[[#This Row],[App]],Table2[],3,0),"open")</f>
        <v>ok</v>
      </c>
      <c r="C3470" s="135" t="s">
        <v>369</v>
      </c>
      <c r="D3470" t="s">
        <v>5718</v>
      </c>
      <c r="E3470" t="s">
        <v>5720</v>
      </c>
      <c r="F3470" s="129" t="s">
        <v>5720</v>
      </c>
      <c r="G3470" s="128" t="s">
        <v>400</v>
      </c>
      <c r="H3470" s="129" t="str">
        <f>IF(Proc[[#This Row],[type]]="LFF (MDG-F)",MID(Proc[[#This Row],[Obj]],13,10),"")</f>
        <v/>
      </c>
      <c r="I3470" s="128"/>
      <c r="J3470" s="129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9" t="s">
        <v>4894</v>
      </c>
      <c r="M3470" s="130">
        <v>45887</v>
      </c>
      <c r="N3470" s="131"/>
      <c r="O3470" s="131"/>
      <c r="P3470" s="130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78</v>
      </c>
      <c r="R3470" s="130" t="s">
        <v>738</v>
      </c>
      <c r="S3470" s="129"/>
    </row>
    <row r="3471" spans="1:19" hidden="1">
      <c r="A3471" s="128" t="s">
        <v>5710</v>
      </c>
      <c r="B3471" s="149" t="str">
        <f>IFERROR(VLOOKUP(Proc[[#This Row],[App]],Table2[],3,0),"open")</f>
        <v>ok</v>
      </c>
      <c r="C3471" s="135" t="s">
        <v>369</v>
      </c>
      <c r="D3471" t="s">
        <v>5739</v>
      </c>
      <c r="E3471" t="s">
        <v>5720</v>
      </c>
      <c r="F3471" s="129" t="s">
        <v>5720</v>
      </c>
      <c r="G3471" s="128" t="s">
        <v>400</v>
      </c>
      <c r="H3471" s="129" t="str">
        <f>IF(Proc[[#This Row],[type]]="LFF (MDG-F)",MID(Proc[[#This Row],[Obj]],13,10),"")</f>
        <v/>
      </c>
      <c r="I3471" s="128"/>
      <c r="J3471" s="129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9" t="s">
        <v>4894</v>
      </c>
      <c r="M3471" s="130">
        <v>45887</v>
      </c>
      <c r="N3471" s="131"/>
      <c r="O3471" s="131"/>
      <c r="P3471" s="130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78</v>
      </c>
      <c r="R3471" s="130" t="s">
        <v>738</v>
      </c>
      <c r="S3471" s="129"/>
    </row>
    <row r="3472" spans="1:19" hidden="1">
      <c r="A3472" s="128" t="s">
        <v>5710</v>
      </c>
      <c r="B3472" s="149" t="str">
        <f>IFERROR(VLOOKUP(Proc[[#This Row],[App]],Table2[],3,0),"open")</f>
        <v>ok</v>
      </c>
      <c r="C3472" s="135" t="s">
        <v>369</v>
      </c>
      <c r="D3472" t="s">
        <v>5719</v>
      </c>
      <c r="E3472" t="s">
        <v>5720</v>
      </c>
      <c r="F3472" s="129" t="s">
        <v>5720</v>
      </c>
      <c r="G3472" s="128" t="s">
        <v>400</v>
      </c>
      <c r="H3472" s="129" t="str">
        <f>IF(Proc[[#This Row],[type]]="LFF (MDG-F)",MID(Proc[[#This Row],[Obj]],13,10),"")</f>
        <v/>
      </c>
      <c r="I3472" s="128"/>
      <c r="J3472" s="129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9" t="s">
        <v>4894</v>
      </c>
      <c r="M3472" s="130">
        <v>45887</v>
      </c>
      <c r="N3472" s="131"/>
      <c r="O3472" s="131"/>
      <c r="P3472" s="130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78</v>
      </c>
      <c r="R3472" s="130" t="s">
        <v>738</v>
      </c>
      <c r="S3472" s="129"/>
    </row>
    <row r="3473" spans="1:19" hidden="1">
      <c r="A3473" s="128" t="s">
        <v>5710</v>
      </c>
      <c r="B3473" s="149" t="str">
        <f>IFERROR(VLOOKUP(Proc[[#This Row],[App]],Table2[],3,0),"open")</f>
        <v>ok</v>
      </c>
      <c r="C3473" s="135" t="s">
        <v>369</v>
      </c>
      <c r="D3473" t="s">
        <v>5740</v>
      </c>
      <c r="E3473" t="s">
        <v>5720</v>
      </c>
      <c r="F3473" s="129" t="s">
        <v>5720</v>
      </c>
      <c r="G3473" s="128" t="s">
        <v>400</v>
      </c>
      <c r="H3473" s="129" t="str">
        <f>IF(Proc[[#This Row],[type]]="LFF (MDG-F)",MID(Proc[[#This Row],[Obj]],13,10),"")</f>
        <v/>
      </c>
      <c r="I3473" s="128"/>
      <c r="J3473" s="129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9" t="s">
        <v>4894</v>
      </c>
      <c r="M3473" s="130">
        <v>45887</v>
      </c>
      <c r="N3473" s="131"/>
      <c r="O3473" s="131"/>
      <c r="P3473" s="130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78</v>
      </c>
      <c r="R3473" s="130" t="s">
        <v>738</v>
      </c>
      <c r="S3473" s="129"/>
    </row>
    <row r="3474" spans="1:19" hidden="1">
      <c r="A3474" t="s">
        <v>5721</v>
      </c>
      <c r="B3474" s="149" t="str">
        <f>IFERROR(VLOOKUP(Proc[[#This Row],[App]],Table2[],3,0),"open")</f>
        <v>ok</v>
      </c>
      <c r="C3474" s="135" t="s">
        <v>369</v>
      </c>
      <c r="D3474" t="s">
        <v>5722</v>
      </c>
      <c r="E3474" s="134" t="s">
        <v>3602</v>
      </c>
      <c r="F3474" s="129" t="s">
        <v>3602</v>
      </c>
      <c r="G3474" s="133" t="s">
        <v>400</v>
      </c>
      <c r="H3474" s="129" t="str">
        <f>IF(Proc[[#This Row],[type]]="LFF (MDG-F)",MID(Proc[[#This Row],[Obj]],13,10),"")</f>
        <v/>
      </c>
      <c r="J3474" s="129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9" t="s">
        <v>4894</v>
      </c>
      <c r="M3474" s="130">
        <v>45888</v>
      </c>
      <c r="N3474" s="131"/>
      <c r="O3474" s="131"/>
      <c r="P3474" s="130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77</v>
      </c>
      <c r="R3474" s="130" t="s">
        <v>738</v>
      </c>
      <c r="S3474" s="129"/>
    </row>
    <row r="3475" spans="1:19" hidden="1">
      <c r="A3475" s="132" t="s">
        <v>5721</v>
      </c>
      <c r="B3475" s="149" t="str">
        <f>IFERROR(VLOOKUP(Proc[[#This Row],[App]],Table2[],3,0),"open")</f>
        <v>ok</v>
      </c>
      <c r="C3475" s="135" t="s">
        <v>369</v>
      </c>
      <c r="D3475" t="s">
        <v>5723</v>
      </c>
      <c r="E3475" t="s">
        <v>5724</v>
      </c>
      <c r="F3475" s="129" t="s">
        <v>5724</v>
      </c>
      <c r="G3475" s="133" t="s">
        <v>400</v>
      </c>
      <c r="H3475" s="129" t="str">
        <f>IF(Proc[[#This Row],[type]]="LFF (MDG-F)",MID(Proc[[#This Row],[Obj]],13,10),"")</f>
        <v/>
      </c>
      <c r="J3475" s="129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9" t="s">
        <v>4894</v>
      </c>
      <c r="M3475" s="130">
        <v>45888</v>
      </c>
      <c r="N3475" s="131"/>
      <c r="O3475" s="131"/>
      <c r="P3475" s="130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77</v>
      </c>
      <c r="R3475" s="130" t="s">
        <v>738</v>
      </c>
      <c r="S3475" s="129"/>
    </row>
    <row r="3476" spans="1:19" hidden="1">
      <c r="A3476" s="132" t="s">
        <v>5721</v>
      </c>
      <c r="B3476" s="149" t="str">
        <f>IFERROR(VLOOKUP(Proc[[#This Row],[App]],Table2[],3,0),"open")</f>
        <v>ok</v>
      </c>
      <c r="C3476" s="135" t="s">
        <v>369</v>
      </c>
      <c r="D3476" t="s">
        <v>5725</v>
      </c>
      <c r="E3476" t="s">
        <v>2161</v>
      </c>
      <c r="F3476" s="129" t="s">
        <v>2161</v>
      </c>
      <c r="G3476" s="133" t="s">
        <v>400</v>
      </c>
      <c r="H3476" s="129" t="str">
        <f>IF(Proc[[#This Row],[type]]="LFF (MDG-F)",MID(Proc[[#This Row],[Obj]],13,10),"")</f>
        <v/>
      </c>
      <c r="J3476" s="129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9" t="s">
        <v>4894</v>
      </c>
      <c r="M3476" s="130">
        <v>45888</v>
      </c>
      <c r="N3476" s="131"/>
      <c r="O3476" s="131"/>
      <c r="P3476" s="130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77</v>
      </c>
      <c r="R3476" s="130" t="s">
        <v>738</v>
      </c>
      <c r="S3476" s="129"/>
    </row>
    <row r="3477" spans="1:19" hidden="1">
      <c r="A3477" s="132" t="s">
        <v>5721</v>
      </c>
      <c r="B3477" s="149" t="str">
        <f>IFERROR(VLOOKUP(Proc[[#This Row],[App]],Table2[],3,0),"open")</f>
        <v>ok</v>
      </c>
      <c r="C3477" s="135" t="s">
        <v>369</v>
      </c>
      <c r="D3477" t="s">
        <v>5726</v>
      </c>
      <c r="E3477" t="s">
        <v>2161</v>
      </c>
      <c r="F3477" s="129" t="s">
        <v>2161</v>
      </c>
      <c r="G3477" s="133" t="s">
        <v>400</v>
      </c>
      <c r="H3477" s="129" t="str">
        <f>IF(Proc[[#This Row],[type]]="LFF (MDG-F)",MID(Proc[[#This Row],[Obj]],13,10),"")</f>
        <v/>
      </c>
      <c r="J3477" s="129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9" t="s">
        <v>4894</v>
      </c>
      <c r="M3477" s="130">
        <v>45888</v>
      </c>
      <c r="N3477" s="131"/>
      <c r="O3477" s="131"/>
      <c r="P3477" s="130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77</v>
      </c>
      <c r="R3477" s="130" t="s">
        <v>738</v>
      </c>
      <c r="S3477" s="129"/>
    </row>
    <row r="3478" spans="1:19" hidden="1">
      <c r="A3478" s="132" t="s">
        <v>5721</v>
      </c>
      <c r="B3478" s="149" t="str">
        <f>IFERROR(VLOOKUP(Proc[[#This Row],[App]],Table2[],3,0),"open")</f>
        <v>ok</v>
      </c>
      <c r="C3478" s="135" t="s">
        <v>369</v>
      </c>
      <c r="D3478" t="s">
        <v>5727</v>
      </c>
      <c r="E3478" t="s">
        <v>2161</v>
      </c>
      <c r="F3478" s="129" t="s">
        <v>2161</v>
      </c>
      <c r="G3478" s="133" t="s">
        <v>400</v>
      </c>
      <c r="H3478" s="129" t="str">
        <f>IF(Proc[[#This Row],[type]]="LFF (MDG-F)",MID(Proc[[#This Row],[Obj]],13,10),"")</f>
        <v/>
      </c>
      <c r="J3478" s="129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HC</v>
      </c>
      <c r="L3478" s="129" t="s">
        <v>4894</v>
      </c>
      <c r="M3478" s="130">
        <v>45888</v>
      </c>
      <c r="N3478" s="131"/>
      <c r="O3478" s="131"/>
      <c r="P3478" s="130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77</v>
      </c>
      <c r="R3478" s="130" t="s">
        <v>738</v>
      </c>
      <c r="S3478" s="129"/>
    </row>
    <row r="3479" spans="1:19" hidden="1">
      <c r="A3479" s="132" t="s">
        <v>5721</v>
      </c>
      <c r="B3479" s="149" t="str">
        <f>IFERROR(VLOOKUP(Proc[[#This Row],[App]],Table2[],3,0),"open")</f>
        <v>ok</v>
      </c>
      <c r="C3479" s="135" t="s">
        <v>369</v>
      </c>
      <c r="D3479" t="s">
        <v>5728</v>
      </c>
      <c r="E3479" t="s">
        <v>2161</v>
      </c>
      <c r="F3479" s="129" t="s">
        <v>2161</v>
      </c>
      <c r="G3479" s="133" t="s">
        <v>400</v>
      </c>
      <c r="H3479" s="129" t="str">
        <f>IF(Proc[[#This Row],[type]]="LFF (MDG-F)",MID(Proc[[#This Row],[Obj]],13,10),"")</f>
        <v/>
      </c>
      <c r="J3479" s="129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30">
        <v>45888</v>
      </c>
      <c r="N3479" s="131"/>
      <c r="O3479" s="131"/>
      <c r="P3479" s="130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77</v>
      </c>
      <c r="R3479" s="130" t="s">
        <v>738</v>
      </c>
      <c r="S3479" s="129"/>
    </row>
    <row r="3480" spans="1:19" hidden="1">
      <c r="A3480" s="132" t="s">
        <v>5721</v>
      </c>
      <c r="B3480" s="149" t="str">
        <f>IFERROR(VLOOKUP(Proc[[#This Row],[App]],Table2[],3,0),"open")</f>
        <v>ok</v>
      </c>
      <c r="C3480" s="135" t="s">
        <v>369</v>
      </c>
      <c r="D3480" t="s">
        <v>5729</v>
      </c>
      <c r="E3480" t="s">
        <v>2161</v>
      </c>
      <c r="F3480" s="129" t="s">
        <v>2161</v>
      </c>
      <c r="G3480" s="133" t="s">
        <v>400</v>
      </c>
      <c r="H3480" s="129" t="str">
        <f>IF(Proc[[#This Row],[type]]="LFF (MDG-F)",MID(Proc[[#This Row],[Obj]],13,10),"")</f>
        <v/>
      </c>
      <c r="J3480" s="129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30">
        <v>45888</v>
      </c>
      <c r="N3480" s="131"/>
      <c r="O3480" s="131"/>
      <c r="P3480" s="130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77</v>
      </c>
      <c r="R3480" s="130" t="s">
        <v>738</v>
      </c>
      <c r="S3480" s="129"/>
    </row>
    <row r="3481" spans="1:19" hidden="1">
      <c r="A3481" s="132" t="s">
        <v>5721</v>
      </c>
      <c r="B3481" s="149" t="str">
        <f>IFERROR(VLOOKUP(Proc[[#This Row],[App]],Table2[],3,0),"open")</f>
        <v>ok</v>
      </c>
      <c r="C3481" s="135" t="s">
        <v>369</v>
      </c>
      <c r="D3481" t="s">
        <v>5730</v>
      </c>
      <c r="E3481" t="s">
        <v>2161</v>
      </c>
      <c r="F3481" s="129" t="s">
        <v>2161</v>
      </c>
      <c r="G3481" s="133" t="s">
        <v>400</v>
      </c>
      <c r="H3481" s="129" t="str">
        <f>IF(Proc[[#This Row],[type]]="LFF (MDG-F)",MID(Proc[[#This Row],[Obj]],13,10),"")</f>
        <v/>
      </c>
      <c r="J3481" s="129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30">
        <v>45888</v>
      </c>
      <c r="N3481" s="131"/>
      <c r="O3481" s="131"/>
      <c r="P3481" s="130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77</v>
      </c>
      <c r="R3481" s="130" t="s">
        <v>738</v>
      </c>
      <c r="S3481" s="129"/>
    </row>
    <row r="3482" spans="1:19" hidden="1">
      <c r="A3482" t="s">
        <v>5731</v>
      </c>
      <c r="B3482" s="149" t="str">
        <f>IFERROR(VLOOKUP(Proc[[#This Row],[App]],Table2[],3,0),"open")</f>
        <v>ok</v>
      </c>
      <c r="C3482" s="135" t="s">
        <v>369</v>
      </c>
      <c r="D3482" t="s">
        <v>5732</v>
      </c>
      <c r="E3482" t="s">
        <v>496</v>
      </c>
      <c r="F3482" s="135" t="s">
        <v>496</v>
      </c>
      <c r="G3482" s="133" t="s">
        <v>400</v>
      </c>
      <c r="H3482" s="129" t="str">
        <f>IF(Proc[[#This Row],[type]]="LFF (MDG-F)",MID(Proc[[#This Row],[Obj]],13,10),"")</f>
        <v/>
      </c>
      <c r="J3482" s="129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LS</v>
      </c>
      <c r="L3482" s="129" t="s">
        <v>4894</v>
      </c>
      <c r="M3482" s="130">
        <v>45888</v>
      </c>
      <c r="N3482" s="131"/>
      <c r="O3482" s="131"/>
      <c r="P3482" s="130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77</v>
      </c>
      <c r="R3482" s="130" t="s">
        <v>489</v>
      </c>
      <c r="S3482" s="129"/>
    </row>
    <row r="3483" spans="1:19" hidden="1">
      <c r="A3483" s="133" t="s">
        <v>5731</v>
      </c>
      <c r="B3483" s="149" t="str">
        <f>IFERROR(VLOOKUP(Proc[[#This Row],[App]],Table2[],3,0),"open")</f>
        <v>ok</v>
      </c>
      <c r="C3483" s="135" t="s">
        <v>369</v>
      </c>
      <c r="D3483" t="s">
        <v>5733</v>
      </c>
      <c r="E3483" t="s">
        <v>496</v>
      </c>
      <c r="F3483" s="135" t="s">
        <v>496</v>
      </c>
      <c r="G3483" s="133" t="s">
        <v>400</v>
      </c>
      <c r="H3483" s="129" t="str">
        <f>IF(Proc[[#This Row],[type]]="LFF (MDG-F)",MID(Proc[[#This Row],[Obj]],13,10),"")</f>
        <v/>
      </c>
      <c r="J3483" s="129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LS</v>
      </c>
      <c r="L3483" s="129" t="s">
        <v>4894</v>
      </c>
      <c r="M3483" s="130">
        <v>45888</v>
      </c>
      <c r="N3483" s="131"/>
      <c r="O3483" s="131"/>
      <c r="P3483" s="130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77</v>
      </c>
      <c r="R3483" s="130" t="s">
        <v>489</v>
      </c>
      <c r="S3483" s="129"/>
    </row>
    <row r="3484" spans="1:19" hidden="1">
      <c r="A3484" t="s">
        <v>5734</v>
      </c>
      <c r="B3484" s="149" t="str">
        <f>IFERROR(VLOOKUP(Proc[[#This Row],[App]],Table2[],3,0),"open")</f>
        <v>ok</v>
      </c>
      <c r="C3484" s="135" t="s">
        <v>369</v>
      </c>
      <c r="D3484" t="s">
        <v>5575</v>
      </c>
      <c r="E3484" t="s">
        <v>3522</v>
      </c>
      <c r="F3484" s="129" t="s">
        <v>3522</v>
      </c>
      <c r="G3484" s="133" t="s">
        <v>400</v>
      </c>
      <c r="H3484" s="129" t="str">
        <f>IF(Proc[[#This Row],[type]]="LFF (MDG-F)",MID(Proc[[#This Row],[Obj]],13,10),"")</f>
        <v/>
      </c>
      <c r="J3484" s="129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LS</v>
      </c>
      <c r="L3484" s="129" t="s">
        <v>4894</v>
      </c>
      <c r="M3484" s="130">
        <v>45888</v>
      </c>
      <c r="N3484" s="131"/>
      <c r="O3484" s="131"/>
      <c r="P3484" s="130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77</v>
      </c>
      <c r="R3484" s="130" t="s">
        <v>1262</v>
      </c>
      <c r="S3484" s="129"/>
    </row>
    <row r="3485" spans="1:19" hidden="1">
      <c r="A3485" t="s">
        <v>5737</v>
      </c>
      <c r="B3485" s="149" t="str">
        <f>IFERROR(VLOOKUP(Proc[[#This Row],[App]],Table2[],3,0),"open")</f>
        <v>ok</v>
      </c>
      <c r="C3485" s="135" t="s">
        <v>369</v>
      </c>
      <c r="D3485" s="135" t="s">
        <v>5736</v>
      </c>
      <c r="E3485" t="s">
        <v>3514</v>
      </c>
      <c r="F3485" s="129" t="s">
        <v>3514</v>
      </c>
      <c r="G3485" s="135" t="s">
        <v>400</v>
      </c>
      <c r="H3485" s="129" t="str">
        <f>IF(Proc[[#This Row],[type]]="LFF (MDG-F)",MID(Proc[[#This Row],[Obj]],13,10),"")</f>
        <v/>
      </c>
      <c r="J3485" s="129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LS</v>
      </c>
      <c r="L3485" s="129" t="s">
        <v>4894</v>
      </c>
      <c r="M3485" s="130">
        <v>45888</v>
      </c>
      <c r="N3485" s="131"/>
      <c r="O3485" s="131"/>
      <c r="P3485" s="130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77</v>
      </c>
      <c r="R3485" s="130" t="s">
        <v>972</v>
      </c>
      <c r="S3485" s="129"/>
    </row>
    <row r="3486" spans="1:19" hidden="1">
      <c r="A3486" t="s">
        <v>5741</v>
      </c>
      <c r="B3486" s="149" t="str">
        <f>IFERROR(VLOOKUP(Proc[[#This Row],[App]],Table2[],3,0),"open")</f>
        <v>ok</v>
      </c>
      <c r="C3486" s="135" t="s">
        <v>369</v>
      </c>
      <c r="D3486" t="s">
        <v>5742</v>
      </c>
      <c r="E3486" t="s">
        <v>5270</v>
      </c>
      <c r="F3486" s="129" t="s">
        <v>5270</v>
      </c>
      <c r="G3486" t="s">
        <v>400</v>
      </c>
      <c r="H3486" s="129" t="str">
        <f>IF(Proc[[#This Row],[type]]="LFF (MDG-F)",MID(Proc[[#This Row],[Obj]],13,10),"")</f>
        <v/>
      </c>
      <c r="J3486" s="129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30">
        <v>45891</v>
      </c>
      <c r="N3486" s="131"/>
      <c r="O3486" s="131"/>
      <c r="P3486" s="130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74</v>
      </c>
      <c r="R3486" s="130" t="s">
        <v>489</v>
      </c>
      <c r="S3486" s="129"/>
    </row>
    <row r="3487" spans="1:19" hidden="1">
      <c r="A3487" s="135" t="s">
        <v>5741</v>
      </c>
      <c r="B3487" s="149" t="str">
        <f>IFERROR(VLOOKUP(Proc[[#This Row],[App]],Table2[],3,0),"open")</f>
        <v>ok</v>
      </c>
      <c r="C3487" s="135" t="s">
        <v>369</v>
      </c>
      <c r="D3487" t="s">
        <v>5743</v>
      </c>
      <c r="E3487" t="s">
        <v>5270</v>
      </c>
      <c r="F3487" s="129" t="s">
        <v>5270</v>
      </c>
      <c r="G3487" s="135" t="s">
        <v>400</v>
      </c>
      <c r="H3487" s="129" t="str">
        <f>IF(Proc[[#This Row],[type]]="LFF (MDG-F)",MID(Proc[[#This Row],[Obj]],13,10),"")</f>
        <v/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LS</v>
      </c>
      <c r="L3487" s="129" t="s">
        <v>4894</v>
      </c>
      <c r="M3487" s="130">
        <v>45891</v>
      </c>
      <c r="N3487" s="131"/>
      <c r="O3487" s="131"/>
      <c r="P3487" s="130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74</v>
      </c>
      <c r="R3487" s="130" t="s">
        <v>489</v>
      </c>
      <c r="S3487" s="129"/>
    </row>
    <row r="3488" spans="1:19" hidden="1">
      <c r="A3488" s="135" t="s">
        <v>5741</v>
      </c>
      <c r="B3488" s="149" t="str">
        <f>IFERROR(VLOOKUP(Proc[[#This Row],[App]],Table2[],3,0),"open")</f>
        <v>ok</v>
      </c>
      <c r="C3488" s="135" t="s">
        <v>369</v>
      </c>
      <c r="D3488" t="s">
        <v>5744</v>
      </c>
      <c r="E3488" t="s">
        <v>5270</v>
      </c>
      <c r="F3488" s="129" t="s">
        <v>5270</v>
      </c>
      <c r="G3488" s="135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LS</v>
      </c>
      <c r="L3488" s="129" t="s">
        <v>4894</v>
      </c>
      <c r="M3488" s="130">
        <v>45891</v>
      </c>
      <c r="N3488" s="131"/>
      <c r="O3488" s="131"/>
      <c r="P3488" s="130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74</v>
      </c>
      <c r="R3488" s="130" t="s">
        <v>489</v>
      </c>
      <c r="S3488" s="129"/>
    </row>
    <row r="3489" spans="1:19" hidden="1">
      <c r="A3489" s="135" t="s">
        <v>5741</v>
      </c>
      <c r="B3489" s="149" t="str">
        <f>IFERROR(VLOOKUP(Proc[[#This Row],[App]],Table2[],3,0),"open")</f>
        <v>ok</v>
      </c>
      <c r="C3489" s="135" t="s">
        <v>369</v>
      </c>
      <c r="D3489" t="s">
        <v>5745</v>
      </c>
      <c r="E3489" t="s">
        <v>5270</v>
      </c>
      <c r="F3489" s="129" t="s">
        <v>5270</v>
      </c>
      <c r="G3489" s="135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LS</v>
      </c>
      <c r="L3489" s="129" t="s">
        <v>4894</v>
      </c>
      <c r="M3489" s="130">
        <v>45891</v>
      </c>
      <c r="N3489" s="131"/>
      <c r="O3489" s="131"/>
      <c r="P3489" s="130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74</v>
      </c>
      <c r="R3489" s="130" t="s">
        <v>489</v>
      </c>
      <c r="S3489" s="129"/>
    </row>
    <row r="3490" spans="1:19" hidden="1">
      <c r="A3490" s="135" t="s">
        <v>5741</v>
      </c>
      <c r="B3490" s="149" t="str">
        <f>IFERROR(VLOOKUP(Proc[[#This Row],[App]],Table2[],3,0),"open")</f>
        <v>ok</v>
      </c>
      <c r="C3490" s="135" t="s">
        <v>369</v>
      </c>
      <c r="D3490" t="s">
        <v>5746</v>
      </c>
      <c r="E3490" t="s">
        <v>5270</v>
      </c>
      <c r="F3490" s="129" t="s">
        <v>5270</v>
      </c>
      <c r="G3490" s="135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LS</v>
      </c>
      <c r="L3490" s="129" t="s">
        <v>4894</v>
      </c>
      <c r="M3490" s="130">
        <v>45891</v>
      </c>
      <c r="N3490" s="131"/>
      <c r="O3490" s="131"/>
      <c r="P3490" s="130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74</v>
      </c>
      <c r="R3490" s="130" t="s">
        <v>489</v>
      </c>
      <c r="S3490" s="129"/>
    </row>
    <row r="3491" spans="1:19" hidden="1">
      <c r="A3491" s="135" t="s">
        <v>5741</v>
      </c>
      <c r="B3491" s="149" t="str">
        <f>IFERROR(VLOOKUP(Proc[[#This Row],[App]],Table2[],3,0),"open")</f>
        <v>ok</v>
      </c>
      <c r="C3491" s="135" t="s">
        <v>369</v>
      </c>
      <c r="D3491" t="s">
        <v>5747</v>
      </c>
      <c r="E3491" t="s">
        <v>5270</v>
      </c>
      <c r="F3491" s="129" t="s">
        <v>5270</v>
      </c>
      <c r="G3491" s="135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LS</v>
      </c>
      <c r="L3491" s="129" t="s">
        <v>4894</v>
      </c>
      <c r="M3491" s="130">
        <v>45891</v>
      </c>
      <c r="N3491" s="131"/>
      <c r="O3491" s="131"/>
      <c r="P3491" s="130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74</v>
      </c>
      <c r="R3491" s="130" t="s">
        <v>489</v>
      </c>
      <c r="S3491" s="129"/>
    </row>
    <row r="3492" spans="1:19" hidden="1">
      <c r="A3492" s="135" t="s">
        <v>5741</v>
      </c>
      <c r="B3492" s="149" t="str">
        <f>IFERROR(VLOOKUP(Proc[[#This Row],[App]],Table2[],3,0),"open")</f>
        <v>ok</v>
      </c>
      <c r="C3492" s="135" t="s">
        <v>369</v>
      </c>
      <c r="D3492" t="s">
        <v>5748</v>
      </c>
      <c r="E3492" t="s">
        <v>5270</v>
      </c>
      <c r="F3492" s="129" t="s">
        <v>5270</v>
      </c>
      <c r="G3492" s="135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LS</v>
      </c>
      <c r="L3492" s="129" t="s">
        <v>4894</v>
      </c>
      <c r="M3492" s="130">
        <v>45891</v>
      </c>
      <c r="N3492" s="131"/>
      <c r="O3492" s="131"/>
      <c r="P3492" s="130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74</v>
      </c>
      <c r="R3492" s="130" t="s">
        <v>489</v>
      </c>
      <c r="S3492" s="129"/>
    </row>
    <row r="3493" spans="1:19" hidden="1">
      <c r="A3493" s="135" t="s">
        <v>5741</v>
      </c>
      <c r="B3493" s="149" t="str">
        <f>IFERROR(VLOOKUP(Proc[[#This Row],[App]],Table2[],3,0),"open")</f>
        <v>ok</v>
      </c>
      <c r="C3493" s="135" t="s">
        <v>369</v>
      </c>
      <c r="D3493" t="s">
        <v>5749</v>
      </c>
      <c r="E3493" t="s">
        <v>5270</v>
      </c>
      <c r="F3493" s="129" t="s">
        <v>5270</v>
      </c>
      <c r="G3493" s="135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LS</v>
      </c>
      <c r="L3493" s="129" t="s">
        <v>4894</v>
      </c>
      <c r="M3493" s="130">
        <v>45891</v>
      </c>
      <c r="N3493" s="131"/>
      <c r="O3493" s="131"/>
      <c r="P3493" s="130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74</v>
      </c>
      <c r="R3493" s="130" t="s">
        <v>489</v>
      </c>
      <c r="S3493" s="129"/>
    </row>
    <row r="3494" spans="1:19" hidden="1">
      <c r="A3494" s="135" t="s">
        <v>5741</v>
      </c>
      <c r="B3494" s="149" t="str">
        <f>IFERROR(VLOOKUP(Proc[[#This Row],[App]],Table2[],3,0),"open")</f>
        <v>ok</v>
      </c>
      <c r="C3494" s="135" t="s">
        <v>369</v>
      </c>
      <c r="D3494" t="s">
        <v>5750</v>
      </c>
      <c r="E3494" t="s">
        <v>5270</v>
      </c>
      <c r="F3494" s="129" t="s">
        <v>5270</v>
      </c>
      <c r="G3494" s="135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LS</v>
      </c>
      <c r="L3494" s="129" t="s">
        <v>4894</v>
      </c>
      <c r="M3494" s="130">
        <v>45891</v>
      </c>
      <c r="N3494" s="131"/>
      <c r="O3494" s="131"/>
      <c r="P3494" s="130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74</v>
      </c>
      <c r="R3494" s="130" t="s">
        <v>489</v>
      </c>
      <c r="S3494" s="129"/>
    </row>
    <row r="3495" spans="1:19" hidden="1">
      <c r="A3495" s="135" t="s">
        <v>5741</v>
      </c>
      <c r="B3495" s="149" t="str">
        <f>IFERROR(VLOOKUP(Proc[[#This Row],[App]],Table2[],3,0),"open")</f>
        <v>ok</v>
      </c>
      <c r="C3495" s="135" t="s">
        <v>369</v>
      </c>
      <c r="D3495" t="s">
        <v>5751</v>
      </c>
      <c r="E3495" t="s">
        <v>5270</v>
      </c>
      <c r="F3495" s="129" t="s">
        <v>5270</v>
      </c>
      <c r="G3495" s="135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LS</v>
      </c>
      <c r="L3495" s="129" t="s">
        <v>4894</v>
      </c>
      <c r="M3495" s="130">
        <v>45891</v>
      </c>
      <c r="N3495" s="131"/>
      <c r="O3495" s="131"/>
      <c r="P3495" s="130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74</v>
      </c>
      <c r="R3495" s="130" t="s">
        <v>489</v>
      </c>
      <c r="S3495" s="129"/>
    </row>
    <row r="3496" spans="1:19" hidden="1">
      <c r="A3496" s="135" t="s">
        <v>5741</v>
      </c>
      <c r="B3496" s="149" t="str">
        <f>IFERROR(VLOOKUP(Proc[[#This Row],[App]],Table2[],3,0),"open")</f>
        <v>ok</v>
      </c>
      <c r="C3496" s="135" t="s">
        <v>369</v>
      </c>
      <c r="D3496" t="s">
        <v>5752</v>
      </c>
      <c r="E3496" t="s">
        <v>5270</v>
      </c>
      <c r="F3496" s="129" t="s">
        <v>5270</v>
      </c>
      <c r="G3496" s="135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LS</v>
      </c>
      <c r="L3496" s="129" t="s">
        <v>4894</v>
      </c>
      <c r="M3496" s="130">
        <v>45891</v>
      </c>
      <c r="N3496" s="131"/>
      <c r="O3496" s="131"/>
      <c r="P3496" s="130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74</v>
      </c>
      <c r="R3496" s="130" t="s">
        <v>489</v>
      </c>
      <c r="S3496" s="129"/>
    </row>
    <row r="3497" spans="1:19" hidden="1">
      <c r="A3497" s="135" t="s">
        <v>5741</v>
      </c>
      <c r="B3497" s="149" t="str">
        <f>IFERROR(VLOOKUP(Proc[[#This Row],[App]],Table2[],3,0),"open")</f>
        <v>ok</v>
      </c>
      <c r="C3497" s="135" t="s">
        <v>369</v>
      </c>
      <c r="D3497" t="s">
        <v>5753</v>
      </c>
      <c r="E3497" t="s">
        <v>5270</v>
      </c>
      <c r="F3497" s="129" t="s">
        <v>5270</v>
      </c>
      <c r="G3497" s="135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LS</v>
      </c>
      <c r="L3497" s="129" t="s">
        <v>4894</v>
      </c>
      <c r="M3497" s="130">
        <v>45891</v>
      </c>
      <c r="N3497" s="131"/>
      <c r="O3497" s="131"/>
      <c r="P3497" s="130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74</v>
      </c>
      <c r="R3497" s="130" t="s">
        <v>489</v>
      </c>
      <c r="S3497" s="129"/>
    </row>
    <row r="3498" spans="1:19" hidden="1">
      <c r="A3498" s="135" t="s">
        <v>5741</v>
      </c>
      <c r="B3498" s="149" t="str">
        <f>IFERROR(VLOOKUP(Proc[[#This Row],[App]],Table2[],3,0),"open")</f>
        <v>ok</v>
      </c>
      <c r="C3498" s="135" t="s">
        <v>369</v>
      </c>
      <c r="D3498" t="s">
        <v>5754</v>
      </c>
      <c r="E3498" t="s">
        <v>5270</v>
      </c>
      <c r="F3498" s="129" t="s">
        <v>5270</v>
      </c>
      <c r="G3498" s="135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LS</v>
      </c>
      <c r="L3498" s="129" t="s">
        <v>4894</v>
      </c>
      <c r="M3498" s="130">
        <v>45891</v>
      </c>
      <c r="N3498" s="131"/>
      <c r="O3498" s="131"/>
      <c r="P3498" s="130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74</v>
      </c>
      <c r="R3498" s="130" t="s">
        <v>489</v>
      </c>
      <c r="S3498" s="129"/>
    </row>
    <row r="3499" spans="1:19" hidden="1">
      <c r="A3499" s="135" t="s">
        <v>5741</v>
      </c>
      <c r="B3499" s="149" t="str">
        <f>IFERROR(VLOOKUP(Proc[[#This Row],[App]],Table2[],3,0),"open")</f>
        <v>ok</v>
      </c>
      <c r="C3499" s="135" t="s">
        <v>369</v>
      </c>
      <c r="D3499" t="s">
        <v>5755</v>
      </c>
      <c r="E3499" t="s">
        <v>5270</v>
      </c>
      <c r="F3499" s="129" t="s">
        <v>5270</v>
      </c>
      <c r="G3499" s="135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LS</v>
      </c>
      <c r="L3499" s="129" t="s">
        <v>4894</v>
      </c>
      <c r="M3499" s="130">
        <v>45891</v>
      </c>
      <c r="N3499" s="131"/>
      <c r="O3499" s="131"/>
      <c r="P3499" s="130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74</v>
      </c>
      <c r="R3499" s="130" t="s">
        <v>489</v>
      </c>
      <c r="S3499" s="129"/>
    </row>
    <row r="3500" spans="1:19" hidden="1">
      <c r="A3500" s="135" t="s">
        <v>5741</v>
      </c>
      <c r="B3500" s="149" t="str">
        <f>IFERROR(VLOOKUP(Proc[[#This Row],[App]],Table2[],3,0),"open")</f>
        <v>ok</v>
      </c>
      <c r="C3500" s="135" t="s">
        <v>369</v>
      </c>
      <c r="D3500" t="s">
        <v>5756</v>
      </c>
      <c r="E3500" t="s">
        <v>5270</v>
      </c>
      <c r="F3500" s="129" t="s">
        <v>5270</v>
      </c>
      <c r="G3500" s="135" t="s">
        <v>406</v>
      </c>
      <c r="H3500" s="129" t="str">
        <f>IF(Proc[[#This Row],[type]]="LFF (MDG-F)",MID(Proc[[#This Row],[Obj]],13,10),"")</f>
        <v>DE73R00021</v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LS</v>
      </c>
      <c r="L3500" s="129" t="s">
        <v>4894</v>
      </c>
      <c r="M3500" s="130">
        <v>45891</v>
      </c>
      <c r="N3500" s="131"/>
      <c r="O3500" s="131"/>
      <c r="P3500" s="130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74</v>
      </c>
      <c r="R3500" s="130" t="s">
        <v>489</v>
      </c>
      <c r="S3500" s="129"/>
    </row>
    <row r="3501" spans="1:19" hidden="1">
      <c r="A3501" s="135" t="s">
        <v>5741</v>
      </c>
      <c r="B3501" s="149" t="str">
        <f>IFERROR(VLOOKUP(Proc[[#This Row],[App]],Table2[],3,0),"open")</f>
        <v>ok</v>
      </c>
      <c r="C3501" s="135" t="s">
        <v>369</v>
      </c>
      <c r="D3501" t="s">
        <v>5757</v>
      </c>
      <c r="E3501" t="s">
        <v>5270</v>
      </c>
      <c r="F3501" s="129" t="s">
        <v>5270</v>
      </c>
      <c r="G3501" s="135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LS</v>
      </c>
      <c r="L3501" s="129" t="s">
        <v>4894</v>
      </c>
      <c r="M3501" s="130">
        <v>45891</v>
      </c>
      <c r="N3501" s="131"/>
      <c r="O3501" s="131"/>
      <c r="P3501" s="130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74</v>
      </c>
      <c r="R3501" s="130" t="s">
        <v>489</v>
      </c>
      <c r="S3501" s="129"/>
    </row>
    <row r="3502" spans="1:19" hidden="1">
      <c r="A3502" s="135" t="s">
        <v>5741</v>
      </c>
      <c r="B3502" s="149" t="str">
        <f>IFERROR(VLOOKUP(Proc[[#This Row],[App]],Table2[],3,0),"open")</f>
        <v>ok</v>
      </c>
      <c r="C3502" s="135" t="s">
        <v>369</v>
      </c>
      <c r="D3502" t="s">
        <v>5758</v>
      </c>
      <c r="E3502" t="s">
        <v>5270</v>
      </c>
      <c r="F3502" s="129" t="s">
        <v>5270</v>
      </c>
      <c r="G3502" s="135" t="s">
        <v>406</v>
      </c>
      <c r="H3502" s="129" t="str">
        <f>IF(Proc[[#This Row],[type]]="LFF (MDG-F)",MID(Proc[[#This Row],[Obj]],13,10),"")</f>
        <v>DE73R00013</v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LS</v>
      </c>
      <c r="L3502" s="129" t="s">
        <v>4894</v>
      </c>
      <c r="M3502" s="130">
        <v>45891</v>
      </c>
      <c r="N3502" s="131"/>
      <c r="O3502" s="131"/>
      <c r="P3502" s="130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74</v>
      </c>
      <c r="R3502" s="130" t="s">
        <v>489</v>
      </c>
      <c r="S3502" s="129"/>
    </row>
    <row r="3503" spans="1:19" hidden="1">
      <c r="A3503" s="135" t="s">
        <v>5741</v>
      </c>
      <c r="B3503" s="149" t="str">
        <f>IFERROR(VLOOKUP(Proc[[#This Row],[App]],Table2[],3,0),"open")</f>
        <v>ok</v>
      </c>
      <c r="C3503" s="135" t="s">
        <v>369</v>
      </c>
      <c r="D3503" t="s">
        <v>5759</v>
      </c>
      <c r="E3503" t="s">
        <v>5270</v>
      </c>
      <c r="F3503" s="129" t="s">
        <v>5270</v>
      </c>
      <c r="G3503" s="135" t="s">
        <v>400</v>
      </c>
      <c r="H3503" s="129" t="str">
        <f>IF(Proc[[#This Row],[type]]="LFF (MDG-F)",MID(Proc[[#This Row],[Obj]],13,10),"")</f>
        <v/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LS</v>
      </c>
      <c r="L3503" s="129" t="s">
        <v>4894</v>
      </c>
      <c r="M3503" s="130">
        <v>45891</v>
      </c>
      <c r="N3503" s="131"/>
      <c r="O3503" s="131"/>
      <c r="P3503" s="130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74</v>
      </c>
      <c r="R3503" s="130" t="s">
        <v>489</v>
      </c>
      <c r="S3503" s="129"/>
    </row>
    <row r="3504" spans="1:19" hidden="1">
      <c r="A3504" t="s">
        <v>5772</v>
      </c>
      <c r="B3504" s="149" t="str">
        <f>IFERROR(VLOOKUP(Proc[[#This Row],[App]],Table2[],3,0),"open")</f>
        <v>ok</v>
      </c>
      <c r="C3504" s="135" t="s">
        <v>377</v>
      </c>
      <c r="D3504" t="s">
        <v>6149</v>
      </c>
      <c r="E3504" t="s">
        <v>5770</v>
      </c>
      <c r="F3504" s="150" t="s">
        <v>6275</v>
      </c>
      <c r="G3504" s="135" t="s">
        <v>406</v>
      </c>
      <c r="H3504" s="129" t="str">
        <f>IF(Proc[[#This Row],[type]]="LFF (MDG-F)",MID(Proc[[#This Row],[Obj]],13,10),"")</f>
        <v>DE10TM4000</v>
      </c>
      <c r="I3504" t="s">
        <v>5773</v>
      </c>
      <c r="J3504" s="129" t="b">
        <f>Proc[[#This Row],[Requested]]=Proc[[#This Row],[CurrentParent]]</f>
        <v>0</v>
      </c>
      <c r="K3504" s="144" t="str">
        <f>IF(Proc[[#This Row],[Author]]="Marcela Urrego",VLOOKUP(LEFT(Proc[[#This Row],[Requested]],1),Table3[#All],2,0),VLOOKUP(Proc[[#This Row],[Author]],Table4[],2,0))</f>
        <v>HC</v>
      </c>
      <c r="L3504" s="129" t="s">
        <v>4894</v>
      </c>
      <c r="M3504" s="130">
        <v>45891</v>
      </c>
      <c r="N3504" s="131"/>
      <c r="O3504" s="131"/>
      <c r="P3504" s="130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74</v>
      </c>
      <c r="R3504" s="130" t="s">
        <v>746</v>
      </c>
      <c r="S3504" s="129"/>
    </row>
    <row r="3505" spans="1:19" hidden="1">
      <c r="A3505" s="135" t="s">
        <v>5772</v>
      </c>
      <c r="B3505" s="149" t="str">
        <f>IFERROR(VLOOKUP(Proc[[#This Row],[App]],Table2[],3,0),"open")</f>
        <v>ok</v>
      </c>
      <c r="C3505" s="135" t="s">
        <v>369</v>
      </c>
      <c r="D3505" t="s">
        <v>5760</v>
      </c>
      <c r="E3505" t="s">
        <v>5770</v>
      </c>
      <c r="F3505" s="129" t="s">
        <v>5770</v>
      </c>
      <c r="G3505" s="135" t="s">
        <v>406</v>
      </c>
      <c r="H3505" s="129" t="str">
        <f>IF(Proc[[#This Row],[type]]="LFF (MDG-F)",MID(Proc[[#This Row],[Obj]],13,10),"")</f>
        <v>BE10DB3600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HC</v>
      </c>
      <c r="L3505" s="129" t="s">
        <v>4894</v>
      </c>
      <c r="M3505" s="130">
        <v>45891</v>
      </c>
      <c r="N3505" s="131"/>
      <c r="O3505" s="131"/>
      <c r="P3505" s="130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74</v>
      </c>
      <c r="R3505" s="130" t="s">
        <v>746</v>
      </c>
      <c r="S3505" s="129"/>
    </row>
    <row r="3506" spans="1:19" hidden="1">
      <c r="A3506" s="135" t="s">
        <v>5772</v>
      </c>
      <c r="B3506" s="149" t="str">
        <f>IFERROR(VLOOKUP(Proc[[#This Row],[App]],Table2[],3,0),"open")</f>
        <v>ok</v>
      </c>
      <c r="C3506" s="138" t="s">
        <v>369</v>
      </c>
      <c r="D3506" t="s">
        <v>5761</v>
      </c>
      <c r="E3506" t="s">
        <v>5770</v>
      </c>
      <c r="F3506" s="129" t="s">
        <v>5770</v>
      </c>
      <c r="G3506" s="135" t="s">
        <v>406</v>
      </c>
      <c r="H3506" s="129" t="str">
        <f>IF(Proc[[#This Row],[type]]="LFF (MDG-F)",MID(Proc[[#This Row],[Obj]],13,10),"")</f>
        <v>FR10DB3600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HC</v>
      </c>
      <c r="L3506" s="129" t="s">
        <v>4894</v>
      </c>
      <c r="M3506" s="130">
        <v>45891</v>
      </c>
      <c r="N3506" s="131"/>
      <c r="O3506" s="131"/>
      <c r="P3506" s="130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74</v>
      </c>
      <c r="R3506" s="130" t="s">
        <v>746</v>
      </c>
      <c r="S3506" s="129"/>
    </row>
    <row r="3507" spans="1:19" hidden="1">
      <c r="A3507" s="135" t="s">
        <v>5772</v>
      </c>
      <c r="B3507" s="149" t="str">
        <f>IFERROR(VLOOKUP(Proc[[#This Row],[App]],Table2[],3,0),"open")</f>
        <v>ok</v>
      </c>
      <c r="C3507" s="138" t="s">
        <v>369</v>
      </c>
      <c r="D3507" t="s">
        <v>5762</v>
      </c>
      <c r="E3507" t="s">
        <v>5770</v>
      </c>
      <c r="F3507" s="129" t="s">
        <v>5770</v>
      </c>
      <c r="G3507" s="135" t="s">
        <v>406</v>
      </c>
      <c r="H3507" s="129" t="str">
        <f>IF(Proc[[#This Row],[type]]="LFF (MDG-F)",MID(Proc[[#This Row],[Obj]],13,10),"")</f>
        <v>GB10DB3600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HC</v>
      </c>
      <c r="L3507" s="129" t="s">
        <v>4894</v>
      </c>
      <c r="M3507" s="130">
        <v>45891</v>
      </c>
      <c r="N3507" s="131"/>
      <c r="O3507" s="131"/>
      <c r="P3507" s="130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74</v>
      </c>
      <c r="R3507" s="130" t="s">
        <v>746</v>
      </c>
      <c r="S3507" s="129"/>
    </row>
    <row r="3508" spans="1:19" hidden="1">
      <c r="A3508" s="135" t="s">
        <v>5772</v>
      </c>
      <c r="B3508" s="149" t="str">
        <f>IFERROR(VLOOKUP(Proc[[#This Row],[App]],Table2[],3,0),"open")</f>
        <v>ok</v>
      </c>
      <c r="C3508" s="138" t="s">
        <v>369</v>
      </c>
      <c r="D3508" t="s">
        <v>5763</v>
      </c>
      <c r="E3508" t="s">
        <v>5770</v>
      </c>
      <c r="F3508" s="129" t="s">
        <v>5770</v>
      </c>
      <c r="G3508" s="135" t="s">
        <v>406</v>
      </c>
      <c r="H3508" s="129" t="str">
        <f>IF(Proc[[#This Row],[type]]="LFF (MDG-F)",MID(Proc[[#This Row],[Obj]],13,10),"")</f>
        <v>IE10DB3600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HC</v>
      </c>
      <c r="L3508" s="129" t="s">
        <v>4894</v>
      </c>
      <c r="M3508" s="130">
        <v>45891</v>
      </c>
      <c r="N3508" s="131"/>
      <c r="O3508" s="131"/>
      <c r="P3508" s="130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74</v>
      </c>
      <c r="R3508" s="130" t="s">
        <v>746</v>
      </c>
      <c r="S3508" s="129"/>
    </row>
    <row r="3509" spans="1:19" hidden="1">
      <c r="A3509" s="135" t="s">
        <v>5772</v>
      </c>
      <c r="B3509" s="149" t="str">
        <f>IFERROR(VLOOKUP(Proc[[#This Row],[App]],Table2[],3,0),"open")</f>
        <v>ok</v>
      </c>
      <c r="C3509" s="138" t="s">
        <v>369</v>
      </c>
      <c r="D3509" t="s">
        <v>5764</v>
      </c>
      <c r="E3509" t="s">
        <v>5770</v>
      </c>
      <c r="F3509" s="129" t="s">
        <v>5770</v>
      </c>
      <c r="G3509" s="135" t="s">
        <v>406</v>
      </c>
      <c r="H3509" s="129" t="str">
        <f>IF(Proc[[#This Row],[type]]="LFF (MDG-F)",MID(Proc[[#This Row],[Obj]],13,10),"")</f>
        <v>IL10DB3600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HC</v>
      </c>
      <c r="L3509" s="129" t="s">
        <v>4894</v>
      </c>
      <c r="M3509" s="130">
        <v>45891</v>
      </c>
      <c r="N3509" s="131"/>
      <c r="O3509" s="131"/>
      <c r="P3509" s="130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74</v>
      </c>
      <c r="R3509" s="130" t="s">
        <v>746</v>
      </c>
      <c r="S3509" s="129"/>
    </row>
    <row r="3510" spans="1:19" hidden="1">
      <c r="A3510" s="135" t="s">
        <v>5772</v>
      </c>
      <c r="B3510" s="149" t="str">
        <f>IFERROR(VLOOKUP(Proc[[#This Row],[App]],Table2[],3,0),"open")</f>
        <v>ok</v>
      </c>
      <c r="C3510" s="138" t="s">
        <v>369</v>
      </c>
      <c r="D3510" t="s">
        <v>5765</v>
      </c>
      <c r="E3510" t="s">
        <v>5770</v>
      </c>
      <c r="F3510" s="129" t="s">
        <v>5770</v>
      </c>
      <c r="G3510" s="135" t="s">
        <v>406</v>
      </c>
      <c r="H3510" s="129" t="str">
        <f>IF(Proc[[#This Row],[type]]="LFF (MDG-F)",MID(Proc[[#This Row],[Obj]],13,10),"")</f>
        <v>IT07DB3600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HC</v>
      </c>
      <c r="L3510" s="129" t="s">
        <v>4894</v>
      </c>
      <c r="M3510" s="130">
        <v>45891</v>
      </c>
      <c r="N3510" s="131"/>
      <c r="O3510" s="131"/>
      <c r="P3510" s="130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74</v>
      </c>
      <c r="R3510" s="130" t="s">
        <v>746</v>
      </c>
      <c r="S3510" s="129"/>
    </row>
    <row r="3511" spans="1:19" hidden="1">
      <c r="A3511" s="135" t="s">
        <v>5772</v>
      </c>
      <c r="B3511" s="149" t="str">
        <f>IFERROR(VLOOKUP(Proc[[#This Row],[App]],Table2[],3,0),"open")</f>
        <v>ok</v>
      </c>
      <c r="C3511" s="138" t="s">
        <v>369</v>
      </c>
      <c r="D3511" t="s">
        <v>5766</v>
      </c>
      <c r="E3511" t="s">
        <v>5770</v>
      </c>
      <c r="F3511" s="129" t="s">
        <v>5770</v>
      </c>
      <c r="G3511" s="135" t="s">
        <v>406</v>
      </c>
      <c r="H3511" s="129" t="str">
        <f>IF(Proc[[#This Row],[type]]="LFF (MDG-F)",MID(Proc[[#This Row],[Obj]],13,10),"")</f>
        <v>NL10DB3600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HC</v>
      </c>
      <c r="L3511" s="129" t="s">
        <v>4894</v>
      </c>
      <c r="M3511" s="130">
        <v>45891</v>
      </c>
      <c r="N3511" s="131"/>
      <c r="O3511" s="131"/>
      <c r="P3511" s="130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74</v>
      </c>
      <c r="R3511" s="130" t="s">
        <v>746</v>
      </c>
      <c r="S3511" s="129"/>
    </row>
    <row r="3512" spans="1:19" hidden="1">
      <c r="A3512" s="135" t="s">
        <v>5772</v>
      </c>
      <c r="B3512" s="149" t="str">
        <f>IFERROR(VLOOKUP(Proc[[#This Row],[App]],Table2[],3,0),"open")</f>
        <v>ok</v>
      </c>
      <c r="C3512" s="135" t="s">
        <v>369</v>
      </c>
      <c r="D3512" t="s">
        <v>5767</v>
      </c>
      <c r="E3512" t="s">
        <v>5771</v>
      </c>
      <c r="F3512" s="129" t="s">
        <v>5771</v>
      </c>
      <c r="G3512" s="135" t="s">
        <v>406</v>
      </c>
      <c r="H3512" s="129" t="str">
        <f>IF(Proc[[#This Row],[type]]="LFF (MDG-F)",MID(Proc[[#This Row],[Obj]],13,10),"")</f>
        <v>DE01OF0303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HC</v>
      </c>
      <c r="L3512" s="129" t="s">
        <v>4894</v>
      </c>
      <c r="M3512" s="130">
        <v>45891</v>
      </c>
      <c r="N3512" s="131"/>
      <c r="O3512" s="131"/>
      <c r="P3512" s="130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74</v>
      </c>
      <c r="R3512" s="130" t="s">
        <v>746</v>
      </c>
      <c r="S3512" s="129"/>
    </row>
    <row r="3513" spans="1:19" hidden="1">
      <c r="A3513" s="135" t="s">
        <v>5772</v>
      </c>
      <c r="B3513" s="149" t="str">
        <f>IFERROR(VLOOKUP(Proc[[#This Row],[App]],Table2[],3,0),"open")</f>
        <v>ok</v>
      </c>
      <c r="C3513" s="135" t="s">
        <v>369</v>
      </c>
      <c r="D3513" t="s">
        <v>5768</v>
      </c>
      <c r="E3513" t="s">
        <v>5771</v>
      </c>
      <c r="F3513" s="129" t="s">
        <v>5771</v>
      </c>
      <c r="G3513" s="135" t="s">
        <v>406</v>
      </c>
      <c r="H3513" s="129" t="str">
        <f>IF(Proc[[#This Row],[type]]="LFF (MDG-F)",MID(Proc[[#This Row],[Obj]],13,10),"")</f>
        <v>DE04OFHQ02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HC</v>
      </c>
      <c r="L3513" s="129" t="s">
        <v>4894</v>
      </c>
      <c r="M3513" s="130">
        <v>45891</v>
      </c>
      <c r="N3513" s="131"/>
      <c r="O3513" s="131"/>
      <c r="P3513" s="130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74</v>
      </c>
      <c r="R3513" s="130" t="s">
        <v>746</v>
      </c>
      <c r="S3513" s="129"/>
    </row>
    <row r="3514" spans="1:19" hidden="1">
      <c r="A3514" s="135" t="s">
        <v>5772</v>
      </c>
      <c r="B3514" s="149" t="str">
        <f>IFERROR(VLOOKUP(Proc[[#This Row],[App]],Table2[],3,0),"open")</f>
        <v>ok</v>
      </c>
      <c r="C3514" s="135" t="s">
        <v>369</v>
      </c>
      <c r="D3514" t="s">
        <v>5769</v>
      </c>
      <c r="E3514" t="s">
        <v>5771</v>
      </c>
      <c r="F3514" s="129" t="s">
        <v>5771</v>
      </c>
      <c r="G3514" s="135" t="s">
        <v>406</v>
      </c>
      <c r="H3514" s="129" t="str">
        <f>IF(Proc[[#This Row],[type]]="LFF (MDG-F)",MID(Proc[[#This Row],[Obj]],13,10),"")</f>
        <v>DE04TP5000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HC</v>
      </c>
      <c r="L3514" s="129" t="s">
        <v>4894</v>
      </c>
      <c r="M3514" s="130">
        <v>45891</v>
      </c>
      <c r="N3514" s="131"/>
      <c r="O3514" s="131"/>
      <c r="P3514" s="130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74</v>
      </c>
      <c r="R3514" s="130" t="s">
        <v>746</v>
      </c>
      <c r="S3514" s="129"/>
    </row>
    <row r="3515" spans="1:19" hidden="1">
      <c r="A3515" t="s">
        <v>5774</v>
      </c>
      <c r="B3515" s="149" t="str">
        <f>IFERROR(VLOOKUP(Proc[[#This Row],[App]],Table2[],3,0),"open")</f>
        <v>ok</v>
      </c>
      <c r="C3515" s="138" t="s">
        <v>369</v>
      </c>
      <c r="D3515" t="s">
        <v>5775</v>
      </c>
      <c r="E3515" t="s">
        <v>5551</v>
      </c>
      <c r="F3515" s="129" t="s">
        <v>5551</v>
      </c>
      <c r="G3515" s="135" t="s">
        <v>400</v>
      </c>
      <c r="H3515" s="129" t="str">
        <f>IF(Proc[[#This Row],[type]]="LFF (MDG-F)",MID(Proc[[#This Row],[Obj]],13,10),"")</f>
        <v/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LS</v>
      </c>
      <c r="L3515" s="129" t="s">
        <v>4894</v>
      </c>
      <c r="M3515" s="130">
        <v>45894</v>
      </c>
      <c r="N3515" s="131"/>
      <c r="O3515" s="131"/>
      <c r="P3515" s="130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73</v>
      </c>
      <c r="R3515" s="130" t="s">
        <v>489</v>
      </c>
      <c r="S3515" s="129"/>
    </row>
    <row r="3516" spans="1:19" hidden="1">
      <c r="A3516" s="135" t="s">
        <v>5774</v>
      </c>
      <c r="B3516" s="149" t="str">
        <f>IFERROR(VLOOKUP(Proc[[#This Row],[App]],Table2[],3,0),"open")</f>
        <v>ok</v>
      </c>
      <c r="C3516" s="138" t="s">
        <v>369</v>
      </c>
      <c r="D3516" t="s">
        <v>5776</v>
      </c>
      <c r="E3516" t="s">
        <v>5802</v>
      </c>
      <c r="F3516" s="129" t="s">
        <v>5802</v>
      </c>
      <c r="G3516" t="s">
        <v>400</v>
      </c>
      <c r="H3516" s="129" t="str">
        <f>IF(Proc[[#This Row],[type]]="LFF (MDG-F)",MID(Proc[[#This Row],[Obj]],13,10),"")</f>
        <v/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LS</v>
      </c>
      <c r="L3516" s="129" t="s">
        <v>4894</v>
      </c>
      <c r="M3516" s="131">
        <v>45894</v>
      </c>
      <c r="N3516" s="131"/>
      <c r="O3516" s="131"/>
      <c r="P3516" s="130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73</v>
      </c>
      <c r="R3516" s="131" t="s">
        <v>489</v>
      </c>
      <c r="S3516" s="129"/>
    </row>
    <row r="3517" spans="1:19" hidden="1">
      <c r="A3517" s="135" t="s">
        <v>5774</v>
      </c>
      <c r="B3517" s="149" t="str">
        <f>IFERROR(VLOOKUP(Proc[[#This Row],[App]],Table2[],3,0),"open")</f>
        <v>ok</v>
      </c>
      <c r="C3517" s="138" t="s">
        <v>369</v>
      </c>
      <c r="D3517" t="s">
        <v>5777</v>
      </c>
      <c r="E3517" t="s">
        <v>5803</v>
      </c>
      <c r="F3517" s="129" t="s">
        <v>5803</v>
      </c>
      <c r="G3517" s="135" t="s">
        <v>400</v>
      </c>
      <c r="H3517" s="129" t="str">
        <f>IF(Proc[[#This Row],[type]]="LFF (MDG-F)",MID(Proc[[#This Row],[Obj]],13,10),"")</f>
        <v/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LS</v>
      </c>
      <c r="L3517" s="129" t="s">
        <v>4894</v>
      </c>
      <c r="M3517" s="131">
        <v>45894</v>
      </c>
      <c r="N3517" s="131"/>
      <c r="O3517" s="131"/>
      <c r="P3517" s="130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73</v>
      </c>
      <c r="R3517" s="131" t="s">
        <v>489</v>
      </c>
      <c r="S3517" s="129"/>
    </row>
    <row r="3518" spans="1:19" hidden="1">
      <c r="A3518" s="135" t="s">
        <v>5774</v>
      </c>
      <c r="B3518" s="149" t="str">
        <f>IFERROR(VLOOKUP(Proc[[#This Row],[App]],Table2[],3,0),"open")</f>
        <v>ok</v>
      </c>
      <c r="C3518" s="138" t="s">
        <v>369</v>
      </c>
      <c r="D3518" t="s">
        <v>5778</v>
      </c>
      <c r="E3518" t="s">
        <v>5803</v>
      </c>
      <c r="F3518" s="129" t="s">
        <v>5803</v>
      </c>
      <c r="G3518" s="135" t="s">
        <v>400</v>
      </c>
      <c r="H3518" s="129" t="str">
        <f>IF(Proc[[#This Row],[type]]="LFF (MDG-F)",MID(Proc[[#This Row],[Obj]],13,10),"")</f>
        <v/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LS</v>
      </c>
      <c r="L3518" s="129" t="s">
        <v>4894</v>
      </c>
      <c r="M3518" s="131">
        <v>45894</v>
      </c>
      <c r="N3518" s="131"/>
      <c r="O3518" s="131"/>
      <c r="P3518" s="130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73</v>
      </c>
      <c r="R3518" s="131" t="s">
        <v>489</v>
      </c>
      <c r="S3518" s="129"/>
    </row>
    <row r="3519" spans="1:19" hidden="1">
      <c r="A3519" s="135" t="s">
        <v>5774</v>
      </c>
      <c r="B3519" s="149" t="str">
        <f>IFERROR(VLOOKUP(Proc[[#This Row],[App]],Table2[],3,0),"open")</f>
        <v>ok</v>
      </c>
      <c r="C3519" s="138" t="s">
        <v>369</v>
      </c>
      <c r="D3519" t="s">
        <v>5779</v>
      </c>
      <c r="E3519" t="s">
        <v>5803</v>
      </c>
      <c r="F3519" s="129" t="s">
        <v>5803</v>
      </c>
      <c r="G3519" s="135" t="s">
        <v>400</v>
      </c>
      <c r="H3519" s="129" t="str">
        <f>IF(Proc[[#This Row],[type]]="LFF (MDG-F)",MID(Proc[[#This Row],[Obj]],13,10),"")</f>
        <v/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LS</v>
      </c>
      <c r="L3519" s="129" t="s">
        <v>4894</v>
      </c>
      <c r="M3519" s="131">
        <v>45894</v>
      </c>
      <c r="N3519" s="131"/>
      <c r="O3519" s="131"/>
      <c r="P3519" s="130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73</v>
      </c>
      <c r="R3519" s="131" t="s">
        <v>489</v>
      </c>
      <c r="S3519" s="129"/>
    </row>
    <row r="3520" spans="1:19" hidden="1">
      <c r="A3520" s="135" t="s">
        <v>5774</v>
      </c>
      <c r="B3520" s="149" t="str">
        <f>IFERROR(VLOOKUP(Proc[[#This Row],[App]],Table2[],3,0),"open")</f>
        <v>ok</v>
      </c>
      <c r="C3520" s="138" t="s">
        <v>369</v>
      </c>
      <c r="D3520" t="s">
        <v>5780</v>
      </c>
      <c r="E3520" t="s">
        <v>5804</v>
      </c>
      <c r="F3520" s="129" t="s">
        <v>5804</v>
      </c>
      <c r="G3520" s="135" t="s">
        <v>400</v>
      </c>
      <c r="H3520" s="129" t="str">
        <f>IF(Proc[[#This Row],[type]]="LFF (MDG-F)",MID(Proc[[#This Row],[Obj]],13,10),"")</f>
        <v/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LS</v>
      </c>
      <c r="L3520" s="129" t="s">
        <v>4894</v>
      </c>
      <c r="M3520" s="131">
        <v>45894</v>
      </c>
      <c r="N3520" s="131"/>
      <c r="O3520" s="131"/>
      <c r="P3520" s="130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73</v>
      </c>
      <c r="R3520" s="131" t="s">
        <v>489</v>
      </c>
      <c r="S3520" s="129"/>
    </row>
    <row r="3521" spans="1:19" hidden="1">
      <c r="A3521" s="135" t="s">
        <v>5774</v>
      </c>
      <c r="B3521" s="149" t="str">
        <f>IFERROR(VLOOKUP(Proc[[#This Row],[App]],Table2[],3,0),"open")</f>
        <v>ok</v>
      </c>
      <c r="C3521" s="138" t="s">
        <v>369</v>
      </c>
      <c r="D3521" t="s">
        <v>5781</v>
      </c>
      <c r="E3521" t="s">
        <v>5804</v>
      </c>
      <c r="F3521" s="129" t="s">
        <v>5804</v>
      </c>
      <c r="G3521" s="135" t="s">
        <v>400</v>
      </c>
      <c r="H3521" s="129" t="str">
        <f>IF(Proc[[#This Row],[type]]="LFF (MDG-F)",MID(Proc[[#This Row],[Obj]],13,10),"")</f>
        <v/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LS</v>
      </c>
      <c r="L3521" s="129" t="s">
        <v>4894</v>
      </c>
      <c r="M3521" s="131">
        <v>45894</v>
      </c>
      <c r="N3521" s="131"/>
      <c r="O3521" s="131"/>
      <c r="P3521" s="130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73</v>
      </c>
      <c r="R3521" s="131" t="s">
        <v>489</v>
      </c>
      <c r="S3521" s="129"/>
    </row>
    <row r="3522" spans="1:19" hidden="1">
      <c r="A3522" s="135" t="s">
        <v>5774</v>
      </c>
      <c r="B3522" s="149" t="str">
        <f>IFERROR(VLOOKUP(Proc[[#This Row],[App]],Table2[],3,0),"open")</f>
        <v>ok</v>
      </c>
      <c r="C3522" s="138" t="s">
        <v>369</v>
      </c>
      <c r="D3522" t="s">
        <v>5782</v>
      </c>
      <c r="E3522" t="s">
        <v>5805</v>
      </c>
      <c r="F3522" s="129" t="s">
        <v>5805</v>
      </c>
      <c r="G3522" s="135" t="s">
        <v>400</v>
      </c>
      <c r="H3522" s="129" t="str">
        <f>IF(Proc[[#This Row],[type]]="LFF (MDG-F)",MID(Proc[[#This Row],[Obj]],13,10),"")</f>
        <v/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LS</v>
      </c>
      <c r="L3522" s="129" t="s">
        <v>4894</v>
      </c>
      <c r="M3522" s="131">
        <v>45894</v>
      </c>
      <c r="N3522" s="131"/>
      <c r="O3522" s="131"/>
      <c r="P3522" s="130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73</v>
      </c>
      <c r="R3522" s="131" t="s">
        <v>489</v>
      </c>
      <c r="S3522" s="129"/>
    </row>
    <row r="3523" spans="1:19" hidden="1">
      <c r="A3523" s="135" t="s">
        <v>5774</v>
      </c>
      <c r="B3523" s="149" t="str">
        <f>IFERROR(VLOOKUP(Proc[[#This Row],[App]],Table2[],3,0),"open")</f>
        <v>ok</v>
      </c>
      <c r="C3523" s="138" t="s">
        <v>369</v>
      </c>
      <c r="D3523" t="s">
        <v>5783</v>
      </c>
      <c r="E3523" t="s">
        <v>5805</v>
      </c>
      <c r="F3523" s="129" t="s">
        <v>5805</v>
      </c>
      <c r="G3523" s="135" t="s">
        <v>400</v>
      </c>
      <c r="H3523" s="129" t="str">
        <f>IF(Proc[[#This Row],[type]]="LFF (MDG-F)",MID(Proc[[#This Row],[Obj]],13,10),"")</f>
        <v/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LS</v>
      </c>
      <c r="L3523" s="129" t="s">
        <v>4894</v>
      </c>
      <c r="M3523" s="131">
        <v>45894</v>
      </c>
      <c r="N3523" s="131"/>
      <c r="O3523" s="131"/>
      <c r="P3523" s="130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73</v>
      </c>
      <c r="R3523" s="131" t="s">
        <v>489</v>
      </c>
      <c r="S3523" s="129"/>
    </row>
    <row r="3524" spans="1:19" hidden="1">
      <c r="A3524" s="135" t="s">
        <v>5774</v>
      </c>
      <c r="B3524" s="149" t="str">
        <f>IFERROR(VLOOKUP(Proc[[#This Row],[App]],Table2[],3,0),"open")</f>
        <v>ok</v>
      </c>
      <c r="C3524" s="138" t="s">
        <v>369</v>
      </c>
      <c r="D3524" t="s">
        <v>5784</v>
      </c>
      <c r="E3524" t="s">
        <v>5806</v>
      </c>
      <c r="F3524" s="129" t="s">
        <v>5806</v>
      </c>
      <c r="G3524" s="135" t="s">
        <v>400</v>
      </c>
      <c r="H3524" s="129" t="str">
        <f>IF(Proc[[#This Row],[type]]="LFF (MDG-F)",MID(Proc[[#This Row],[Obj]],13,10),"")</f>
        <v/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LS</v>
      </c>
      <c r="L3524" s="129" t="s">
        <v>4894</v>
      </c>
      <c r="M3524" s="131">
        <v>45894</v>
      </c>
      <c r="N3524" s="131"/>
      <c r="O3524" s="131"/>
      <c r="P3524" s="130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73</v>
      </c>
      <c r="R3524" s="131" t="s">
        <v>489</v>
      </c>
      <c r="S3524" s="129"/>
    </row>
    <row r="3525" spans="1:19" hidden="1">
      <c r="A3525" s="135" t="s">
        <v>5774</v>
      </c>
      <c r="B3525" s="149" t="str">
        <f>IFERROR(VLOOKUP(Proc[[#This Row],[App]],Table2[],3,0),"open")</f>
        <v>ok</v>
      </c>
      <c r="C3525" s="138" t="s">
        <v>369</v>
      </c>
      <c r="D3525" t="s">
        <v>5785</v>
      </c>
      <c r="E3525" t="s">
        <v>5807</v>
      </c>
      <c r="F3525" s="129" t="s">
        <v>5807</v>
      </c>
      <c r="G3525" s="135" t="s">
        <v>400</v>
      </c>
      <c r="H3525" s="129" t="str">
        <f>IF(Proc[[#This Row],[type]]="LFF (MDG-F)",MID(Proc[[#This Row],[Obj]],13,10),"")</f>
        <v/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LS</v>
      </c>
      <c r="L3525" s="129" t="s">
        <v>4894</v>
      </c>
      <c r="M3525" s="131">
        <v>45894</v>
      </c>
      <c r="N3525" s="131"/>
      <c r="O3525" s="131"/>
      <c r="P3525" s="130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73</v>
      </c>
      <c r="R3525" s="131" t="s">
        <v>489</v>
      </c>
      <c r="S3525" s="129"/>
    </row>
    <row r="3526" spans="1:19" hidden="1">
      <c r="A3526" s="135" t="s">
        <v>5774</v>
      </c>
      <c r="B3526" s="149" t="str">
        <f>IFERROR(VLOOKUP(Proc[[#This Row],[App]],Table2[],3,0),"open")</f>
        <v>ok</v>
      </c>
      <c r="C3526" s="138" t="s">
        <v>369</v>
      </c>
      <c r="D3526" t="s">
        <v>5786</v>
      </c>
      <c r="E3526" t="s">
        <v>4384</v>
      </c>
      <c r="F3526" s="129" t="s">
        <v>4384</v>
      </c>
      <c r="G3526" s="135" t="s">
        <v>400</v>
      </c>
      <c r="H3526" s="129" t="str">
        <f>IF(Proc[[#This Row],[type]]="LFF (MDG-F)",MID(Proc[[#This Row],[Obj]],13,10),"")</f>
        <v/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LS</v>
      </c>
      <c r="L3526" s="129" t="s">
        <v>4894</v>
      </c>
      <c r="M3526" s="131">
        <v>45894</v>
      </c>
      <c r="N3526" s="131"/>
      <c r="O3526" s="131"/>
      <c r="P3526" s="130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73</v>
      </c>
      <c r="R3526" s="131" t="s">
        <v>489</v>
      </c>
      <c r="S3526" s="129"/>
    </row>
    <row r="3527" spans="1:19" hidden="1">
      <c r="A3527" s="135" t="s">
        <v>5774</v>
      </c>
      <c r="B3527" s="149" t="str">
        <f>IFERROR(VLOOKUP(Proc[[#This Row],[App]],Table2[],3,0),"open")</f>
        <v>ok</v>
      </c>
      <c r="C3527" s="138" t="s">
        <v>369</v>
      </c>
      <c r="D3527" t="s">
        <v>3090</v>
      </c>
      <c r="E3527" t="s">
        <v>5808</v>
      </c>
      <c r="F3527" s="129" t="s">
        <v>5808</v>
      </c>
      <c r="G3527" s="135" t="s">
        <v>400</v>
      </c>
      <c r="H3527" s="129" t="str">
        <f>IF(Proc[[#This Row],[type]]="LFF (MDG-F)",MID(Proc[[#This Row],[Obj]],13,10),"")</f>
        <v/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LS</v>
      </c>
      <c r="L3527" s="129" t="s">
        <v>4894</v>
      </c>
      <c r="M3527" s="131">
        <v>45894</v>
      </c>
      <c r="N3527" s="131"/>
      <c r="O3527" s="131"/>
      <c r="P3527" s="130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73</v>
      </c>
      <c r="R3527" s="131" t="s">
        <v>489</v>
      </c>
      <c r="S3527" s="129"/>
    </row>
    <row r="3528" spans="1:19" hidden="1">
      <c r="A3528" s="135" t="s">
        <v>5774</v>
      </c>
      <c r="B3528" s="149" t="str">
        <f>IFERROR(VLOOKUP(Proc[[#This Row],[App]],Table2[],3,0),"open")</f>
        <v>ok</v>
      </c>
      <c r="C3528" s="138" t="s">
        <v>369</v>
      </c>
      <c r="D3528" t="s">
        <v>5787</v>
      </c>
      <c r="E3528" t="s">
        <v>5809</v>
      </c>
      <c r="F3528" s="129" t="s">
        <v>5809</v>
      </c>
      <c r="G3528" s="135" t="s">
        <v>400</v>
      </c>
      <c r="H3528" s="129" t="str">
        <f>IF(Proc[[#This Row],[type]]="LFF (MDG-F)",MID(Proc[[#This Row],[Obj]],13,10),"")</f>
        <v/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LS</v>
      </c>
      <c r="L3528" s="129" t="s">
        <v>4894</v>
      </c>
      <c r="M3528" s="131">
        <v>45894</v>
      </c>
      <c r="N3528" s="131"/>
      <c r="O3528" s="131"/>
      <c r="P3528" s="130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73</v>
      </c>
      <c r="R3528" s="131" t="s">
        <v>489</v>
      </c>
      <c r="S3528" s="129"/>
    </row>
    <row r="3529" spans="1:19" hidden="1">
      <c r="A3529" s="135" t="s">
        <v>5774</v>
      </c>
      <c r="B3529" s="149" t="str">
        <f>IFERROR(VLOOKUP(Proc[[#This Row],[App]],Table2[],3,0),"open")</f>
        <v>ok</v>
      </c>
      <c r="C3529" s="138" t="s">
        <v>369</v>
      </c>
      <c r="D3529" t="s">
        <v>5788</v>
      </c>
      <c r="E3529" t="s">
        <v>3544</v>
      </c>
      <c r="F3529" s="129" t="s">
        <v>3544</v>
      </c>
      <c r="G3529" s="135" t="s">
        <v>400</v>
      </c>
      <c r="H3529" s="129" t="str">
        <f>IF(Proc[[#This Row],[type]]="LFF (MDG-F)",MID(Proc[[#This Row],[Obj]],13,10),"")</f>
        <v/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LS</v>
      </c>
      <c r="L3529" s="129" t="s">
        <v>4894</v>
      </c>
      <c r="M3529" s="131">
        <v>45894</v>
      </c>
      <c r="N3529" s="131"/>
      <c r="O3529" s="131"/>
      <c r="P3529" s="130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73</v>
      </c>
      <c r="R3529" s="131" t="s">
        <v>489</v>
      </c>
      <c r="S3529" s="129"/>
    </row>
    <row r="3530" spans="1:19" hidden="1">
      <c r="A3530" s="135" t="s">
        <v>5774</v>
      </c>
      <c r="B3530" s="149" t="str">
        <f>IFERROR(VLOOKUP(Proc[[#This Row],[App]],Table2[],3,0),"open")</f>
        <v>ok</v>
      </c>
      <c r="C3530" s="138" t="s">
        <v>369</v>
      </c>
      <c r="D3530" t="s">
        <v>5789</v>
      </c>
      <c r="E3530" t="s">
        <v>3544</v>
      </c>
      <c r="F3530" s="129" t="s">
        <v>3544</v>
      </c>
      <c r="G3530" s="135" t="s">
        <v>400</v>
      </c>
      <c r="H3530" s="129" t="str">
        <f>IF(Proc[[#This Row],[type]]="LFF (MDG-F)",MID(Proc[[#This Row],[Obj]],13,10),"")</f>
        <v/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LS</v>
      </c>
      <c r="L3530" s="129" t="s">
        <v>4894</v>
      </c>
      <c r="M3530" s="131">
        <v>45894</v>
      </c>
      <c r="N3530" s="131"/>
      <c r="O3530" s="131"/>
      <c r="P3530" s="130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73</v>
      </c>
      <c r="R3530" s="131" t="s">
        <v>489</v>
      </c>
      <c r="S3530" s="129"/>
    </row>
    <row r="3531" spans="1:19" hidden="1">
      <c r="A3531" s="135" t="s">
        <v>5774</v>
      </c>
      <c r="B3531" s="149" t="str">
        <f>IFERROR(VLOOKUP(Proc[[#This Row],[App]],Table2[],3,0),"open")</f>
        <v>ok</v>
      </c>
      <c r="C3531" s="138" t="s">
        <v>369</v>
      </c>
      <c r="D3531" t="s">
        <v>5790</v>
      </c>
      <c r="E3531" t="s">
        <v>3544</v>
      </c>
      <c r="F3531" s="129" t="s">
        <v>3544</v>
      </c>
      <c r="G3531" s="135" t="s">
        <v>400</v>
      </c>
      <c r="H3531" s="129" t="str">
        <f>IF(Proc[[#This Row],[type]]="LFF (MDG-F)",MID(Proc[[#This Row],[Obj]],13,10),"")</f>
        <v/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LS</v>
      </c>
      <c r="L3531" s="129" t="s">
        <v>4894</v>
      </c>
      <c r="M3531" s="131">
        <v>45894</v>
      </c>
      <c r="N3531" s="131"/>
      <c r="O3531" s="131"/>
      <c r="P3531" s="130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73</v>
      </c>
      <c r="R3531" s="131" t="s">
        <v>489</v>
      </c>
      <c r="S3531" s="129"/>
    </row>
    <row r="3532" spans="1:19" hidden="1">
      <c r="A3532" s="135" t="s">
        <v>5774</v>
      </c>
      <c r="B3532" s="149" t="str">
        <f>IFERROR(VLOOKUP(Proc[[#This Row],[App]],Table2[],3,0),"open")</f>
        <v>ok</v>
      </c>
      <c r="C3532" s="138" t="s">
        <v>369</v>
      </c>
      <c r="D3532" t="s">
        <v>5791</v>
      </c>
      <c r="E3532" t="s">
        <v>5810</v>
      </c>
      <c r="F3532" s="129" t="s">
        <v>5810</v>
      </c>
      <c r="G3532" s="135" t="s">
        <v>400</v>
      </c>
      <c r="H3532" s="129" t="str">
        <f>IF(Proc[[#This Row],[type]]="LFF (MDG-F)",MID(Proc[[#This Row],[Obj]],13,10),"")</f>
        <v/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LS</v>
      </c>
      <c r="L3532" s="129" t="s">
        <v>4894</v>
      </c>
      <c r="M3532" s="131">
        <v>45894</v>
      </c>
      <c r="N3532" s="131"/>
      <c r="O3532" s="131"/>
      <c r="P3532" s="130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73</v>
      </c>
      <c r="R3532" s="131" t="s">
        <v>489</v>
      </c>
      <c r="S3532" s="129"/>
    </row>
    <row r="3533" spans="1:19" hidden="1">
      <c r="A3533" s="135" t="s">
        <v>5774</v>
      </c>
      <c r="B3533" s="149" t="str">
        <f>IFERROR(VLOOKUP(Proc[[#This Row],[App]],Table2[],3,0),"open")</f>
        <v>ok</v>
      </c>
      <c r="C3533" s="138" t="s">
        <v>369</v>
      </c>
      <c r="D3533" t="s">
        <v>5792</v>
      </c>
      <c r="E3533" t="s">
        <v>5810</v>
      </c>
      <c r="F3533" s="129" t="s">
        <v>5810</v>
      </c>
      <c r="G3533" s="135" t="s">
        <v>400</v>
      </c>
      <c r="H3533" s="129" t="str">
        <f>IF(Proc[[#This Row],[type]]="LFF (MDG-F)",MID(Proc[[#This Row],[Obj]],13,10),"")</f>
        <v/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LS</v>
      </c>
      <c r="L3533" s="129" t="s">
        <v>4894</v>
      </c>
      <c r="M3533" s="131">
        <v>45894</v>
      </c>
      <c r="N3533" s="131"/>
      <c r="O3533" s="131"/>
      <c r="P3533" s="130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73</v>
      </c>
      <c r="R3533" s="131" t="s">
        <v>489</v>
      </c>
      <c r="S3533" s="129"/>
    </row>
    <row r="3534" spans="1:19" hidden="1">
      <c r="A3534" s="135" t="s">
        <v>5774</v>
      </c>
      <c r="B3534" s="149" t="str">
        <f>IFERROR(VLOOKUP(Proc[[#This Row],[App]],Table2[],3,0),"open")</f>
        <v>ok</v>
      </c>
      <c r="C3534" s="138" t="s">
        <v>369</v>
      </c>
      <c r="D3534" t="s">
        <v>3480</v>
      </c>
      <c r="E3534" t="s">
        <v>3544</v>
      </c>
      <c r="F3534" s="129" t="s">
        <v>3544</v>
      </c>
      <c r="G3534" s="135" t="s">
        <v>400</v>
      </c>
      <c r="H3534" s="129" t="str">
        <f>IF(Proc[[#This Row],[type]]="LFF (MDG-F)",MID(Proc[[#This Row],[Obj]],13,10),"")</f>
        <v/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LS</v>
      </c>
      <c r="L3534" s="129" t="s">
        <v>4894</v>
      </c>
      <c r="M3534" s="131">
        <v>45894</v>
      </c>
      <c r="N3534" s="131"/>
      <c r="O3534" s="131"/>
      <c r="P3534" s="130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73</v>
      </c>
      <c r="R3534" s="131" t="s">
        <v>489</v>
      </c>
      <c r="S3534" s="129"/>
    </row>
    <row r="3535" spans="1:19" hidden="1">
      <c r="A3535" s="135" t="s">
        <v>5774</v>
      </c>
      <c r="B3535" s="149" t="str">
        <f>IFERROR(VLOOKUP(Proc[[#This Row],[App]],Table2[],3,0),"open")</f>
        <v>ok</v>
      </c>
      <c r="C3535" s="138" t="s">
        <v>369</v>
      </c>
      <c r="D3535" t="s">
        <v>3489</v>
      </c>
      <c r="E3535" t="s">
        <v>3527</v>
      </c>
      <c r="F3535" s="129" t="s">
        <v>3527</v>
      </c>
      <c r="G3535" s="135" t="s">
        <v>400</v>
      </c>
      <c r="H3535" s="129" t="str">
        <f>IF(Proc[[#This Row],[type]]="LFF (MDG-F)",MID(Proc[[#This Row],[Obj]],13,10),"")</f>
        <v/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LS</v>
      </c>
      <c r="L3535" s="129" t="s">
        <v>4894</v>
      </c>
      <c r="M3535" s="131">
        <v>45894</v>
      </c>
      <c r="N3535" s="131"/>
      <c r="O3535" s="131"/>
      <c r="P3535" s="130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73</v>
      </c>
      <c r="R3535" s="131" t="s">
        <v>489</v>
      </c>
      <c r="S3535" s="129"/>
    </row>
    <row r="3536" spans="1:19" hidden="1">
      <c r="A3536" s="135" t="s">
        <v>5774</v>
      </c>
      <c r="B3536" s="149" t="str">
        <f>IFERROR(VLOOKUP(Proc[[#This Row],[App]],Table2[],3,0),"open")</f>
        <v>ok</v>
      </c>
      <c r="C3536" s="138" t="s">
        <v>369</v>
      </c>
      <c r="D3536" t="s">
        <v>5793</v>
      </c>
      <c r="E3536" t="s">
        <v>3544</v>
      </c>
      <c r="F3536" s="129" t="s">
        <v>3544</v>
      </c>
      <c r="G3536" s="135" t="s">
        <v>400</v>
      </c>
      <c r="H3536" s="129" t="str">
        <f>IF(Proc[[#This Row],[type]]="LFF (MDG-F)",MID(Proc[[#This Row],[Obj]],13,10),"")</f>
        <v/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LS</v>
      </c>
      <c r="L3536" s="129" t="s">
        <v>4894</v>
      </c>
      <c r="M3536" s="131">
        <v>45894</v>
      </c>
      <c r="N3536" s="131"/>
      <c r="O3536" s="131"/>
      <c r="P3536" s="130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73</v>
      </c>
      <c r="R3536" s="131" t="s">
        <v>489</v>
      </c>
      <c r="S3536" s="129"/>
    </row>
    <row r="3537" spans="1:19" hidden="1">
      <c r="A3537" s="135" t="s">
        <v>5774</v>
      </c>
      <c r="B3537" s="149" t="str">
        <f>IFERROR(VLOOKUP(Proc[[#This Row],[App]],Table2[],3,0),"open")</f>
        <v>ok</v>
      </c>
      <c r="C3537" s="138" t="s">
        <v>369</v>
      </c>
      <c r="D3537" t="s">
        <v>5794</v>
      </c>
      <c r="E3537" t="s">
        <v>3527</v>
      </c>
      <c r="F3537" s="129" t="s">
        <v>3527</v>
      </c>
      <c r="G3537" s="135" t="s">
        <v>400</v>
      </c>
      <c r="H3537" s="129" t="str">
        <f>IF(Proc[[#This Row],[type]]="LFF (MDG-F)",MID(Proc[[#This Row],[Obj]],13,10),"")</f>
        <v/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LS</v>
      </c>
      <c r="L3537" s="129" t="s">
        <v>4894</v>
      </c>
      <c r="M3537" s="131">
        <v>45894</v>
      </c>
      <c r="N3537" s="131"/>
      <c r="O3537" s="131"/>
      <c r="P3537" s="130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73</v>
      </c>
      <c r="R3537" s="131" t="s">
        <v>489</v>
      </c>
      <c r="S3537" s="129"/>
    </row>
    <row r="3538" spans="1:19" hidden="1">
      <c r="A3538" s="135" t="s">
        <v>5774</v>
      </c>
      <c r="B3538" s="149" t="str">
        <f>IFERROR(VLOOKUP(Proc[[#This Row],[App]],Table2[],3,0),"open")</f>
        <v>ok</v>
      </c>
      <c r="C3538" s="138" t="s">
        <v>369</v>
      </c>
      <c r="D3538" t="s">
        <v>5795</v>
      </c>
      <c r="E3538" t="s">
        <v>3527</v>
      </c>
      <c r="F3538" s="129" t="s">
        <v>3527</v>
      </c>
      <c r="G3538" s="135" t="s">
        <v>400</v>
      </c>
      <c r="H3538" s="129" t="str">
        <f>IF(Proc[[#This Row],[type]]="LFF (MDG-F)",MID(Proc[[#This Row],[Obj]],13,10),"")</f>
        <v/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LS</v>
      </c>
      <c r="L3538" s="129" t="s">
        <v>4894</v>
      </c>
      <c r="M3538" s="131">
        <v>45894</v>
      </c>
      <c r="N3538" s="131"/>
      <c r="O3538" s="131"/>
      <c r="P3538" s="130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73</v>
      </c>
      <c r="R3538" s="131" t="s">
        <v>489</v>
      </c>
      <c r="S3538" s="129"/>
    </row>
    <row r="3539" spans="1:19" hidden="1">
      <c r="A3539" s="135" t="s">
        <v>5774</v>
      </c>
      <c r="B3539" s="149" t="str">
        <f>IFERROR(VLOOKUP(Proc[[#This Row],[App]],Table2[],3,0),"open")</f>
        <v>ok</v>
      </c>
      <c r="C3539" s="138" t="s">
        <v>369</v>
      </c>
      <c r="D3539" t="s">
        <v>5796</v>
      </c>
      <c r="E3539" t="s">
        <v>5811</v>
      </c>
      <c r="F3539" s="129" t="s">
        <v>5811</v>
      </c>
      <c r="G3539" s="135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LS</v>
      </c>
      <c r="L3539" s="129" t="s">
        <v>4894</v>
      </c>
      <c r="M3539" s="131">
        <v>45894</v>
      </c>
      <c r="N3539" s="131"/>
      <c r="O3539" s="131"/>
      <c r="P3539" s="130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73</v>
      </c>
      <c r="R3539" s="131" t="s">
        <v>489</v>
      </c>
      <c r="S3539" s="129"/>
    </row>
    <row r="3540" spans="1:19" hidden="1">
      <c r="A3540" s="135" t="s">
        <v>5774</v>
      </c>
      <c r="B3540" s="149" t="str">
        <f>IFERROR(VLOOKUP(Proc[[#This Row],[App]],Table2[],3,0),"open")</f>
        <v>ok</v>
      </c>
      <c r="C3540" s="138" t="s">
        <v>369</v>
      </c>
      <c r="D3540" t="s">
        <v>5797</v>
      </c>
      <c r="E3540" t="s">
        <v>5812</v>
      </c>
      <c r="F3540" s="129" t="s">
        <v>5812</v>
      </c>
      <c r="G3540" s="135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LS</v>
      </c>
      <c r="L3540" s="129" t="s">
        <v>4894</v>
      </c>
      <c r="M3540" s="131">
        <v>45894</v>
      </c>
      <c r="N3540" s="131"/>
      <c r="O3540" s="131"/>
      <c r="P3540" s="130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73</v>
      </c>
      <c r="R3540" s="131" t="s">
        <v>489</v>
      </c>
      <c r="S3540" s="129"/>
    </row>
    <row r="3541" spans="1:19" hidden="1">
      <c r="A3541" s="135" t="s">
        <v>5774</v>
      </c>
      <c r="B3541" s="149" t="str">
        <f>IFERROR(VLOOKUP(Proc[[#This Row],[App]],Table2[],3,0),"open")</f>
        <v>ok</v>
      </c>
      <c r="C3541" s="138" t="s">
        <v>369</v>
      </c>
      <c r="D3541" t="s">
        <v>5798</v>
      </c>
      <c r="E3541" t="s">
        <v>5812</v>
      </c>
      <c r="F3541" s="129" t="s">
        <v>5812</v>
      </c>
      <c r="G3541" s="135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LS</v>
      </c>
      <c r="L3541" s="129" t="s">
        <v>4894</v>
      </c>
      <c r="M3541" s="131">
        <v>45894</v>
      </c>
      <c r="N3541" s="131"/>
      <c r="O3541" s="131"/>
      <c r="P3541" s="130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73</v>
      </c>
      <c r="R3541" s="131" t="s">
        <v>489</v>
      </c>
      <c r="S3541" s="129"/>
    </row>
    <row r="3542" spans="1:19" hidden="1">
      <c r="A3542" s="135" t="s">
        <v>5774</v>
      </c>
      <c r="B3542" s="149" t="str">
        <f>IFERROR(VLOOKUP(Proc[[#This Row],[App]],Table2[],3,0),"open")</f>
        <v>ok</v>
      </c>
      <c r="C3542" s="138" t="s">
        <v>369</v>
      </c>
      <c r="D3542" t="s">
        <v>5799</v>
      </c>
      <c r="E3542" t="s">
        <v>5813</v>
      </c>
      <c r="F3542" s="129" t="s">
        <v>5813</v>
      </c>
      <c r="G3542" s="135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LS</v>
      </c>
      <c r="L3542" s="129" t="s">
        <v>4894</v>
      </c>
      <c r="M3542" s="131">
        <v>45894</v>
      </c>
      <c r="N3542" s="131"/>
      <c r="O3542" s="131"/>
      <c r="P3542" s="130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73</v>
      </c>
      <c r="R3542" s="131" t="s">
        <v>489</v>
      </c>
      <c r="S3542" s="129"/>
    </row>
    <row r="3543" spans="1:19" hidden="1">
      <c r="A3543" s="135" t="s">
        <v>5774</v>
      </c>
      <c r="B3543" s="149" t="str">
        <f>IFERROR(VLOOKUP(Proc[[#This Row],[App]],Table2[],3,0),"open")</f>
        <v>ok</v>
      </c>
      <c r="C3543" s="138" t="s">
        <v>369</v>
      </c>
      <c r="D3543" t="s">
        <v>5800</v>
      </c>
      <c r="E3543" t="s">
        <v>1236</v>
      </c>
      <c r="F3543" s="129" t="s">
        <v>1236</v>
      </c>
      <c r="G3543" s="135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LS</v>
      </c>
      <c r="L3543" s="129" t="s">
        <v>4894</v>
      </c>
      <c r="M3543" s="131">
        <v>45894</v>
      </c>
      <c r="N3543" s="131"/>
      <c r="O3543" s="131"/>
      <c r="P3543" s="130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73</v>
      </c>
      <c r="R3543" s="131" t="s">
        <v>489</v>
      </c>
      <c r="S3543" s="129"/>
    </row>
    <row r="3544" spans="1:19" hidden="1">
      <c r="A3544" s="135" t="s">
        <v>5774</v>
      </c>
      <c r="B3544" s="149" t="str">
        <f>IFERROR(VLOOKUP(Proc[[#This Row],[App]],Table2[],3,0),"open")</f>
        <v>ok</v>
      </c>
      <c r="C3544" s="138" t="s">
        <v>369</v>
      </c>
      <c r="D3544" t="s">
        <v>2061</v>
      </c>
      <c r="E3544" t="s">
        <v>5814</v>
      </c>
      <c r="F3544" s="129" t="s">
        <v>5814</v>
      </c>
      <c r="G3544" s="135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LS</v>
      </c>
      <c r="L3544" s="129" t="s">
        <v>4894</v>
      </c>
      <c r="M3544" s="131">
        <v>45894</v>
      </c>
      <c r="N3544" s="131"/>
      <c r="O3544" s="131"/>
      <c r="P3544" s="130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73</v>
      </c>
      <c r="R3544" s="131" t="s">
        <v>489</v>
      </c>
      <c r="S3544" s="129"/>
    </row>
    <row r="3545" spans="1:19" hidden="1">
      <c r="A3545" s="135" t="s">
        <v>5774</v>
      </c>
      <c r="B3545" s="149" t="str">
        <f>IFERROR(VLOOKUP(Proc[[#This Row],[App]],Table2[],3,0),"open")</f>
        <v>ok</v>
      </c>
      <c r="C3545" s="135" t="s">
        <v>369</v>
      </c>
      <c r="D3545" t="s">
        <v>3550</v>
      </c>
      <c r="E3545" t="s">
        <v>3556</v>
      </c>
      <c r="F3545" s="129" t="s">
        <v>3556</v>
      </c>
      <c r="G3545" s="135" t="s">
        <v>406</v>
      </c>
      <c r="H3545" s="129" t="str">
        <f>IF(Proc[[#This Row],[type]]="LFF (MDG-F)",MID(Proc[[#This Row],[Obj]],13,10),"")</f>
        <v>DE10OF0005</v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LS</v>
      </c>
      <c r="L3545" s="129" t="s">
        <v>4894</v>
      </c>
      <c r="M3545" s="131">
        <v>45894</v>
      </c>
      <c r="N3545" s="131"/>
      <c r="O3545" s="131"/>
      <c r="P3545" s="130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73</v>
      </c>
      <c r="R3545" s="131" t="s">
        <v>489</v>
      </c>
      <c r="S3545" s="129"/>
    </row>
    <row r="3546" spans="1:19" hidden="1">
      <c r="A3546" s="135" t="s">
        <v>5774</v>
      </c>
      <c r="B3546" s="149" t="str">
        <f>IFERROR(VLOOKUP(Proc[[#This Row],[App]],Table2[],3,0),"open")</f>
        <v>ok</v>
      </c>
      <c r="C3546" s="138" t="s">
        <v>369</v>
      </c>
      <c r="D3546" t="s">
        <v>5801</v>
      </c>
      <c r="E3546" t="s">
        <v>3556</v>
      </c>
      <c r="F3546" s="129" t="s">
        <v>3556</v>
      </c>
      <c r="G3546" s="135" t="s">
        <v>406</v>
      </c>
      <c r="H3546" s="129" t="str">
        <f>IF(Proc[[#This Row],[type]]="LFF (MDG-F)",MID(Proc[[#This Row],[Obj]],13,10),"")</f>
        <v>DE10OF0007</v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LS</v>
      </c>
      <c r="L3546" s="129" t="s">
        <v>4894</v>
      </c>
      <c r="M3546" s="131">
        <v>45894</v>
      </c>
      <c r="N3546" s="131"/>
      <c r="O3546" s="131"/>
      <c r="P3546" s="130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73</v>
      </c>
      <c r="R3546" s="131" t="s">
        <v>489</v>
      </c>
      <c r="S3546" s="129"/>
    </row>
    <row r="3547" spans="1:19" hidden="1">
      <c r="A3547" s="135" t="s">
        <v>5774</v>
      </c>
      <c r="B3547" s="149" t="str">
        <f>IFERROR(VLOOKUP(Proc[[#This Row],[App]],Table2[],3,0),"open")</f>
        <v>ok</v>
      </c>
      <c r="C3547" s="138" t="s">
        <v>369</v>
      </c>
      <c r="D3547" t="s">
        <v>2057</v>
      </c>
      <c r="E3547" t="s">
        <v>3556</v>
      </c>
      <c r="F3547" s="129" t="s">
        <v>3556</v>
      </c>
      <c r="G3547" s="135" t="s">
        <v>406</v>
      </c>
      <c r="H3547" s="129" t="str">
        <f>IF(Proc[[#This Row],[type]]="LFF (MDG-F)",MID(Proc[[#This Row],[Obj]],13,10),"")</f>
        <v>2123OF0029</v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LS</v>
      </c>
      <c r="L3547" s="129" t="s">
        <v>4894</v>
      </c>
      <c r="M3547" s="131">
        <v>45894</v>
      </c>
      <c r="N3547" s="131"/>
      <c r="O3547" s="131"/>
      <c r="P3547" s="131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73</v>
      </c>
      <c r="R3547" s="131" t="s">
        <v>489</v>
      </c>
      <c r="S3547" s="129"/>
    </row>
    <row r="3548" spans="1:19" hidden="1">
      <c r="A3548" s="135" t="s">
        <v>5774</v>
      </c>
      <c r="B3548" s="149" t="str">
        <f>IFERROR(VLOOKUP(Proc[[#This Row],[App]],Table2[],3,0),"open")</f>
        <v>ok</v>
      </c>
      <c r="C3548" s="138" t="s">
        <v>369</v>
      </c>
      <c r="D3548" t="s">
        <v>2060</v>
      </c>
      <c r="E3548" t="s">
        <v>3556</v>
      </c>
      <c r="F3548" s="129" t="s">
        <v>3556</v>
      </c>
      <c r="G3548" s="135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LS</v>
      </c>
      <c r="L3548" s="129" t="s">
        <v>4894</v>
      </c>
      <c r="M3548" s="131">
        <v>45894</v>
      </c>
      <c r="N3548" s="131"/>
      <c r="O3548" s="131"/>
      <c r="P3548" s="130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73</v>
      </c>
      <c r="R3548" s="131" t="s">
        <v>489</v>
      </c>
      <c r="S3548" s="129"/>
    </row>
    <row r="3549" spans="1:19" hidden="1">
      <c r="A3549" s="135" t="s">
        <v>5774</v>
      </c>
      <c r="B3549" s="149" t="str">
        <f>IFERROR(VLOOKUP(Proc[[#This Row],[App]],Table2[],3,0),"open")</f>
        <v>ok</v>
      </c>
      <c r="C3549" s="138" t="s">
        <v>369</v>
      </c>
      <c r="D3549" t="s">
        <v>2058</v>
      </c>
      <c r="E3549" t="s">
        <v>3556</v>
      </c>
      <c r="F3549" s="129" t="s">
        <v>3556</v>
      </c>
      <c r="G3549" s="135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LS</v>
      </c>
      <c r="L3549" s="129" t="s">
        <v>4894</v>
      </c>
      <c r="M3549" s="131">
        <v>45894</v>
      </c>
      <c r="N3549" s="131"/>
      <c r="O3549" s="131"/>
      <c r="P3549" s="131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73</v>
      </c>
      <c r="R3549" s="131" t="s">
        <v>489</v>
      </c>
      <c r="S3549" s="129"/>
    </row>
    <row r="3550" spans="1:19" hidden="1">
      <c r="A3550" t="s">
        <v>5815</v>
      </c>
      <c r="B3550" s="149" t="str">
        <f>IFERROR(VLOOKUP(Proc[[#This Row],[App]],Table2[],3,0),"open")</f>
        <v>ok</v>
      </c>
      <c r="C3550" s="138" t="s">
        <v>369</v>
      </c>
      <c r="D3550" t="s">
        <v>5816</v>
      </c>
      <c r="E3550" t="s">
        <v>5848</v>
      </c>
      <c r="F3550" s="129" t="s">
        <v>5848</v>
      </c>
      <c r="G3550" s="135" t="s">
        <v>406</v>
      </c>
      <c r="H3550" s="129" t="str">
        <f>IF(Proc[[#This Row],[type]]="LFF (MDG-F)",MID(Proc[[#This Row],[Obj]],13,10),"")</f>
        <v>2123C00057</v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LS</v>
      </c>
      <c r="L3550" s="129" t="s">
        <v>4894</v>
      </c>
      <c r="M3550" s="131">
        <v>45895</v>
      </c>
      <c r="N3550" s="131"/>
      <c r="O3550" s="131"/>
      <c r="P3550" s="131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72</v>
      </c>
      <c r="R3550" s="131" t="s">
        <v>489</v>
      </c>
      <c r="S3550" s="129"/>
    </row>
    <row r="3551" spans="1:19" hidden="1">
      <c r="A3551" s="135" t="s">
        <v>5815</v>
      </c>
      <c r="B3551" s="149" t="str">
        <f>IFERROR(VLOOKUP(Proc[[#This Row],[App]],Table2[],3,0),"open")</f>
        <v>ok</v>
      </c>
      <c r="C3551" s="138" t="s">
        <v>369</v>
      </c>
      <c r="D3551" t="s">
        <v>5817</v>
      </c>
      <c r="E3551" t="s">
        <v>5848</v>
      </c>
      <c r="F3551" s="129" t="s">
        <v>5848</v>
      </c>
      <c r="G3551" s="135" t="s">
        <v>400</v>
      </c>
      <c r="H3551" s="129"/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LS</v>
      </c>
      <c r="L3551" s="129" t="s">
        <v>4894</v>
      </c>
      <c r="M3551" s="131">
        <v>45895</v>
      </c>
      <c r="N3551" s="131"/>
      <c r="O3551" s="131"/>
      <c r="P3551" s="131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72</v>
      </c>
      <c r="R3551" s="131" t="s">
        <v>489</v>
      </c>
      <c r="S3551" s="129"/>
    </row>
    <row r="3552" spans="1:19" hidden="1">
      <c r="A3552" s="135" t="s">
        <v>5815</v>
      </c>
      <c r="B3552" s="149" t="str">
        <f>IFERROR(VLOOKUP(Proc[[#This Row],[App]],Table2[],3,0),"open")</f>
        <v>ok</v>
      </c>
      <c r="C3552" s="138" t="s">
        <v>369</v>
      </c>
      <c r="D3552" t="s">
        <v>5818</v>
      </c>
      <c r="E3552" t="s">
        <v>5849</v>
      </c>
      <c r="F3552" s="129" t="s">
        <v>5849</v>
      </c>
      <c r="G3552" s="135" t="s">
        <v>400</v>
      </c>
      <c r="H3552" s="129"/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LS</v>
      </c>
      <c r="L3552" s="129" t="s">
        <v>4894</v>
      </c>
      <c r="M3552" s="131">
        <v>45895</v>
      </c>
      <c r="N3552" s="131"/>
      <c r="O3552" s="131"/>
      <c r="P3552" s="131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72</v>
      </c>
      <c r="R3552" s="131" t="s">
        <v>489</v>
      </c>
      <c r="S3552" s="129"/>
    </row>
    <row r="3553" spans="1:19" hidden="1">
      <c r="A3553" s="135" t="s">
        <v>5815</v>
      </c>
      <c r="B3553" s="149" t="str">
        <f>IFERROR(VLOOKUP(Proc[[#This Row],[App]],Table2[],3,0),"open")</f>
        <v>ok</v>
      </c>
      <c r="C3553" s="138" t="s">
        <v>369</v>
      </c>
      <c r="D3553" t="s">
        <v>5819</v>
      </c>
      <c r="E3553" t="s">
        <v>5850</v>
      </c>
      <c r="F3553" s="129" t="s">
        <v>5850</v>
      </c>
      <c r="G3553" s="135" t="s">
        <v>400</v>
      </c>
      <c r="H3553" s="129"/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LS</v>
      </c>
      <c r="L3553" s="129" t="s">
        <v>4894</v>
      </c>
      <c r="M3553" s="131">
        <v>45895</v>
      </c>
      <c r="N3553" s="131"/>
      <c r="O3553" s="131"/>
      <c r="P3553" s="131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72</v>
      </c>
      <c r="R3553" s="131" t="s">
        <v>489</v>
      </c>
      <c r="S3553" s="129"/>
    </row>
    <row r="3554" spans="1:19" hidden="1">
      <c r="A3554" s="135" t="s">
        <v>5815</v>
      </c>
      <c r="B3554" s="149" t="str">
        <f>IFERROR(VLOOKUP(Proc[[#This Row],[App]],Table2[],3,0),"open")</f>
        <v>ok</v>
      </c>
      <c r="C3554" s="138" t="s">
        <v>369</v>
      </c>
      <c r="D3554" t="s">
        <v>5820</v>
      </c>
      <c r="E3554" t="s">
        <v>5850</v>
      </c>
      <c r="F3554" s="129" t="s">
        <v>5850</v>
      </c>
      <c r="G3554" s="135" t="s">
        <v>400</v>
      </c>
      <c r="H3554" s="129"/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LS</v>
      </c>
      <c r="L3554" s="129" t="s">
        <v>4894</v>
      </c>
      <c r="M3554" s="131">
        <v>45895</v>
      </c>
      <c r="N3554" s="131"/>
      <c r="O3554" s="131"/>
      <c r="P3554" s="131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72</v>
      </c>
      <c r="R3554" s="131" t="s">
        <v>489</v>
      </c>
      <c r="S3554" s="129"/>
    </row>
    <row r="3555" spans="1:19" hidden="1">
      <c r="A3555" s="135" t="s">
        <v>5815</v>
      </c>
      <c r="B3555" s="149" t="str">
        <f>IFERROR(VLOOKUP(Proc[[#This Row],[App]],Table2[],3,0),"open")</f>
        <v>ok</v>
      </c>
      <c r="C3555" s="138" t="s">
        <v>369</v>
      </c>
      <c r="D3555" t="s">
        <v>5821</v>
      </c>
      <c r="E3555" t="s">
        <v>5850</v>
      </c>
      <c r="F3555" s="129" t="s">
        <v>5850</v>
      </c>
      <c r="G3555" s="135" t="s">
        <v>400</v>
      </c>
      <c r="H3555" s="129"/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LS</v>
      </c>
      <c r="L3555" s="129" t="s">
        <v>4894</v>
      </c>
      <c r="M3555" s="131">
        <v>45895</v>
      </c>
      <c r="N3555" s="131"/>
      <c r="O3555" s="131"/>
      <c r="P3555" s="131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72</v>
      </c>
      <c r="R3555" s="131" t="s">
        <v>489</v>
      </c>
      <c r="S3555" s="129"/>
    </row>
    <row r="3556" spans="1:19" hidden="1">
      <c r="A3556" s="135" t="s">
        <v>5815</v>
      </c>
      <c r="B3556" s="149" t="str">
        <f>IFERROR(VLOOKUP(Proc[[#This Row],[App]],Table2[],3,0),"open")</f>
        <v>ok</v>
      </c>
      <c r="C3556" s="138" t="s">
        <v>369</v>
      </c>
      <c r="D3556" t="s">
        <v>5822</v>
      </c>
      <c r="E3556" t="s">
        <v>5850</v>
      </c>
      <c r="F3556" s="129" t="s">
        <v>5850</v>
      </c>
      <c r="G3556" s="135" t="s">
        <v>400</v>
      </c>
      <c r="H3556" s="129"/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LS</v>
      </c>
      <c r="L3556" s="129" t="s">
        <v>4894</v>
      </c>
      <c r="M3556" s="131">
        <v>45895</v>
      </c>
      <c r="N3556" s="131"/>
      <c r="O3556" s="131"/>
      <c r="P3556" s="131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72</v>
      </c>
      <c r="R3556" s="131" t="s">
        <v>489</v>
      </c>
      <c r="S3556" s="129"/>
    </row>
    <row r="3557" spans="1:19" hidden="1">
      <c r="A3557" s="135" t="s">
        <v>5815</v>
      </c>
      <c r="B3557" s="149" t="str">
        <f>IFERROR(VLOOKUP(Proc[[#This Row],[App]],Table2[],3,0),"open")</f>
        <v>ok</v>
      </c>
      <c r="C3557" s="138" t="s">
        <v>369</v>
      </c>
      <c r="D3557" t="s">
        <v>5823</v>
      </c>
      <c r="E3557" t="s">
        <v>5850</v>
      </c>
      <c r="F3557" s="129" t="s">
        <v>5850</v>
      </c>
      <c r="G3557" s="135" t="s">
        <v>400</v>
      </c>
      <c r="H3557" s="129"/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LS</v>
      </c>
      <c r="L3557" s="129" t="s">
        <v>4894</v>
      </c>
      <c r="M3557" s="131">
        <v>45895</v>
      </c>
      <c r="N3557" s="131"/>
      <c r="O3557" s="131"/>
      <c r="P3557" s="131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72</v>
      </c>
      <c r="R3557" s="131" t="s">
        <v>489</v>
      </c>
      <c r="S3557" s="129"/>
    </row>
    <row r="3558" spans="1:19" hidden="1">
      <c r="A3558" s="135" t="s">
        <v>5815</v>
      </c>
      <c r="B3558" s="149" t="str">
        <f>IFERROR(VLOOKUP(Proc[[#This Row],[App]],Table2[],3,0),"open")</f>
        <v>ok</v>
      </c>
      <c r="C3558" s="138" t="s">
        <v>369</v>
      </c>
      <c r="D3558" t="s">
        <v>5824</v>
      </c>
      <c r="E3558" t="s">
        <v>5850</v>
      </c>
      <c r="F3558" s="129" t="s">
        <v>5850</v>
      </c>
      <c r="G3558" s="135" t="s">
        <v>400</v>
      </c>
      <c r="H3558" s="129"/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LS</v>
      </c>
      <c r="L3558" s="129" t="s">
        <v>4894</v>
      </c>
      <c r="M3558" s="131">
        <v>45895</v>
      </c>
      <c r="N3558" s="131"/>
      <c r="O3558" s="131"/>
      <c r="P3558" s="131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72</v>
      </c>
      <c r="R3558" s="131" t="s">
        <v>489</v>
      </c>
      <c r="S3558" s="129"/>
    </row>
    <row r="3559" spans="1:19" hidden="1">
      <c r="A3559" s="135" t="s">
        <v>5815</v>
      </c>
      <c r="B3559" s="149" t="str">
        <f>IFERROR(VLOOKUP(Proc[[#This Row],[App]],Table2[],3,0),"open")</f>
        <v>ok</v>
      </c>
      <c r="C3559" s="138" t="s">
        <v>369</v>
      </c>
      <c r="D3559" t="s">
        <v>5825</v>
      </c>
      <c r="E3559" t="s">
        <v>5850</v>
      </c>
      <c r="F3559" s="129" t="s">
        <v>5850</v>
      </c>
      <c r="G3559" s="135" t="s">
        <v>400</v>
      </c>
      <c r="H3559" s="129"/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LS</v>
      </c>
      <c r="L3559" s="129" t="s">
        <v>4894</v>
      </c>
      <c r="M3559" s="131">
        <v>45895</v>
      </c>
      <c r="N3559" s="131"/>
      <c r="O3559" s="131"/>
      <c r="P3559" s="131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72</v>
      </c>
      <c r="R3559" s="131" t="s">
        <v>489</v>
      </c>
      <c r="S3559" s="129"/>
    </row>
    <row r="3560" spans="1:19" hidden="1">
      <c r="A3560" s="135" t="s">
        <v>5815</v>
      </c>
      <c r="B3560" s="149" t="str">
        <f>IFERROR(VLOOKUP(Proc[[#This Row],[App]],Table2[],3,0),"open")</f>
        <v>ok</v>
      </c>
      <c r="C3560" s="138" t="s">
        <v>369</v>
      </c>
      <c r="D3560" t="s">
        <v>5826</v>
      </c>
      <c r="E3560" t="s">
        <v>5850</v>
      </c>
      <c r="F3560" s="129" t="s">
        <v>5850</v>
      </c>
      <c r="G3560" s="135" t="s">
        <v>400</v>
      </c>
      <c r="H3560" s="129"/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LS</v>
      </c>
      <c r="L3560" s="129" t="s">
        <v>4894</v>
      </c>
      <c r="M3560" s="131">
        <v>45895</v>
      </c>
      <c r="N3560" s="131"/>
      <c r="O3560" s="131"/>
      <c r="P3560" s="131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72</v>
      </c>
      <c r="R3560" s="131" t="s">
        <v>489</v>
      </c>
      <c r="S3560" s="129"/>
    </row>
    <row r="3561" spans="1:19" hidden="1">
      <c r="A3561" s="135" t="s">
        <v>5815</v>
      </c>
      <c r="B3561" s="149" t="str">
        <f>IFERROR(VLOOKUP(Proc[[#This Row],[App]],Table2[],3,0),"open")</f>
        <v>ok</v>
      </c>
      <c r="C3561" s="138" t="s">
        <v>369</v>
      </c>
      <c r="D3561" t="s">
        <v>5827</v>
      </c>
      <c r="E3561" t="s">
        <v>5850</v>
      </c>
      <c r="F3561" s="129" t="s">
        <v>5850</v>
      </c>
      <c r="G3561" s="135" t="s">
        <v>400</v>
      </c>
      <c r="H3561" s="129"/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LS</v>
      </c>
      <c r="L3561" s="129" t="s">
        <v>4894</v>
      </c>
      <c r="M3561" s="131">
        <v>45895</v>
      </c>
      <c r="N3561" s="131"/>
      <c r="O3561" s="131"/>
      <c r="P3561" s="131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72</v>
      </c>
      <c r="R3561" s="131" t="s">
        <v>489</v>
      </c>
      <c r="S3561" s="129"/>
    </row>
    <row r="3562" spans="1:19" hidden="1">
      <c r="A3562" s="135" t="s">
        <v>5815</v>
      </c>
      <c r="B3562" s="149" t="str">
        <f>IFERROR(VLOOKUP(Proc[[#This Row],[App]],Table2[],3,0),"open")</f>
        <v>ok</v>
      </c>
      <c r="C3562" s="138" t="s">
        <v>369</v>
      </c>
      <c r="D3562" t="s">
        <v>5828</v>
      </c>
      <c r="E3562" t="s">
        <v>5850</v>
      </c>
      <c r="F3562" s="129" t="s">
        <v>5850</v>
      </c>
      <c r="G3562" s="135" t="s">
        <v>400</v>
      </c>
      <c r="H3562" s="129"/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LS</v>
      </c>
      <c r="L3562" s="129" t="s">
        <v>4894</v>
      </c>
      <c r="M3562" s="131">
        <v>45895</v>
      </c>
      <c r="N3562" s="131"/>
      <c r="O3562" s="131"/>
      <c r="P3562" s="131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72</v>
      </c>
      <c r="R3562" s="131" t="s">
        <v>489</v>
      </c>
      <c r="S3562" s="129"/>
    </row>
    <row r="3563" spans="1:19" hidden="1">
      <c r="A3563" s="135" t="s">
        <v>5815</v>
      </c>
      <c r="B3563" s="149" t="str">
        <f>IFERROR(VLOOKUP(Proc[[#This Row],[App]],Table2[],3,0),"open")</f>
        <v>ok</v>
      </c>
      <c r="C3563" s="138" t="s">
        <v>369</v>
      </c>
      <c r="D3563" t="s">
        <v>5829</v>
      </c>
      <c r="E3563" t="s">
        <v>5850</v>
      </c>
      <c r="F3563" s="129" t="s">
        <v>5850</v>
      </c>
      <c r="G3563" s="135" t="s">
        <v>400</v>
      </c>
      <c r="H3563" s="129"/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LS</v>
      </c>
      <c r="L3563" s="129" t="s">
        <v>4894</v>
      </c>
      <c r="M3563" s="131">
        <v>45895</v>
      </c>
      <c r="N3563" s="131"/>
      <c r="O3563" s="131"/>
      <c r="P3563" s="131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72</v>
      </c>
      <c r="R3563" s="131" t="s">
        <v>489</v>
      </c>
      <c r="S3563" s="129"/>
    </row>
    <row r="3564" spans="1:19" hidden="1">
      <c r="A3564" s="135" t="s">
        <v>5815</v>
      </c>
      <c r="B3564" s="149" t="str">
        <f>IFERROR(VLOOKUP(Proc[[#This Row],[App]],Table2[],3,0),"open")</f>
        <v>ok</v>
      </c>
      <c r="C3564" s="138" t="s">
        <v>369</v>
      </c>
      <c r="D3564" t="s">
        <v>5830</v>
      </c>
      <c r="E3564" t="s">
        <v>5850</v>
      </c>
      <c r="F3564" s="129" t="s">
        <v>5850</v>
      </c>
      <c r="G3564" s="135" t="s">
        <v>400</v>
      </c>
      <c r="H3564" s="129"/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LS</v>
      </c>
      <c r="L3564" s="129" t="s">
        <v>4894</v>
      </c>
      <c r="M3564" s="131">
        <v>45895</v>
      </c>
      <c r="N3564" s="131"/>
      <c r="O3564" s="131"/>
      <c r="P3564" s="131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72</v>
      </c>
      <c r="R3564" s="131" t="s">
        <v>489</v>
      </c>
      <c r="S3564" s="129"/>
    </row>
    <row r="3565" spans="1:19" hidden="1">
      <c r="A3565" s="135" t="s">
        <v>5815</v>
      </c>
      <c r="B3565" s="149" t="str">
        <f>IFERROR(VLOOKUP(Proc[[#This Row],[App]],Table2[],3,0),"open")</f>
        <v>ok</v>
      </c>
      <c r="C3565" s="138" t="s">
        <v>369</v>
      </c>
      <c r="D3565" t="s">
        <v>5831</v>
      </c>
      <c r="E3565" t="s">
        <v>5850</v>
      </c>
      <c r="F3565" s="129" t="s">
        <v>5850</v>
      </c>
      <c r="G3565" s="135" t="s">
        <v>400</v>
      </c>
      <c r="H3565" s="129"/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LS</v>
      </c>
      <c r="L3565" s="129" t="s">
        <v>4894</v>
      </c>
      <c r="M3565" s="131">
        <v>45895</v>
      </c>
      <c r="N3565" s="131"/>
      <c r="O3565" s="131"/>
      <c r="P3565" s="131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72</v>
      </c>
      <c r="R3565" s="131" t="s">
        <v>489</v>
      </c>
      <c r="S3565" s="129"/>
    </row>
    <row r="3566" spans="1:19" hidden="1">
      <c r="A3566" s="135" t="s">
        <v>5815</v>
      </c>
      <c r="B3566" s="149" t="str">
        <f>IFERROR(VLOOKUP(Proc[[#This Row],[App]],Table2[],3,0),"open")</f>
        <v>ok</v>
      </c>
      <c r="C3566" s="138" t="s">
        <v>369</v>
      </c>
      <c r="D3566" t="s">
        <v>5832</v>
      </c>
      <c r="E3566" t="s">
        <v>5850</v>
      </c>
      <c r="F3566" s="129" t="s">
        <v>5850</v>
      </c>
      <c r="G3566" s="135" t="s">
        <v>400</v>
      </c>
      <c r="H3566" s="129"/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LS</v>
      </c>
      <c r="L3566" s="129" t="s">
        <v>4894</v>
      </c>
      <c r="M3566" s="131">
        <v>45895</v>
      </c>
      <c r="N3566" s="131"/>
      <c r="O3566" s="131"/>
      <c r="P3566" s="131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72</v>
      </c>
      <c r="R3566" s="131" t="s">
        <v>489</v>
      </c>
      <c r="S3566" s="129"/>
    </row>
    <row r="3567" spans="1:19" hidden="1">
      <c r="A3567" s="135" t="s">
        <v>5815</v>
      </c>
      <c r="B3567" s="149" t="str">
        <f>IFERROR(VLOOKUP(Proc[[#This Row],[App]],Table2[],3,0),"open")</f>
        <v>ok</v>
      </c>
      <c r="C3567" s="138" t="s">
        <v>369</v>
      </c>
      <c r="D3567" t="s">
        <v>5824</v>
      </c>
      <c r="E3567" t="s">
        <v>5850</v>
      </c>
      <c r="F3567" s="129" t="s">
        <v>5850</v>
      </c>
      <c r="G3567" s="135" t="s">
        <v>400</v>
      </c>
      <c r="H3567" s="129"/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LS</v>
      </c>
      <c r="L3567" s="129" t="s">
        <v>4894</v>
      </c>
      <c r="M3567" s="131">
        <v>45895</v>
      </c>
      <c r="N3567" s="131"/>
      <c r="O3567" s="131"/>
      <c r="P3567" s="131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72</v>
      </c>
      <c r="R3567" s="131" t="s">
        <v>489</v>
      </c>
      <c r="S3567" s="129"/>
    </row>
    <row r="3568" spans="1:19" hidden="1">
      <c r="A3568" s="135" t="s">
        <v>5815</v>
      </c>
      <c r="B3568" s="149" t="str">
        <f>IFERROR(VLOOKUP(Proc[[#This Row],[App]],Table2[],3,0),"open")</f>
        <v>ok</v>
      </c>
      <c r="C3568" s="138" t="s">
        <v>369</v>
      </c>
      <c r="D3568" t="s">
        <v>5833</v>
      </c>
      <c r="E3568" t="s">
        <v>5850</v>
      </c>
      <c r="F3568" s="129" t="s">
        <v>5850</v>
      </c>
      <c r="G3568" s="135" t="s">
        <v>400</v>
      </c>
      <c r="H3568" s="129"/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LS</v>
      </c>
      <c r="L3568" s="129" t="s">
        <v>4894</v>
      </c>
      <c r="M3568" s="131">
        <v>45895</v>
      </c>
      <c r="N3568" s="131"/>
      <c r="O3568" s="131"/>
      <c r="P3568" s="131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72</v>
      </c>
      <c r="R3568" s="131" t="s">
        <v>489</v>
      </c>
      <c r="S3568" s="129"/>
    </row>
    <row r="3569" spans="1:19" hidden="1">
      <c r="A3569" s="135" t="s">
        <v>5815</v>
      </c>
      <c r="B3569" s="149" t="str">
        <f>IFERROR(VLOOKUP(Proc[[#This Row],[App]],Table2[],3,0),"open")</f>
        <v>ok</v>
      </c>
      <c r="C3569" s="138" t="s">
        <v>369</v>
      </c>
      <c r="D3569" t="s">
        <v>5834</v>
      </c>
      <c r="E3569" t="s">
        <v>5850</v>
      </c>
      <c r="F3569" s="129" t="s">
        <v>5850</v>
      </c>
      <c r="G3569" s="135" t="s">
        <v>400</v>
      </c>
      <c r="H3569" s="129"/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LS</v>
      </c>
      <c r="L3569" s="129" t="s">
        <v>4894</v>
      </c>
      <c r="M3569" s="131">
        <v>45895</v>
      </c>
      <c r="N3569" s="131"/>
      <c r="O3569" s="131"/>
      <c r="P3569" s="131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72</v>
      </c>
      <c r="R3569" s="131" t="s">
        <v>489</v>
      </c>
      <c r="S3569" s="129"/>
    </row>
    <row r="3570" spans="1:19" hidden="1">
      <c r="A3570" s="135" t="s">
        <v>5815</v>
      </c>
      <c r="B3570" s="149" t="str">
        <f>IFERROR(VLOOKUP(Proc[[#This Row],[App]],Table2[],3,0),"open")</f>
        <v>ok</v>
      </c>
      <c r="C3570" s="138" t="s">
        <v>369</v>
      </c>
      <c r="D3570" t="s">
        <v>5835</v>
      </c>
      <c r="E3570" t="s">
        <v>5851</v>
      </c>
      <c r="F3570" s="129" t="s">
        <v>5851</v>
      </c>
      <c r="G3570" s="135" t="s">
        <v>400</v>
      </c>
      <c r="H3570" s="129"/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LS</v>
      </c>
      <c r="L3570" s="129" t="s">
        <v>4894</v>
      </c>
      <c r="M3570" s="131">
        <v>45895</v>
      </c>
      <c r="N3570" s="131"/>
      <c r="O3570" s="131"/>
      <c r="P3570" s="131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72</v>
      </c>
      <c r="R3570" s="131" t="s">
        <v>489</v>
      </c>
      <c r="S3570" s="129"/>
    </row>
    <row r="3571" spans="1:19" hidden="1">
      <c r="A3571" s="135" t="s">
        <v>5815</v>
      </c>
      <c r="B3571" s="149" t="str">
        <f>IFERROR(VLOOKUP(Proc[[#This Row],[App]],Table2[],3,0),"open")</f>
        <v>ok</v>
      </c>
      <c r="C3571" s="138" t="s">
        <v>369</v>
      </c>
      <c r="D3571" t="s">
        <v>5836</v>
      </c>
      <c r="E3571" t="s">
        <v>5852</v>
      </c>
      <c r="F3571" s="129" t="s">
        <v>5852</v>
      </c>
      <c r="G3571" s="135" t="s">
        <v>400</v>
      </c>
      <c r="H3571" s="129"/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LS</v>
      </c>
      <c r="L3571" s="129" t="s">
        <v>4894</v>
      </c>
      <c r="M3571" s="131">
        <v>45895</v>
      </c>
      <c r="N3571" s="131"/>
      <c r="O3571" s="131"/>
      <c r="P3571" s="131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72</v>
      </c>
      <c r="R3571" s="131" t="s">
        <v>489</v>
      </c>
      <c r="S3571" s="129"/>
    </row>
    <row r="3572" spans="1:19" hidden="1">
      <c r="A3572" s="135" t="s">
        <v>5815</v>
      </c>
      <c r="B3572" s="149" t="str">
        <f>IFERROR(VLOOKUP(Proc[[#This Row],[App]],Table2[],3,0),"open")</f>
        <v>ok</v>
      </c>
      <c r="C3572" s="138" t="s">
        <v>369</v>
      </c>
      <c r="D3572" t="s">
        <v>5837</v>
      </c>
      <c r="E3572" t="s">
        <v>5850</v>
      </c>
      <c r="F3572" s="129" t="s">
        <v>5850</v>
      </c>
      <c r="G3572" s="135" t="s">
        <v>400</v>
      </c>
      <c r="H3572" s="129"/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LS</v>
      </c>
      <c r="L3572" s="129" t="s">
        <v>4894</v>
      </c>
      <c r="M3572" s="131">
        <v>45895</v>
      </c>
      <c r="N3572" s="131"/>
      <c r="O3572" s="131"/>
      <c r="P3572" s="131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72</v>
      </c>
      <c r="R3572" s="131" t="s">
        <v>489</v>
      </c>
      <c r="S3572" s="129"/>
    </row>
    <row r="3573" spans="1:19" hidden="1">
      <c r="A3573" s="135" t="s">
        <v>5815</v>
      </c>
      <c r="B3573" s="149" t="str">
        <f>IFERROR(VLOOKUP(Proc[[#This Row],[App]],Table2[],3,0),"open")</f>
        <v>ok</v>
      </c>
      <c r="C3573" s="138" t="s">
        <v>369</v>
      </c>
      <c r="D3573" t="s">
        <v>5838</v>
      </c>
      <c r="E3573" t="s">
        <v>5850</v>
      </c>
      <c r="F3573" s="129" t="s">
        <v>5850</v>
      </c>
      <c r="G3573" s="135" t="s">
        <v>400</v>
      </c>
      <c r="H3573" s="129"/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LS</v>
      </c>
      <c r="L3573" s="129" t="s">
        <v>4894</v>
      </c>
      <c r="M3573" s="131">
        <v>45895</v>
      </c>
      <c r="N3573" s="131"/>
      <c r="O3573" s="131"/>
      <c r="P3573" s="131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72</v>
      </c>
      <c r="R3573" s="131" t="s">
        <v>489</v>
      </c>
      <c r="S3573" s="129"/>
    </row>
    <row r="3574" spans="1:19" hidden="1">
      <c r="A3574" s="135" t="s">
        <v>5815</v>
      </c>
      <c r="B3574" s="149" t="str">
        <f>IFERROR(VLOOKUP(Proc[[#This Row],[App]],Table2[],3,0),"open")</f>
        <v>ok</v>
      </c>
      <c r="C3574" s="138" t="s">
        <v>369</v>
      </c>
      <c r="D3574" t="s">
        <v>5828</v>
      </c>
      <c r="E3574" t="s">
        <v>5850</v>
      </c>
      <c r="F3574" s="129" t="s">
        <v>5850</v>
      </c>
      <c r="G3574" s="135" t="s">
        <v>400</v>
      </c>
      <c r="H3574" s="129"/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LS</v>
      </c>
      <c r="L3574" s="129" t="s">
        <v>4894</v>
      </c>
      <c r="M3574" s="131">
        <v>45895</v>
      </c>
      <c r="N3574" s="131"/>
      <c r="O3574" s="131"/>
      <c r="P3574" s="131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72</v>
      </c>
      <c r="R3574" s="131" t="s">
        <v>489</v>
      </c>
      <c r="S3574" s="129"/>
    </row>
    <row r="3575" spans="1:19" hidden="1">
      <c r="A3575" s="135" t="s">
        <v>5815</v>
      </c>
      <c r="B3575" s="149" t="str">
        <f>IFERROR(VLOOKUP(Proc[[#This Row],[App]],Table2[],3,0),"open")</f>
        <v>ok</v>
      </c>
      <c r="C3575" s="138" t="s">
        <v>369</v>
      </c>
      <c r="D3575" t="s">
        <v>5839</v>
      </c>
      <c r="E3575" t="s">
        <v>5850</v>
      </c>
      <c r="F3575" s="129" t="s">
        <v>5850</v>
      </c>
      <c r="G3575" s="135" t="s">
        <v>406</v>
      </c>
      <c r="H3575" s="129" t="str">
        <f>IF(Proc[[#This Row],[type]]="LFF (MDG-F)",MID(Proc[[#This Row],[Obj]],13,10),"")</f>
        <v>2025C03513</v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LS</v>
      </c>
      <c r="L3575" s="129" t="s">
        <v>4894</v>
      </c>
      <c r="M3575" s="131">
        <v>45895</v>
      </c>
      <c r="N3575" s="131"/>
      <c r="O3575" s="131"/>
      <c r="P3575" s="131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72</v>
      </c>
      <c r="R3575" s="131" t="s">
        <v>489</v>
      </c>
      <c r="S3575" s="129"/>
    </row>
    <row r="3576" spans="1:19" hidden="1">
      <c r="A3576" s="135" t="s">
        <v>5815</v>
      </c>
      <c r="B3576" s="149" t="str">
        <f>IFERROR(VLOOKUP(Proc[[#This Row],[App]],Table2[],3,0),"open")</f>
        <v>ok</v>
      </c>
      <c r="C3576" s="138" t="s">
        <v>369</v>
      </c>
      <c r="D3576" t="s">
        <v>5840</v>
      </c>
      <c r="E3576" t="s">
        <v>5850</v>
      </c>
      <c r="F3576" s="129" t="s">
        <v>5850</v>
      </c>
      <c r="G3576" s="135" t="s">
        <v>400</v>
      </c>
      <c r="H3576" s="129"/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LS</v>
      </c>
      <c r="L3576" s="129" t="s">
        <v>4894</v>
      </c>
      <c r="M3576" s="131">
        <v>45895</v>
      </c>
      <c r="N3576" s="131"/>
      <c r="O3576" s="131"/>
      <c r="P3576" s="131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72</v>
      </c>
      <c r="R3576" s="131" t="s">
        <v>489</v>
      </c>
      <c r="S3576" s="129"/>
    </row>
    <row r="3577" spans="1:19" hidden="1">
      <c r="A3577" s="135" t="s">
        <v>5815</v>
      </c>
      <c r="B3577" s="149" t="str">
        <f>IFERROR(VLOOKUP(Proc[[#This Row],[App]],Table2[],3,0),"open")</f>
        <v>ok</v>
      </c>
      <c r="C3577" s="138" t="s">
        <v>369</v>
      </c>
      <c r="D3577" t="s">
        <v>5830</v>
      </c>
      <c r="E3577" t="s">
        <v>5850</v>
      </c>
      <c r="F3577" s="129" t="s">
        <v>5850</v>
      </c>
      <c r="G3577" s="135" t="s">
        <v>400</v>
      </c>
      <c r="H3577" s="129"/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LS</v>
      </c>
      <c r="L3577" s="129" t="s">
        <v>4894</v>
      </c>
      <c r="M3577" s="131">
        <v>45895</v>
      </c>
      <c r="N3577" s="131"/>
      <c r="O3577" s="131"/>
      <c r="P3577" s="131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72</v>
      </c>
      <c r="R3577" s="131" t="s">
        <v>489</v>
      </c>
      <c r="S3577" s="129"/>
    </row>
    <row r="3578" spans="1:19" hidden="1">
      <c r="A3578" s="135" t="s">
        <v>5815</v>
      </c>
      <c r="B3578" s="149" t="str">
        <f>IFERROR(VLOOKUP(Proc[[#This Row],[App]],Table2[],3,0),"open")</f>
        <v>ok</v>
      </c>
      <c r="C3578" s="138" t="s">
        <v>369</v>
      </c>
      <c r="D3578" t="s">
        <v>5841</v>
      </c>
      <c r="E3578" t="s">
        <v>5850</v>
      </c>
      <c r="F3578" s="129" t="s">
        <v>5850</v>
      </c>
      <c r="G3578" s="135" t="s">
        <v>400</v>
      </c>
      <c r="H3578" s="129"/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LS</v>
      </c>
      <c r="L3578" s="129" t="s">
        <v>4894</v>
      </c>
      <c r="M3578" s="131">
        <v>45895</v>
      </c>
      <c r="N3578" s="131"/>
      <c r="O3578" s="131"/>
      <c r="P3578" s="131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72</v>
      </c>
      <c r="R3578" s="131" t="s">
        <v>489</v>
      </c>
      <c r="S3578" s="129"/>
    </row>
    <row r="3579" spans="1:19" hidden="1">
      <c r="A3579" s="135" t="s">
        <v>5815</v>
      </c>
      <c r="B3579" s="149" t="str">
        <f>IFERROR(VLOOKUP(Proc[[#This Row],[App]],Table2[],3,0),"open")</f>
        <v>ok</v>
      </c>
      <c r="C3579" s="138" t="s">
        <v>369</v>
      </c>
      <c r="D3579" t="s">
        <v>5820</v>
      </c>
      <c r="E3579" t="s">
        <v>5850</v>
      </c>
      <c r="F3579" s="129" t="s">
        <v>5850</v>
      </c>
      <c r="G3579" s="135" t="s">
        <v>400</v>
      </c>
      <c r="H3579" s="129"/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LS</v>
      </c>
      <c r="L3579" s="129" t="s">
        <v>4894</v>
      </c>
      <c r="M3579" s="131">
        <v>45895</v>
      </c>
      <c r="N3579" s="131"/>
      <c r="O3579" s="131"/>
      <c r="P3579" s="131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72</v>
      </c>
      <c r="R3579" s="131" t="s">
        <v>489</v>
      </c>
      <c r="S3579" s="129"/>
    </row>
    <row r="3580" spans="1:19" hidden="1">
      <c r="A3580" s="135" t="s">
        <v>5815</v>
      </c>
      <c r="B3580" s="149" t="str">
        <f>IFERROR(VLOOKUP(Proc[[#This Row],[App]],Table2[],3,0),"open")</f>
        <v>ok</v>
      </c>
      <c r="C3580" s="138" t="s">
        <v>369</v>
      </c>
      <c r="D3580" t="s">
        <v>5842</v>
      </c>
      <c r="E3580" t="s">
        <v>5850</v>
      </c>
      <c r="F3580" s="129" t="s">
        <v>5850</v>
      </c>
      <c r="G3580" s="135" t="s">
        <v>400</v>
      </c>
      <c r="H3580" s="129"/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LS</v>
      </c>
      <c r="L3580" s="129" t="s">
        <v>4894</v>
      </c>
      <c r="M3580" s="131">
        <v>45895</v>
      </c>
      <c r="N3580" s="131"/>
      <c r="O3580" s="131"/>
      <c r="P3580" s="131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72</v>
      </c>
      <c r="R3580" s="131" t="s">
        <v>489</v>
      </c>
      <c r="S3580" s="129"/>
    </row>
    <row r="3581" spans="1:19" hidden="1">
      <c r="A3581" s="135" t="s">
        <v>5815</v>
      </c>
      <c r="B3581" s="149" t="str">
        <f>IFERROR(VLOOKUP(Proc[[#This Row],[App]],Table2[],3,0),"open")</f>
        <v>ok</v>
      </c>
      <c r="C3581" s="138" t="s">
        <v>369</v>
      </c>
      <c r="D3581" t="s">
        <v>5843</v>
      </c>
      <c r="E3581" t="s">
        <v>5850</v>
      </c>
      <c r="F3581" s="129" t="s">
        <v>5850</v>
      </c>
      <c r="G3581" s="135" t="s">
        <v>400</v>
      </c>
      <c r="H3581" s="129"/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LS</v>
      </c>
      <c r="L3581" s="129" t="s">
        <v>4894</v>
      </c>
      <c r="M3581" s="131">
        <v>45895</v>
      </c>
      <c r="N3581" s="131"/>
      <c r="O3581" s="131"/>
      <c r="P3581" s="131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72</v>
      </c>
      <c r="R3581" s="131" t="s">
        <v>489</v>
      </c>
      <c r="S3581" s="129"/>
    </row>
    <row r="3582" spans="1:19" hidden="1">
      <c r="A3582" s="135" t="s">
        <v>5815</v>
      </c>
      <c r="B3582" s="149" t="str">
        <f>IFERROR(VLOOKUP(Proc[[#This Row],[App]],Table2[],3,0),"open")</f>
        <v>ok</v>
      </c>
      <c r="C3582" s="138" t="s">
        <v>369</v>
      </c>
      <c r="D3582" t="s">
        <v>5844</v>
      </c>
      <c r="E3582" t="s">
        <v>5853</v>
      </c>
      <c r="F3582" s="129" t="s">
        <v>5853</v>
      </c>
      <c r="G3582" s="135" t="s">
        <v>400</v>
      </c>
      <c r="H3582" s="129"/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31">
        <v>45895</v>
      </c>
      <c r="N3582" s="131"/>
      <c r="O3582" s="131"/>
      <c r="P3582" s="131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72</v>
      </c>
      <c r="R3582" s="131" t="s">
        <v>489</v>
      </c>
      <c r="S3582" s="129"/>
    </row>
    <row r="3583" spans="1:19" hidden="1">
      <c r="A3583" s="135" t="s">
        <v>5815</v>
      </c>
      <c r="B3583" s="149" t="str">
        <f>IFERROR(VLOOKUP(Proc[[#This Row],[App]],Table2[],3,0),"open")</f>
        <v>ok</v>
      </c>
      <c r="C3583" s="138" t="s">
        <v>369</v>
      </c>
      <c r="D3583" t="s">
        <v>5845</v>
      </c>
      <c r="E3583" t="s">
        <v>5850</v>
      </c>
      <c r="F3583" s="129" t="s">
        <v>5850</v>
      </c>
      <c r="G3583" s="135" t="s">
        <v>400</v>
      </c>
      <c r="H3583" s="129"/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LS</v>
      </c>
      <c r="L3583" s="129" t="s">
        <v>4894</v>
      </c>
      <c r="M3583" s="131">
        <v>45895</v>
      </c>
      <c r="N3583" s="131"/>
      <c r="O3583" s="131"/>
      <c r="P3583" s="131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72</v>
      </c>
      <c r="R3583" s="131" t="s">
        <v>489</v>
      </c>
      <c r="S3583" s="129"/>
    </row>
    <row r="3584" spans="1:19" hidden="1">
      <c r="A3584" s="135" t="s">
        <v>5815</v>
      </c>
      <c r="B3584" s="149" t="str">
        <f>IFERROR(VLOOKUP(Proc[[#This Row],[App]],Table2[],3,0),"open")</f>
        <v>ok</v>
      </c>
      <c r="C3584" s="138" t="s">
        <v>369</v>
      </c>
      <c r="D3584" t="s">
        <v>5846</v>
      </c>
      <c r="E3584" t="s">
        <v>5854</v>
      </c>
      <c r="F3584" s="129" t="s">
        <v>5854</v>
      </c>
      <c r="G3584" s="135" t="s">
        <v>400</v>
      </c>
      <c r="H3584" s="129"/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LS</v>
      </c>
      <c r="L3584" s="129" t="s">
        <v>4894</v>
      </c>
      <c r="M3584" s="131">
        <v>45895</v>
      </c>
      <c r="N3584" s="131"/>
      <c r="O3584" s="131"/>
      <c r="P3584" s="131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72</v>
      </c>
      <c r="R3584" s="131" t="s">
        <v>489</v>
      </c>
      <c r="S3584" s="129"/>
    </row>
    <row r="3585" spans="1:19" hidden="1">
      <c r="A3585" s="135" t="s">
        <v>5815</v>
      </c>
      <c r="B3585" s="149" t="str">
        <f>IFERROR(VLOOKUP(Proc[[#This Row],[App]],Table2[],3,0),"open")</f>
        <v>ok</v>
      </c>
      <c r="C3585" s="138" t="s">
        <v>369</v>
      </c>
      <c r="D3585" t="s">
        <v>5847</v>
      </c>
      <c r="E3585" t="s">
        <v>5854</v>
      </c>
      <c r="F3585" s="129" t="s">
        <v>5854</v>
      </c>
      <c r="G3585" s="135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LS</v>
      </c>
      <c r="L3585" s="129" t="s">
        <v>4894</v>
      </c>
      <c r="M3585" s="131">
        <v>45895</v>
      </c>
      <c r="N3585" s="131"/>
      <c r="O3585" s="131"/>
      <c r="P3585" s="136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72</v>
      </c>
      <c r="R3585" s="131" t="s">
        <v>489</v>
      </c>
      <c r="S3585" s="129"/>
    </row>
    <row r="3586" spans="1:19" hidden="1">
      <c r="A3586" t="s">
        <v>5855</v>
      </c>
      <c r="B3586" s="149" t="str">
        <f>IFERROR(VLOOKUP(Proc[[#This Row],[App]],Table2[],3,0),"open")</f>
        <v>ok</v>
      </c>
      <c r="C3586" s="135" t="s">
        <v>369</v>
      </c>
      <c r="D3586" s="45" t="s">
        <v>5756</v>
      </c>
      <c r="E3586" t="s">
        <v>5270</v>
      </c>
      <c r="F3586" s="129" t="s">
        <v>5270</v>
      </c>
      <c r="G3586" s="135" t="s">
        <v>406</v>
      </c>
      <c r="H3586" s="129" t="str">
        <f>IF(Proc[[#This Row],[type]]="LFF (MDG-F)",MID(Proc[[#This Row],[Obj]],13,10),"")</f>
        <v>DE73R00021</v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LS</v>
      </c>
      <c r="L3586" s="129" t="s">
        <v>4894</v>
      </c>
      <c r="M3586" s="131">
        <v>45895</v>
      </c>
      <c r="N3586" s="131"/>
      <c r="O3586" s="131"/>
      <c r="P3586" s="136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72</v>
      </c>
      <c r="R3586" s="131" t="s">
        <v>489</v>
      </c>
      <c r="S3586" s="129"/>
    </row>
    <row r="3587" spans="1:19" hidden="1">
      <c r="A3587" s="135" t="s">
        <v>5855</v>
      </c>
      <c r="B3587" s="149" t="str">
        <f>IFERROR(VLOOKUP(Proc[[#This Row],[App]],Table2[],3,0),"open")</f>
        <v>ok</v>
      </c>
      <c r="C3587" s="135" t="s">
        <v>369</v>
      </c>
      <c r="D3587" s="45" t="s">
        <v>5758</v>
      </c>
      <c r="E3587" t="s">
        <v>5270</v>
      </c>
      <c r="F3587" s="129" t="s">
        <v>5270</v>
      </c>
      <c r="G3587" s="135" t="s">
        <v>406</v>
      </c>
      <c r="H3587" s="129" t="str">
        <f>IF(Proc[[#This Row],[type]]="LFF (MDG-F)",MID(Proc[[#This Row],[Obj]],13,10),"")</f>
        <v>DE73R00013</v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LS</v>
      </c>
      <c r="L3587" s="129" t="s">
        <v>4894</v>
      </c>
      <c r="M3587" s="131">
        <v>45895</v>
      </c>
      <c r="N3587" s="131"/>
      <c r="O3587" s="131"/>
      <c r="P3587" s="136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72</v>
      </c>
      <c r="R3587" s="131" t="s">
        <v>489</v>
      </c>
      <c r="S3587" s="129"/>
    </row>
    <row r="3588" spans="1:19" hidden="1">
      <c r="A3588" t="s">
        <v>5856</v>
      </c>
      <c r="B3588" s="149" t="str">
        <f>IFERROR(VLOOKUP(Proc[[#This Row],[App]],Table2[],3,0),"open")</f>
        <v>ok</v>
      </c>
      <c r="C3588" s="138" t="s">
        <v>369</v>
      </c>
      <c r="D3588" t="s">
        <v>5857</v>
      </c>
      <c r="E3588" t="s">
        <v>2274</v>
      </c>
      <c r="F3588" s="129" t="s">
        <v>2274</v>
      </c>
      <c r="G358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31">
        <v>45895</v>
      </c>
      <c r="N3588" s="131"/>
      <c r="O3588" s="131"/>
      <c r="P3588" s="136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72</v>
      </c>
      <c r="R3588" s="136" t="s">
        <v>1013</v>
      </c>
      <c r="S3588" s="129"/>
    </row>
    <row r="3589" spans="1:19" hidden="1">
      <c r="A3589" s="135" t="s">
        <v>5856</v>
      </c>
      <c r="B3589" s="149" t="str">
        <f>IFERROR(VLOOKUP(Proc[[#This Row],[App]],Table2[],3,0),"open")</f>
        <v>ok</v>
      </c>
      <c r="C3589" s="138" t="s">
        <v>369</v>
      </c>
      <c r="D3589" t="s">
        <v>5858</v>
      </c>
      <c r="E3589" t="s">
        <v>2274</v>
      </c>
      <c r="F3589" s="129" t="s">
        <v>2274</v>
      </c>
      <c r="G3589" s="135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31">
        <v>45895</v>
      </c>
      <c r="N3589" s="131"/>
      <c r="O3589" s="131"/>
      <c r="P3589" s="136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72</v>
      </c>
      <c r="R3589" s="136" t="s">
        <v>1013</v>
      </c>
      <c r="S3589" s="129"/>
    </row>
    <row r="3590" spans="1:19" hidden="1">
      <c r="A3590" s="135" t="s">
        <v>5856</v>
      </c>
      <c r="B3590" s="149" t="str">
        <f>IFERROR(VLOOKUP(Proc[[#This Row],[App]],Table2[],3,0),"open")</f>
        <v>ok</v>
      </c>
      <c r="C3590" s="138" t="s">
        <v>369</v>
      </c>
      <c r="D3590" t="s">
        <v>5859</v>
      </c>
      <c r="E3590" t="s">
        <v>3004</v>
      </c>
      <c r="F3590" s="129" t="s">
        <v>3004</v>
      </c>
      <c r="G3590" s="135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31">
        <v>45895</v>
      </c>
      <c r="N3590" s="131"/>
      <c r="O3590" s="131"/>
      <c r="P3590" s="136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72</v>
      </c>
      <c r="R3590" s="136" t="s">
        <v>1013</v>
      </c>
      <c r="S3590" s="129"/>
    </row>
    <row r="3591" spans="1:19" hidden="1">
      <c r="A3591" s="135" t="s">
        <v>5856</v>
      </c>
      <c r="B3591" s="149" t="str">
        <f>IFERROR(VLOOKUP(Proc[[#This Row],[App]],Table2[],3,0),"open")</f>
        <v>ok</v>
      </c>
      <c r="C3591" s="138" t="s">
        <v>369</v>
      </c>
      <c r="D3591" t="s">
        <v>5860</v>
      </c>
      <c r="E3591" t="s">
        <v>4068</v>
      </c>
      <c r="F3591" s="129" t="s">
        <v>4068</v>
      </c>
      <c r="G3591" s="135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31">
        <v>45895</v>
      </c>
      <c r="N3591" s="131"/>
      <c r="O3591" s="131"/>
      <c r="P3591" s="136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72</v>
      </c>
      <c r="R3591" s="136" t="s">
        <v>1013</v>
      </c>
      <c r="S3591" s="129"/>
    </row>
    <row r="3592" spans="1:19" hidden="1">
      <c r="A3592" s="135" t="s">
        <v>5856</v>
      </c>
      <c r="B3592" s="149" t="str">
        <f>IFERROR(VLOOKUP(Proc[[#This Row],[App]],Table2[],3,0),"open")</f>
        <v>ok</v>
      </c>
      <c r="C3592" s="138" t="s">
        <v>369</v>
      </c>
      <c r="D3592" t="s">
        <v>5861</v>
      </c>
      <c r="E3592" t="s">
        <v>4068</v>
      </c>
      <c r="F3592" s="129" t="s">
        <v>4068</v>
      </c>
      <c r="G3592" s="135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31">
        <v>45895</v>
      </c>
      <c r="N3592" s="131"/>
      <c r="O3592" s="131"/>
      <c r="P3592" s="136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72</v>
      </c>
      <c r="R3592" s="136" t="s">
        <v>1013</v>
      </c>
      <c r="S3592" s="129"/>
    </row>
    <row r="3593" spans="1:19" hidden="1">
      <c r="A3593" s="135" t="s">
        <v>5856</v>
      </c>
      <c r="B3593" s="149" t="str">
        <f>IFERROR(VLOOKUP(Proc[[#This Row],[App]],Table2[],3,0),"open")</f>
        <v>ok</v>
      </c>
      <c r="C3593" s="138" t="s">
        <v>369</v>
      </c>
      <c r="D3593" t="s">
        <v>5862</v>
      </c>
      <c r="E3593" t="s">
        <v>4068</v>
      </c>
      <c r="F3593" s="129" t="s">
        <v>4068</v>
      </c>
      <c r="G3593" s="135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31">
        <v>45895</v>
      </c>
      <c r="N3593" s="131"/>
      <c r="O3593" s="131"/>
      <c r="P3593" s="136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72</v>
      </c>
      <c r="R3593" s="136" t="s">
        <v>1013</v>
      </c>
      <c r="S3593" s="129"/>
    </row>
    <row r="3594" spans="1:19" hidden="1">
      <c r="A3594" s="135" t="s">
        <v>5856</v>
      </c>
      <c r="B3594" s="149" t="str">
        <f>IFERROR(VLOOKUP(Proc[[#This Row],[App]],Table2[],3,0),"open")</f>
        <v>ok</v>
      </c>
      <c r="C3594" s="138" t="s">
        <v>369</v>
      </c>
      <c r="D3594" t="s">
        <v>5863</v>
      </c>
      <c r="E3594" t="s">
        <v>4068</v>
      </c>
      <c r="F3594" s="129" t="s">
        <v>4068</v>
      </c>
      <c r="G3594" s="135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31">
        <v>45895</v>
      </c>
      <c r="N3594" s="131"/>
      <c r="O3594" s="131"/>
      <c r="P3594" s="136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72</v>
      </c>
      <c r="R3594" s="136" t="s">
        <v>1013</v>
      </c>
      <c r="S3594" s="129"/>
    </row>
    <row r="3595" spans="1:19" hidden="1">
      <c r="A3595" s="135" t="s">
        <v>5856</v>
      </c>
      <c r="B3595" s="149" t="str">
        <f>IFERROR(VLOOKUP(Proc[[#This Row],[App]],Table2[],3,0),"open")</f>
        <v>ok</v>
      </c>
      <c r="C3595" s="138" t="s">
        <v>369</v>
      </c>
      <c r="D3595" t="s">
        <v>5864</v>
      </c>
      <c r="E3595" t="s">
        <v>4068</v>
      </c>
      <c r="F3595" s="129" t="s">
        <v>4068</v>
      </c>
      <c r="G3595" s="135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31">
        <v>45895</v>
      </c>
      <c r="N3595" s="131"/>
      <c r="O3595" s="131"/>
      <c r="P3595" s="136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72</v>
      </c>
      <c r="R3595" s="136" t="s">
        <v>1013</v>
      </c>
      <c r="S3595" s="129"/>
    </row>
    <row r="3596" spans="1:19" hidden="1">
      <c r="A3596" s="135" t="s">
        <v>5856</v>
      </c>
      <c r="B3596" s="149" t="str">
        <f>IFERROR(VLOOKUP(Proc[[#This Row],[App]],Table2[],3,0),"open")</f>
        <v>ok</v>
      </c>
      <c r="C3596" s="138" t="s">
        <v>369</v>
      </c>
      <c r="D3596" t="s">
        <v>5865</v>
      </c>
      <c r="E3596" t="s">
        <v>4068</v>
      </c>
      <c r="F3596" s="129" t="s">
        <v>4068</v>
      </c>
      <c r="G3596" s="135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31">
        <v>45895</v>
      </c>
      <c r="N3596" s="131"/>
      <c r="O3596" s="131"/>
      <c r="P3596" s="136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72</v>
      </c>
      <c r="R3596" s="136" t="s">
        <v>1013</v>
      </c>
      <c r="S3596" s="129"/>
    </row>
    <row r="3597" spans="1:19" hidden="1">
      <c r="A3597" s="135" t="s">
        <v>5856</v>
      </c>
      <c r="B3597" s="149" t="str">
        <f>IFERROR(VLOOKUP(Proc[[#This Row],[App]],Table2[],3,0),"open")</f>
        <v>ok</v>
      </c>
      <c r="C3597" s="138" t="s">
        <v>369</v>
      </c>
      <c r="D3597" t="s">
        <v>5866</v>
      </c>
      <c r="E3597" t="s">
        <v>2274</v>
      </c>
      <c r="F3597" s="129" t="s">
        <v>2274</v>
      </c>
      <c r="G3597" s="135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31">
        <v>45895</v>
      </c>
      <c r="N3597" s="131"/>
      <c r="O3597" s="131"/>
      <c r="P3597" s="136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72</v>
      </c>
      <c r="R3597" s="136" t="s">
        <v>1013</v>
      </c>
      <c r="S3597" s="129"/>
    </row>
    <row r="3598" spans="1:19" hidden="1">
      <c r="A3598" s="135" t="s">
        <v>5856</v>
      </c>
      <c r="B3598" s="149" t="str">
        <f>IFERROR(VLOOKUP(Proc[[#This Row],[App]],Table2[],3,0),"open")</f>
        <v>ok</v>
      </c>
      <c r="C3598" s="138" t="s">
        <v>369</v>
      </c>
      <c r="D3598" t="s">
        <v>5867</v>
      </c>
      <c r="E3598" t="s">
        <v>4068</v>
      </c>
      <c r="F3598" s="129" t="s">
        <v>4068</v>
      </c>
      <c r="G3598" s="135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31">
        <v>45895</v>
      </c>
      <c r="N3598" s="131"/>
      <c r="O3598" s="131"/>
      <c r="P3598" s="136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72</v>
      </c>
      <c r="R3598" s="136" t="s">
        <v>1013</v>
      </c>
      <c r="S3598" s="129"/>
    </row>
    <row r="3599" spans="1:19" hidden="1">
      <c r="A3599" s="135" t="s">
        <v>5856</v>
      </c>
      <c r="B3599" s="149" t="str">
        <f>IFERROR(VLOOKUP(Proc[[#This Row],[App]],Table2[],3,0),"open")</f>
        <v>ok</v>
      </c>
      <c r="C3599" s="138" t="s">
        <v>369</v>
      </c>
      <c r="D3599" t="s">
        <v>5868</v>
      </c>
      <c r="E3599" t="s">
        <v>4068</v>
      </c>
      <c r="F3599" s="129" t="s">
        <v>4068</v>
      </c>
      <c r="G3599" s="135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31">
        <v>45895</v>
      </c>
      <c r="N3599" s="131"/>
      <c r="O3599" s="131"/>
      <c r="P3599" s="136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72</v>
      </c>
      <c r="R3599" s="136" t="s">
        <v>1013</v>
      </c>
      <c r="S3599" s="129"/>
    </row>
    <row r="3600" spans="1:19" hidden="1">
      <c r="A3600" s="135" t="s">
        <v>5856</v>
      </c>
      <c r="B3600" s="149" t="str">
        <f>IFERROR(VLOOKUP(Proc[[#This Row],[App]],Table2[],3,0),"open")</f>
        <v>ok</v>
      </c>
      <c r="C3600" s="138" t="s">
        <v>369</v>
      </c>
      <c r="D3600" t="s">
        <v>5869</v>
      </c>
      <c r="E3600" t="s">
        <v>4068</v>
      </c>
      <c r="F3600" s="129" t="s">
        <v>4068</v>
      </c>
      <c r="G3600" s="135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31">
        <v>45895</v>
      </c>
      <c r="N3600" s="131"/>
      <c r="O3600" s="131"/>
      <c r="P3600" s="136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72</v>
      </c>
      <c r="R3600" s="136" t="s">
        <v>1013</v>
      </c>
      <c r="S3600" s="129"/>
    </row>
    <row r="3601" spans="1:19" hidden="1">
      <c r="A3601" s="135" t="s">
        <v>5856</v>
      </c>
      <c r="B3601" s="149" t="str">
        <f>IFERROR(VLOOKUP(Proc[[#This Row],[App]],Table2[],3,0),"open")</f>
        <v>ok</v>
      </c>
      <c r="C3601" s="138" t="s">
        <v>369</v>
      </c>
      <c r="D3601" t="s">
        <v>5870</v>
      </c>
      <c r="E3601" t="s">
        <v>4068</v>
      </c>
      <c r="F3601" s="129" t="s">
        <v>4068</v>
      </c>
      <c r="G3601" s="135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31">
        <v>45895</v>
      </c>
      <c r="N3601" s="131"/>
      <c r="O3601" s="131"/>
      <c r="P3601" s="136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72</v>
      </c>
      <c r="R3601" s="136" t="s">
        <v>1013</v>
      </c>
      <c r="S3601" s="129"/>
    </row>
    <row r="3602" spans="1:19" hidden="1">
      <c r="A3602" s="135" t="s">
        <v>5856</v>
      </c>
      <c r="B3602" s="149" t="str">
        <f>IFERROR(VLOOKUP(Proc[[#This Row],[App]],Table2[],3,0),"open")</f>
        <v>ok</v>
      </c>
      <c r="C3602" s="138" t="s">
        <v>369</v>
      </c>
      <c r="D3602" t="s">
        <v>5871</v>
      </c>
      <c r="E3602" t="s">
        <v>4068</v>
      </c>
      <c r="F3602" s="129" t="s">
        <v>4068</v>
      </c>
      <c r="G3602" s="135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HC</v>
      </c>
      <c r="L3602" s="129" t="s">
        <v>4894</v>
      </c>
      <c r="M3602" s="131">
        <v>45895</v>
      </c>
      <c r="N3602" s="131"/>
      <c r="O3602" s="131"/>
      <c r="P3602" s="136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72</v>
      </c>
      <c r="R3602" s="136" t="s">
        <v>1013</v>
      </c>
      <c r="S3602" s="129"/>
    </row>
    <row r="3603" spans="1:19" hidden="1">
      <c r="A3603" s="135" t="s">
        <v>5856</v>
      </c>
      <c r="B3603" s="149" t="str">
        <f>IFERROR(VLOOKUP(Proc[[#This Row],[App]],Table2[],3,0),"open")</f>
        <v>ok</v>
      </c>
      <c r="C3603" s="138" t="s">
        <v>369</v>
      </c>
      <c r="D3603" t="s">
        <v>5872</v>
      </c>
      <c r="E3603" t="s">
        <v>3740</v>
      </c>
      <c r="F3603" s="129" t="s">
        <v>3740</v>
      </c>
      <c r="G3603" s="135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HC</v>
      </c>
      <c r="L3603" s="129" t="s">
        <v>4894</v>
      </c>
      <c r="M3603" s="131">
        <v>45895</v>
      </c>
      <c r="N3603" s="131"/>
      <c r="O3603" s="131"/>
      <c r="P3603" s="136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72</v>
      </c>
      <c r="R3603" s="136" t="s">
        <v>1013</v>
      </c>
      <c r="S3603" s="129"/>
    </row>
    <row r="3604" spans="1:19" hidden="1">
      <c r="A3604" s="135" t="s">
        <v>5856</v>
      </c>
      <c r="B3604" s="149" t="str">
        <f>IFERROR(VLOOKUP(Proc[[#This Row],[App]],Table2[],3,0),"open")</f>
        <v>ok</v>
      </c>
      <c r="C3604" s="138" t="s">
        <v>369</v>
      </c>
      <c r="D3604" t="s">
        <v>5873</v>
      </c>
      <c r="E3604" t="s">
        <v>4068</v>
      </c>
      <c r="F3604" s="129" t="s">
        <v>4068</v>
      </c>
      <c r="G3604" s="135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HC</v>
      </c>
      <c r="L3604" s="129" t="s">
        <v>4894</v>
      </c>
      <c r="M3604" s="131">
        <v>45895</v>
      </c>
      <c r="N3604" s="131"/>
      <c r="O3604" s="131"/>
      <c r="P3604" s="136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72</v>
      </c>
      <c r="R3604" s="136" t="s">
        <v>1013</v>
      </c>
      <c r="S3604" s="129"/>
    </row>
    <row r="3605" spans="1:19" hidden="1">
      <c r="A3605" s="135" t="s">
        <v>5856</v>
      </c>
      <c r="B3605" s="149" t="str">
        <f>IFERROR(VLOOKUP(Proc[[#This Row],[App]],Table2[],3,0),"open")</f>
        <v>ok</v>
      </c>
      <c r="C3605" s="138" t="s">
        <v>369</v>
      </c>
      <c r="D3605" t="s">
        <v>5874</v>
      </c>
      <c r="E3605" t="s">
        <v>3004</v>
      </c>
      <c r="F3605" s="129" t="s">
        <v>3004</v>
      </c>
      <c r="G3605" s="135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HC</v>
      </c>
      <c r="L3605" s="129" t="s">
        <v>4894</v>
      </c>
      <c r="M3605" s="131">
        <v>45895</v>
      </c>
      <c r="N3605" s="131"/>
      <c r="O3605" s="131"/>
      <c r="P3605" s="136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72</v>
      </c>
      <c r="R3605" s="136" t="s">
        <v>1013</v>
      </c>
      <c r="S3605" s="129"/>
    </row>
    <row r="3606" spans="1:19" hidden="1">
      <c r="A3606" s="135" t="s">
        <v>5856</v>
      </c>
      <c r="B3606" s="149" t="str">
        <f>IFERROR(VLOOKUP(Proc[[#This Row],[App]],Table2[],3,0),"open")</f>
        <v>ok</v>
      </c>
      <c r="C3606" s="138" t="s">
        <v>369</v>
      </c>
      <c r="D3606" t="s">
        <v>5875</v>
      </c>
      <c r="E3606" t="s">
        <v>3004</v>
      </c>
      <c r="F3606" s="129" t="s">
        <v>3004</v>
      </c>
      <c r="G3606" s="135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HC</v>
      </c>
      <c r="L3606" s="129" t="s">
        <v>4894</v>
      </c>
      <c r="M3606" s="131">
        <v>45895</v>
      </c>
      <c r="N3606" s="131"/>
      <c r="O3606" s="131"/>
      <c r="P3606" s="136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72</v>
      </c>
      <c r="R3606" s="136" t="s">
        <v>1013</v>
      </c>
      <c r="S3606" s="129"/>
    </row>
    <row r="3607" spans="1:19" hidden="1">
      <c r="A3607" s="135" t="s">
        <v>5856</v>
      </c>
      <c r="B3607" s="149" t="str">
        <f>IFERROR(VLOOKUP(Proc[[#This Row],[App]],Table2[],3,0),"open")</f>
        <v>ok</v>
      </c>
      <c r="C3607" s="138" t="s">
        <v>369</v>
      </c>
      <c r="D3607" t="s">
        <v>5876</v>
      </c>
      <c r="E3607" t="s">
        <v>3004</v>
      </c>
      <c r="F3607" s="129" t="s">
        <v>3004</v>
      </c>
      <c r="G3607" s="135" t="s">
        <v>400</v>
      </c>
      <c r="H3607" s="129" t="str">
        <f>IF(Proc[[#This Row],[type]]="LFF (MDG-F)",MID(Proc[[#This Row],[Obj]],13,10),"")</f>
        <v/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HC</v>
      </c>
      <c r="L3607" s="129" t="s">
        <v>4894</v>
      </c>
      <c r="M3607" s="131">
        <v>45895</v>
      </c>
      <c r="N3607" s="131"/>
      <c r="O3607" s="131"/>
      <c r="P3607" s="136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72</v>
      </c>
      <c r="R3607" s="136" t="s">
        <v>1013</v>
      </c>
      <c r="S3607" s="129"/>
    </row>
    <row r="3608" spans="1:19" hidden="1">
      <c r="A3608" s="135" t="s">
        <v>5856</v>
      </c>
      <c r="B3608" s="149" t="str">
        <f>IFERROR(VLOOKUP(Proc[[#This Row],[App]],Table2[],3,0),"open")</f>
        <v>ok</v>
      </c>
      <c r="C3608" s="138" t="s">
        <v>369</v>
      </c>
      <c r="D3608" t="s">
        <v>5877</v>
      </c>
      <c r="E3608" t="s">
        <v>3006</v>
      </c>
      <c r="F3608" s="129" t="s">
        <v>3006</v>
      </c>
      <c r="G3608" s="135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1">
        <v>45895</v>
      </c>
      <c r="N3608" s="131"/>
      <c r="O3608" s="131"/>
      <c r="P3608" s="136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72</v>
      </c>
      <c r="R3608" s="136" t="s">
        <v>1013</v>
      </c>
      <c r="S3608" s="129"/>
    </row>
    <row r="3609" spans="1:19" hidden="1">
      <c r="A3609" s="135" t="s">
        <v>5856</v>
      </c>
      <c r="B3609" s="149" t="str">
        <f>IFERROR(VLOOKUP(Proc[[#This Row],[App]],Table2[],3,0),"open")</f>
        <v>ok</v>
      </c>
      <c r="C3609" s="138" t="s">
        <v>369</v>
      </c>
      <c r="D3609" t="s">
        <v>5878</v>
      </c>
      <c r="E3609" t="s">
        <v>3003</v>
      </c>
      <c r="F3609" s="129" t="s">
        <v>3003</v>
      </c>
      <c r="G3609" s="135" t="s">
        <v>400</v>
      </c>
      <c r="H3609" s="129" t="str">
        <f>IF(Proc[[#This Row],[type]]="LFF (MDG-F)",MID(Proc[[#This Row],[Obj]],13,10),"")</f>
        <v/>
      </c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1">
        <v>45895</v>
      </c>
      <c r="N3609" s="131"/>
      <c r="O3609" s="131"/>
      <c r="P3609" s="136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72</v>
      </c>
      <c r="R3609" s="136" t="s">
        <v>1013</v>
      </c>
      <c r="S3609" s="129"/>
    </row>
    <row r="3610" spans="1:19" hidden="1">
      <c r="A3610" s="135" t="s">
        <v>5856</v>
      </c>
      <c r="B3610" s="149" t="str">
        <f>IFERROR(VLOOKUP(Proc[[#This Row],[App]],Table2[],3,0),"open")</f>
        <v>ok</v>
      </c>
      <c r="C3610" s="138" t="s">
        <v>369</v>
      </c>
      <c r="D3610" t="s">
        <v>5879</v>
      </c>
      <c r="E3610" t="s">
        <v>3003</v>
      </c>
      <c r="F3610" s="129" t="s">
        <v>3003</v>
      </c>
      <c r="G3610" s="135" t="s">
        <v>400</v>
      </c>
      <c r="H3610" s="129" t="str">
        <f>IF(Proc[[#This Row],[type]]="LFF (MDG-F)",MID(Proc[[#This Row],[Obj]],13,10),"")</f>
        <v/>
      </c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1">
        <v>45895</v>
      </c>
      <c r="N3610" s="131"/>
      <c r="O3610" s="131"/>
      <c r="P3610" s="136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72</v>
      </c>
      <c r="R3610" s="136" t="s">
        <v>1013</v>
      </c>
      <c r="S3610" s="129"/>
    </row>
    <row r="3611" spans="1:19" hidden="1">
      <c r="A3611" s="135" t="s">
        <v>5856</v>
      </c>
      <c r="B3611" s="149" t="str">
        <f>IFERROR(VLOOKUP(Proc[[#This Row],[App]],Table2[],3,0),"open")</f>
        <v>ok</v>
      </c>
      <c r="C3611" s="138" t="s">
        <v>369</v>
      </c>
      <c r="D3611" t="s">
        <v>5880</v>
      </c>
      <c r="E3611" t="s">
        <v>3007</v>
      </c>
      <c r="F3611" s="129" t="s">
        <v>3007</v>
      </c>
      <c r="G3611" s="135" t="s">
        <v>400</v>
      </c>
      <c r="H3611" s="129" t="str">
        <f>IF(Proc[[#This Row],[type]]="LFF (MDG-F)",MID(Proc[[#This Row],[Obj]],13,10),"")</f>
        <v/>
      </c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1">
        <v>45895</v>
      </c>
      <c r="N3611" s="131"/>
      <c r="O3611" s="131"/>
      <c r="P3611" s="136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72</v>
      </c>
      <c r="R3611" s="136" t="s">
        <v>1013</v>
      </c>
      <c r="S3611" s="129"/>
    </row>
    <row r="3612" spans="1:19" hidden="1">
      <c r="A3612" s="135" t="s">
        <v>5856</v>
      </c>
      <c r="B3612" s="149" t="str">
        <f>IFERROR(VLOOKUP(Proc[[#This Row],[App]],Table2[],3,0),"open")</f>
        <v>ok</v>
      </c>
      <c r="C3612" s="138" t="s">
        <v>369</v>
      </c>
      <c r="D3612" t="s">
        <v>5881</v>
      </c>
      <c r="E3612" t="s">
        <v>3007</v>
      </c>
      <c r="F3612" s="129" t="s">
        <v>3007</v>
      </c>
      <c r="G3612" s="135" t="s">
        <v>400</v>
      </c>
      <c r="H3612" s="129" t="str">
        <f>IF(Proc[[#This Row],[type]]="LFF (MDG-F)",MID(Proc[[#This Row],[Obj]],13,10),"")</f>
        <v/>
      </c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1">
        <v>45895</v>
      </c>
      <c r="N3612" s="131"/>
      <c r="O3612" s="131"/>
      <c r="P3612" s="136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72</v>
      </c>
      <c r="R3612" s="136" t="s">
        <v>1013</v>
      </c>
      <c r="S3612" s="129"/>
    </row>
    <row r="3613" spans="1:19" hidden="1">
      <c r="A3613" s="135" t="s">
        <v>5856</v>
      </c>
      <c r="B3613" s="149" t="str">
        <f>IFERROR(VLOOKUP(Proc[[#This Row],[App]],Table2[],3,0),"open")</f>
        <v>ok</v>
      </c>
      <c r="C3613" s="138" t="s">
        <v>369</v>
      </c>
      <c r="D3613" t="s">
        <v>5882</v>
      </c>
      <c r="E3613" t="s">
        <v>3007</v>
      </c>
      <c r="F3613" s="129" t="s">
        <v>3007</v>
      </c>
      <c r="G3613" s="135" t="s">
        <v>400</v>
      </c>
      <c r="H3613" s="129" t="str">
        <f>IF(Proc[[#This Row],[type]]="LFF (MDG-F)",MID(Proc[[#This Row],[Obj]],13,10),"")</f>
        <v/>
      </c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1">
        <v>45895</v>
      </c>
      <c r="N3613" s="131"/>
      <c r="O3613" s="131"/>
      <c r="P3613" s="136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72</v>
      </c>
      <c r="R3613" s="136" t="s">
        <v>1013</v>
      </c>
      <c r="S3613" s="129"/>
    </row>
    <row r="3614" spans="1:19" hidden="1">
      <c r="A3614" s="135" t="s">
        <v>5856</v>
      </c>
      <c r="B3614" s="149" t="str">
        <f>IFERROR(VLOOKUP(Proc[[#This Row],[App]],Table2[],3,0),"open")</f>
        <v>ok</v>
      </c>
      <c r="C3614" s="138" t="s">
        <v>369</v>
      </c>
      <c r="D3614" t="s">
        <v>5883</v>
      </c>
      <c r="E3614" t="s">
        <v>3008</v>
      </c>
      <c r="F3614" s="129" t="s">
        <v>3008</v>
      </c>
      <c r="G3614" s="135" t="s">
        <v>400</v>
      </c>
      <c r="H3614" s="129" t="str">
        <f>IF(Proc[[#This Row],[type]]="LFF (MDG-F)",MID(Proc[[#This Row],[Obj]],13,10),"")</f>
        <v/>
      </c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1">
        <v>45895</v>
      </c>
      <c r="N3614" s="131"/>
      <c r="O3614" s="131"/>
      <c r="P3614" s="136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72</v>
      </c>
      <c r="R3614" s="136" t="s">
        <v>1013</v>
      </c>
      <c r="S3614" s="129"/>
    </row>
    <row r="3615" spans="1:19" hidden="1">
      <c r="A3615" s="135" t="s">
        <v>5856</v>
      </c>
      <c r="B3615" s="149" t="str">
        <f>IFERROR(VLOOKUP(Proc[[#This Row],[App]],Table2[],3,0),"open")</f>
        <v>ok</v>
      </c>
      <c r="C3615" s="138" t="s">
        <v>369</v>
      </c>
      <c r="D3615" t="s">
        <v>5884</v>
      </c>
      <c r="E3615" t="s">
        <v>3002</v>
      </c>
      <c r="F3615" s="129" t="s">
        <v>3002</v>
      </c>
      <c r="G3615" s="135" t="s">
        <v>400</v>
      </c>
      <c r="H3615" s="129" t="str">
        <f>IF(Proc[[#This Row],[type]]="LFF (MDG-F)",MID(Proc[[#This Row],[Obj]],13,10),"")</f>
        <v/>
      </c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1">
        <v>45895</v>
      </c>
      <c r="N3615" s="131"/>
      <c r="O3615" s="131"/>
      <c r="P3615" s="136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72</v>
      </c>
      <c r="R3615" s="136" t="s">
        <v>1013</v>
      </c>
      <c r="S3615" s="129"/>
    </row>
    <row r="3616" spans="1:19" hidden="1">
      <c r="A3616" s="135" t="s">
        <v>5856</v>
      </c>
      <c r="B3616" s="149" t="str">
        <f>IFERROR(VLOOKUP(Proc[[#This Row],[App]],Table2[],3,0),"open")</f>
        <v>ok</v>
      </c>
      <c r="C3616" s="138" t="s">
        <v>369</v>
      </c>
      <c r="D3616" t="s">
        <v>5885</v>
      </c>
      <c r="E3616" t="s">
        <v>3008</v>
      </c>
      <c r="F3616" s="129" t="s">
        <v>3008</v>
      </c>
      <c r="G3616" s="135" t="s">
        <v>400</v>
      </c>
      <c r="H3616" s="129" t="str">
        <f>IF(Proc[[#This Row],[type]]="LFF (MDG-F)",MID(Proc[[#This Row],[Obj]],13,10),"")</f>
        <v/>
      </c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1">
        <v>45895</v>
      </c>
      <c r="N3616" s="131"/>
      <c r="O3616" s="131"/>
      <c r="P3616" s="136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72</v>
      </c>
      <c r="R3616" s="136" t="s">
        <v>1013</v>
      </c>
      <c r="S3616" s="129"/>
    </row>
    <row r="3617" spans="1:19" hidden="1">
      <c r="A3617" s="135" t="s">
        <v>5856</v>
      </c>
      <c r="B3617" s="149" t="str">
        <f>IFERROR(VLOOKUP(Proc[[#This Row],[App]],Table2[],3,0),"open")</f>
        <v>ok</v>
      </c>
      <c r="C3617" s="138" t="s">
        <v>369</v>
      </c>
      <c r="D3617" t="s">
        <v>5886</v>
      </c>
      <c r="E3617" t="s">
        <v>3007</v>
      </c>
      <c r="F3617" s="129" t="s">
        <v>3007</v>
      </c>
      <c r="G3617" s="135" t="s">
        <v>400</v>
      </c>
      <c r="H3617" s="129" t="str">
        <f>IF(Proc[[#This Row],[type]]="LFF (MDG-F)",MID(Proc[[#This Row],[Obj]],13,10),"")</f>
        <v/>
      </c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1">
        <v>45895</v>
      </c>
      <c r="N3617" s="131"/>
      <c r="O3617" s="131"/>
      <c r="P3617" s="136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72</v>
      </c>
      <c r="R3617" s="136" t="s">
        <v>1013</v>
      </c>
      <c r="S3617" s="129"/>
    </row>
    <row r="3618" spans="1:19" hidden="1">
      <c r="A3618" s="135" t="s">
        <v>5856</v>
      </c>
      <c r="B3618" s="149" t="str">
        <f>IFERROR(VLOOKUP(Proc[[#This Row],[App]],Table2[],3,0),"open")</f>
        <v>ok</v>
      </c>
      <c r="C3618" s="138" t="s">
        <v>369</v>
      </c>
      <c r="D3618" t="s">
        <v>5887</v>
      </c>
      <c r="E3618" t="s">
        <v>3003</v>
      </c>
      <c r="F3618" s="129" t="s">
        <v>3003</v>
      </c>
      <c r="G3618" s="135" t="s">
        <v>400</v>
      </c>
      <c r="H3618" s="129" t="str">
        <f>IF(Proc[[#This Row],[type]]="LFF (MDG-F)",MID(Proc[[#This Row],[Obj]],13,10),"")</f>
        <v/>
      </c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1">
        <v>45895</v>
      </c>
      <c r="N3618" s="131"/>
      <c r="O3618" s="131"/>
      <c r="P3618" s="136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72</v>
      </c>
      <c r="R3618" s="136" t="s">
        <v>1013</v>
      </c>
      <c r="S3618" s="129"/>
    </row>
    <row r="3619" spans="1:19" hidden="1">
      <c r="A3619" s="135" t="s">
        <v>5856</v>
      </c>
      <c r="B3619" s="149" t="str">
        <f>IFERROR(VLOOKUP(Proc[[#This Row],[App]],Table2[],3,0),"open")</f>
        <v>ok</v>
      </c>
      <c r="C3619" s="138" t="s">
        <v>369</v>
      </c>
      <c r="D3619" t="s">
        <v>5888</v>
      </c>
      <c r="E3619" t="s">
        <v>3005</v>
      </c>
      <c r="F3619" s="129" t="s">
        <v>3005</v>
      </c>
      <c r="G3619" s="135" t="s">
        <v>400</v>
      </c>
      <c r="H3619" s="129" t="str">
        <f>IF(Proc[[#This Row],[type]]="LFF (MDG-F)",MID(Proc[[#This Row],[Obj]],13,10),"")</f>
        <v/>
      </c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1">
        <v>45895</v>
      </c>
      <c r="N3619" s="131"/>
      <c r="O3619" s="131"/>
      <c r="P3619" s="136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72</v>
      </c>
      <c r="R3619" s="136" t="s">
        <v>1013</v>
      </c>
      <c r="S3619" s="129"/>
    </row>
    <row r="3620" spans="1:19" hidden="1">
      <c r="A3620" s="135" t="s">
        <v>5856</v>
      </c>
      <c r="B3620" s="149" t="str">
        <f>IFERROR(VLOOKUP(Proc[[#This Row],[App]],Table2[],3,0),"open")</f>
        <v>ok</v>
      </c>
      <c r="C3620" s="138" t="s">
        <v>369</v>
      </c>
      <c r="D3620" t="s">
        <v>5889</v>
      </c>
      <c r="E3620" t="s">
        <v>3002</v>
      </c>
      <c r="F3620" s="129" t="s">
        <v>3002</v>
      </c>
      <c r="G3620" s="135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1">
        <v>45895</v>
      </c>
      <c r="N3620" s="131"/>
      <c r="O3620" s="131"/>
      <c r="P3620" s="136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72</v>
      </c>
      <c r="R3620" s="136" t="s">
        <v>1013</v>
      </c>
      <c r="S3620" s="129"/>
    </row>
    <row r="3621" spans="1:19" hidden="1">
      <c r="A3621" s="135" t="s">
        <v>5856</v>
      </c>
      <c r="B3621" s="149" t="str">
        <f>IFERROR(VLOOKUP(Proc[[#This Row],[App]],Table2[],3,0),"open")</f>
        <v>ok</v>
      </c>
      <c r="C3621" s="138" t="s">
        <v>369</v>
      </c>
      <c r="D3621" t="s">
        <v>5890</v>
      </c>
      <c r="E3621" t="s">
        <v>3004</v>
      </c>
      <c r="F3621" s="129" t="s">
        <v>3004</v>
      </c>
      <c r="G3621" s="135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1">
        <v>45895</v>
      </c>
      <c r="N3621" s="131"/>
      <c r="O3621" s="131"/>
      <c r="P3621" s="136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72</v>
      </c>
      <c r="R3621" s="136" t="s">
        <v>1013</v>
      </c>
      <c r="S3621" s="129"/>
    </row>
    <row r="3622" spans="1:19" hidden="1">
      <c r="A3622" s="135" t="s">
        <v>5856</v>
      </c>
      <c r="B3622" s="149" t="str">
        <f>IFERROR(VLOOKUP(Proc[[#This Row],[App]],Table2[],3,0),"open")</f>
        <v>ok</v>
      </c>
      <c r="C3622" s="138" t="s">
        <v>369</v>
      </c>
      <c r="D3622" t="s">
        <v>5891</v>
      </c>
      <c r="E3622" t="s">
        <v>3004</v>
      </c>
      <c r="F3622" s="129" t="s">
        <v>3004</v>
      </c>
      <c r="G3622" s="135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1">
        <v>45895</v>
      </c>
      <c r="N3622" s="131"/>
      <c r="O3622" s="131"/>
      <c r="P3622" s="136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72</v>
      </c>
      <c r="R3622" s="136" t="s">
        <v>1013</v>
      </c>
      <c r="S3622" s="129"/>
    </row>
    <row r="3623" spans="1:19" hidden="1">
      <c r="A3623" s="135" t="s">
        <v>5856</v>
      </c>
      <c r="B3623" s="149" t="str">
        <f>IFERROR(VLOOKUP(Proc[[#This Row],[App]],Table2[],3,0),"open")</f>
        <v>ok</v>
      </c>
      <c r="C3623" s="138" t="s">
        <v>369</v>
      </c>
      <c r="D3623" t="s">
        <v>5892</v>
      </c>
      <c r="E3623" t="s">
        <v>3006</v>
      </c>
      <c r="F3623" s="129" t="s">
        <v>3006</v>
      </c>
      <c r="G3623" s="135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1">
        <v>45895</v>
      </c>
      <c r="N3623" s="131"/>
      <c r="O3623" s="131"/>
      <c r="P3623" s="136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72</v>
      </c>
      <c r="R3623" s="136" t="s">
        <v>1013</v>
      </c>
      <c r="S3623" s="129"/>
    </row>
    <row r="3624" spans="1:19" hidden="1">
      <c r="A3624" s="135" t="s">
        <v>5856</v>
      </c>
      <c r="B3624" s="149" t="str">
        <f>IFERROR(VLOOKUP(Proc[[#This Row],[App]],Table2[],3,0),"open")</f>
        <v>ok</v>
      </c>
      <c r="C3624" s="138" t="s">
        <v>369</v>
      </c>
      <c r="D3624" t="s">
        <v>5893</v>
      </c>
      <c r="E3624" t="s">
        <v>3007</v>
      </c>
      <c r="F3624" s="129" t="s">
        <v>3007</v>
      </c>
      <c r="G3624" s="135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1">
        <v>45895</v>
      </c>
      <c r="N3624" s="131"/>
      <c r="O3624" s="131"/>
      <c r="P3624" s="136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72</v>
      </c>
      <c r="R3624" s="136" t="s">
        <v>1013</v>
      </c>
      <c r="S3624" s="129"/>
    </row>
    <row r="3625" spans="1:19" hidden="1">
      <c r="A3625" s="135" t="s">
        <v>5856</v>
      </c>
      <c r="B3625" s="149" t="str">
        <f>IFERROR(VLOOKUP(Proc[[#This Row],[App]],Table2[],3,0),"open")</f>
        <v>ok</v>
      </c>
      <c r="C3625" s="138" t="s">
        <v>369</v>
      </c>
      <c r="D3625" t="s">
        <v>5894</v>
      </c>
      <c r="E3625" t="s">
        <v>3007</v>
      </c>
      <c r="F3625" s="129" t="s">
        <v>3007</v>
      </c>
      <c r="G3625" s="135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1">
        <v>45895</v>
      </c>
      <c r="N3625" s="131"/>
      <c r="O3625" s="131"/>
      <c r="P3625" s="136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72</v>
      </c>
      <c r="R3625" s="136" t="s">
        <v>1013</v>
      </c>
      <c r="S3625" s="129"/>
    </row>
    <row r="3626" spans="1:19" hidden="1">
      <c r="A3626" s="135" t="s">
        <v>5856</v>
      </c>
      <c r="B3626" s="149" t="str">
        <f>IFERROR(VLOOKUP(Proc[[#This Row],[App]],Table2[],3,0),"open")</f>
        <v>ok</v>
      </c>
      <c r="C3626" s="138" t="s">
        <v>369</v>
      </c>
      <c r="D3626" t="s">
        <v>5895</v>
      </c>
      <c r="E3626" t="s">
        <v>3007</v>
      </c>
      <c r="F3626" s="129" t="s">
        <v>3007</v>
      </c>
      <c r="G3626" s="135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1">
        <v>45895</v>
      </c>
      <c r="N3626" s="131"/>
      <c r="O3626" s="131"/>
      <c r="P3626" s="136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72</v>
      </c>
      <c r="R3626" s="136" t="s">
        <v>1013</v>
      </c>
      <c r="S3626" s="129"/>
    </row>
    <row r="3627" spans="1:19" hidden="1">
      <c r="A3627" s="135" t="s">
        <v>5856</v>
      </c>
      <c r="B3627" s="149" t="str">
        <f>IFERROR(VLOOKUP(Proc[[#This Row],[App]],Table2[],3,0),"open")</f>
        <v>ok</v>
      </c>
      <c r="C3627" s="138" t="s">
        <v>369</v>
      </c>
      <c r="D3627" t="s">
        <v>5896</v>
      </c>
      <c r="E3627" t="s">
        <v>3008</v>
      </c>
      <c r="F3627" s="129" t="s">
        <v>3008</v>
      </c>
      <c r="G3627" s="135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1">
        <v>45895</v>
      </c>
      <c r="N3627" s="131"/>
      <c r="O3627" s="131"/>
      <c r="P3627" s="136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72</v>
      </c>
      <c r="R3627" s="136" t="s">
        <v>1013</v>
      </c>
      <c r="S3627" s="129"/>
    </row>
    <row r="3628" spans="1:19" hidden="1">
      <c r="A3628" s="135" t="s">
        <v>5856</v>
      </c>
      <c r="B3628" s="149" t="str">
        <f>IFERROR(VLOOKUP(Proc[[#This Row],[App]],Table2[],3,0),"open")</f>
        <v>ok</v>
      </c>
      <c r="C3628" s="138" t="s">
        <v>369</v>
      </c>
      <c r="D3628" t="s">
        <v>5897</v>
      </c>
      <c r="E3628" t="s">
        <v>3005</v>
      </c>
      <c r="F3628" s="129" t="s">
        <v>3005</v>
      </c>
      <c r="G3628" s="135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HC</v>
      </c>
      <c r="L3628" s="129" t="s">
        <v>4894</v>
      </c>
      <c r="M3628" s="131">
        <v>45895</v>
      </c>
      <c r="N3628" s="131"/>
      <c r="O3628" s="131"/>
      <c r="P3628" s="136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72</v>
      </c>
      <c r="R3628" s="136" t="s">
        <v>1013</v>
      </c>
      <c r="S3628" s="129"/>
    </row>
    <row r="3629" spans="1:19" hidden="1">
      <c r="A3629" s="135" t="s">
        <v>5856</v>
      </c>
      <c r="B3629" s="149" t="str">
        <f>IFERROR(VLOOKUP(Proc[[#This Row],[App]],Table2[],3,0),"open")</f>
        <v>ok</v>
      </c>
      <c r="C3629" s="138" t="s">
        <v>369</v>
      </c>
      <c r="D3629" t="s">
        <v>5898</v>
      </c>
      <c r="E3629" t="s">
        <v>3005</v>
      </c>
      <c r="F3629" s="129" t="s">
        <v>3005</v>
      </c>
      <c r="G3629" s="135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HC</v>
      </c>
      <c r="L3629" s="129" t="s">
        <v>4894</v>
      </c>
      <c r="M3629" s="131">
        <v>45895</v>
      </c>
      <c r="N3629" s="131"/>
      <c r="O3629" s="131"/>
      <c r="P3629" s="136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72</v>
      </c>
      <c r="R3629" s="136" t="s">
        <v>1013</v>
      </c>
      <c r="S3629" s="129"/>
    </row>
    <row r="3630" spans="1:19" hidden="1">
      <c r="A3630" s="135" t="s">
        <v>5856</v>
      </c>
      <c r="B3630" s="149" t="str">
        <f>IFERROR(VLOOKUP(Proc[[#This Row],[App]],Table2[],3,0),"open")</f>
        <v>ok</v>
      </c>
      <c r="C3630" s="138" t="s">
        <v>369</v>
      </c>
      <c r="D3630" t="s">
        <v>5899</v>
      </c>
      <c r="E3630" t="s">
        <v>3002</v>
      </c>
      <c r="F3630" s="129" t="s">
        <v>3002</v>
      </c>
      <c r="G3630" s="135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HC</v>
      </c>
      <c r="L3630" s="129" t="s">
        <v>4894</v>
      </c>
      <c r="M3630" s="131">
        <v>45895</v>
      </c>
      <c r="N3630" s="131"/>
      <c r="O3630" s="131"/>
      <c r="P3630" s="136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72</v>
      </c>
      <c r="R3630" s="136" t="s">
        <v>1013</v>
      </c>
      <c r="S3630" s="129"/>
    </row>
    <row r="3631" spans="1:19" hidden="1">
      <c r="A3631" s="135" t="s">
        <v>5856</v>
      </c>
      <c r="B3631" s="149" t="str">
        <f>IFERROR(VLOOKUP(Proc[[#This Row],[App]],Table2[],3,0),"open")</f>
        <v>ok</v>
      </c>
      <c r="C3631" s="138" t="s">
        <v>369</v>
      </c>
      <c r="D3631" t="s">
        <v>5900</v>
      </c>
      <c r="E3631" t="s">
        <v>5917</v>
      </c>
      <c r="F3631" s="129" t="s">
        <v>5917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HC</v>
      </c>
      <c r="L3631" s="129" t="s">
        <v>4894</v>
      </c>
      <c r="M3631" s="131">
        <v>45895</v>
      </c>
      <c r="N3631" s="131"/>
      <c r="O3631" s="131"/>
      <c r="P3631" s="136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72</v>
      </c>
      <c r="R3631" s="136" t="s">
        <v>1013</v>
      </c>
      <c r="S3631" s="129"/>
    </row>
    <row r="3632" spans="1:19" hidden="1">
      <c r="A3632" s="135" t="s">
        <v>5856</v>
      </c>
      <c r="B3632" s="149" t="str">
        <f>IFERROR(VLOOKUP(Proc[[#This Row],[App]],Table2[],3,0),"open")</f>
        <v>ok</v>
      </c>
      <c r="C3632" s="138" t="s">
        <v>369</v>
      </c>
      <c r="D3632" t="s">
        <v>5901</v>
      </c>
      <c r="E3632" t="s">
        <v>3399</v>
      </c>
      <c r="F3632" s="129" t="s">
        <v>3399</v>
      </c>
      <c r="G3632" s="135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HC</v>
      </c>
      <c r="L3632" s="129" t="s">
        <v>4894</v>
      </c>
      <c r="M3632" s="131">
        <v>45895</v>
      </c>
      <c r="N3632" s="131"/>
      <c r="O3632" s="131"/>
      <c r="P3632" s="136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72</v>
      </c>
      <c r="R3632" s="136" t="s">
        <v>1013</v>
      </c>
      <c r="S3632" s="129"/>
    </row>
    <row r="3633" spans="1:19" hidden="1">
      <c r="A3633" s="135" t="s">
        <v>5856</v>
      </c>
      <c r="B3633" s="149" t="str">
        <f>IFERROR(VLOOKUP(Proc[[#This Row],[App]],Table2[],3,0),"open")</f>
        <v>ok</v>
      </c>
      <c r="C3633" s="138" t="s">
        <v>369</v>
      </c>
      <c r="D3633" t="s">
        <v>5902</v>
      </c>
      <c r="E3633" t="s">
        <v>3399</v>
      </c>
      <c r="F3633" s="129" t="s">
        <v>3399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HC</v>
      </c>
      <c r="L3633" s="129" t="s">
        <v>4894</v>
      </c>
      <c r="M3633" s="131">
        <v>45895</v>
      </c>
      <c r="N3633" s="131"/>
      <c r="O3633" s="131"/>
      <c r="P3633" s="136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72</v>
      </c>
      <c r="R3633" s="136" t="s">
        <v>1013</v>
      </c>
      <c r="S3633" s="129"/>
    </row>
    <row r="3634" spans="1:19" hidden="1">
      <c r="A3634" s="135" t="s">
        <v>5856</v>
      </c>
      <c r="B3634" s="149" t="str">
        <f>IFERROR(VLOOKUP(Proc[[#This Row],[App]],Table2[],3,0),"open")</f>
        <v>ok</v>
      </c>
      <c r="C3634" s="138" t="s">
        <v>369</v>
      </c>
      <c r="D3634" t="s">
        <v>5903</v>
      </c>
      <c r="E3634" t="s">
        <v>3399</v>
      </c>
      <c r="F3634" s="129" t="s">
        <v>3399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HC</v>
      </c>
      <c r="L3634" s="129" t="s">
        <v>4894</v>
      </c>
      <c r="M3634" s="131">
        <v>45895</v>
      </c>
      <c r="N3634" s="131"/>
      <c r="O3634" s="131"/>
      <c r="P3634" s="136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72</v>
      </c>
      <c r="R3634" s="136" t="s">
        <v>1013</v>
      </c>
      <c r="S3634" s="129"/>
    </row>
    <row r="3635" spans="1:19" hidden="1">
      <c r="A3635" s="135" t="s">
        <v>5856</v>
      </c>
      <c r="B3635" s="149" t="str">
        <f>IFERROR(VLOOKUP(Proc[[#This Row],[App]],Table2[],3,0),"open")</f>
        <v>ok</v>
      </c>
      <c r="C3635" s="138" t="s">
        <v>369</v>
      </c>
      <c r="D3635" t="s">
        <v>5904</v>
      </c>
      <c r="E3635" t="s">
        <v>3399</v>
      </c>
      <c r="F3635" s="129" t="s">
        <v>3399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HC</v>
      </c>
      <c r="L3635" s="129" t="s">
        <v>4894</v>
      </c>
      <c r="M3635" s="131">
        <v>45895</v>
      </c>
      <c r="N3635" s="131"/>
      <c r="O3635" s="131"/>
      <c r="P3635" s="136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72</v>
      </c>
      <c r="R3635" s="136" t="s">
        <v>1013</v>
      </c>
      <c r="S3635" s="129"/>
    </row>
    <row r="3636" spans="1:19" hidden="1">
      <c r="A3636" s="135" t="s">
        <v>5856</v>
      </c>
      <c r="B3636" s="149" t="str">
        <f>IFERROR(VLOOKUP(Proc[[#This Row],[App]],Table2[],3,0),"open")</f>
        <v>ok</v>
      </c>
      <c r="C3636" s="138" t="s">
        <v>369</v>
      </c>
      <c r="D3636" t="s">
        <v>5905</v>
      </c>
      <c r="E3636" t="s">
        <v>3397</v>
      </c>
      <c r="F3636" s="129" t="s">
        <v>3397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HC</v>
      </c>
      <c r="L3636" s="129" t="s">
        <v>4894</v>
      </c>
      <c r="M3636" s="131">
        <v>45895</v>
      </c>
      <c r="N3636" s="131"/>
      <c r="O3636" s="131"/>
      <c r="P3636" s="136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72</v>
      </c>
      <c r="R3636" s="136" t="s">
        <v>1013</v>
      </c>
      <c r="S3636" s="129"/>
    </row>
    <row r="3637" spans="1:19" hidden="1">
      <c r="A3637" s="135" t="s">
        <v>5856</v>
      </c>
      <c r="B3637" s="149" t="str">
        <f>IFERROR(VLOOKUP(Proc[[#This Row],[App]],Table2[],3,0),"open")</f>
        <v>ok</v>
      </c>
      <c r="C3637" s="138" t="s">
        <v>369</v>
      </c>
      <c r="D3637" t="s">
        <v>5906</v>
      </c>
      <c r="E3637" t="s">
        <v>3401</v>
      </c>
      <c r="F3637" s="129" t="s">
        <v>3401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HC</v>
      </c>
      <c r="L3637" s="129" t="s">
        <v>4894</v>
      </c>
      <c r="M3637" s="131">
        <v>45895</v>
      </c>
      <c r="N3637" s="131"/>
      <c r="O3637" s="131"/>
      <c r="P3637" s="136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72</v>
      </c>
      <c r="R3637" s="136" t="s">
        <v>1013</v>
      </c>
      <c r="S3637" s="129"/>
    </row>
    <row r="3638" spans="1:19" hidden="1">
      <c r="A3638" s="135" t="s">
        <v>5856</v>
      </c>
      <c r="B3638" s="149" t="str">
        <f>IFERROR(VLOOKUP(Proc[[#This Row],[App]],Table2[],3,0),"open")</f>
        <v>ok</v>
      </c>
      <c r="C3638" s="138" t="s">
        <v>369</v>
      </c>
      <c r="D3638" t="s">
        <v>5907</v>
      </c>
      <c r="E3638" t="s">
        <v>3401</v>
      </c>
      <c r="F3638" s="129" t="s">
        <v>3401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HC</v>
      </c>
      <c r="L3638" s="129" t="s">
        <v>4894</v>
      </c>
      <c r="M3638" s="131">
        <v>45895</v>
      </c>
      <c r="N3638" s="131"/>
      <c r="O3638" s="131"/>
      <c r="P3638" s="136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72</v>
      </c>
      <c r="R3638" s="136" t="s">
        <v>1013</v>
      </c>
      <c r="S3638" s="129"/>
    </row>
    <row r="3639" spans="1:19" hidden="1">
      <c r="A3639" s="135" t="s">
        <v>5856</v>
      </c>
      <c r="B3639" s="149" t="str">
        <f>IFERROR(VLOOKUP(Proc[[#This Row],[App]],Table2[],3,0),"open")</f>
        <v>ok</v>
      </c>
      <c r="C3639" s="138" t="s">
        <v>369</v>
      </c>
      <c r="D3639" t="s">
        <v>5908</v>
      </c>
      <c r="E3639" t="s">
        <v>3401</v>
      </c>
      <c r="F3639" s="129" t="s">
        <v>3401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HC</v>
      </c>
      <c r="L3639" s="129" t="s">
        <v>4894</v>
      </c>
      <c r="M3639" s="131">
        <v>45895</v>
      </c>
      <c r="N3639" s="131"/>
      <c r="O3639" s="131"/>
      <c r="P3639" s="136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72</v>
      </c>
      <c r="R3639" s="136" t="s">
        <v>1013</v>
      </c>
      <c r="S3639" s="129"/>
    </row>
    <row r="3640" spans="1:19" hidden="1">
      <c r="A3640" s="135" t="s">
        <v>5856</v>
      </c>
      <c r="B3640" s="149" t="str">
        <f>IFERROR(VLOOKUP(Proc[[#This Row],[App]],Table2[],3,0),"open")</f>
        <v>ok</v>
      </c>
      <c r="C3640" s="138" t="s">
        <v>369</v>
      </c>
      <c r="D3640" t="s">
        <v>5909</v>
      </c>
      <c r="E3640" t="s">
        <v>3401</v>
      </c>
      <c r="F3640" s="129" t="s">
        <v>3401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HC</v>
      </c>
      <c r="L3640" s="129" t="s">
        <v>4894</v>
      </c>
      <c r="M3640" s="131">
        <v>45895</v>
      </c>
      <c r="N3640" s="131"/>
      <c r="O3640" s="131"/>
      <c r="P3640" s="136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72</v>
      </c>
      <c r="R3640" s="136" t="s">
        <v>1013</v>
      </c>
      <c r="S3640" s="129"/>
    </row>
    <row r="3641" spans="1:19" hidden="1">
      <c r="A3641" s="135" t="s">
        <v>5856</v>
      </c>
      <c r="B3641" s="149" t="str">
        <f>IFERROR(VLOOKUP(Proc[[#This Row],[App]],Table2[],3,0),"open")</f>
        <v>ok</v>
      </c>
      <c r="C3641" s="138" t="s">
        <v>369</v>
      </c>
      <c r="D3641" t="s">
        <v>5910</v>
      </c>
      <c r="E3641" t="s">
        <v>3401</v>
      </c>
      <c r="F3641" s="129" t="s">
        <v>3401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HC</v>
      </c>
      <c r="L3641" s="129" t="s">
        <v>4894</v>
      </c>
      <c r="M3641" s="131">
        <v>45895</v>
      </c>
      <c r="N3641" s="131"/>
      <c r="O3641" s="131"/>
      <c r="P3641" s="136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72</v>
      </c>
      <c r="R3641" s="136" t="s">
        <v>1013</v>
      </c>
      <c r="S3641" s="129"/>
    </row>
    <row r="3642" spans="1:19" hidden="1">
      <c r="A3642" s="135" t="s">
        <v>5856</v>
      </c>
      <c r="B3642" s="149" t="str">
        <f>IFERROR(VLOOKUP(Proc[[#This Row],[App]],Table2[],3,0),"open")</f>
        <v>ok</v>
      </c>
      <c r="C3642" s="138" t="s">
        <v>369</v>
      </c>
      <c r="D3642" t="s">
        <v>5911</v>
      </c>
      <c r="E3642" t="s">
        <v>3401</v>
      </c>
      <c r="F3642" s="129" t="s">
        <v>3401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HC</v>
      </c>
      <c r="L3642" s="129" t="s">
        <v>4894</v>
      </c>
      <c r="M3642" s="131">
        <v>45895</v>
      </c>
      <c r="N3642" s="131"/>
      <c r="O3642" s="131"/>
      <c r="P3642" s="136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72</v>
      </c>
      <c r="R3642" s="136" t="s">
        <v>1013</v>
      </c>
      <c r="S3642" s="129"/>
    </row>
    <row r="3643" spans="1:19" hidden="1">
      <c r="A3643" s="135" t="s">
        <v>5856</v>
      </c>
      <c r="B3643" s="149" t="str">
        <f>IFERROR(VLOOKUP(Proc[[#This Row],[App]],Table2[],3,0),"open")</f>
        <v>ok</v>
      </c>
      <c r="C3643" s="138" t="s">
        <v>369</v>
      </c>
      <c r="D3643" t="s">
        <v>5912</v>
      </c>
      <c r="E3643" t="s">
        <v>3401</v>
      </c>
      <c r="F3643" s="129" t="s">
        <v>3401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HC</v>
      </c>
      <c r="L3643" s="129" t="s">
        <v>4894</v>
      </c>
      <c r="M3643" s="131">
        <v>45895</v>
      </c>
      <c r="N3643" s="131"/>
      <c r="O3643" s="131"/>
      <c r="P3643" s="136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72</v>
      </c>
      <c r="R3643" s="136" t="s">
        <v>1013</v>
      </c>
      <c r="S3643" s="129"/>
    </row>
    <row r="3644" spans="1:19" hidden="1">
      <c r="A3644" s="135" t="s">
        <v>5856</v>
      </c>
      <c r="B3644" s="149" t="str">
        <f>IFERROR(VLOOKUP(Proc[[#This Row],[App]],Table2[],3,0),"open")</f>
        <v>ok</v>
      </c>
      <c r="C3644" s="138" t="s">
        <v>369</v>
      </c>
      <c r="D3644" t="s">
        <v>5913</v>
      </c>
      <c r="E3644" t="s">
        <v>3397</v>
      </c>
      <c r="F3644" s="129" t="s">
        <v>3397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HC</v>
      </c>
      <c r="L3644" s="129" t="s">
        <v>4894</v>
      </c>
      <c r="M3644" s="131">
        <v>45895</v>
      </c>
      <c r="N3644" s="131"/>
      <c r="O3644" s="131"/>
      <c r="P3644" s="136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72</v>
      </c>
      <c r="R3644" s="136" t="s">
        <v>1013</v>
      </c>
      <c r="S3644" s="129"/>
    </row>
    <row r="3645" spans="1:19" hidden="1">
      <c r="A3645" s="135" t="s">
        <v>5856</v>
      </c>
      <c r="B3645" s="149" t="str">
        <f>IFERROR(VLOOKUP(Proc[[#This Row],[App]],Table2[],3,0),"open")</f>
        <v>ok</v>
      </c>
      <c r="C3645" s="138" t="s">
        <v>369</v>
      </c>
      <c r="D3645" t="s">
        <v>5914</v>
      </c>
      <c r="E3645" t="s">
        <v>3401</v>
      </c>
      <c r="F3645" s="129" t="s">
        <v>3401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HC</v>
      </c>
      <c r="L3645" s="129" t="s">
        <v>4894</v>
      </c>
      <c r="M3645" s="131">
        <v>45895</v>
      </c>
      <c r="N3645" s="131"/>
      <c r="O3645" s="131"/>
      <c r="P3645" s="136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72</v>
      </c>
      <c r="R3645" s="136" t="s">
        <v>1013</v>
      </c>
      <c r="S3645" s="129"/>
    </row>
    <row r="3646" spans="1:19" hidden="1">
      <c r="A3646" s="135" t="s">
        <v>5856</v>
      </c>
      <c r="B3646" s="149" t="str">
        <f>IFERROR(VLOOKUP(Proc[[#This Row],[App]],Table2[],3,0),"open")</f>
        <v>ok</v>
      </c>
      <c r="C3646" s="138" t="s">
        <v>369</v>
      </c>
      <c r="D3646" t="s">
        <v>5915</v>
      </c>
      <c r="E3646" t="s">
        <v>3401</v>
      </c>
      <c r="F3646" s="129" t="s">
        <v>3401</v>
      </c>
      <c r="G3646" s="135" t="s">
        <v>400</v>
      </c>
      <c r="H3646" s="129" t="str">
        <f>IF(Proc[[#This Row],[type]]="LFF (MDG-F)",MID(Proc[[#This Row],[Obj]],13,10),"")</f>
        <v/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HC</v>
      </c>
      <c r="L3646" s="129" t="s">
        <v>4894</v>
      </c>
      <c r="M3646" s="131">
        <v>45895</v>
      </c>
      <c r="N3646" s="131"/>
      <c r="O3646" s="131"/>
      <c r="P3646" s="136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72</v>
      </c>
      <c r="R3646" s="136" t="s">
        <v>1013</v>
      </c>
      <c r="S3646" s="129"/>
    </row>
    <row r="3647" spans="1:19" hidden="1">
      <c r="A3647" s="135" t="s">
        <v>5856</v>
      </c>
      <c r="B3647" s="149" t="str">
        <f>IFERROR(VLOOKUP(Proc[[#This Row],[App]],Table2[],3,0),"open")</f>
        <v>ok</v>
      </c>
      <c r="C3647" s="138" t="s">
        <v>369</v>
      </c>
      <c r="D3647" t="s">
        <v>5916</v>
      </c>
      <c r="E3647" t="s">
        <v>3401</v>
      </c>
      <c r="F3647" s="129" t="s">
        <v>3401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HC</v>
      </c>
      <c r="L3647" s="129" t="s">
        <v>4894</v>
      </c>
      <c r="M3647" s="131">
        <v>45895</v>
      </c>
      <c r="N3647" s="131"/>
      <c r="O3647" s="131"/>
      <c r="P3647" s="136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72</v>
      </c>
      <c r="R3647" s="136" t="s">
        <v>1013</v>
      </c>
      <c r="S3647" s="129"/>
    </row>
    <row r="3648" spans="1:19" hidden="1">
      <c r="A3648" s="135" t="s">
        <v>5918</v>
      </c>
      <c r="B3648" s="149" t="str">
        <f>IFERROR(VLOOKUP(Proc[[#This Row],[App]],Table2[],3,0),"open")</f>
        <v>ok</v>
      </c>
      <c r="C3648" s="138" t="s">
        <v>369</v>
      </c>
      <c r="D3648" s="135" t="s">
        <v>5923</v>
      </c>
      <c r="E3648" t="s">
        <v>1590</v>
      </c>
      <c r="F3648" s="129" t="s">
        <v>1590</v>
      </c>
      <c r="G3648" s="135" t="s">
        <v>406</v>
      </c>
      <c r="H3648" s="129" t="str">
        <f>IF(Proc[[#This Row],[type]]="LFF (MDG-F)",MID(Proc[[#This Row],[Obj]],13,10),"")</f>
        <v>DE10523400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MGF</v>
      </c>
      <c r="L3648" s="129" t="s">
        <v>4894</v>
      </c>
      <c r="M3648" s="131">
        <v>45895</v>
      </c>
      <c r="N3648" s="131"/>
      <c r="O3648" s="131"/>
      <c r="P3648" s="136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72</v>
      </c>
      <c r="R3648" s="136" t="s">
        <v>452</v>
      </c>
      <c r="S3648" s="129"/>
    </row>
    <row r="3649" spans="1:19" hidden="1">
      <c r="A3649" s="135" t="s">
        <v>5918</v>
      </c>
      <c r="B3649" s="149" t="str">
        <f>IFERROR(VLOOKUP(Proc[[#This Row],[App]],Table2[],3,0),"open")</f>
        <v>ok</v>
      </c>
      <c r="C3649" s="138" t="s">
        <v>369</v>
      </c>
      <c r="D3649" s="135" t="s">
        <v>5924</v>
      </c>
      <c r="E3649" t="s">
        <v>1590</v>
      </c>
      <c r="F3649" s="129" t="s">
        <v>1590</v>
      </c>
      <c r="G3649" s="135" t="s">
        <v>406</v>
      </c>
      <c r="H3649" s="129" t="str">
        <f>IF(Proc[[#This Row],[type]]="LFF (MDG-F)",MID(Proc[[#This Row],[Obj]],13,10),"")</f>
        <v>DE10524300</v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MGF</v>
      </c>
      <c r="L3649" s="129" t="s">
        <v>4894</v>
      </c>
      <c r="M3649" s="131">
        <v>45895</v>
      </c>
      <c r="N3649" s="131"/>
      <c r="O3649" s="131"/>
      <c r="P3649" s="136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72</v>
      </c>
      <c r="R3649" s="136" t="s">
        <v>452</v>
      </c>
      <c r="S3649" s="129"/>
    </row>
    <row r="3650" spans="1:19" hidden="1">
      <c r="A3650" s="135" t="s">
        <v>5918</v>
      </c>
      <c r="B3650" s="149" t="str">
        <f>IFERROR(VLOOKUP(Proc[[#This Row],[App]],Table2[],3,0),"open")</f>
        <v>ok</v>
      </c>
      <c r="C3650" s="138" t="s">
        <v>369</v>
      </c>
      <c r="D3650" s="135" t="s">
        <v>5925</v>
      </c>
      <c r="E3650" t="s">
        <v>5919</v>
      </c>
      <c r="F3650" s="129" t="s">
        <v>5919</v>
      </c>
      <c r="G3650" s="135" t="s">
        <v>406</v>
      </c>
      <c r="H3650" s="129" t="str">
        <f>IF(Proc[[#This Row],[type]]="LFF (MDG-F)",MID(Proc[[#This Row],[Obj]],13,10),"")</f>
        <v>DE10625700</v>
      </c>
      <c r="J3650" s="129" t="b">
        <f>Proc[[#This Row],[Requested]]=Proc[[#This Row],[CurrentParent]]</f>
        <v>1</v>
      </c>
      <c r="K3650" s="144" t="str">
        <f>IF(Proc[[#This Row],[Author]]="Marcela Urrego",VLOOKUP(LEFT(Proc[[#This Row],[Requested]],1),Table3[#All],2,0),VLOOKUP(Proc[[#This Row],[Author]],Table4[],2,0))</f>
        <v>MGF</v>
      </c>
      <c r="L3650" s="129" t="s">
        <v>4894</v>
      </c>
      <c r="M3650" s="131">
        <v>45895</v>
      </c>
      <c r="N3650" s="131"/>
      <c r="O3650" s="131"/>
      <c r="P3650" s="136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72</v>
      </c>
      <c r="R3650" s="136" t="s">
        <v>452</v>
      </c>
      <c r="S3650" s="129"/>
    </row>
    <row r="3651" spans="1:19" hidden="1">
      <c r="A3651" s="135" t="s">
        <v>5918</v>
      </c>
      <c r="B3651" s="149" t="str">
        <f>IFERROR(VLOOKUP(Proc[[#This Row],[App]],Table2[],3,0),"open")</f>
        <v>ok</v>
      </c>
      <c r="C3651" s="138" t="s">
        <v>369</v>
      </c>
      <c r="D3651" s="135" t="s">
        <v>5926</v>
      </c>
      <c r="E3651" t="s">
        <v>5919</v>
      </c>
      <c r="F3651" s="129" t="s">
        <v>5919</v>
      </c>
      <c r="G3651" s="135" t="s">
        <v>406</v>
      </c>
      <c r="H3651" s="129" t="str">
        <f>IF(Proc[[#This Row],[type]]="LFF (MDG-F)",MID(Proc[[#This Row],[Obj]],13,10),"")</f>
        <v>DE10510000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MGF</v>
      </c>
      <c r="L3651" s="129" t="s">
        <v>4894</v>
      </c>
      <c r="M3651" s="131">
        <v>45895</v>
      </c>
      <c r="N3651" s="131"/>
      <c r="O3651" s="131"/>
      <c r="P3651" s="136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72</v>
      </c>
      <c r="R3651" s="136" t="s">
        <v>452</v>
      </c>
      <c r="S3651" s="129"/>
    </row>
    <row r="3652" spans="1:19" hidden="1">
      <c r="A3652" s="135" t="s">
        <v>5918</v>
      </c>
      <c r="B3652" s="149" t="str">
        <f>IFERROR(VLOOKUP(Proc[[#This Row],[App]],Table2[],3,0),"open")</f>
        <v>ok</v>
      </c>
      <c r="C3652" s="138" t="s">
        <v>369</v>
      </c>
      <c r="D3652" s="135" t="s">
        <v>5927</v>
      </c>
      <c r="E3652" t="s">
        <v>5919</v>
      </c>
      <c r="F3652" s="129" t="s">
        <v>5919</v>
      </c>
      <c r="G3652" s="135" t="s">
        <v>406</v>
      </c>
      <c r="H3652" s="129" t="str">
        <f>IF(Proc[[#This Row],[type]]="LFF (MDG-F)",MID(Proc[[#This Row],[Obj]],13,10),"")</f>
        <v>DE10551100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MGF</v>
      </c>
      <c r="L3652" s="129" t="s">
        <v>4894</v>
      </c>
      <c r="M3652" s="131">
        <v>45895</v>
      </c>
      <c r="N3652" s="131"/>
      <c r="O3652" s="131"/>
      <c r="P3652" s="136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72</v>
      </c>
      <c r="R3652" s="136" t="s">
        <v>452</v>
      </c>
      <c r="S3652" s="129"/>
    </row>
    <row r="3653" spans="1:19" hidden="1">
      <c r="A3653" t="s">
        <v>5920</v>
      </c>
      <c r="B3653" s="149" t="str">
        <f>IFERROR(VLOOKUP(Proc[[#This Row],[App]],Table2[],3,0),"open")</f>
        <v>ok</v>
      </c>
      <c r="C3653" s="138" t="s">
        <v>369</v>
      </c>
      <c r="D3653" t="s">
        <v>5928</v>
      </c>
      <c r="E3653" t="s">
        <v>3401</v>
      </c>
      <c r="F3653" s="129" t="s">
        <v>3401</v>
      </c>
      <c r="G3653" s="135" t="s">
        <v>400</v>
      </c>
      <c r="H3653" s="129" t="str">
        <f>IF(Proc[[#This Row],[type]]="LFF (MDG-F)",MID(Proc[[#This Row],[Obj]],13,10),"")</f>
        <v/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1">
        <v>45895</v>
      </c>
      <c r="N3653" s="131"/>
      <c r="O3653" s="131"/>
      <c r="P3653" s="136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72</v>
      </c>
      <c r="R3653" s="136" t="s">
        <v>1013</v>
      </c>
      <c r="S3653" s="129"/>
    </row>
    <row r="3654" spans="1:19" hidden="1">
      <c r="A3654" s="135" t="s">
        <v>5920</v>
      </c>
      <c r="B3654" s="149" t="str">
        <f>IFERROR(VLOOKUP(Proc[[#This Row],[App]],Table2[],3,0),"open")</f>
        <v>ok</v>
      </c>
      <c r="C3654" s="138" t="s">
        <v>369</v>
      </c>
      <c r="D3654" t="s">
        <v>5929</v>
      </c>
      <c r="E3654" s="135" t="s">
        <v>3401</v>
      </c>
      <c r="F3654" s="129" t="s">
        <v>3401</v>
      </c>
      <c r="G3654" s="135" t="s">
        <v>400</v>
      </c>
      <c r="H3654" s="129" t="str">
        <f>IF(Proc[[#This Row],[type]]="LFF (MDG-F)",MID(Proc[[#This Row],[Obj]],13,10),"")</f>
        <v/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1">
        <v>45895</v>
      </c>
      <c r="N3654" s="131"/>
      <c r="O3654" s="131"/>
      <c r="P3654" s="136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72</v>
      </c>
      <c r="R3654" s="136" t="s">
        <v>1013</v>
      </c>
      <c r="S3654" s="129"/>
    </row>
    <row r="3655" spans="1:19" hidden="1">
      <c r="A3655" s="135" t="s">
        <v>5920</v>
      </c>
      <c r="B3655" s="149" t="str">
        <f>IFERROR(VLOOKUP(Proc[[#This Row],[App]],Table2[],3,0),"open")</f>
        <v>ok</v>
      </c>
      <c r="C3655" s="138" t="s">
        <v>369</v>
      </c>
      <c r="D3655" t="s">
        <v>5930</v>
      </c>
      <c r="E3655" s="135" t="s">
        <v>3401</v>
      </c>
      <c r="F3655" s="129" t="s">
        <v>3401</v>
      </c>
      <c r="G3655" s="135" t="s">
        <v>400</v>
      </c>
      <c r="H3655" s="129" t="str">
        <f>IF(Proc[[#This Row],[type]]="LFF (MDG-F)",MID(Proc[[#This Row],[Obj]],13,10),"")</f>
        <v/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1">
        <v>45895</v>
      </c>
      <c r="N3655" s="131"/>
      <c r="O3655" s="131"/>
      <c r="P3655" s="136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72</v>
      </c>
      <c r="R3655" s="136" t="s">
        <v>1013</v>
      </c>
      <c r="S3655" s="129"/>
    </row>
    <row r="3656" spans="1:19" hidden="1">
      <c r="A3656" s="135" t="s">
        <v>5920</v>
      </c>
      <c r="B3656" s="149" t="str">
        <f>IFERROR(VLOOKUP(Proc[[#This Row],[App]],Table2[],3,0),"open")</f>
        <v>ok</v>
      </c>
      <c r="C3656" s="138" t="s">
        <v>369</v>
      </c>
      <c r="D3656" t="s">
        <v>5931</v>
      </c>
      <c r="E3656" s="135" t="s">
        <v>3401</v>
      </c>
      <c r="F3656" s="129" t="s">
        <v>3401</v>
      </c>
      <c r="G3656" s="135" t="s">
        <v>400</v>
      </c>
      <c r="H3656" s="129" t="str">
        <f>IF(Proc[[#This Row],[type]]="LFF (MDG-F)",MID(Proc[[#This Row],[Obj]],13,10),"")</f>
        <v/>
      </c>
      <c r="I3656" s="135"/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1">
        <v>45895</v>
      </c>
      <c r="N3656" s="131"/>
      <c r="O3656" s="131"/>
      <c r="P3656" s="136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72</v>
      </c>
      <c r="R3656" s="136" t="s">
        <v>1013</v>
      </c>
      <c r="S3656" s="129"/>
    </row>
    <row r="3657" spans="1:19" hidden="1">
      <c r="A3657" s="135" t="s">
        <v>5920</v>
      </c>
      <c r="B3657" s="149" t="str">
        <f>IFERROR(VLOOKUP(Proc[[#This Row],[App]],Table2[],3,0),"open")</f>
        <v>ok</v>
      </c>
      <c r="C3657" s="138" t="s">
        <v>369</v>
      </c>
      <c r="D3657" t="s">
        <v>5932</v>
      </c>
      <c r="E3657" s="135" t="s">
        <v>3401</v>
      </c>
      <c r="F3657" s="129" t="s">
        <v>3401</v>
      </c>
      <c r="G3657" s="135" t="s">
        <v>400</v>
      </c>
      <c r="H3657" s="129" t="str">
        <f>IF(Proc[[#This Row],[type]]="LFF (MDG-F)",MID(Proc[[#This Row],[Obj]],13,10),"")</f>
        <v/>
      </c>
      <c r="I3657" s="135"/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1">
        <v>45895</v>
      </c>
      <c r="N3657" s="131"/>
      <c r="O3657" s="131"/>
      <c r="P3657" s="136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72</v>
      </c>
      <c r="R3657" s="136" t="s">
        <v>1013</v>
      </c>
      <c r="S3657" s="129"/>
    </row>
    <row r="3658" spans="1:19" hidden="1">
      <c r="A3658" s="135" t="s">
        <v>5920</v>
      </c>
      <c r="B3658" s="149" t="str">
        <f>IFERROR(VLOOKUP(Proc[[#This Row],[App]],Table2[],3,0),"open")</f>
        <v>ok</v>
      </c>
      <c r="C3658" s="138" t="s">
        <v>369</v>
      </c>
      <c r="D3658" t="s">
        <v>5933</v>
      </c>
      <c r="E3658" s="135" t="s">
        <v>3401</v>
      </c>
      <c r="F3658" s="129" t="s">
        <v>3401</v>
      </c>
      <c r="G3658" s="135" t="s">
        <v>400</v>
      </c>
      <c r="H3658" s="129" t="str">
        <f>IF(Proc[[#This Row],[type]]="LFF (MDG-F)",MID(Proc[[#This Row],[Obj]],13,10),"")</f>
        <v/>
      </c>
      <c r="I3658" s="135"/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1">
        <v>45895</v>
      </c>
      <c r="N3658" s="131"/>
      <c r="O3658" s="131"/>
      <c r="P3658" s="136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72</v>
      </c>
      <c r="R3658" s="136" t="s">
        <v>1013</v>
      </c>
      <c r="S3658" s="129"/>
    </row>
    <row r="3659" spans="1:19" hidden="1">
      <c r="A3659" s="135" t="s">
        <v>5920</v>
      </c>
      <c r="B3659" s="149" t="str">
        <f>IFERROR(VLOOKUP(Proc[[#This Row],[App]],Table2[],3,0),"open")</f>
        <v>ok</v>
      </c>
      <c r="C3659" s="138" t="s">
        <v>369</v>
      </c>
      <c r="D3659" t="s">
        <v>5934</v>
      </c>
      <c r="E3659" s="135" t="s">
        <v>3401</v>
      </c>
      <c r="F3659" s="129" t="s">
        <v>3401</v>
      </c>
      <c r="G3659" s="135" t="s">
        <v>400</v>
      </c>
      <c r="H3659" s="129" t="str">
        <f>IF(Proc[[#This Row],[type]]="LFF (MDG-F)",MID(Proc[[#This Row],[Obj]],13,10),"")</f>
        <v/>
      </c>
      <c r="I3659" s="135"/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1">
        <v>45895</v>
      </c>
      <c r="N3659" s="131"/>
      <c r="O3659" s="131"/>
      <c r="P3659" s="136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72</v>
      </c>
      <c r="R3659" s="136" t="s">
        <v>1013</v>
      </c>
      <c r="S3659" s="129"/>
    </row>
    <row r="3660" spans="1:19" hidden="1">
      <c r="A3660" s="135" t="s">
        <v>5920</v>
      </c>
      <c r="B3660" s="149" t="str">
        <f>IFERROR(VLOOKUP(Proc[[#This Row],[App]],Table2[],3,0),"open")</f>
        <v>ok</v>
      </c>
      <c r="C3660" s="138" t="s">
        <v>369</v>
      </c>
      <c r="D3660" t="s">
        <v>5935</v>
      </c>
      <c r="E3660" s="135" t="s">
        <v>3401</v>
      </c>
      <c r="F3660" s="129" t="s">
        <v>3401</v>
      </c>
      <c r="G3660" s="135" t="s">
        <v>400</v>
      </c>
      <c r="H3660" s="129" t="str">
        <f>IF(Proc[[#This Row],[type]]="LFF (MDG-F)",MID(Proc[[#This Row],[Obj]],13,10),"")</f>
        <v/>
      </c>
      <c r="I3660" s="135"/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1">
        <v>45895</v>
      </c>
      <c r="N3660" s="131"/>
      <c r="O3660" s="131"/>
      <c r="P3660" s="136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72</v>
      </c>
      <c r="R3660" s="136" t="s">
        <v>1013</v>
      </c>
      <c r="S3660" s="129"/>
    </row>
    <row r="3661" spans="1:19" hidden="1">
      <c r="A3661" s="135" t="s">
        <v>5920</v>
      </c>
      <c r="B3661" s="149" t="str">
        <f>IFERROR(VLOOKUP(Proc[[#This Row],[App]],Table2[],3,0),"open")</f>
        <v>ok</v>
      </c>
      <c r="C3661" s="138" t="s">
        <v>369</v>
      </c>
      <c r="D3661" t="s">
        <v>5936</v>
      </c>
      <c r="E3661" s="135" t="s">
        <v>3401</v>
      </c>
      <c r="F3661" s="129" t="s">
        <v>3401</v>
      </c>
      <c r="G3661" s="135" t="s">
        <v>400</v>
      </c>
      <c r="H3661" s="129" t="str">
        <f>IF(Proc[[#This Row],[type]]="LFF (MDG-F)",MID(Proc[[#This Row],[Obj]],13,10),"")</f>
        <v/>
      </c>
      <c r="I3661" s="135"/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HC</v>
      </c>
      <c r="L3661" s="129" t="s">
        <v>4894</v>
      </c>
      <c r="M3661" s="131">
        <v>45895</v>
      </c>
      <c r="N3661" s="131"/>
      <c r="O3661" s="131"/>
      <c r="P3661" s="136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72</v>
      </c>
      <c r="R3661" s="136" t="s">
        <v>1013</v>
      </c>
      <c r="S3661" s="129"/>
    </row>
    <row r="3662" spans="1:19" hidden="1">
      <c r="A3662" s="135" t="s">
        <v>5920</v>
      </c>
      <c r="B3662" s="149" t="str">
        <f>IFERROR(VLOOKUP(Proc[[#This Row],[App]],Table2[],3,0),"open")</f>
        <v>ok</v>
      </c>
      <c r="C3662" s="138" t="s">
        <v>369</v>
      </c>
      <c r="D3662" t="s">
        <v>5937</v>
      </c>
      <c r="E3662" s="135" t="s">
        <v>3401</v>
      </c>
      <c r="F3662" s="129" t="s">
        <v>3401</v>
      </c>
      <c r="G3662" s="135" t="s">
        <v>400</v>
      </c>
      <c r="H3662" s="129" t="str">
        <f>IF(Proc[[#This Row],[type]]="LFF (MDG-F)",MID(Proc[[#This Row],[Obj]],13,10),"")</f>
        <v/>
      </c>
      <c r="I3662" s="135"/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HC</v>
      </c>
      <c r="L3662" s="129" t="s">
        <v>4894</v>
      </c>
      <c r="M3662" s="131">
        <v>45895</v>
      </c>
      <c r="N3662" s="131"/>
      <c r="O3662" s="131"/>
      <c r="P3662" s="136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72</v>
      </c>
      <c r="R3662" s="136" t="s">
        <v>1013</v>
      </c>
      <c r="S3662" s="129"/>
    </row>
    <row r="3663" spans="1:19" hidden="1">
      <c r="A3663" s="135" t="s">
        <v>5920</v>
      </c>
      <c r="B3663" s="149" t="str">
        <f>IFERROR(VLOOKUP(Proc[[#This Row],[App]],Table2[],3,0),"open")</f>
        <v>ok</v>
      </c>
      <c r="C3663" s="138" t="s">
        <v>369</v>
      </c>
      <c r="D3663" t="s">
        <v>5938</v>
      </c>
      <c r="E3663" s="135" t="s">
        <v>3401</v>
      </c>
      <c r="F3663" s="129" t="s">
        <v>3401</v>
      </c>
      <c r="G3663" s="135" t="s">
        <v>400</v>
      </c>
      <c r="H3663" s="129" t="str">
        <f>IF(Proc[[#This Row],[type]]="LFF (MDG-F)",MID(Proc[[#This Row],[Obj]],13,10),"")</f>
        <v/>
      </c>
      <c r="I3663" s="135"/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HC</v>
      </c>
      <c r="L3663" s="129" t="s">
        <v>4894</v>
      </c>
      <c r="M3663" s="131">
        <v>45895</v>
      </c>
      <c r="N3663" s="131"/>
      <c r="O3663" s="131"/>
      <c r="P3663" s="136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72</v>
      </c>
      <c r="R3663" s="136" t="s">
        <v>1013</v>
      </c>
      <c r="S3663" s="129"/>
    </row>
    <row r="3664" spans="1:19" hidden="1">
      <c r="A3664" s="135" t="s">
        <v>5920</v>
      </c>
      <c r="B3664" s="149" t="str">
        <f>IFERROR(VLOOKUP(Proc[[#This Row],[App]],Table2[],3,0),"open")</f>
        <v>ok</v>
      </c>
      <c r="C3664" s="138" t="s">
        <v>369</v>
      </c>
      <c r="D3664" t="s">
        <v>5939</v>
      </c>
      <c r="E3664" s="135" t="s">
        <v>3401</v>
      </c>
      <c r="F3664" s="129" t="s">
        <v>3401</v>
      </c>
      <c r="G3664" s="135" t="s">
        <v>400</v>
      </c>
      <c r="H3664" s="129" t="str">
        <f>IF(Proc[[#This Row],[type]]="LFF (MDG-F)",MID(Proc[[#This Row],[Obj]],13,10),"")</f>
        <v/>
      </c>
      <c r="I3664" s="135"/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HC</v>
      </c>
      <c r="L3664" s="129" t="s">
        <v>4894</v>
      </c>
      <c r="M3664" s="131">
        <v>45895</v>
      </c>
      <c r="N3664" s="131"/>
      <c r="O3664" s="131"/>
      <c r="P3664" s="136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72</v>
      </c>
      <c r="R3664" s="136" t="s">
        <v>1013</v>
      </c>
      <c r="S3664" s="129"/>
    </row>
    <row r="3665" spans="1:19" hidden="1">
      <c r="A3665" s="135" t="s">
        <v>5920</v>
      </c>
      <c r="B3665" s="149" t="str">
        <f>IFERROR(VLOOKUP(Proc[[#This Row],[App]],Table2[],3,0),"open")</f>
        <v>ok</v>
      </c>
      <c r="C3665" s="138" t="s">
        <v>369</v>
      </c>
      <c r="D3665" t="s">
        <v>5940</v>
      </c>
      <c r="E3665" s="135" t="s">
        <v>3401</v>
      </c>
      <c r="F3665" s="129" t="s">
        <v>3401</v>
      </c>
      <c r="G3665" s="135" t="s">
        <v>400</v>
      </c>
      <c r="H3665" s="129" t="str">
        <f>IF(Proc[[#This Row],[type]]="LFF (MDG-F)",MID(Proc[[#This Row],[Obj]],13,10),"")</f>
        <v/>
      </c>
      <c r="I3665" s="135"/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HC</v>
      </c>
      <c r="L3665" s="129" t="s">
        <v>4894</v>
      </c>
      <c r="M3665" s="131">
        <v>45895</v>
      </c>
      <c r="N3665" s="131"/>
      <c r="O3665" s="131"/>
      <c r="P3665" s="136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72</v>
      </c>
      <c r="R3665" s="136" t="s">
        <v>1013</v>
      </c>
      <c r="S3665" s="129"/>
    </row>
    <row r="3666" spans="1:19" hidden="1">
      <c r="A3666" s="135" t="s">
        <v>5920</v>
      </c>
      <c r="B3666" s="149" t="str">
        <f>IFERROR(VLOOKUP(Proc[[#This Row],[App]],Table2[],3,0),"open")</f>
        <v>ok</v>
      </c>
      <c r="C3666" s="138" t="s">
        <v>369</v>
      </c>
      <c r="D3666" t="s">
        <v>5941</v>
      </c>
      <c r="E3666" s="135" t="s">
        <v>3401</v>
      </c>
      <c r="F3666" s="129" t="s">
        <v>3401</v>
      </c>
      <c r="G3666" s="135" t="s">
        <v>400</v>
      </c>
      <c r="H3666" s="129" t="str">
        <f>IF(Proc[[#This Row],[type]]="LFF (MDG-F)",MID(Proc[[#This Row],[Obj]],13,10),"")</f>
        <v/>
      </c>
      <c r="I3666" s="135"/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HC</v>
      </c>
      <c r="L3666" s="129" t="s">
        <v>4894</v>
      </c>
      <c r="M3666" s="131">
        <v>45895</v>
      </c>
      <c r="N3666" s="131"/>
      <c r="O3666" s="131"/>
      <c r="P3666" s="136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72</v>
      </c>
      <c r="R3666" s="136" t="s">
        <v>1013</v>
      </c>
      <c r="S3666" s="129"/>
    </row>
    <row r="3667" spans="1:19" hidden="1">
      <c r="A3667" s="135" t="s">
        <v>5920</v>
      </c>
      <c r="B3667" s="149" t="str">
        <f>IFERROR(VLOOKUP(Proc[[#This Row],[App]],Table2[],3,0),"open")</f>
        <v>ok</v>
      </c>
      <c r="C3667" s="138" t="s">
        <v>369</v>
      </c>
      <c r="D3667" t="s">
        <v>5942</v>
      </c>
      <c r="E3667" s="135" t="s">
        <v>3401</v>
      </c>
      <c r="F3667" s="129" t="s">
        <v>3401</v>
      </c>
      <c r="G3667" s="135" t="s">
        <v>400</v>
      </c>
      <c r="H3667" s="129" t="str">
        <f>IF(Proc[[#This Row],[type]]="LFF (MDG-F)",MID(Proc[[#This Row],[Obj]],13,10),"")</f>
        <v/>
      </c>
      <c r="I3667" s="135"/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HC</v>
      </c>
      <c r="L3667" s="129" t="s">
        <v>4894</v>
      </c>
      <c r="M3667" s="131">
        <v>45895</v>
      </c>
      <c r="N3667" s="131"/>
      <c r="O3667" s="131"/>
      <c r="P3667" s="136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72</v>
      </c>
      <c r="R3667" s="136" t="s">
        <v>1013</v>
      </c>
      <c r="S3667" s="129"/>
    </row>
    <row r="3668" spans="1:19" hidden="1">
      <c r="A3668" s="135" t="s">
        <v>5920</v>
      </c>
      <c r="B3668" s="149" t="str">
        <f>IFERROR(VLOOKUP(Proc[[#This Row],[App]],Table2[],3,0),"open")</f>
        <v>ok</v>
      </c>
      <c r="C3668" s="138" t="s">
        <v>369</v>
      </c>
      <c r="D3668" t="s">
        <v>5943</v>
      </c>
      <c r="E3668" s="135" t="s">
        <v>3401</v>
      </c>
      <c r="F3668" s="129" t="s">
        <v>3401</v>
      </c>
      <c r="G3668" s="135" t="s">
        <v>400</v>
      </c>
      <c r="H3668" s="129" t="str">
        <f>IF(Proc[[#This Row],[type]]="LFF (MDG-F)",MID(Proc[[#This Row],[Obj]],13,10),"")</f>
        <v/>
      </c>
      <c r="I3668" s="135"/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HC</v>
      </c>
      <c r="L3668" s="129" t="s">
        <v>4894</v>
      </c>
      <c r="M3668" s="131">
        <v>45895</v>
      </c>
      <c r="N3668" s="131"/>
      <c r="O3668" s="131"/>
      <c r="P3668" s="136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72</v>
      </c>
      <c r="R3668" s="136" t="s">
        <v>1013</v>
      </c>
      <c r="S3668" s="129"/>
    </row>
    <row r="3669" spans="1:19" hidden="1">
      <c r="A3669" s="135" t="s">
        <v>5920</v>
      </c>
      <c r="B3669" s="149" t="str">
        <f>IFERROR(VLOOKUP(Proc[[#This Row],[App]],Table2[],3,0),"open")</f>
        <v>ok</v>
      </c>
      <c r="C3669" s="138" t="s">
        <v>369</v>
      </c>
      <c r="D3669" t="s">
        <v>5944</v>
      </c>
      <c r="E3669" s="135" t="s">
        <v>3401</v>
      </c>
      <c r="F3669" s="129" t="s">
        <v>3401</v>
      </c>
      <c r="G3669" s="135" t="s">
        <v>400</v>
      </c>
      <c r="H3669" s="129" t="str">
        <f>IF(Proc[[#This Row],[type]]="LFF (MDG-F)",MID(Proc[[#This Row],[Obj]],13,10),"")</f>
        <v/>
      </c>
      <c r="I3669" s="135"/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HC</v>
      </c>
      <c r="L3669" s="129" t="s">
        <v>4894</v>
      </c>
      <c r="M3669" s="131">
        <v>45895</v>
      </c>
      <c r="N3669" s="131"/>
      <c r="O3669" s="131"/>
      <c r="P3669" s="136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72</v>
      </c>
      <c r="R3669" s="136" t="s">
        <v>1013</v>
      </c>
      <c r="S3669" s="129"/>
    </row>
    <row r="3670" spans="1:19" hidden="1">
      <c r="A3670" s="135" t="s">
        <v>5920</v>
      </c>
      <c r="B3670" s="149" t="str">
        <f>IFERROR(VLOOKUP(Proc[[#This Row],[App]],Table2[],3,0),"open")</f>
        <v>ok</v>
      </c>
      <c r="C3670" s="138" t="s">
        <v>369</v>
      </c>
      <c r="D3670" t="s">
        <v>5921</v>
      </c>
      <c r="E3670" s="135" t="s">
        <v>3401</v>
      </c>
      <c r="F3670" s="129" t="s">
        <v>3401</v>
      </c>
      <c r="G3670" s="135" t="s">
        <v>406</v>
      </c>
      <c r="H3670" s="129" t="str">
        <f>IF(Proc[[#This Row],[type]]="LFF (MDG-F)",MID(Proc[[#This Row],[Obj]],13,10),"")</f>
        <v>CZ50GEQ001</v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HC</v>
      </c>
      <c r="L3670" s="129" t="s">
        <v>4894</v>
      </c>
      <c r="M3670" s="131">
        <v>45895</v>
      </c>
      <c r="N3670" s="131"/>
      <c r="O3670" s="131"/>
      <c r="P3670" s="136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72</v>
      </c>
      <c r="R3670" s="136" t="s">
        <v>1013</v>
      </c>
      <c r="S3670" s="129"/>
    </row>
    <row r="3671" spans="1:19" hidden="1">
      <c r="A3671" s="135" t="s">
        <v>5920</v>
      </c>
      <c r="B3671" s="149" t="str">
        <f>IFERROR(VLOOKUP(Proc[[#This Row],[App]],Table2[],3,0),"open")</f>
        <v>ok</v>
      </c>
      <c r="C3671" s="135" t="s">
        <v>369</v>
      </c>
      <c r="D3671" t="s">
        <v>5922</v>
      </c>
      <c r="E3671" s="135" t="s">
        <v>3401</v>
      </c>
      <c r="F3671" s="138" t="s">
        <v>3401</v>
      </c>
      <c r="G3671" s="135" t="s">
        <v>406</v>
      </c>
      <c r="H3671" s="129" t="str">
        <f>IF(Proc[[#This Row],[type]]="LFF (MDG-F)",MID(Proc[[#This Row],[Obj]],13,10),"")</f>
        <v>CZ50Z02185</v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HC</v>
      </c>
      <c r="L3671" s="129" t="s">
        <v>4894</v>
      </c>
      <c r="M3671" s="131">
        <v>45895</v>
      </c>
      <c r="N3671" s="131"/>
      <c r="O3671" s="131"/>
      <c r="P3671" s="136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72</v>
      </c>
      <c r="R3671" s="136" t="s">
        <v>1013</v>
      </c>
      <c r="S3671" s="129"/>
    </row>
    <row r="3672" spans="1:19" hidden="1">
      <c r="A3672" s="135" t="s">
        <v>6086</v>
      </c>
      <c r="B3672" s="149" t="str">
        <f>IFERROR(VLOOKUP(Proc[[#This Row],[App]],Table2[],3,0),"open")</f>
        <v>ok</v>
      </c>
      <c r="C3672" s="138" t="s">
        <v>369</v>
      </c>
      <c r="D3672" t="s">
        <v>5945</v>
      </c>
      <c r="E3672" t="s">
        <v>6059</v>
      </c>
      <c r="F3672" s="129" t="s">
        <v>6059</v>
      </c>
      <c r="G3672" s="135" t="s">
        <v>406</v>
      </c>
      <c r="H3672" s="129" t="str">
        <f>IF(Proc[[#This Row],[type]]="LFF (MDG-F)",MID(Proc[[#This Row],[Obj]],13,10),"")</f>
        <v>JP01C00020</v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EL</v>
      </c>
      <c r="L3672" s="129" t="s">
        <v>4894</v>
      </c>
      <c r="M3672" s="136">
        <v>45895</v>
      </c>
      <c r="N3672" s="137"/>
      <c r="O3672" s="137"/>
      <c r="P3672" s="136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72</v>
      </c>
      <c r="R3672" s="136" t="s">
        <v>6087</v>
      </c>
      <c r="S3672" s="129"/>
    </row>
    <row r="3673" spans="1:19" hidden="1">
      <c r="A3673" s="135" t="s">
        <v>6086</v>
      </c>
      <c r="B3673" s="149" t="str">
        <f>IFERROR(VLOOKUP(Proc[[#This Row],[App]],Table2[],3,0),"open")</f>
        <v>ok</v>
      </c>
      <c r="C3673" s="138" t="s">
        <v>369</v>
      </c>
      <c r="D3673" t="s">
        <v>5946</v>
      </c>
      <c r="E3673" t="s">
        <v>6059</v>
      </c>
      <c r="F3673" s="129" t="s">
        <v>6059</v>
      </c>
      <c r="G3673" s="135" t="s">
        <v>406</v>
      </c>
      <c r="H3673" s="129" t="str">
        <f>IF(Proc[[#This Row],[type]]="LFF (MDG-F)",MID(Proc[[#This Row],[Obj]],13,10),"")</f>
        <v>JP01C00301</v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EL</v>
      </c>
      <c r="L3673" s="129" t="s">
        <v>4894</v>
      </c>
      <c r="M3673" s="136">
        <v>45895</v>
      </c>
      <c r="N3673" s="137"/>
      <c r="O3673" s="137"/>
      <c r="P3673" s="136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72</v>
      </c>
      <c r="R3673" s="136" t="s">
        <v>6087</v>
      </c>
      <c r="S3673" s="129"/>
    </row>
    <row r="3674" spans="1:19" hidden="1">
      <c r="A3674" s="135" t="s">
        <v>6086</v>
      </c>
      <c r="B3674" s="149" t="str">
        <f>IFERROR(VLOOKUP(Proc[[#This Row],[App]],Table2[],3,0),"open")</f>
        <v>ok</v>
      </c>
      <c r="C3674" s="138" t="s">
        <v>369</v>
      </c>
      <c r="D3674" t="s">
        <v>5947</v>
      </c>
      <c r="E3674" t="s">
        <v>6059</v>
      </c>
      <c r="F3674" s="129" t="s">
        <v>6059</v>
      </c>
      <c r="G3674" s="135" t="s">
        <v>406</v>
      </c>
      <c r="H3674" s="129" t="str">
        <f>IF(Proc[[#This Row],[type]]="LFF (MDG-F)",MID(Proc[[#This Row],[Obj]],13,10),"")</f>
        <v>JP01C00401</v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EL</v>
      </c>
      <c r="L3674" s="129" t="s">
        <v>4894</v>
      </c>
      <c r="M3674" s="136">
        <v>45895</v>
      </c>
      <c r="N3674" s="137"/>
      <c r="O3674" s="137"/>
      <c r="P3674" s="136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72</v>
      </c>
      <c r="R3674" s="136" t="s">
        <v>6087</v>
      </c>
      <c r="S3674" s="129"/>
    </row>
    <row r="3675" spans="1:19" hidden="1">
      <c r="A3675" s="135" t="s">
        <v>6086</v>
      </c>
      <c r="B3675" s="149" t="str">
        <f>IFERROR(VLOOKUP(Proc[[#This Row],[App]],Table2[],3,0),"open")</f>
        <v>ok</v>
      </c>
      <c r="C3675" s="138" t="s">
        <v>369</v>
      </c>
      <c r="D3675" t="s">
        <v>5948</v>
      </c>
      <c r="E3675" t="s">
        <v>6060</v>
      </c>
      <c r="F3675" s="129" t="s">
        <v>6060</v>
      </c>
      <c r="G3675" s="135" t="s">
        <v>406</v>
      </c>
      <c r="H3675" s="129" t="str">
        <f>IF(Proc[[#This Row],[type]]="LFF (MDG-F)",MID(Proc[[#This Row],[Obj]],13,10),"")</f>
        <v>JP01C0M121</v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EL</v>
      </c>
      <c r="L3675" s="129" t="s">
        <v>4894</v>
      </c>
      <c r="M3675" s="136">
        <v>45895</v>
      </c>
      <c r="N3675" s="137"/>
      <c r="O3675" s="137"/>
      <c r="P3675" s="136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72</v>
      </c>
      <c r="R3675" s="136" t="s">
        <v>6087</v>
      </c>
      <c r="S3675" s="129"/>
    </row>
    <row r="3676" spans="1:19" hidden="1">
      <c r="A3676" s="135" t="s">
        <v>6086</v>
      </c>
      <c r="B3676" s="149" t="str">
        <f>IFERROR(VLOOKUP(Proc[[#This Row],[App]],Table2[],3,0),"open")</f>
        <v>ok</v>
      </c>
      <c r="C3676" s="138" t="s">
        <v>369</v>
      </c>
      <c r="D3676" t="s">
        <v>5949</v>
      </c>
      <c r="E3676" t="s">
        <v>6061</v>
      </c>
      <c r="F3676" s="129" t="s">
        <v>6061</v>
      </c>
      <c r="G3676" s="135" t="s">
        <v>406</v>
      </c>
      <c r="H3676" s="129" t="str">
        <f>IF(Proc[[#This Row],[type]]="LFF (MDG-F)",MID(Proc[[#This Row],[Obj]],13,10),"")</f>
        <v>JP01C0M600</v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EL</v>
      </c>
      <c r="L3676" s="129" t="s">
        <v>4894</v>
      </c>
      <c r="M3676" s="136">
        <v>45895</v>
      </c>
      <c r="N3676" s="137"/>
      <c r="O3676" s="137"/>
      <c r="P3676" s="136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72</v>
      </c>
      <c r="R3676" s="136" t="s">
        <v>6087</v>
      </c>
      <c r="S3676" s="129"/>
    </row>
    <row r="3677" spans="1:19" hidden="1">
      <c r="A3677" s="135" t="s">
        <v>6086</v>
      </c>
      <c r="B3677" s="149" t="str">
        <f>IFERROR(VLOOKUP(Proc[[#This Row],[App]],Table2[],3,0),"open")</f>
        <v>ok</v>
      </c>
      <c r="C3677" s="138" t="s">
        <v>369</v>
      </c>
      <c r="D3677" t="s">
        <v>5950</v>
      </c>
      <c r="E3677" t="s">
        <v>6061</v>
      </c>
      <c r="F3677" s="129" t="s">
        <v>6061</v>
      </c>
      <c r="G3677" s="135" t="s">
        <v>406</v>
      </c>
      <c r="H3677" s="129" t="str">
        <f>IF(Proc[[#This Row],[type]]="LFF (MDG-F)",MID(Proc[[#This Row],[Obj]],13,10),"")</f>
        <v>JP01C0M621</v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EL</v>
      </c>
      <c r="L3677" s="129" t="s">
        <v>4894</v>
      </c>
      <c r="M3677" s="136">
        <v>45895</v>
      </c>
      <c r="N3677" s="137"/>
      <c r="O3677" s="137"/>
      <c r="P3677" s="136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72</v>
      </c>
      <c r="R3677" s="136" t="s">
        <v>6087</v>
      </c>
      <c r="S3677" s="129"/>
    </row>
    <row r="3678" spans="1:19" hidden="1">
      <c r="A3678" s="135" t="s">
        <v>6086</v>
      </c>
      <c r="B3678" s="149" t="str">
        <f>IFERROR(VLOOKUP(Proc[[#This Row],[App]],Table2[],3,0),"open")</f>
        <v>ok</v>
      </c>
      <c r="C3678" s="138" t="s">
        <v>369</v>
      </c>
      <c r="D3678" t="s">
        <v>5951</v>
      </c>
      <c r="E3678" t="s">
        <v>6062</v>
      </c>
      <c r="F3678" s="129" t="s">
        <v>6062</v>
      </c>
      <c r="G3678" s="135" t="s">
        <v>406</v>
      </c>
      <c r="H3678" s="129" t="str">
        <f>IF(Proc[[#This Row],[type]]="LFF (MDG-F)",MID(Proc[[#This Row],[Obj]],13,10),"")</f>
        <v>JP01C0M821</v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EL</v>
      </c>
      <c r="L3678" s="129" t="s">
        <v>4894</v>
      </c>
      <c r="M3678" s="136">
        <v>45895</v>
      </c>
      <c r="N3678" s="137"/>
      <c r="O3678" s="137"/>
      <c r="P3678" s="136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72</v>
      </c>
      <c r="R3678" s="136" t="s">
        <v>6087</v>
      </c>
      <c r="S3678" s="129"/>
    </row>
    <row r="3679" spans="1:19" hidden="1">
      <c r="A3679" s="135" t="s">
        <v>6086</v>
      </c>
      <c r="B3679" s="149" t="str">
        <f>IFERROR(VLOOKUP(Proc[[#This Row],[App]],Table2[],3,0),"open")</f>
        <v>ok</v>
      </c>
      <c r="C3679" s="138" t="s">
        <v>369</v>
      </c>
      <c r="D3679" t="s">
        <v>5952</v>
      </c>
      <c r="E3679" t="s">
        <v>6062</v>
      </c>
      <c r="F3679" s="129" t="s">
        <v>6062</v>
      </c>
      <c r="G3679" s="135" t="s">
        <v>406</v>
      </c>
      <c r="H3679" s="129" t="str">
        <f>IF(Proc[[#This Row],[type]]="LFF (MDG-F)",MID(Proc[[#This Row],[Obj]],13,10),"")</f>
        <v>JP01C0M822</v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EL</v>
      </c>
      <c r="L3679" s="129" t="s">
        <v>4894</v>
      </c>
      <c r="M3679" s="136">
        <v>45895</v>
      </c>
      <c r="N3679" s="137"/>
      <c r="O3679" s="137"/>
      <c r="P3679" s="136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72</v>
      </c>
      <c r="R3679" s="136" t="s">
        <v>6087</v>
      </c>
      <c r="S3679" s="129"/>
    </row>
    <row r="3680" spans="1:19" hidden="1">
      <c r="A3680" s="135" t="s">
        <v>6086</v>
      </c>
      <c r="B3680" s="149" t="str">
        <f>IFERROR(VLOOKUP(Proc[[#This Row],[App]],Table2[],3,0),"open")</f>
        <v>ok</v>
      </c>
      <c r="C3680" s="144" t="s">
        <v>369</v>
      </c>
      <c r="D3680" t="s">
        <v>5953</v>
      </c>
      <c r="E3680" t="s">
        <v>6063</v>
      </c>
      <c r="F3680" s="150" t="s">
        <v>6063</v>
      </c>
      <c r="G3680" s="135" t="s">
        <v>406</v>
      </c>
      <c r="H3680" s="129" t="str">
        <f>IF(Proc[[#This Row],[type]]="LFF (MDG-F)",MID(Proc[[#This Row],[Obj]],13,10),"")</f>
        <v>JP01C0M825</v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EL</v>
      </c>
      <c r="L3680" s="129" t="s">
        <v>4894</v>
      </c>
      <c r="M3680" s="136">
        <v>45895</v>
      </c>
      <c r="N3680" s="137"/>
      <c r="O3680" s="137"/>
      <c r="P3680" s="136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72</v>
      </c>
      <c r="R3680" s="136" t="s">
        <v>6087</v>
      </c>
      <c r="S3680" s="129"/>
    </row>
    <row r="3681" spans="1:19" hidden="1">
      <c r="A3681" s="135" t="s">
        <v>6086</v>
      </c>
      <c r="B3681" s="149" t="str">
        <f>IFERROR(VLOOKUP(Proc[[#This Row],[App]],Table2[],3,0),"open")</f>
        <v>ok</v>
      </c>
      <c r="C3681" s="138" t="s">
        <v>369</v>
      </c>
      <c r="D3681" t="s">
        <v>5954</v>
      </c>
      <c r="E3681" t="s">
        <v>6064</v>
      </c>
      <c r="F3681" s="138" t="s">
        <v>6064</v>
      </c>
      <c r="G3681" s="135" t="s">
        <v>406</v>
      </c>
      <c r="H3681" s="129" t="str">
        <f>IF(Proc[[#This Row],[type]]="LFF (MDG-F)",MID(Proc[[#This Row],[Obj]],13,10),"")</f>
        <v>JP01C0M921</v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EL</v>
      </c>
      <c r="L3681" s="129" t="s">
        <v>4894</v>
      </c>
      <c r="M3681" s="136">
        <v>45895</v>
      </c>
      <c r="N3681" s="137"/>
      <c r="O3681" s="137"/>
      <c r="P3681" s="136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72</v>
      </c>
      <c r="R3681" s="136" t="s">
        <v>6087</v>
      </c>
      <c r="S3681" s="129"/>
    </row>
    <row r="3682" spans="1:19" hidden="1">
      <c r="A3682" s="135" t="s">
        <v>6086</v>
      </c>
      <c r="B3682" s="149" t="str">
        <f>IFERROR(VLOOKUP(Proc[[#This Row],[App]],Table2[],3,0),"open")</f>
        <v>ok</v>
      </c>
      <c r="C3682" s="138" t="s">
        <v>369</v>
      </c>
      <c r="D3682" t="s">
        <v>5955</v>
      </c>
      <c r="E3682" t="s">
        <v>6065</v>
      </c>
      <c r="F3682" s="129" t="s">
        <v>6065</v>
      </c>
      <c r="G3682" s="135" t="s">
        <v>406</v>
      </c>
      <c r="H3682" s="129" t="str">
        <f>IF(Proc[[#This Row],[type]]="LFF (MDG-F)",MID(Proc[[#This Row],[Obj]],13,10),"")</f>
        <v>JP01C0O921</v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EL</v>
      </c>
      <c r="L3682" s="129" t="s">
        <v>4894</v>
      </c>
      <c r="M3682" s="136">
        <v>45895</v>
      </c>
      <c r="N3682" s="137"/>
      <c r="O3682" s="137"/>
      <c r="P3682" s="136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72</v>
      </c>
      <c r="R3682" s="136" t="s">
        <v>6087</v>
      </c>
      <c r="S3682" s="129"/>
    </row>
    <row r="3683" spans="1:19" hidden="1">
      <c r="A3683" s="135" t="s">
        <v>6086</v>
      </c>
      <c r="B3683" s="149" t="str">
        <f>IFERROR(VLOOKUP(Proc[[#This Row],[App]],Table2[],3,0),"open")</f>
        <v>ok</v>
      </c>
      <c r="C3683" s="138" t="s">
        <v>369</v>
      </c>
      <c r="D3683" t="s">
        <v>5956</v>
      </c>
      <c r="E3683" t="s">
        <v>6062</v>
      </c>
      <c r="F3683" s="129" t="s">
        <v>6062</v>
      </c>
      <c r="G3683" s="135" t="s">
        <v>406</v>
      </c>
      <c r="H3683" s="129" t="str">
        <f>IF(Proc[[#This Row],[type]]="LFF (MDG-F)",MID(Proc[[#This Row],[Obj]],13,10),"")</f>
        <v>JP01C0O999</v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EL</v>
      </c>
      <c r="L3683" s="129" t="s">
        <v>4894</v>
      </c>
      <c r="M3683" s="136">
        <v>45895</v>
      </c>
      <c r="N3683" s="137"/>
      <c r="O3683" s="137"/>
      <c r="P3683" s="136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72</v>
      </c>
      <c r="R3683" s="136" t="s">
        <v>6087</v>
      </c>
      <c r="S3683" s="129"/>
    </row>
    <row r="3684" spans="1:19" hidden="1">
      <c r="A3684" s="135" t="s">
        <v>6086</v>
      </c>
      <c r="B3684" s="149" t="str">
        <f>IFERROR(VLOOKUP(Proc[[#This Row],[App]],Table2[],3,0),"open")</f>
        <v>ok</v>
      </c>
      <c r="C3684" s="138" t="s">
        <v>369</v>
      </c>
      <c r="D3684" t="s">
        <v>5957</v>
      </c>
      <c r="E3684" t="s">
        <v>6066</v>
      </c>
      <c r="F3684" s="129" t="s">
        <v>6066</v>
      </c>
      <c r="G3684" s="135" t="s">
        <v>406</v>
      </c>
      <c r="H3684" s="129" t="str">
        <f>IF(Proc[[#This Row],[type]]="LFF (MDG-F)",MID(Proc[[#This Row],[Obj]],13,10),"")</f>
        <v>JP01GBT301</v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EL</v>
      </c>
      <c r="L3684" s="129" t="s">
        <v>4894</v>
      </c>
      <c r="M3684" s="136">
        <v>45895</v>
      </c>
      <c r="N3684" s="137"/>
      <c r="O3684" s="137"/>
      <c r="P3684" s="136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72</v>
      </c>
      <c r="R3684" s="136" t="s">
        <v>6087</v>
      </c>
      <c r="S3684" s="129"/>
    </row>
    <row r="3685" spans="1:19" hidden="1">
      <c r="A3685" s="135" t="s">
        <v>6086</v>
      </c>
      <c r="B3685" s="149" t="str">
        <f>IFERROR(VLOOKUP(Proc[[#This Row],[App]],Table2[],3,0),"open")</f>
        <v>ok</v>
      </c>
      <c r="C3685" s="138" t="s">
        <v>369</v>
      </c>
      <c r="D3685" t="s">
        <v>5958</v>
      </c>
      <c r="E3685" t="s">
        <v>6066</v>
      </c>
      <c r="F3685" s="129" t="s">
        <v>6066</v>
      </c>
      <c r="G3685" s="135" t="s">
        <v>406</v>
      </c>
      <c r="H3685" s="129" t="str">
        <f>IF(Proc[[#This Row],[type]]="LFF (MDG-F)",MID(Proc[[#This Row],[Obj]],13,10),"")</f>
        <v>JP01GBT303</v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EL</v>
      </c>
      <c r="L3685" s="129" t="s">
        <v>4894</v>
      </c>
      <c r="M3685" s="136">
        <v>45895</v>
      </c>
      <c r="N3685" s="137"/>
      <c r="O3685" s="137"/>
      <c r="P3685" s="136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72</v>
      </c>
      <c r="R3685" s="136" t="s">
        <v>6087</v>
      </c>
      <c r="S3685" s="129"/>
    </row>
    <row r="3686" spans="1:19" hidden="1">
      <c r="A3686" s="135" t="s">
        <v>6086</v>
      </c>
      <c r="B3686" s="149" t="str">
        <f>IFERROR(VLOOKUP(Proc[[#This Row],[App]],Table2[],3,0),"open")</f>
        <v>ok</v>
      </c>
      <c r="C3686" s="138" t="s">
        <v>369</v>
      </c>
      <c r="D3686" t="s">
        <v>5959</v>
      </c>
      <c r="E3686" t="s">
        <v>6066</v>
      </c>
      <c r="F3686" s="129" t="s">
        <v>6066</v>
      </c>
      <c r="G3686" s="135" t="s">
        <v>406</v>
      </c>
      <c r="H3686" s="129" t="str">
        <f>IF(Proc[[#This Row],[type]]="LFF (MDG-F)",MID(Proc[[#This Row],[Obj]],13,10),"")</f>
        <v>JP01GBT304</v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EL</v>
      </c>
      <c r="L3686" s="129" t="s">
        <v>4894</v>
      </c>
      <c r="M3686" s="136">
        <v>45895</v>
      </c>
      <c r="N3686" s="137"/>
      <c r="O3686" s="137"/>
      <c r="P3686" s="136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72</v>
      </c>
      <c r="R3686" s="136" t="s">
        <v>6087</v>
      </c>
      <c r="S3686" s="129"/>
    </row>
    <row r="3687" spans="1:19" hidden="1">
      <c r="A3687" s="135" t="s">
        <v>6086</v>
      </c>
      <c r="B3687" s="149" t="str">
        <f>IFERROR(VLOOKUP(Proc[[#This Row],[App]],Table2[],3,0),"open")</f>
        <v>ok</v>
      </c>
      <c r="C3687" s="138" t="s">
        <v>369</v>
      </c>
      <c r="D3687" t="s">
        <v>5960</v>
      </c>
      <c r="E3687" t="s">
        <v>6066</v>
      </c>
      <c r="F3687" s="129" t="s">
        <v>6066</v>
      </c>
      <c r="G3687" s="135" t="s">
        <v>406</v>
      </c>
      <c r="H3687" s="129" t="str">
        <f>IF(Proc[[#This Row],[type]]="LFF (MDG-F)",MID(Proc[[#This Row],[Obj]],13,10),"")</f>
        <v>JP01GBT305</v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EL</v>
      </c>
      <c r="L3687" s="129" t="s">
        <v>4894</v>
      </c>
      <c r="M3687" s="136">
        <v>45895</v>
      </c>
      <c r="N3687" s="137"/>
      <c r="O3687" s="137"/>
      <c r="P3687" s="136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72</v>
      </c>
      <c r="R3687" s="136" t="s">
        <v>6087</v>
      </c>
      <c r="S3687" s="129"/>
    </row>
    <row r="3688" spans="1:19" hidden="1">
      <c r="A3688" s="135" t="s">
        <v>6086</v>
      </c>
      <c r="B3688" s="149" t="str">
        <f>IFERROR(VLOOKUP(Proc[[#This Row],[App]],Table2[],3,0),"open")</f>
        <v>ok</v>
      </c>
      <c r="C3688" s="138" t="s">
        <v>369</v>
      </c>
      <c r="D3688" t="s">
        <v>5961</v>
      </c>
      <c r="E3688" t="s">
        <v>6067</v>
      </c>
      <c r="F3688" s="129" t="s">
        <v>6067</v>
      </c>
      <c r="G3688" s="135" t="s">
        <v>406</v>
      </c>
      <c r="H3688" s="129" t="str">
        <f>IF(Proc[[#This Row],[type]]="LFF (MDG-F)",MID(Proc[[#This Row],[Obj]],13,10),"")</f>
        <v>JP01GCM301</v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EL</v>
      </c>
      <c r="L3688" s="129" t="s">
        <v>4894</v>
      </c>
      <c r="M3688" s="136">
        <v>45895</v>
      </c>
      <c r="N3688" s="137"/>
      <c r="O3688" s="137"/>
      <c r="P3688" s="136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72</v>
      </c>
      <c r="R3688" s="136" t="s">
        <v>6087</v>
      </c>
      <c r="S3688" s="129"/>
    </row>
    <row r="3689" spans="1:19" hidden="1">
      <c r="A3689" s="135" t="s">
        <v>6086</v>
      </c>
      <c r="B3689" s="149" t="str">
        <f>IFERROR(VLOOKUP(Proc[[#This Row],[App]],Table2[],3,0),"open")</f>
        <v>ok</v>
      </c>
      <c r="C3689" s="138" t="s">
        <v>369</v>
      </c>
      <c r="D3689" t="s">
        <v>5962</v>
      </c>
      <c r="E3689" t="s">
        <v>6068</v>
      </c>
      <c r="F3689" s="129" t="s">
        <v>6068</v>
      </c>
      <c r="G3689" s="135" t="s">
        <v>406</v>
      </c>
      <c r="H3689" s="129" t="str">
        <f>IF(Proc[[#This Row],[type]]="LFF (MDG-F)",MID(Proc[[#This Row],[Obj]],13,10),"")</f>
        <v>JP01GCO301</v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EL</v>
      </c>
      <c r="L3689" s="129" t="s">
        <v>4894</v>
      </c>
      <c r="M3689" s="136">
        <v>45895</v>
      </c>
      <c r="N3689" s="137"/>
      <c r="O3689" s="137"/>
      <c r="P3689" s="136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72</v>
      </c>
      <c r="R3689" s="136" t="s">
        <v>6087</v>
      </c>
      <c r="S3689" s="129"/>
    </row>
    <row r="3690" spans="1:19" hidden="1">
      <c r="A3690" s="135" t="s">
        <v>6086</v>
      </c>
      <c r="B3690" s="149" t="str">
        <f>IFERROR(VLOOKUP(Proc[[#This Row],[App]],Table2[],3,0),"open")</f>
        <v>ok</v>
      </c>
      <c r="C3690" s="138" t="s">
        <v>369</v>
      </c>
      <c r="D3690" t="s">
        <v>5963</v>
      </c>
      <c r="E3690" t="s">
        <v>6067</v>
      </c>
      <c r="F3690" s="129" t="s">
        <v>6067</v>
      </c>
      <c r="G3690" s="135" t="s">
        <v>406</v>
      </c>
      <c r="H3690" s="129" t="str">
        <f>IF(Proc[[#This Row],[type]]="LFF (MDG-F)",MID(Proc[[#This Row],[Obj]],13,10),"")</f>
        <v>JP01GFO300</v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EL</v>
      </c>
      <c r="L3690" s="129" t="s">
        <v>4894</v>
      </c>
      <c r="M3690" s="136">
        <v>45895</v>
      </c>
      <c r="N3690" s="137"/>
      <c r="O3690" s="137"/>
      <c r="P3690" s="136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72</v>
      </c>
      <c r="R3690" s="136" t="s">
        <v>6087</v>
      </c>
      <c r="S3690" s="129"/>
    </row>
    <row r="3691" spans="1:19" hidden="1">
      <c r="A3691" s="135" t="s">
        <v>6086</v>
      </c>
      <c r="B3691" s="149" t="str">
        <f>IFERROR(VLOOKUP(Proc[[#This Row],[App]],Table2[],3,0),"open")</f>
        <v>ok</v>
      </c>
      <c r="C3691" s="138" t="s">
        <v>369</v>
      </c>
      <c r="D3691" t="s">
        <v>5964</v>
      </c>
      <c r="E3691" t="s">
        <v>6067</v>
      </c>
      <c r="F3691" s="129" t="s">
        <v>6067</v>
      </c>
      <c r="G3691" s="135" t="s">
        <v>406</v>
      </c>
      <c r="H3691" s="129" t="str">
        <f>IF(Proc[[#This Row],[type]]="LFF (MDG-F)",MID(Proc[[#This Row],[Obj]],13,10),"")</f>
        <v>JP01GFO301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EL</v>
      </c>
      <c r="L3691" s="129" t="s">
        <v>4894</v>
      </c>
      <c r="M3691" s="136">
        <v>45895</v>
      </c>
      <c r="N3691" s="137"/>
      <c r="O3691" s="137"/>
      <c r="P3691" s="136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72</v>
      </c>
      <c r="R3691" s="136" t="s">
        <v>6087</v>
      </c>
      <c r="S3691" s="129"/>
    </row>
    <row r="3692" spans="1:19" hidden="1">
      <c r="A3692" s="135" t="s">
        <v>6086</v>
      </c>
      <c r="B3692" s="149" t="str">
        <f>IFERROR(VLOOKUP(Proc[[#This Row],[App]],Table2[],3,0),"open")</f>
        <v>ok</v>
      </c>
      <c r="C3692" s="138" t="s">
        <v>369</v>
      </c>
      <c r="D3692" t="s">
        <v>5965</v>
      </c>
      <c r="E3692" t="s">
        <v>6069</v>
      </c>
      <c r="F3692" s="129" t="s">
        <v>6069</v>
      </c>
      <c r="G3692" s="135" t="s">
        <v>406</v>
      </c>
      <c r="H3692" s="129" t="str">
        <f>IF(Proc[[#This Row],[type]]="LFF (MDG-F)",MID(Proc[[#This Row],[Obj]],13,10),"")</f>
        <v>JP01GHR301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EL</v>
      </c>
      <c r="L3692" s="129" t="s">
        <v>4894</v>
      </c>
      <c r="M3692" s="136">
        <v>45895</v>
      </c>
      <c r="N3692" s="137"/>
      <c r="O3692" s="137"/>
      <c r="P3692" s="136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72</v>
      </c>
      <c r="R3692" s="136" t="s">
        <v>6087</v>
      </c>
      <c r="S3692" s="129"/>
    </row>
    <row r="3693" spans="1:19" hidden="1">
      <c r="A3693" s="135" t="s">
        <v>6086</v>
      </c>
      <c r="B3693" s="149" t="str">
        <f>IFERROR(VLOOKUP(Proc[[#This Row],[App]],Table2[],3,0),"open")</f>
        <v>ok</v>
      </c>
      <c r="C3693" s="138" t="s">
        <v>369</v>
      </c>
      <c r="D3693" t="s">
        <v>5966</v>
      </c>
      <c r="E3693" t="s">
        <v>6069</v>
      </c>
      <c r="F3693" s="129" t="s">
        <v>6069</v>
      </c>
      <c r="G3693" s="135" t="s">
        <v>406</v>
      </c>
      <c r="H3693" s="129" t="str">
        <f>IF(Proc[[#This Row],[type]]="LFF (MDG-F)",MID(Proc[[#This Row],[Obj]],13,10),"")</f>
        <v>JP01GHR303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EL</v>
      </c>
      <c r="L3693" s="129" t="s">
        <v>4894</v>
      </c>
      <c r="M3693" s="136">
        <v>45895</v>
      </c>
      <c r="N3693" s="137"/>
      <c r="O3693" s="137"/>
      <c r="P3693" s="136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72</v>
      </c>
      <c r="R3693" s="136" t="s">
        <v>6087</v>
      </c>
      <c r="S3693" s="129"/>
    </row>
    <row r="3694" spans="1:19" hidden="1">
      <c r="A3694" s="135" t="s">
        <v>6086</v>
      </c>
      <c r="B3694" s="149" t="str">
        <f>IFERROR(VLOOKUP(Proc[[#This Row],[App]],Table2[],3,0),"open")</f>
        <v>ok</v>
      </c>
      <c r="C3694" s="138" t="s">
        <v>369</v>
      </c>
      <c r="D3694" t="s">
        <v>5967</v>
      </c>
      <c r="E3694" t="s">
        <v>6066</v>
      </c>
      <c r="F3694" s="129" t="s">
        <v>6066</v>
      </c>
      <c r="G3694" s="135" t="s">
        <v>406</v>
      </c>
      <c r="H3694" s="129" t="str">
        <f>IF(Proc[[#This Row],[type]]="LFF (MDG-F)",MID(Proc[[#This Row],[Obj]],13,10),"")</f>
        <v>JP01GIT01B</v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EL</v>
      </c>
      <c r="L3694" s="129" t="s">
        <v>4894</v>
      </c>
      <c r="M3694" s="136">
        <v>45895</v>
      </c>
      <c r="N3694" s="137"/>
      <c r="O3694" s="137"/>
      <c r="P3694" s="136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72</v>
      </c>
      <c r="R3694" s="136" t="s">
        <v>6087</v>
      </c>
      <c r="S3694" s="129"/>
    </row>
    <row r="3695" spans="1:19" hidden="1">
      <c r="A3695" s="135" t="s">
        <v>6086</v>
      </c>
      <c r="B3695" s="149" t="str">
        <f>IFERROR(VLOOKUP(Proc[[#This Row],[App]],Table2[],3,0),"open")</f>
        <v>ok</v>
      </c>
      <c r="C3695" s="138" t="s">
        <v>369</v>
      </c>
      <c r="D3695" t="s">
        <v>5968</v>
      </c>
      <c r="E3695" t="s">
        <v>6070</v>
      </c>
      <c r="F3695" s="129" t="s">
        <v>6070</v>
      </c>
      <c r="G3695" s="135" t="s">
        <v>406</v>
      </c>
      <c r="H3695" s="129" t="str">
        <f>IF(Proc[[#This Row],[type]]="LFF (MDG-F)",MID(Proc[[#This Row],[Obj]],13,10),"")</f>
        <v>JP01GLE301</v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EL</v>
      </c>
      <c r="L3695" s="129" t="s">
        <v>4894</v>
      </c>
      <c r="M3695" s="136">
        <v>45895</v>
      </c>
      <c r="N3695" s="137"/>
      <c r="O3695" s="137"/>
      <c r="P3695" s="136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72</v>
      </c>
      <c r="R3695" s="136" t="s">
        <v>6087</v>
      </c>
      <c r="S3695" s="129"/>
    </row>
    <row r="3696" spans="1:19" hidden="1">
      <c r="A3696" s="135" t="s">
        <v>6086</v>
      </c>
      <c r="B3696" s="149" t="str">
        <f>IFERROR(VLOOKUP(Proc[[#This Row],[App]],Table2[],3,0),"open")</f>
        <v>ok</v>
      </c>
      <c r="C3696" s="138" t="s">
        <v>369</v>
      </c>
      <c r="D3696" t="s">
        <v>5969</v>
      </c>
      <c r="E3696" t="s">
        <v>6070</v>
      </c>
      <c r="F3696" s="129" t="s">
        <v>6070</v>
      </c>
      <c r="G3696" s="135" t="s">
        <v>406</v>
      </c>
      <c r="H3696" s="129" t="str">
        <f>IF(Proc[[#This Row],[type]]="LFF (MDG-F)",MID(Proc[[#This Row],[Obj]],13,10),"")</f>
        <v>JP01GLE302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EL</v>
      </c>
      <c r="L3696" s="129" t="s">
        <v>4894</v>
      </c>
      <c r="M3696" s="136">
        <v>45895</v>
      </c>
      <c r="N3696" s="137"/>
      <c r="O3696" s="137"/>
      <c r="P3696" s="136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72</v>
      </c>
      <c r="R3696" s="136" t="s">
        <v>6087</v>
      </c>
      <c r="S3696" s="129"/>
    </row>
    <row r="3697" spans="1:19" hidden="1">
      <c r="A3697" s="135" t="s">
        <v>6086</v>
      </c>
      <c r="B3697" s="149" t="str">
        <f>IFERROR(VLOOKUP(Proc[[#This Row],[App]],Table2[],3,0),"open")</f>
        <v>ok</v>
      </c>
      <c r="C3697" s="138" t="s">
        <v>369</v>
      </c>
      <c r="D3697" t="s">
        <v>5970</v>
      </c>
      <c r="E3697" t="s">
        <v>6059</v>
      </c>
      <c r="F3697" s="129" t="s">
        <v>6059</v>
      </c>
      <c r="G3697" s="135" t="s">
        <v>406</v>
      </c>
      <c r="H3697" s="129" t="str">
        <f>IF(Proc[[#This Row],[type]]="LFF (MDG-F)",MID(Proc[[#This Row],[Obj]],13,10),"")</f>
        <v>JP01GM1002</v>
      </c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EL</v>
      </c>
      <c r="L3697" s="129" t="s">
        <v>4894</v>
      </c>
      <c r="M3697" s="136">
        <v>45895</v>
      </c>
      <c r="N3697" s="137"/>
      <c r="O3697" s="137"/>
      <c r="P3697" s="136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72</v>
      </c>
      <c r="R3697" s="136" t="s">
        <v>6087</v>
      </c>
      <c r="S3697" s="129"/>
    </row>
    <row r="3698" spans="1:19" hidden="1">
      <c r="A3698" s="135" t="s">
        <v>6086</v>
      </c>
      <c r="B3698" s="149" t="str">
        <f>IFERROR(VLOOKUP(Proc[[#This Row],[App]],Table2[],3,0),"open")</f>
        <v>ok</v>
      </c>
      <c r="C3698" s="138" t="s">
        <v>369</v>
      </c>
      <c r="D3698" t="s">
        <v>5971</v>
      </c>
      <c r="E3698" t="s">
        <v>6059</v>
      </c>
      <c r="F3698" s="129" t="s">
        <v>6059</v>
      </c>
      <c r="G3698" s="135" t="s">
        <v>406</v>
      </c>
      <c r="H3698" s="129" t="str">
        <f>IF(Proc[[#This Row],[type]]="LFF (MDG-F)",MID(Proc[[#This Row],[Obj]],13,10),"")</f>
        <v>JP01GM4001</v>
      </c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EL</v>
      </c>
      <c r="L3698" s="129" t="s">
        <v>4894</v>
      </c>
      <c r="M3698" s="136">
        <v>45895</v>
      </c>
      <c r="N3698" s="137"/>
      <c r="O3698" s="137"/>
      <c r="P3698" s="136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72</v>
      </c>
      <c r="R3698" s="136" t="s">
        <v>6087</v>
      </c>
      <c r="S3698" s="129"/>
    </row>
    <row r="3699" spans="1:19" hidden="1">
      <c r="A3699" s="135" t="s">
        <v>6086</v>
      </c>
      <c r="B3699" s="149" t="str">
        <f>IFERROR(VLOOKUP(Proc[[#This Row],[App]],Table2[],3,0),"open")</f>
        <v>ok</v>
      </c>
      <c r="C3699" s="138" t="s">
        <v>369</v>
      </c>
      <c r="D3699" t="s">
        <v>5972</v>
      </c>
      <c r="E3699" t="s">
        <v>6059</v>
      </c>
      <c r="F3699" s="129" t="s">
        <v>6059</v>
      </c>
      <c r="G3699" s="135" t="s">
        <v>406</v>
      </c>
      <c r="H3699" s="129" t="str">
        <f>IF(Proc[[#This Row],[type]]="LFF (MDG-F)",MID(Proc[[#This Row],[Obj]],13,10),"")</f>
        <v>JP01GM4002</v>
      </c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EL</v>
      </c>
      <c r="L3699" s="129" t="s">
        <v>4894</v>
      </c>
      <c r="M3699" s="136">
        <v>45895</v>
      </c>
      <c r="N3699" s="137"/>
      <c r="O3699" s="137"/>
      <c r="P3699" s="136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72</v>
      </c>
      <c r="R3699" s="136" t="s">
        <v>6087</v>
      </c>
      <c r="S3699" s="129"/>
    </row>
    <row r="3700" spans="1:19" hidden="1">
      <c r="A3700" s="135" t="s">
        <v>6086</v>
      </c>
      <c r="B3700" s="149" t="str">
        <f>IFERROR(VLOOKUP(Proc[[#This Row],[App]],Table2[],3,0),"open")</f>
        <v>ok</v>
      </c>
      <c r="C3700" s="138" t="s">
        <v>369</v>
      </c>
      <c r="D3700" t="s">
        <v>5973</v>
      </c>
      <c r="E3700" t="s">
        <v>6067</v>
      </c>
      <c r="F3700" s="129" t="s">
        <v>6067</v>
      </c>
      <c r="G3700" s="135" t="s">
        <v>406</v>
      </c>
      <c r="H3700" s="129" t="str">
        <f>IF(Proc[[#This Row],[type]]="LFF (MDG-F)",MID(Proc[[#This Row],[Obj]],13,10),"")</f>
        <v>JP01GM8001</v>
      </c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EL</v>
      </c>
      <c r="L3700" s="129" t="s">
        <v>4894</v>
      </c>
      <c r="M3700" s="136">
        <v>45895</v>
      </c>
      <c r="N3700" s="137"/>
      <c r="O3700" s="137"/>
      <c r="P3700" s="136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72</v>
      </c>
      <c r="R3700" s="136" t="s">
        <v>6087</v>
      </c>
      <c r="S3700" s="129"/>
    </row>
    <row r="3701" spans="1:19" hidden="1">
      <c r="A3701" s="135" t="s">
        <v>6086</v>
      </c>
      <c r="B3701" s="149" t="str">
        <f>IFERROR(VLOOKUP(Proc[[#This Row],[App]],Table2[],3,0),"open")</f>
        <v>ok</v>
      </c>
      <c r="C3701" s="138" t="s">
        <v>369</v>
      </c>
      <c r="D3701" t="s">
        <v>5974</v>
      </c>
      <c r="E3701" t="s">
        <v>6059</v>
      </c>
      <c r="F3701" s="129" t="s">
        <v>6059</v>
      </c>
      <c r="G3701" s="135" t="s">
        <v>406</v>
      </c>
      <c r="H3701" s="129" t="str">
        <f>IF(Proc[[#This Row],[type]]="LFF (MDG-F)",MID(Proc[[#This Row],[Obj]],13,10),"")</f>
        <v>JP01GM8002</v>
      </c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EL</v>
      </c>
      <c r="L3701" s="129" t="s">
        <v>4894</v>
      </c>
      <c r="M3701" s="136">
        <v>45895</v>
      </c>
      <c r="N3701" s="137"/>
      <c r="O3701" s="137"/>
      <c r="P3701" s="136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72</v>
      </c>
      <c r="R3701" s="136" t="s">
        <v>6087</v>
      </c>
      <c r="S3701" s="129"/>
    </row>
    <row r="3702" spans="1:19" hidden="1">
      <c r="A3702" s="135" t="s">
        <v>6086</v>
      </c>
      <c r="B3702" s="149" t="str">
        <f>IFERROR(VLOOKUP(Proc[[#This Row],[App]],Table2[],3,0),"open")</f>
        <v>ok</v>
      </c>
      <c r="C3702" s="138" t="s">
        <v>369</v>
      </c>
      <c r="D3702" t="s">
        <v>5975</v>
      </c>
      <c r="E3702" t="s">
        <v>6059</v>
      </c>
      <c r="F3702" s="129" t="s">
        <v>6059</v>
      </c>
      <c r="G3702" s="135" t="s">
        <v>406</v>
      </c>
      <c r="H3702" s="129" t="str">
        <f>IF(Proc[[#This Row],[type]]="LFF (MDG-F)",MID(Proc[[#This Row],[Obj]],13,10),"")</f>
        <v>JP01GMB040</v>
      </c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EL</v>
      </c>
      <c r="L3702" s="129" t="s">
        <v>4894</v>
      </c>
      <c r="M3702" s="136">
        <v>45895</v>
      </c>
      <c r="N3702" s="137"/>
      <c r="O3702" s="137"/>
      <c r="P3702" s="136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72</v>
      </c>
      <c r="R3702" s="136" t="s">
        <v>6087</v>
      </c>
      <c r="S3702" s="129"/>
    </row>
    <row r="3703" spans="1:19" hidden="1">
      <c r="A3703" s="135" t="s">
        <v>6086</v>
      </c>
      <c r="B3703" s="149" t="str">
        <f>IFERROR(VLOOKUP(Proc[[#This Row],[App]],Table2[],3,0),"open")</f>
        <v>ok</v>
      </c>
      <c r="C3703" s="138" t="s">
        <v>369</v>
      </c>
      <c r="D3703" t="s">
        <v>5976</v>
      </c>
      <c r="E3703" t="s">
        <v>6059</v>
      </c>
      <c r="F3703" s="129" t="s">
        <v>6059</v>
      </c>
      <c r="G3703" s="135" t="s">
        <v>406</v>
      </c>
      <c r="H3703" s="129" t="str">
        <f>IF(Proc[[#This Row],[type]]="LFF (MDG-F)",MID(Proc[[#This Row],[Obj]],13,10),"")</f>
        <v>JP01GMW080</v>
      </c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EL</v>
      </c>
      <c r="L3703" s="129" t="s">
        <v>4894</v>
      </c>
      <c r="M3703" s="136">
        <v>45895</v>
      </c>
      <c r="N3703" s="137"/>
      <c r="O3703" s="137"/>
      <c r="P3703" s="136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72</v>
      </c>
      <c r="R3703" s="136" t="s">
        <v>6087</v>
      </c>
      <c r="S3703" s="129"/>
    </row>
    <row r="3704" spans="1:19" hidden="1">
      <c r="A3704" s="135" t="s">
        <v>6086</v>
      </c>
      <c r="B3704" s="149" t="str">
        <f>IFERROR(VLOOKUP(Proc[[#This Row],[App]],Table2[],3,0),"open")</f>
        <v>ok</v>
      </c>
      <c r="C3704" s="138" t="s">
        <v>369</v>
      </c>
      <c r="D3704" t="s">
        <v>5977</v>
      </c>
      <c r="E3704" t="s">
        <v>6071</v>
      </c>
      <c r="F3704" s="129" t="s">
        <v>6071</v>
      </c>
      <c r="G3704" s="135" t="s">
        <v>406</v>
      </c>
      <c r="H3704" s="129" t="str">
        <f>IF(Proc[[#This Row],[type]]="LFF (MDG-F)",MID(Proc[[#This Row],[Obj]],13,10),"")</f>
        <v>JP01GPO301</v>
      </c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EL</v>
      </c>
      <c r="L3704" s="129" t="s">
        <v>4894</v>
      </c>
      <c r="M3704" s="136">
        <v>45895</v>
      </c>
      <c r="N3704" s="137"/>
      <c r="O3704" s="137"/>
      <c r="P3704" s="136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72</v>
      </c>
      <c r="R3704" s="136" t="s">
        <v>6087</v>
      </c>
      <c r="S3704" s="129"/>
    </row>
    <row r="3705" spans="1:19" hidden="1">
      <c r="A3705" s="135" t="s">
        <v>6086</v>
      </c>
      <c r="B3705" s="149" t="str">
        <f>IFERROR(VLOOKUP(Proc[[#This Row],[App]],Table2[],3,0),"open")</f>
        <v>ok</v>
      </c>
      <c r="C3705" s="138" t="s">
        <v>369</v>
      </c>
      <c r="D3705" t="s">
        <v>5978</v>
      </c>
      <c r="E3705" t="s">
        <v>6071</v>
      </c>
      <c r="F3705" s="129" t="s">
        <v>6071</v>
      </c>
      <c r="G3705" s="135" t="s">
        <v>406</v>
      </c>
      <c r="H3705" s="129" t="str">
        <f>IF(Proc[[#This Row],[type]]="LFF (MDG-F)",MID(Proc[[#This Row],[Obj]],13,10),"")</f>
        <v>JP01GPO302</v>
      </c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EL</v>
      </c>
      <c r="L3705" s="129" t="s">
        <v>4894</v>
      </c>
      <c r="M3705" s="136">
        <v>45895</v>
      </c>
      <c r="N3705" s="137"/>
      <c r="O3705" s="137"/>
      <c r="P3705" s="136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72</v>
      </c>
      <c r="R3705" s="136" t="s">
        <v>6087</v>
      </c>
      <c r="S3705" s="129"/>
    </row>
    <row r="3706" spans="1:19" hidden="1">
      <c r="A3706" s="135" t="s">
        <v>6086</v>
      </c>
      <c r="B3706" s="149" t="str">
        <f>IFERROR(VLOOKUP(Proc[[#This Row],[App]],Table2[],3,0),"open")</f>
        <v>ok</v>
      </c>
      <c r="C3706" s="138" t="s">
        <v>369</v>
      </c>
      <c r="D3706" t="s">
        <v>5979</v>
      </c>
      <c r="E3706" t="s">
        <v>6067</v>
      </c>
      <c r="F3706" s="129" t="s">
        <v>6067</v>
      </c>
      <c r="G3706" s="135" t="s">
        <v>406</v>
      </c>
      <c r="H3706" s="129" t="str">
        <f>IF(Proc[[#This Row],[type]]="LFF (MDG-F)",MID(Proc[[#This Row],[Obj]],13,10),"")</f>
        <v>JP01GPO303</v>
      </c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EL</v>
      </c>
      <c r="L3706" s="129" t="s">
        <v>4894</v>
      </c>
      <c r="M3706" s="136">
        <v>45895</v>
      </c>
      <c r="N3706" s="137"/>
      <c r="O3706" s="137"/>
      <c r="P3706" s="136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72</v>
      </c>
      <c r="R3706" s="136" t="s">
        <v>6087</v>
      </c>
      <c r="S3706" s="129"/>
    </row>
    <row r="3707" spans="1:19" hidden="1">
      <c r="A3707" s="135" t="s">
        <v>6086</v>
      </c>
      <c r="B3707" s="149" t="str">
        <f>IFERROR(VLOOKUP(Proc[[#This Row],[App]],Table2[],3,0),"open")</f>
        <v>ok</v>
      </c>
      <c r="C3707" s="138" t="s">
        <v>369</v>
      </c>
      <c r="D3707" t="s">
        <v>5980</v>
      </c>
      <c r="E3707" t="s">
        <v>6072</v>
      </c>
      <c r="F3707" s="129" t="s">
        <v>6072</v>
      </c>
      <c r="G3707" s="135" t="s">
        <v>406</v>
      </c>
      <c r="H3707" s="129" t="str">
        <f>IF(Proc[[#This Row],[type]]="LFF (MDG-F)",MID(Proc[[#This Row],[Obj]],13,10),"")</f>
        <v>JP01GPS302</v>
      </c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EL</v>
      </c>
      <c r="L3707" s="129" t="s">
        <v>4894</v>
      </c>
      <c r="M3707" s="136">
        <v>45895</v>
      </c>
      <c r="N3707" s="137"/>
      <c r="O3707" s="137"/>
      <c r="P3707" s="136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72</v>
      </c>
      <c r="R3707" s="136" t="s">
        <v>6087</v>
      </c>
      <c r="S3707" s="129"/>
    </row>
    <row r="3708" spans="1:19" hidden="1">
      <c r="A3708" s="135" t="s">
        <v>6086</v>
      </c>
      <c r="B3708" s="149" t="str">
        <f>IFERROR(VLOOKUP(Proc[[#This Row],[App]],Table2[],3,0),"open")</f>
        <v>ok</v>
      </c>
      <c r="C3708" s="138" t="s">
        <v>369</v>
      </c>
      <c r="D3708" t="s">
        <v>5981</v>
      </c>
      <c r="E3708" t="s">
        <v>6066</v>
      </c>
      <c r="F3708" s="129" t="s">
        <v>6066</v>
      </c>
      <c r="G3708" s="135" t="s">
        <v>406</v>
      </c>
      <c r="H3708" s="129" t="str">
        <f>IF(Proc[[#This Row],[type]]="LFF (MDG-F)",MID(Proc[[#This Row],[Obj]],13,10),"")</f>
        <v>JP01GSQ013</v>
      </c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EL</v>
      </c>
      <c r="L3708" s="129" t="s">
        <v>4894</v>
      </c>
      <c r="M3708" s="136">
        <v>45895</v>
      </c>
      <c r="N3708" s="137"/>
      <c r="O3708" s="137"/>
      <c r="P3708" s="136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72</v>
      </c>
      <c r="R3708" s="136" t="s">
        <v>6087</v>
      </c>
      <c r="S3708" s="129"/>
    </row>
    <row r="3709" spans="1:19" hidden="1">
      <c r="A3709" s="135" t="s">
        <v>6086</v>
      </c>
      <c r="B3709" s="149" t="str">
        <f>IFERROR(VLOOKUP(Proc[[#This Row],[App]],Table2[],3,0),"open")</f>
        <v>ok</v>
      </c>
      <c r="C3709" s="138" t="s">
        <v>369</v>
      </c>
      <c r="D3709" t="s">
        <v>5982</v>
      </c>
      <c r="E3709" t="s">
        <v>6067</v>
      </c>
      <c r="F3709" s="129" t="s">
        <v>6067</v>
      </c>
      <c r="G3709" s="135" t="s">
        <v>406</v>
      </c>
      <c r="H3709" s="129" t="str">
        <f>IF(Proc[[#This Row],[type]]="LFF (MDG-F)",MID(Proc[[#This Row],[Obj]],13,10),"")</f>
        <v>JP01L1M001</v>
      </c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EL</v>
      </c>
      <c r="L3709" s="129" t="s">
        <v>4894</v>
      </c>
      <c r="M3709" s="136">
        <v>45895</v>
      </c>
      <c r="N3709" s="137"/>
      <c r="O3709" s="137"/>
      <c r="P3709" s="136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72</v>
      </c>
      <c r="R3709" s="136" t="s">
        <v>6087</v>
      </c>
      <c r="S3709" s="129"/>
    </row>
    <row r="3710" spans="1:19" hidden="1">
      <c r="A3710" s="135" t="s">
        <v>6086</v>
      </c>
      <c r="B3710" s="149" t="str">
        <f>IFERROR(VLOOKUP(Proc[[#This Row],[App]],Table2[],3,0),"open")</f>
        <v>ok</v>
      </c>
      <c r="C3710" s="138" t="s">
        <v>369</v>
      </c>
      <c r="D3710" t="s">
        <v>5983</v>
      </c>
      <c r="E3710" t="s">
        <v>6067</v>
      </c>
      <c r="F3710" s="129" t="s">
        <v>6067</v>
      </c>
      <c r="G3710" s="135" t="s">
        <v>406</v>
      </c>
      <c r="H3710" s="129" t="str">
        <f>IF(Proc[[#This Row],[type]]="LFF (MDG-F)",MID(Proc[[#This Row],[Obj]],13,10),"")</f>
        <v>JP01L3K302</v>
      </c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EL</v>
      </c>
      <c r="L3710" s="129" t="s">
        <v>4894</v>
      </c>
      <c r="M3710" s="136">
        <v>45895</v>
      </c>
      <c r="N3710" s="137"/>
      <c r="O3710" s="137"/>
      <c r="P3710" s="136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72</v>
      </c>
      <c r="R3710" s="136" t="s">
        <v>6087</v>
      </c>
      <c r="S3710" s="129"/>
    </row>
    <row r="3711" spans="1:19" hidden="1">
      <c r="A3711" s="135" t="s">
        <v>6086</v>
      </c>
      <c r="B3711" s="149" t="str">
        <f>IFERROR(VLOOKUP(Proc[[#This Row],[App]],Table2[],3,0),"open")</f>
        <v>ok</v>
      </c>
      <c r="C3711" s="138" t="s">
        <v>369</v>
      </c>
      <c r="D3711" t="s">
        <v>5984</v>
      </c>
      <c r="E3711" t="s">
        <v>6067</v>
      </c>
      <c r="F3711" s="129" t="s">
        <v>6067</v>
      </c>
      <c r="G3711" s="135" t="s">
        <v>406</v>
      </c>
      <c r="H3711" s="129" t="str">
        <f>IF(Proc[[#This Row],[type]]="LFF (MDG-F)",MID(Proc[[#This Row],[Obj]],13,10),"")</f>
        <v>JP01L3K304</v>
      </c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EL</v>
      </c>
      <c r="L3711" s="129" t="s">
        <v>4894</v>
      </c>
      <c r="M3711" s="136">
        <v>45895</v>
      </c>
      <c r="N3711" s="137"/>
      <c r="O3711" s="137"/>
      <c r="P3711" s="136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72</v>
      </c>
      <c r="R3711" s="136" t="s">
        <v>6087</v>
      </c>
      <c r="S3711" s="129"/>
    </row>
    <row r="3712" spans="1:19" hidden="1">
      <c r="A3712" s="135" t="s">
        <v>6086</v>
      </c>
      <c r="B3712" s="149" t="str">
        <f>IFERROR(VLOOKUP(Proc[[#This Row],[App]],Table2[],3,0),"open")</f>
        <v>ok</v>
      </c>
      <c r="C3712" s="138" t="s">
        <v>369</v>
      </c>
      <c r="D3712" t="s">
        <v>5985</v>
      </c>
      <c r="E3712" t="s">
        <v>6067</v>
      </c>
      <c r="F3712" s="129" t="s">
        <v>6067</v>
      </c>
      <c r="G3712" s="135" t="s">
        <v>406</v>
      </c>
      <c r="H3712" s="129" t="str">
        <f>IF(Proc[[#This Row],[type]]="LFF (MDG-F)",MID(Proc[[#This Row],[Obj]],13,10),"")</f>
        <v>JP01L3M301</v>
      </c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EL</v>
      </c>
      <c r="L3712" s="129" t="s">
        <v>4894</v>
      </c>
      <c r="M3712" s="136">
        <v>45895</v>
      </c>
      <c r="N3712" s="137"/>
      <c r="O3712" s="137"/>
      <c r="P3712" s="136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72</v>
      </c>
      <c r="R3712" s="136" t="s">
        <v>6087</v>
      </c>
      <c r="S3712" s="129"/>
    </row>
    <row r="3713" spans="1:19" hidden="1">
      <c r="A3713" s="135" t="s">
        <v>6086</v>
      </c>
      <c r="B3713" s="149" t="str">
        <f>IFERROR(VLOOKUP(Proc[[#This Row],[App]],Table2[],3,0),"open")</f>
        <v>ok</v>
      </c>
      <c r="C3713" s="138" t="s">
        <v>369</v>
      </c>
      <c r="D3713" t="s">
        <v>5986</v>
      </c>
      <c r="E3713" t="s">
        <v>6067</v>
      </c>
      <c r="F3713" s="129" t="s">
        <v>6067</v>
      </c>
      <c r="G3713" s="135" t="s">
        <v>406</v>
      </c>
      <c r="H3713" s="129" t="str">
        <f>IF(Proc[[#This Row],[type]]="LFF (MDG-F)",MID(Proc[[#This Row],[Obj]],13,10),"")</f>
        <v>JP01L3M303</v>
      </c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EL</v>
      </c>
      <c r="L3713" s="129" t="s">
        <v>4894</v>
      </c>
      <c r="M3713" s="136">
        <v>45895</v>
      </c>
      <c r="N3713" s="137"/>
      <c r="O3713" s="137"/>
      <c r="P3713" s="136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72</v>
      </c>
      <c r="R3713" s="136" t="s">
        <v>6087</v>
      </c>
      <c r="S3713" s="129"/>
    </row>
    <row r="3714" spans="1:19" hidden="1">
      <c r="A3714" s="135" t="s">
        <v>6086</v>
      </c>
      <c r="B3714" s="149" t="str">
        <f>IFERROR(VLOOKUP(Proc[[#This Row],[App]],Table2[],3,0),"open")</f>
        <v>ok</v>
      </c>
      <c r="C3714" s="138" t="s">
        <v>369</v>
      </c>
      <c r="D3714" t="s">
        <v>5987</v>
      </c>
      <c r="E3714" t="s">
        <v>6067</v>
      </c>
      <c r="F3714" s="129" t="s">
        <v>6067</v>
      </c>
      <c r="G3714" s="135" t="s">
        <v>406</v>
      </c>
      <c r="H3714" s="129" t="str">
        <f>IF(Proc[[#This Row],[type]]="LFF (MDG-F)",MID(Proc[[#This Row],[Obj]],13,10),"")</f>
        <v>JP01L4M301</v>
      </c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EL</v>
      </c>
      <c r="L3714" s="129" t="s">
        <v>4894</v>
      </c>
      <c r="M3714" s="136">
        <v>45895</v>
      </c>
      <c r="N3714" s="137"/>
      <c r="O3714" s="137"/>
      <c r="P3714" s="136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72</v>
      </c>
      <c r="R3714" s="136" t="s">
        <v>6087</v>
      </c>
      <c r="S3714" s="129"/>
    </row>
    <row r="3715" spans="1:19" hidden="1">
      <c r="A3715" s="135" t="s">
        <v>6086</v>
      </c>
      <c r="B3715" s="149" t="str">
        <f>IFERROR(VLOOKUP(Proc[[#This Row],[App]],Table2[],3,0),"open")</f>
        <v>ok</v>
      </c>
      <c r="C3715" s="138" t="s">
        <v>369</v>
      </c>
      <c r="D3715" t="s">
        <v>5988</v>
      </c>
      <c r="E3715" t="s">
        <v>6069</v>
      </c>
      <c r="F3715" s="129" t="s">
        <v>6069</v>
      </c>
      <c r="G3715" s="135" t="s">
        <v>406</v>
      </c>
      <c r="H3715" s="129" t="str">
        <f>IF(Proc[[#This Row],[type]]="LFF (MDG-F)",MID(Proc[[#This Row],[Obj]],13,10),"")</f>
        <v>JP01L4M302</v>
      </c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EL</v>
      </c>
      <c r="L3715" s="129" t="s">
        <v>4894</v>
      </c>
      <c r="M3715" s="136">
        <v>45895</v>
      </c>
      <c r="N3715" s="137"/>
      <c r="O3715" s="137"/>
      <c r="P3715" s="136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72</v>
      </c>
      <c r="R3715" s="136" t="s">
        <v>6087</v>
      </c>
      <c r="S3715" s="129"/>
    </row>
    <row r="3716" spans="1:19" hidden="1">
      <c r="A3716" s="135" t="s">
        <v>6086</v>
      </c>
      <c r="B3716" s="149" t="str">
        <f>IFERROR(VLOOKUP(Proc[[#This Row],[App]],Table2[],3,0),"open")</f>
        <v>ok</v>
      </c>
      <c r="C3716" s="138" t="s">
        <v>369</v>
      </c>
      <c r="D3716" t="s">
        <v>5989</v>
      </c>
      <c r="E3716" t="s">
        <v>6067</v>
      </c>
      <c r="F3716" s="129" t="s">
        <v>6067</v>
      </c>
      <c r="G3716" s="135" t="s">
        <v>406</v>
      </c>
      <c r="H3716" s="129" t="str">
        <f>IF(Proc[[#This Row],[type]]="LFF (MDG-F)",MID(Proc[[#This Row],[Obj]],13,10),"")</f>
        <v>JP01L5M301</v>
      </c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EL</v>
      </c>
      <c r="L3716" s="129" t="s">
        <v>4894</v>
      </c>
      <c r="M3716" s="136">
        <v>45895</v>
      </c>
      <c r="N3716" s="137"/>
      <c r="O3716" s="137"/>
      <c r="P3716" s="136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72</v>
      </c>
      <c r="R3716" s="136" t="s">
        <v>6087</v>
      </c>
      <c r="S3716" s="129"/>
    </row>
    <row r="3717" spans="1:19" hidden="1">
      <c r="A3717" s="135" t="s">
        <v>6086</v>
      </c>
      <c r="B3717" s="149" t="str">
        <f>IFERROR(VLOOKUP(Proc[[#This Row],[App]],Table2[],3,0),"open")</f>
        <v>ok</v>
      </c>
      <c r="C3717" s="138" t="s">
        <v>369</v>
      </c>
      <c r="D3717" t="s">
        <v>5990</v>
      </c>
      <c r="E3717" t="s">
        <v>6067</v>
      </c>
      <c r="F3717" s="129" t="s">
        <v>6067</v>
      </c>
      <c r="G3717" s="135" t="s">
        <v>406</v>
      </c>
      <c r="H3717" s="129" t="str">
        <f>IF(Proc[[#This Row],[type]]="LFF (MDG-F)",MID(Proc[[#This Row],[Obj]],13,10),"")</f>
        <v>JP01L5M302</v>
      </c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EL</v>
      </c>
      <c r="L3717" s="129" t="s">
        <v>4894</v>
      </c>
      <c r="M3717" s="136">
        <v>45895</v>
      </c>
      <c r="N3717" s="137"/>
      <c r="O3717" s="137"/>
      <c r="P3717" s="136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72</v>
      </c>
      <c r="R3717" s="136" t="s">
        <v>6087</v>
      </c>
      <c r="S3717" s="129"/>
    </row>
    <row r="3718" spans="1:19" hidden="1">
      <c r="A3718" s="135" t="s">
        <v>6086</v>
      </c>
      <c r="B3718" s="149" t="str">
        <f>IFERROR(VLOOKUP(Proc[[#This Row],[App]],Table2[],3,0),"open")</f>
        <v>ok</v>
      </c>
      <c r="C3718" s="138" t="s">
        <v>369</v>
      </c>
      <c r="D3718" t="s">
        <v>5991</v>
      </c>
      <c r="E3718" t="s">
        <v>6067</v>
      </c>
      <c r="F3718" s="129" t="s">
        <v>6067</v>
      </c>
      <c r="G3718" s="135" t="s">
        <v>406</v>
      </c>
      <c r="H3718" s="129" t="str">
        <f>IF(Proc[[#This Row],[type]]="LFF (MDG-F)",MID(Proc[[#This Row],[Obj]],13,10),"")</f>
        <v>JP01L7M301</v>
      </c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EL</v>
      </c>
      <c r="L3718" s="129" t="s">
        <v>4894</v>
      </c>
      <c r="M3718" s="136">
        <v>45895</v>
      </c>
      <c r="N3718" s="137"/>
      <c r="O3718" s="137"/>
      <c r="P3718" s="136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72</v>
      </c>
      <c r="R3718" s="136" t="s">
        <v>6087</v>
      </c>
      <c r="S3718" s="129"/>
    </row>
    <row r="3719" spans="1:19" hidden="1">
      <c r="A3719" s="135" t="s">
        <v>6086</v>
      </c>
      <c r="B3719" s="149" t="str">
        <f>IFERROR(VLOOKUP(Proc[[#This Row],[App]],Table2[],3,0),"open")</f>
        <v>ok</v>
      </c>
      <c r="C3719" s="138" t="s">
        <v>369</v>
      </c>
      <c r="D3719" t="s">
        <v>5992</v>
      </c>
      <c r="E3719" t="s">
        <v>6067</v>
      </c>
      <c r="F3719" s="129" t="s">
        <v>6067</v>
      </c>
      <c r="G3719" s="135" t="s">
        <v>406</v>
      </c>
      <c r="H3719" s="129" t="str">
        <f>IF(Proc[[#This Row],[type]]="LFF (MDG-F)",MID(Proc[[#This Row],[Obj]],13,10),"")</f>
        <v>JP01L7M302</v>
      </c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EL</v>
      </c>
      <c r="L3719" s="129" t="s">
        <v>4894</v>
      </c>
      <c r="M3719" s="136">
        <v>45895</v>
      </c>
      <c r="N3719" s="137"/>
      <c r="O3719" s="137"/>
      <c r="P3719" s="136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72</v>
      </c>
      <c r="R3719" s="136" t="s">
        <v>6087</v>
      </c>
      <c r="S3719" s="129"/>
    </row>
    <row r="3720" spans="1:19" hidden="1">
      <c r="A3720" s="135" t="s">
        <v>6086</v>
      </c>
      <c r="B3720" s="149" t="str">
        <f>IFERROR(VLOOKUP(Proc[[#This Row],[App]],Table2[],3,0),"open")</f>
        <v>ok</v>
      </c>
      <c r="C3720" s="138" t="s">
        <v>369</v>
      </c>
      <c r="D3720" t="s">
        <v>5993</v>
      </c>
      <c r="E3720" t="s">
        <v>6067</v>
      </c>
      <c r="F3720" s="129" t="s">
        <v>6067</v>
      </c>
      <c r="G3720" s="135" t="s">
        <v>406</v>
      </c>
      <c r="H3720" s="129" t="str">
        <f>IF(Proc[[#This Row],[type]]="LFF (MDG-F)",MID(Proc[[#This Row],[Obj]],13,10),"")</f>
        <v>JP01L7M303</v>
      </c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EL</v>
      </c>
      <c r="L3720" s="129" t="s">
        <v>4894</v>
      </c>
      <c r="M3720" s="136">
        <v>45895</v>
      </c>
      <c r="N3720" s="137"/>
      <c r="O3720" s="137"/>
      <c r="P3720" s="136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72</v>
      </c>
      <c r="R3720" s="136" t="s">
        <v>6087</v>
      </c>
      <c r="S3720" s="129"/>
    </row>
    <row r="3721" spans="1:19" hidden="1">
      <c r="A3721" s="135" t="s">
        <v>6086</v>
      </c>
      <c r="B3721" s="149" t="str">
        <f>IFERROR(VLOOKUP(Proc[[#This Row],[App]],Table2[],3,0),"open")</f>
        <v>ok</v>
      </c>
      <c r="C3721" s="138" t="s">
        <v>369</v>
      </c>
      <c r="D3721" t="s">
        <v>5994</v>
      </c>
      <c r="E3721" t="s">
        <v>6066</v>
      </c>
      <c r="F3721" s="129" t="s">
        <v>6066</v>
      </c>
      <c r="G3721" s="135" t="s">
        <v>406</v>
      </c>
      <c r="H3721" s="129" t="str">
        <f>IF(Proc[[#This Row],[type]]="LFF (MDG-F)",MID(Proc[[#This Row],[Obj]],13,10),"")</f>
        <v>JP01O05000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EL</v>
      </c>
      <c r="L3721" s="129" t="s">
        <v>4894</v>
      </c>
      <c r="M3721" s="136">
        <v>45895</v>
      </c>
      <c r="N3721" s="137"/>
      <c r="O3721" s="137"/>
      <c r="P3721" s="136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72</v>
      </c>
      <c r="R3721" s="136" t="s">
        <v>6087</v>
      </c>
      <c r="S3721" s="129"/>
    </row>
    <row r="3722" spans="1:19" hidden="1">
      <c r="A3722" s="135" t="s">
        <v>6086</v>
      </c>
      <c r="B3722" s="149" t="str">
        <f>IFERROR(VLOOKUP(Proc[[#This Row],[App]],Table2[],3,0),"open")</f>
        <v>ok</v>
      </c>
      <c r="C3722" s="138" t="s">
        <v>369</v>
      </c>
      <c r="D3722" t="s">
        <v>5995</v>
      </c>
      <c r="E3722" t="s">
        <v>6066</v>
      </c>
      <c r="F3722" s="129" t="s">
        <v>6066</v>
      </c>
      <c r="G3722" s="135" t="s">
        <v>406</v>
      </c>
      <c r="H3722" s="129" t="str">
        <f>IF(Proc[[#This Row],[type]]="LFF (MDG-F)",MID(Proc[[#This Row],[Obj]],13,10),"")</f>
        <v>JP01O05001</v>
      </c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EL</v>
      </c>
      <c r="L3722" s="129" t="s">
        <v>4894</v>
      </c>
      <c r="M3722" s="136">
        <v>45895</v>
      </c>
      <c r="N3722" s="137"/>
      <c r="O3722" s="137"/>
      <c r="P3722" s="136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72</v>
      </c>
      <c r="R3722" s="136" t="s">
        <v>6087</v>
      </c>
      <c r="S3722" s="129"/>
    </row>
    <row r="3723" spans="1:19" hidden="1">
      <c r="A3723" s="135" t="s">
        <v>6086</v>
      </c>
      <c r="B3723" s="149" t="str">
        <f>IFERROR(VLOOKUP(Proc[[#This Row],[App]],Table2[],3,0),"open")</f>
        <v>ok</v>
      </c>
      <c r="C3723" s="138" t="s">
        <v>369</v>
      </c>
      <c r="D3723" t="s">
        <v>5996</v>
      </c>
      <c r="E3723" t="s">
        <v>6066</v>
      </c>
      <c r="F3723" s="129" t="s">
        <v>6066</v>
      </c>
      <c r="G3723" s="135" t="s">
        <v>406</v>
      </c>
      <c r="H3723" s="129" t="str">
        <f>IF(Proc[[#This Row],[type]]="LFF (MDG-F)",MID(Proc[[#This Row],[Obj]],13,10),"")</f>
        <v>JP01O05002</v>
      </c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EL</v>
      </c>
      <c r="L3723" s="129" t="s">
        <v>4894</v>
      </c>
      <c r="M3723" s="136">
        <v>45895</v>
      </c>
      <c r="N3723" s="137"/>
      <c r="O3723" s="137"/>
      <c r="P3723" s="136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72</v>
      </c>
      <c r="R3723" s="136" t="s">
        <v>6087</v>
      </c>
      <c r="S3723" s="129"/>
    </row>
    <row r="3724" spans="1:19" hidden="1">
      <c r="A3724" s="135" t="s">
        <v>6086</v>
      </c>
      <c r="B3724" s="149" t="str">
        <f>IFERROR(VLOOKUP(Proc[[#This Row],[App]],Table2[],3,0),"open")</f>
        <v>ok</v>
      </c>
      <c r="C3724" s="138" t="s">
        <v>369</v>
      </c>
      <c r="D3724" t="s">
        <v>5997</v>
      </c>
      <c r="E3724" t="s">
        <v>6066</v>
      </c>
      <c r="F3724" s="129" t="s">
        <v>6066</v>
      </c>
      <c r="G3724" s="135" t="s">
        <v>406</v>
      </c>
      <c r="H3724" s="129" t="str">
        <f>IF(Proc[[#This Row],[type]]="LFF (MDG-F)",MID(Proc[[#This Row],[Obj]],13,10),"")</f>
        <v>JP01O05003</v>
      </c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EL</v>
      </c>
      <c r="L3724" s="129" t="s">
        <v>4894</v>
      </c>
      <c r="M3724" s="136">
        <v>45895</v>
      </c>
      <c r="N3724" s="137"/>
      <c r="O3724" s="137"/>
      <c r="P3724" s="136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72</v>
      </c>
      <c r="R3724" s="136" t="s">
        <v>6087</v>
      </c>
      <c r="S3724" s="129"/>
    </row>
    <row r="3725" spans="1:19" hidden="1">
      <c r="A3725" s="135" t="s">
        <v>6086</v>
      </c>
      <c r="B3725" s="149" t="str">
        <f>IFERROR(VLOOKUP(Proc[[#This Row],[App]],Table2[],3,0),"open")</f>
        <v>ok</v>
      </c>
      <c r="C3725" s="138" t="s">
        <v>369</v>
      </c>
      <c r="D3725" t="s">
        <v>5998</v>
      </c>
      <c r="E3725" t="s">
        <v>6066</v>
      </c>
      <c r="F3725" s="129" t="s">
        <v>6066</v>
      </c>
      <c r="G3725" s="135" t="s">
        <v>406</v>
      </c>
      <c r="H3725" s="129" t="str">
        <f>IF(Proc[[#This Row],[type]]="LFF (MDG-F)",MID(Proc[[#This Row],[Obj]],13,10),"")</f>
        <v>JP01O05004</v>
      </c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EL</v>
      </c>
      <c r="L3725" s="129" t="s">
        <v>4894</v>
      </c>
      <c r="M3725" s="136">
        <v>45895</v>
      </c>
      <c r="N3725" s="137"/>
      <c r="O3725" s="137"/>
      <c r="P3725" s="136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72</v>
      </c>
      <c r="R3725" s="136" t="s">
        <v>6087</v>
      </c>
      <c r="S3725" s="129"/>
    </row>
    <row r="3726" spans="1:19" hidden="1">
      <c r="A3726" s="135" t="s">
        <v>6086</v>
      </c>
      <c r="B3726" s="149" t="str">
        <f>IFERROR(VLOOKUP(Proc[[#This Row],[App]],Table2[],3,0),"open")</f>
        <v>ok</v>
      </c>
      <c r="C3726" s="138" t="s">
        <v>369</v>
      </c>
      <c r="D3726" t="s">
        <v>5999</v>
      </c>
      <c r="E3726" t="s">
        <v>6072</v>
      </c>
      <c r="F3726" s="129" t="s">
        <v>6072</v>
      </c>
      <c r="G3726" s="135" t="s">
        <v>406</v>
      </c>
      <c r="H3726" s="129" t="str">
        <f>IF(Proc[[#This Row],[type]]="LFF (MDG-F)",MID(Proc[[#This Row],[Obj]],13,10),"")</f>
        <v>JP01OF0203</v>
      </c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EL</v>
      </c>
      <c r="L3726" s="129" t="s">
        <v>4894</v>
      </c>
      <c r="M3726" s="136">
        <v>45895</v>
      </c>
      <c r="N3726" s="137"/>
      <c r="O3726" s="137"/>
      <c r="P3726" s="136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72</v>
      </c>
      <c r="R3726" s="136" t="s">
        <v>6087</v>
      </c>
      <c r="S3726" s="129"/>
    </row>
    <row r="3727" spans="1:19" hidden="1">
      <c r="A3727" s="135" t="s">
        <v>6086</v>
      </c>
      <c r="B3727" s="149" t="str">
        <f>IFERROR(VLOOKUP(Proc[[#This Row],[App]],Table2[],3,0),"open")</f>
        <v>ok</v>
      </c>
      <c r="C3727" s="138" t="s">
        <v>369</v>
      </c>
      <c r="D3727" t="s">
        <v>6000</v>
      </c>
      <c r="E3727" t="s">
        <v>6065</v>
      </c>
      <c r="F3727" s="129" t="s">
        <v>6065</v>
      </c>
      <c r="G3727" s="135" t="s">
        <v>406</v>
      </c>
      <c r="H3727" s="129" t="str">
        <f>IF(Proc[[#This Row],[type]]="LFF (MDG-F)",MID(Proc[[#This Row],[Obj]],13,10),"")</f>
        <v>JP01R0O721</v>
      </c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EL</v>
      </c>
      <c r="L3727" s="129" t="s">
        <v>4894</v>
      </c>
      <c r="M3727" s="136">
        <v>45895</v>
      </c>
      <c r="N3727" s="137"/>
      <c r="O3727" s="137"/>
      <c r="P3727" s="136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72</v>
      </c>
      <c r="R3727" s="136" t="s">
        <v>6087</v>
      </c>
      <c r="S3727" s="129"/>
    </row>
    <row r="3728" spans="1:19" hidden="1">
      <c r="A3728" s="135" t="s">
        <v>6086</v>
      </c>
      <c r="B3728" s="149" t="str">
        <f>IFERROR(VLOOKUP(Proc[[#This Row],[App]],Table2[],3,0),"open")</f>
        <v>ok</v>
      </c>
      <c r="C3728" s="138" t="s">
        <v>369</v>
      </c>
      <c r="D3728" t="s">
        <v>6001</v>
      </c>
      <c r="E3728" t="s">
        <v>6073</v>
      </c>
      <c r="F3728" s="129" t="s">
        <v>6073</v>
      </c>
      <c r="G3728" s="135" t="s">
        <v>406</v>
      </c>
      <c r="H3728" s="129" t="str">
        <f>IF(Proc[[#This Row],[type]]="LFF (MDG-F)",MID(Proc[[#This Row],[Obj]],13,10),"")</f>
        <v>JP01TAOA00</v>
      </c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EL</v>
      </c>
      <c r="L3728" s="129" t="s">
        <v>4894</v>
      </c>
      <c r="M3728" s="136">
        <v>45895</v>
      </c>
      <c r="N3728" s="137"/>
      <c r="O3728" s="137"/>
      <c r="P3728" s="136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72</v>
      </c>
      <c r="R3728" s="136" t="s">
        <v>6087</v>
      </c>
      <c r="S3728" s="129"/>
    </row>
    <row r="3729" spans="1:19" hidden="1">
      <c r="A3729" s="135" t="s">
        <v>6086</v>
      </c>
      <c r="B3729" s="149" t="str">
        <f>IFERROR(VLOOKUP(Proc[[#This Row],[App]],Table2[],3,0),"open")</f>
        <v>ok</v>
      </c>
      <c r="C3729" s="138" t="s">
        <v>369</v>
      </c>
      <c r="D3729" t="s">
        <v>6002</v>
      </c>
      <c r="E3729" t="s">
        <v>6073</v>
      </c>
      <c r="F3729" s="129" t="s">
        <v>6073</v>
      </c>
      <c r="G3729" s="135" t="s">
        <v>406</v>
      </c>
      <c r="H3729" s="129" t="str">
        <f>IF(Proc[[#This Row],[type]]="LFF (MDG-F)",MID(Proc[[#This Row],[Obj]],13,10),"")</f>
        <v>JP01TAOA01</v>
      </c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EL</v>
      </c>
      <c r="L3729" s="129" t="s">
        <v>4894</v>
      </c>
      <c r="M3729" s="136">
        <v>45895</v>
      </c>
      <c r="N3729" s="137"/>
      <c r="O3729" s="137"/>
      <c r="P3729" s="136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72</v>
      </c>
      <c r="R3729" s="136" t="s">
        <v>6087</v>
      </c>
      <c r="S3729" s="129"/>
    </row>
    <row r="3730" spans="1:19" hidden="1">
      <c r="A3730" s="135" t="s">
        <v>6086</v>
      </c>
      <c r="B3730" s="149" t="str">
        <f>IFERROR(VLOOKUP(Proc[[#This Row],[App]],Table2[],3,0),"open")</f>
        <v>ok</v>
      </c>
      <c r="C3730" s="138" t="s">
        <v>369</v>
      </c>
      <c r="D3730" t="s">
        <v>6003</v>
      </c>
      <c r="E3730" t="s">
        <v>6073</v>
      </c>
      <c r="F3730" s="129" t="s">
        <v>6073</v>
      </c>
      <c r="G3730" s="135" t="s">
        <v>406</v>
      </c>
      <c r="H3730" s="129" t="str">
        <f>IF(Proc[[#This Row],[type]]="LFF (MDG-F)",MID(Proc[[#This Row],[Obj]],13,10),"")</f>
        <v>JP01TAOA99</v>
      </c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EL</v>
      </c>
      <c r="L3730" s="129" t="s">
        <v>4894</v>
      </c>
      <c r="M3730" s="136">
        <v>45895</v>
      </c>
      <c r="N3730" s="137"/>
      <c r="O3730" s="137"/>
      <c r="P3730" s="136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72</v>
      </c>
      <c r="R3730" s="136" t="s">
        <v>6087</v>
      </c>
      <c r="S3730" s="129"/>
    </row>
    <row r="3731" spans="1:19" hidden="1">
      <c r="A3731" s="135" t="s">
        <v>6086</v>
      </c>
      <c r="B3731" s="149" t="str">
        <f>IFERROR(VLOOKUP(Proc[[#This Row],[App]],Table2[],3,0),"open")</f>
        <v>ok</v>
      </c>
      <c r="C3731" s="138" t="s">
        <v>369</v>
      </c>
      <c r="D3731" t="s">
        <v>6004</v>
      </c>
      <c r="E3731" t="s">
        <v>6073</v>
      </c>
      <c r="F3731" s="129" t="s">
        <v>6073</v>
      </c>
      <c r="G3731" s="135" t="s">
        <v>406</v>
      </c>
      <c r="H3731" s="129" t="str">
        <f>IF(Proc[[#This Row],[type]]="LFF (MDG-F)",MID(Proc[[#This Row],[Obj]],13,10),"")</f>
        <v>JP01TAOB00</v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EL</v>
      </c>
      <c r="L3731" s="129" t="s">
        <v>4894</v>
      </c>
      <c r="M3731" s="136">
        <v>45895</v>
      </c>
      <c r="N3731" s="137"/>
      <c r="O3731" s="137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72</v>
      </c>
      <c r="R3731" s="136" t="s">
        <v>6087</v>
      </c>
      <c r="S3731" s="129"/>
    </row>
    <row r="3732" spans="1:19" hidden="1">
      <c r="A3732" s="135" t="s">
        <v>6086</v>
      </c>
      <c r="B3732" s="149" t="str">
        <f>IFERROR(VLOOKUP(Proc[[#This Row],[App]],Table2[],3,0),"open")</f>
        <v>ok</v>
      </c>
      <c r="C3732" s="138" t="s">
        <v>369</v>
      </c>
      <c r="D3732" t="s">
        <v>6005</v>
      </c>
      <c r="E3732" t="s">
        <v>6073</v>
      </c>
      <c r="F3732" s="129" t="s">
        <v>6073</v>
      </c>
      <c r="G3732" s="135" t="s">
        <v>406</v>
      </c>
      <c r="H3732" s="129" t="str">
        <f>IF(Proc[[#This Row],[type]]="LFF (MDG-F)",MID(Proc[[#This Row],[Obj]],13,10),"")</f>
        <v>JP01TAOB01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EL</v>
      </c>
      <c r="L3732" s="129" t="s">
        <v>4894</v>
      </c>
      <c r="M3732" s="136">
        <v>45895</v>
      </c>
      <c r="N3732" s="137"/>
      <c r="O3732" s="137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72</v>
      </c>
      <c r="R3732" s="136" t="s">
        <v>6087</v>
      </c>
      <c r="S3732" s="129"/>
    </row>
    <row r="3733" spans="1:19" hidden="1">
      <c r="A3733" s="135" t="s">
        <v>6086</v>
      </c>
      <c r="B3733" s="149" t="str">
        <f>IFERROR(VLOOKUP(Proc[[#This Row],[App]],Table2[],3,0),"open")</f>
        <v>ok</v>
      </c>
      <c r="C3733" s="138" t="s">
        <v>369</v>
      </c>
      <c r="D3733" t="s">
        <v>6006</v>
      </c>
      <c r="E3733" t="s">
        <v>6073</v>
      </c>
      <c r="F3733" s="129" t="s">
        <v>6073</v>
      </c>
      <c r="G3733" s="135" t="s">
        <v>406</v>
      </c>
      <c r="H3733" s="129" t="str">
        <f>IF(Proc[[#This Row],[type]]="LFF (MDG-F)",MID(Proc[[#This Row],[Obj]],13,10),"")</f>
        <v>JP01TAOB02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EL</v>
      </c>
      <c r="L3733" s="129" t="s">
        <v>4894</v>
      </c>
      <c r="M3733" s="136">
        <v>45895</v>
      </c>
      <c r="N3733" s="137"/>
      <c r="O3733" s="137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72</v>
      </c>
      <c r="R3733" s="136" t="s">
        <v>6087</v>
      </c>
      <c r="S3733" s="129"/>
    </row>
    <row r="3734" spans="1:19" hidden="1">
      <c r="A3734" s="135" t="s">
        <v>6086</v>
      </c>
      <c r="B3734" s="149" t="str">
        <f>IFERROR(VLOOKUP(Proc[[#This Row],[App]],Table2[],3,0),"open")</f>
        <v>ok</v>
      </c>
      <c r="C3734" s="138" t="s">
        <v>369</v>
      </c>
      <c r="D3734" t="s">
        <v>6007</v>
      </c>
      <c r="E3734" t="s">
        <v>6073</v>
      </c>
      <c r="F3734" s="129" t="s">
        <v>6073</v>
      </c>
      <c r="G3734" s="135" t="s">
        <v>406</v>
      </c>
      <c r="H3734" s="129" t="str">
        <f>IF(Proc[[#This Row],[type]]="LFF (MDG-F)",MID(Proc[[#This Row],[Obj]],13,10),"")</f>
        <v>JP01TAOB99</v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EL</v>
      </c>
      <c r="L3734" s="129" t="s">
        <v>4894</v>
      </c>
      <c r="M3734" s="136">
        <v>45895</v>
      </c>
      <c r="N3734" s="137"/>
      <c r="O3734" s="137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72</v>
      </c>
      <c r="R3734" s="136" t="s">
        <v>6087</v>
      </c>
      <c r="S3734" s="129"/>
    </row>
    <row r="3735" spans="1:19" hidden="1">
      <c r="A3735" s="135" t="s">
        <v>6086</v>
      </c>
      <c r="B3735" s="149" t="str">
        <f>IFERROR(VLOOKUP(Proc[[#This Row],[App]],Table2[],3,0),"open")</f>
        <v>ok</v>
      </c>
      <c r="C3735" s="138" t="s">
        <v>369</v>
      </c>
      <c r="D3735" t="s">
        <v>6008</v>
      </c>
      <c r="E3735" t="s">
        <v>6073</v>
      </c>
      <c r="F3735" s="129" t="s">
        <v>6073</v>
      </c>
      <c r="G3735" s="135" t="s">
        <v>406</v>
      </c>
      <c r="H3735" s="129" t="str">
        <f>IF(Proc[[#This Row],[type]]="LFF (MDG-F)",MID(Proc[[#This Row],[Obj]],13,10),"")</f>
        <v>JP01TAOC00</v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EL</v>
      </c>
      <c r="L3735" s="129" t="s">
        <v>4894</v>
      </c>
      <c r="M3735" s="136">
        <v>45895</v>
      </c>
      <c r="N3735" s="137"/>
      <c r="O3735" s="137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72</v>
      </c>
      <c r="R3735" s="136" t="s">
        <v>6087</v>
      </c>
      <c r="S3735" s="129"/>
    </row>
    <row r="3736" spans="1:19" hidden="1">
      <c r="A3736" s="135" t="s">
        <v>6086</v>
      </c>
      <c r="B3736" s="149" t="str">
        <f>IFERROR(VLOOKUP(Proc[[#This Row],[App]],Table2[],3,0),"open")</f>
        <v>ok</v>
      </c>
      <c r="C3736" s="138" t="s">
        <v>369</v>
      </c>
      <c r="D3736" t="s">
        <v>6009</v>
      </c>
      <c r="E3736" t="s">
        <v>6073</v>
      </c>
      <c r="F3736" s="129" t="s">
        <v>6073</v>
      </c>
      <c r="G3736" s="135" t="s">
        <v>406</v>
      </c>
      <c r="H3736" s="129" t="str">
        <f>IF(Proc[[#This Row],[type]]="LFF (MDG-F)",MID(Proc[[#This Row],[Obj]],13,10),"")</f>
        <v>JP01TAOC01</v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EL</v>
      </c>
      <c r="L3736" s="129" t="s">
        <v>4894</v>
      </c>
      <c r="M3736" s="136">
        <v>45895</v>
      </c>
      <c r="N3736" s="137"/>
      <c r="O3736" s="137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72</v>
      </c>
      <c r="R3736" s="136" t="s">
        <v>6087</v>
      </c>
      <c r="S3736" s="129"/>
    </row>
    <row r="3737" spans="1:19" hidden="1">
      <c r="A3737" s="135" t="s">
        <v>6086</v>
      </c>
      <c r="B3737" s="149" t="str">
        <f>IFERROR(VLOOKUP(Proc[[#This Row],[App]],Table2[],3,0),"open")</f>
        <v>ok</v>
      </c>
      <c r="C3737" s="138" t="s">
        <v>369</v>
      </c>
      <c r="D3737" t="s">
        <v>6010</v>
      </c>
      <c r="E3737" t="s">
        <v>6073</v>
      </c>
      <c r="F3737" s="129" t="s">
        <v>6073</v>
      </c>
      <c r="G3737" s="135" t="s">
        <v>406</v>
      </c>
      <c r="H3737" s="129" t="str">
        <f>IF(Proc[[#This Row],[type]]="LFF (MDG-F)",MID(Proc[[#This Row],[Obj]],13,10),"")</f>
        <v>JP01TAOC02</v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EL</v>
      </c>
      <c r="L3737" s="129" t="s">
        <v>4894</v>
      </c>
      <c r="M3737" s="136">
        <v>45895</v>
      </c>
      <c r="N3737" s="137"/>
      <c r="O3737" s="137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72</v>
      </c>
      <c r="R3737" s="136" t="s">
        <v>6087</v>
      </c>
      <c r="S3737" s="129"/>
    </row>
    <row r="3738" spans="1:19" hidden="1">
      <c r="A3738" s="135" t="s">
        <v>6086</v>
      </c>
      <c r="B3738" s="149" t="str">
        <f>IFERROR(VLOOKUP(Proc[[#This Row],[App]],Table2[],3,0),"open")</f>
        <v>ok</v>
      </c>
      <c r="C3738" s="138" t="s">
        <v>369</v>
      </c>
      <c r="D3738" t="s">
        <v>6011</v>
      </c>
      <c r="E3738" t="s">
        <v>6073</v>
      </c>
      <c r="F3738" s="129" t="s">
        <v>6073</v>
      </c>
      <c r="G3738" s="135" t="s">
        <v>406</v>
      </c>
      <c r="H3738" s="129" t="str">
        <f>IF(Proc[[#This Row],[type]]="LFF (MDG-F)",MID(Proc[[#This Row],[Obj]],13,10),"")</f>
        <v>JP01TAOC03</v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EL</v>
      </c>
      <c r="L3738" s="129" t="s">
        <v>4894</v>
      </c>
      <c r="M3738" s="136">
        <v>45895</v>
      </c>
      <c r="N3738" s="137"/>
      <c r="O3738" s="137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72</v>
      </c>
      <c r="R3738" s="136" t="s">
        <v>6087</v>
      </c>
      <c r="S3738" s="129"/>
    </row>
    <row r="3739" spans="1:19" hidden="1">
      <c r="A3739" s="135" t="s">
        <v>6086</v>
      </c>
      <c r="B3739" s="149" t="str">
        <f>IFERROR(VLOOKUP(Proc[[#This Row],[App]],Table2[],3,0),"open")</f>
        <v>ok</v>
      </c>
      <c r="C3739" s="138" t="s">
        <v>369</v>
      </c>
      <c r="D3739" t="s">
        <v>6012</v>
      </c>
      <c r="E3739" t="s">
        <v>6073</v>
      </c>
      <c r="F3739" s="129" t="s">
        <v>6073</v>
      </c>
      <c r="G3739" s="135" t="s">
        <v>406</v>
      </c>
      <c r="H3739" s="129" t="str">
        <f>IF(Proc[[#This Row],[type]]="LFF (MDG-F)",MID(Proc[[#This Row],[Obj]],13,10),"")</f>
        <v>JP01TAOC99</v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EL</v>
      </c>
      <c r="L3739" s="129" t="s">
        <v>4894</v>
      </c>
      <c r="M3739" s="136">
        <v>45895</v>
      </c>
      <c r="N3739" s="137"/>
      <c r="O3739" s="137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72</v>
      </c>
      <c r="R3739" s="136" t="s">
        <v>6087</v>
      </c>
      <c r="S3739" s="129"/>
    </row>
    <row r="3740" spans="1:19" hidden="1">
      <c r="A3740" s="135" t="s">
        <v>6086</v>
      </c>
      <c r="B3740" s="149" t="str">
        <f>IFERROR(VLOOKUP(Proc[[#This Row],[App]],Table2[],3,0),"open")</f>
        <v>ok</v>
      </c>
      <c r="C3740" s="138" t="s">
        <v>369</v>
      </c>
      <c r="D3740" t="s">
        <v>6013</v>
      </c>
      <c r="E3740" t="s">
        <v>6073</v>
      </c>
      <c r="F3740" s="129" t="s">
        <v>6073</v>
      </c>
      <c r="G3740" s="135" t="s">
        <v>406</v>
      </c>
      <c r="H3740" s="129" t="str">
        <f>IF(Proc[[#This Row],[type]]="LFF (MDG-F)",MID(Proc[[#This Row],[Obj]],13,10),"")</f>
        <v>JP01TAOD00</v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EL</v>
      </c>
      <c r="L3740" s="129" t="s">
        <v>4894</v>
      </c>
      <c r="M3740" s="136">
        <v>45895</v>
      </c>
      <c r="N3740" s="137"/>
      <c r="O3740" s="137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72</v>
      </c>
      <c r="R3740" s="136" t="s">
        <v>6087</v>
      </c>
      <c r="S3740" s="129"/>
    </row>
    <row r="3741" spans="1:19" hidden="1">
      <c r="A3741" s="135" t="s">
        <v>6086</v>
      </c>
      <c r="B3741" s="149" t="str">
        <f>IFERROR(VLOOKUP(Proc[[#This Row],[App]],Table2[],3,0),"open")</f>
        <v>ok</v>
      </c>
      <c r="C3741" s="138" t="s">
        <v>369</v>
      </c>
      <c r="D3741" t="s">
        <v>6014</v>
      </c>
      <c r="E3741" t="s">
        <v>6073</v>
      </c>
      <c r="F3741" s="129" t="s">
        <v>6073</v>
      </c>
      <c r="G3741" s="135" t="s">
        <v>406</v>
      </c>
      <c r="H3741" s="129" t="str">
        <f>IF(Proc[[#This Row],[type]]="LFF (MDG-F)",MID(Proc[[#This Row],[Obj]],13,10),"")</f>
        <v>JP01TAOD01</v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EL</v>
      </c>
      <c r="L3741" s="129" t="s">
        <v>4894</v>
      </c>
      <c r="M3741" s="136">
        <v>45895</v>
      </c>
      <c r="N3741" s="137"/>
      <c r="O3741" s="137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72</v>
      </c>
      <c r="R3741" s="136" t="s">
        <v>6087</v>
      </c>
      <c r="S3741" s="129"/>
    </row>
    <row r="3742" spans="1:19" hidden="1">
      <c r="A3742" s="135" t="s">
        <v>6086</v>
      </c>
      <c r="B3742" s="149" t="str">
        <f>IFERROR(VLOOKUP(Proc[[#This Row],[App]],Table2[],3,0),"open")</f>
        <v>ok</v>
      </c>
      <c r="C3742" s="138" t="s">
        <v>369</v>
      </c>
      <c r="D3742" t="s">
        <v>6015</v>
      </c>
      <c r="E3742" t="s">
        <v>6073</v>
      </c>
      <c r="F3742" s="129" t="s">
        <v>6073</v>
      </c>
      <c r="G3742" s="135" t="s">
        <v>406</v>
      </c>
      <c r="H3742" s="129" t="str">
        <f>IF(Proc[[#This Row],[type]]="LFF (MDG-F)",MID(Proc[[#This Row],[Obj]],13,10),"")</f>
        <v>JP01TAOD02</v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EL</v>
      </c>
      <c r="L3742" s="129" t="s">
        <v>4894</v>
      </c>
      <c r="M3742" s="136">
        <v>45895</v>
      </c>
      <c r="N3742" s="137"/>
      <c r="O3742" s="137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72</v>
      </c>
      <c r="R3742" s="136" t="s">
        <v>6087</v>
      </c>
      <c r="S3742" s="129"/>
    </row>
    <row r="3743" spans="1:19" hidden="1">
      <c r="A3743" s="135" t="s">
        <v>6086</v>
      </c>
      <c r="B3743" s="149" t="str">
        <f>IFERROR(VLOOKUP(Proc[[#This Row],[App]],Table2[],3,0),"open")</f>
        <v>ok</v>
      </c>
      <c r="C3743" s="138" t="s">
        <v>369</v>
      </c>
      <c r="D3743" t="s">
        <v>6016</v>
      </c>
      <c r="E3743" t="s">
        <v>6073</v>
      </c>
      <c r="F3743" s="129" t="s">
        <v>6073</v>
      </c>
      <c r="G3743" s="135" t="s">
        <v>406</v>
      </c>
      <c r="H3743" s="129" t="str">
        <f>IF(Proc[[#This Row],[type]]="LFF (MDG-F)",MID(Proc[[#This Row],[Obj]],13,10),"")</f>
        <v>JP01TAOD99</v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EL</v>
      </c>
      <c r="L3743" s="129" t="s">
        <v>4894</v>
      </c>
      <c r="M3743" s="136">
        <v>45895</v>
      </c>
      <c r="N3743" s="137"/>
      <c r="O3743" s="137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72</v>
      </c>
      <c r="R3743" s="136" t="s">
        <v>6087</v>
      </c>
      <c r="S3743" s="129"/>
    </row>
    <row r="3744" spans="1:19" hidden="1">
      <c r="A3744" s="135" t="s">
        <v>6086</v>
      </c>
      <c r="B3744" s="149" t="str">
        <f>IFERROR(VLOOKUP(Proc[[#This Row],[App]],Table2[],3,0),"open")</f>
        <v>ok</v>
      </c>
      <c r="C3744" s="138" t="s">
        <v>369</v>
      </c>
      <c r="D3744" t="s">
        <v>6017</v>
      </c>
      <c r="E3744" t="s">
        <v>6073</v>
      </c>
      <c r="F3744" s="129" t="s">
        <v>6073</v>
      </c>
      <c r="G3744" s="135" t="s">
        <v>406</v>
      </c>
      <c r="H3744" s="129" t="str">
        <f>IF(Proc[[#This Row],[type]]="LFF (MDG-F)",MID(Proc[[#This Row],[Obj]],13,10),"")</f>
        <v>JP01TAOE00</v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EL</v>
      </c>
      <c r="L3744" s="129" t="s">
        <v>4894</v>
      </c>
      <c r="M3744" s="136">
        <v>45895</v>
      </c>
      <c r="N3744" s="137"/>
      <c r="O3744" s="137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72</v>
      </c>
      <c r="R3744" s="136" t="s">
        <v>6087</v>
      </c>
      <c r="S3744" s="129"/>
    </row>
    <row r="3745" spans="1:19" hidden="1">
      <c r="A3745" s="135" t="s">
        <v>6086</v>
      </c>
      <c r="B3745" s="149" t="str">
        <f>IFERROR(VLOOKUP(Proc[[#This Row],[App]],Table2[],3,0),"open")</f>
        <v>ok</v>
      </c>
      <c r="C3745" s="138" t="s">
        <v>369</v>
      </c>
      <c r="D3745" t="s">
        <v>6018</v>
      </c>
      <c r="E3745" t="s">
        <v>6073</v>
      </c>
      <c r="F3745" s="129" t="s">
        <v>6073</v>
      </c>
      <c r="G3745" s="135" t="s">
        <v>406</v>
      </c>
      <c r="H3745" s="129" t="str">
        <f>IF(Proc[[#This Row],[type]]="LFF (MDG-F)",MID(Proc[[#This Row],[Obj]],13,10),"")</f>
        <v>JP01TAOE01</v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EL</v>
      </c>
      <c r="L3745" s="129" t="s">
        <v>4894</v>
      </c>
      <c r="M3745" s="136">
        <v>45895</v>
      </c>
      <c r="N3745" s="137"/>
      <c r="O3745" s="137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72</v>
      </c>
      <c r="R3745" s="136" t="s">
        <v>6087</v>
      </c>
      <c r="S3745" s="129"/>
    </row>
    <row r="3746" spans="1:19" hidden="1">
      <c r="A3746" s="135" t="s">
        <v>6086</v>
      </c>
      <c r="B3746" s="149" t="str">
        <f>IFERROR(VLOOKUP(Proc[[#This Row],[App]],Table2[],3,0),"open")</f>
        <v>ok</v>
      </c>
      <c r="C3746" s="138" t="s">
        <v>369</v>
      </c>
      <c r="D3746" t="s">
        <v>6019</v>
      </c>
      <c r="E3746" t="s">
        <v>6073</v>
      </c>
      <c r="F3746" s="129" t="s">
        <v>6073</v>
      </c>
      <c r="G3746" s="135" t="s">
        <v>406</v>
      </c>
      <c r="H3746" s="129" t="str">
        <f>IF(Proc[[#This Row],[type]]="LFF (MDG-F)",MID(Proc[[#This Row],[Obj]],13,10),"")</f>
        <v>JP01TAOE99</v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EL</v>
      </c>
      <c r="L3746" s="129" t="s">
        <v>4894</v>
      </c>
      <c r="M3746" s="136">
        <v>45895</v>
      </c>
      <c r="N3746" s="137"/>
      <c r="O3746" s="137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72</v>
      </c>
      <c r="R3746" s="136" t="s">
        <v>6087</v>
      </c>
      <c r="S3746" s="129"/>
    </row>
    <row r="3747" spans="1:19" hidden="1">
      <c r="A3747" s="135" t="s">
        <v>6086</v>
      </c>
      <c r="B3747" s="149" t="str">
        <f>IFERROR(VLOOKUP(Proc[[#This Row],[App]],Table2[],3,0),"open")</f>
        <v>ok</v>
      </c>
      <c r="C3747" s="138" t="s">
        <v>369</v>
      </c>
      <c r="D3747" t="s">
        <v>6020</v>
      </c>
      <c r="E3747" t="s">
        <v>6073</v>
      </c>
      <c r="F3747" s="129" t="s">
        <v>6073</v>
      </c>
      <c r="G3747" s="135" t="s">
        <v>406</v>
      </c>
      <c r="H3747" s="129" t="str">
        <f>IF(Proc[[#This Row],[type]]="LFF (MDG-F)",MID(Proc[[#This Row],[Obj]],13,10),"")</f>
        <v>JP01TAOZ01</v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EL</v>
      </c>
      <c r="L3747" s="129" t="s">
        <v>4894</v>
      </c>
      <c r="M3747" s="136">
        <v>45895</v>
      </c>
      <c r="N3747" s="137"/>
      <c r="O3747" s="137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72</v>
      </c>
      <c r="R3747" s="136" t="s">
        <v>6087</v>
      </c>
      <c r="S3747" s="129"/>
    </row>
    <row r="3748" spans="1:19" hidden="1">
      <c r="A3748" s="135" t="s">
        <v>6086</v>
      </c>
      <c r="B3748" s="149" t="str">
        <f>IFERROR(VLOOKUP(Proc[[#This Row],[App]],Table2[],3,0),"open")</f>
        <v>ok</v>
      </c>
      <c r="C3748" s="138" t="s">
        <v>369</v>
      </c>
      <c r="D3748" t="s">
        <v>6021</v>
      </c>
      <c r="E3748" t="s">
        <v>6073</v>
      </c>
      <c r="F3748" s="129" t="s">
        <v>6073</v>
      </c>
      <c r="G3748" s="135" t="s">
        <v>406</v>
      </c>
      <c r="H3748" s="129" t="str">
        <f>IF(Proc[[#This Row],[type]]="LFF (MDG-F)",MID(Proc[[#This Row],[Obj]],13,10),"")</f>
        <v>JP01TAOZ02</v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EL</v>
      </c>
      <c r="L3748" s="129" t="s">
        <v>4894</v>
      </c>
      <c r="M3748" s="136">
        <v>45895</v>
      </c>
      <c r="N3748" s="137"/>
      <c r="O3748" s="137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72</v>
      </c>
      <c r="R3748" s="136" t="s">
        <v>6087</v>
      </c>
      <c r="S3748" s="129"/>
    </row>
    <row r="3749" spans="1:19" hidden="1">
      <c r="A3749" s="135" t="s">
        <v>6086</v>
      </c>
      <c r="B3749" s="149" t="str">
        <f>IFERROR(VLOOKUP(Proc[[#This Row],[App]],Table2[],3,0),"open")</f>
        <v>ok</v>
      </c>
      <c r="C3749" s="138" t="s">
        <v>369</v>
      </c>
      <c r="D3749" t="s">
        <v>6022</v>
      </c>
      <c r="E3749" t="s">
        <v>6073</v>
      </c>
      <c r="F3749" s="129" t="s">
        <v>6073</v>
      </c>
      <c r="G3749" s="135" t="s">
        <v>406</v>
      </c>
      <c r="H3749" s="129" t="str">
        <f>IF(Proc[[#This Row],[type]]="LFF (MDG-F)",MID(Proc[[#This Row],[Obj]],13,10),"")</f>
        <v>JP01TAOZ03</v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EL</v>
      </c>
      <c r="L3749" s="129" t="s">
        <v>4894</v>
      </c>
      <c r="M3749" s="136">
        <v>45895</v>
      </c>
      <c r="N3749" s="137"/>
      <c r="O3749" s="137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72</v>
      </c>
      <c r="R3749" s="136" t="s">
        <v>6087</v>
      </c>
      <c r="S3749" s="129"/>
    </row>
    <row r="3750" spans="1:19" hidden="1">
      <c r="A3750" s="135" t="s">
        <v>6086</v>
      </c>
      <c r="B3750" s="149" t="str">
        <f>IFERROR(VLOOKUP(Proc[[#This Row],[App]],Table2[],3,0),"open")</f>
        <v>ok</v>
      </c>
      <c r="C3750" s="138" t="s">
        <v>369</v>
      </c>
      <c r="D3750" t="s">
        <v>6023</v>
      </c>
      <c r="E3750" t="s">
        <v>6073</v>
      </c>
      <c r="F3750" s="129" t="s">
        <v>6073</v>
      </c>
      <c r="G3750" s="135" t="s">
        <v>406</v>
      </c>
      <c r="H3750" s="129" t="str">
        <f>IF(Proc[[#This Row],[type]]="LFF (MDG-F)",MID(Proc[[#This Row],[Obj]],13,10),"")</f>
        <v>JP01TAOZ04</v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EL</v>
      </c>
      <c r="L3750" s="129" t="s">
        <v>4894</v>
      </c>
      <c r="M3750" s="136">
        <v>45895</v>
      </c>
      <c r="N3750" s="137"/>
      <c r="O3750" s="137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72</v>
      </c>
      <c r="R3750" s="136" t="s">
        <v>6087</v>
      </c>
      <c r="S3750" s="129"/>
    </row>
    <row r="3751" spans="1:19" hidden="1">
      <c r="A3751" s="135" t="s">
        <v>6086</v>
      </c>
      <c r="B3751" s="149" t="str">
        <f>IFERROR(VLOOKUP(Proc[[#This Row],[App]],Table2[],3,0),"open")</f>
        <v>ok</v>
      </c>
      <c r="C3751" s="138" t="s">
        <v>369</v>
      </c>
      <c r="D3751" t="s">
        <v>6024</v>
      </c>
      <c r="E3751" t="s">
        <v>6074</v>
      </c>
      <c r="F3751" s="129" t="s">
        <v>6074</v>
      </c>
      <c r="G3751" s="135" t="s">
        <v>406</v>
      </c>
      <c r="H3751" s="129" t="str">
        <f>IF(Proc[[#This Row],[type]]="LFF (MDG-F)",MID(Proc[[#This Row],[Obj]],13,10),"")</f>
        <v>JP01TAOZ05</v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EL</v>
      </c>
      <c r="L3751" s="129" t="s">
        <v>4894</v>
      </c>
      <c r="M3751" s="136">
        <v>45895</v>
      </c>
      <c r="N3751" s="137"/>
      <c r="O3751" s="137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72</v>
      </c>
      <c r="R3751" s="136" t="s">
        <v>6087</v>
      </c>
      <c r="S3751" s="129"/>
    </row>
    <row r="3752" spans="1:19" hidden="1">
      <c r="A3752" s="135" t="s">
        <v>6086</v>
      </c>
      <c r="B3752" s="149" t="str">
        <f>IFERROR(VLOOKUP(Proc[[#This Row],[App]],Table2[],3,0),"open")</f>
        <v>ok</v>
      </c>
      <c r="C3752" s="138" t="s">
        <v>369</v>
      </c>
      <c r="D3752" t="s">
        <v>6025</v>
      </c>
      <c r="E3752" t="s">
        <v>6073</v>
      </c>
      <c r="F3752" s="129" t="s">
        <v>6073</v>
      </c>
      <c r="G3752" s="135" t="s">
        <v>406</v>
      </c>
      <c r="H3752" s="129" t="str">
        <f>IF(Proc[[#This Row],[type]]="LFF (MDG-F)",MID(Proc[[#This Row],[Obj]],13,10),"")</f>
        <v>JP01TAOZ06</v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EL</v>
      </c>
      <c r="L3752" s="129" t="s">
        <v>4894</v>
      </c>
      <c r="M3752" s="136">
        <v>45895</v>
      </c>
      <c r="N3752" s="137"/>
      <c r="O3752" s="137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72</v>
      </c>
      <c r="R3752" s="136" t="s">
        <v>6087</v>
      </c>
      <c r="S3752" s="129"/>
    </row>
    <row r="3753" spans="1:19" hidden="1">
      <c r="A3753" s="135" t="s">
        <v>6086</v>
      </c>
      <c r="B3753" s="149" t="str">
        <f>IFERROR(VLOOKUP(Proc[[#This Row],[App]],Table2[],3,0),"open")</f>
        <v>ok</v>
      </c>
      <c r="C3753" s="138" t="s">
        <v>369</v>
      </c>
      <c r="D3753" t="s">
        <v>6026</v>
      </c>
      <c r="E3753" t="s">
        <v>6075</v>
      </c>
      <c r="F3753" s="129" t="s">
        <v>6075</v>
      </c>
      <c r="G3753" s="135" t="s">
        <v>406</v>
      </c>
      <c r="H3753" s="129" t="str">
        <f>IF(Proc[[#This Row],[type]]="LFF (MDG-F)",MID(Proc[[#This Row],[Obj]],13,10),"")</f>
        <v>JP01TBOZ01</v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EL</v>
      </c>
      <c r="L3753" s="129" t="s">
        <v>4894</v>
      </c>
      <c r="M3753" s="136">
        <v>45895</v>
      </c>
      <c r="N3753" s="137"/>
      <c r="O3753" s="137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72</v>
      </c>
      <c r="R3753" s="136" t="s">
        <v>6087</v>
      </c>
      <c r="S3753" s="129"/>
    </row>
    <row r="3754" spans="1:19" hidden="1">
      <c r="A3754" s="135" t="s">
        <v>6086</v>
      </c>
      <c r="B3754" s="149" t="str">
        <f>IFERROR(VLOOKUP(Proc[[#This Row],[App]],Table2[],3,0),"open")</f>
        <v>ok</v>
      </c>
      <c r="C3754" s="138" t="s">
        <v>369</v>
      </c>
      <c r="D3754" t="s">
        <v>6027</v>
      </c>
      <c r="E3754" t="s">
        <v>6076</v>
      </c>
      <c r="F3754" s="129" t="s">
        <v>6076</v>
      </c>
      <c r="G3754" s="135" t="s">
        <v>406</v>
      </c>
      <c r="H3754" s="129" t="str">
        <f>IF(Proc[[#This Row],[type]]="LFF (MDG-F)",MID(Proc[[#This Row],[Obj]],13,10),"")</f>
        <v>JP01TBOZ05</v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EL</v>
      </c>
      <c r="L3754" s="129" t="s">
        <v>4894</v>
      </c>
      <c r="M3754" s="136">
        <v>45895</v>
      </c>
      <c r="N3754" s="137"/>
      <c r="O3754" s="137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72</v>
      </c>
      <c r="R3754" s="136" t="s">
        <v>6087</v>
      </c>
      <c r="S3754" s="129"/>
    </row>
    <row r="3755" spans="1:19" hidden="1">
      <c r="A3755" s="135" t="s">
        <v>6086</v>
      </c>
      <c r="B3755" s="149" t="str">
        <f>IFERROR(VLOOKUP(Proc[[#This Row],[App]],Table2[],3,0),"open")</f>
        <v>ok</v>
      </c>
      <c r="C3755" s="138" t="s">
        <v>369</v>
      </c>
      <c r="D3755" t="s">
        <v>6028</v>
      </c>
      <c r="E3755" t="s">
        <v>6077</v>
      </c>
      <c r="F3755" s="129" t="s">
        <v>6077</v>
      </c>
      <c r="G3755" s="135" t="s">
        <v>406</v>
      </c>
      <c r="H3755" s="129" t="str">
        <f>IF(Proc[[#This Row],[type]]="LFF (MDG-F)",MID(Proc[[#This Row],[Obj]],13,10),"")</f>
        <v>JP01TCOZ01</v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EL</v>
      </c>
      <c r="L3755" s="129" t="s">
        <v>4894</v>
      </c>
      <c r="M3755" s="136">
        <v>45895</v>
      </c>
      <c r="N3755" s="137"/>
      <c r="O3755" s="137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72</v>
      </c>
      <c r="R3755" s="136" t="s">
        <v>6087</v>
      </c>
      <c r="S3755" s="129"/>
    </row>
    <row r="3756" spans="1:19" hidden="1">
      <c r="A3756" s="135" t="s">
        <v>6086</v>
      </c>
      <c r="B3756" s="149" t="str">
        <f>IFERROR(VLOOKUP(Proc[[#This Row],[App]],Table2[],3,0),"open")</f>
        <v>ok</v>
      </c>
      <c r="C3756" s="138" t="s">
        <v>369</v>
      </c>
      <c r="D3756" t="s">
        <v>6029</v>
      </c>
      <c r="E3756" t="s">
        <v>6078</v>
      </c>
      <c r="F3756" s="129" t="s">
        <v>6078</v>
      </c>
      <c r="G3756" s="135" t="s">
        <v>406</v>
      </c>
      <c r="H3756" s="129" t="str">
        <f>IF(Proc[[#This Row],[type]]="LFF (MDG-F)",MID(Proc[[#This Row],[Obj]],13,10),"")</f>
        <v>JP01TDOZ01</v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EL</v>
      </c>
      <c r="L3756" s="129" t="s">
        <v>4894</v>
      </c>
      <c r="M3756" s="136">
        <v>45895</v>
      </c>
      <c r="N3756" s="137"/>
      <c r="O3756" s="137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72</v>
      </c>
      <c r="R3756" s="136" t="s">
        <v>6087</v>
      </c>
      <c r="S3756" s="129"/>
    </row>
    <row r="3757" spans="1:19" hidden="1">
      <c r="A3757" s="135" t="s">
        <v>6086</v>
      </c>
      <c r="B3757" s="149" t="str">
        <f>IFERROR(VLOOKUP(Proc[[#This Row],[App]],Table2[],3,0),"open")</f>
        <v>ok</v>
      </c>
      <c r="C3757" s="138" t="s">
        <v>369</v>
      </c>
      <c r="D3757" t="s">
        <v>6030</v>
      </c>
      <c r="E3757" t="s">
        <v>6078</v>
      </c>
      <c r="F3757" s="129" t="s">
        <v>6078</v>
      </c>
      <c r="G3757" s="135" t="s">
        <v>406</v>
      </c>
      <c r="H3757" s="129" t="str">
        <f>IF(Proc[[#This Row],[type]]="LFF (MDG-F)",MID(Proc[[#This Row],[Obj]],13,10),"")</f>
        <v>JP01TDOZ02</v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EL</v>
      </c>
      <c r="L3757" s="129" t="s">
        <v>4894</v>
      </c>
      <c r="M3757" s="136">
        <v>45895</v>
      </c>
      <c r="N3757" s="137"/>
      <c r="O3757" s="137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72</v>
      </c>
      <c r="R3757" s="136" t="s">
        <v>6087</v>
      </c>
      <c r="S3757" s="129"/>
    </row>
    <row r="3758" spans="1:19" hidden="1">
      <c r="A3758" s="135" t="s">
        <v>6086</v>
      </c>
      <c r="B3758" s="149" t="str">
        <f>IFERROR(VLOOKUP(Proc[[#This Row],[App]],Table2[],3,0),"open")</f>
        <v>ok</v>
      </c>
      <c r="C3758" s="138" t="s">
        <v>369</v>
      </c>
      <c r="D3758" t="s">
        <v>6031</v>
      </c>
      <c r="E3758" t="s">
        <v>6078</v>
      </c>
      <c r="F3758" s="129" t="s">
        <v>6078</v>
      </c>
      <c r="G3758" s="135" t="s">
        <v>406</v>
      </c>
      <c r="H3758" s="129" t="str">
        <f>IF(Proc[[#This Row],[type]]="LFF (MDG-F)",MID(Proc[[#This Row],[Obj]],13,10),"")</f>
        <v>JP01TDOZ03</v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EL</v>
      </c>
      <c r="L3758" s="129" t="s">
        <v>4894</v>
      </c>
      <c r="M3758" s="136">
        <v>45895</v>
      </c>
      <c r="N3758" s="137"/>
      <c r="O3758" s="137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72</v>
      </c>
      <c r="R3758" s="136" t="s">
        <v>6087</v>
      </c>
      <c r="S3758" s="129"/>
    </row>
    <row r="3759" spans="1:19" hidden="1">
      <c r="A3759" s="135" t="s">
        <v>6086</v>
      </c>
      <c r="B3759" s="149" t="str">
        <f>IFERROR(VLOOKUP(Proc[[#This Row],[App]],Table2[],3,0),"open")</f>
        <v>ok</v>
      </c>
      <c r="C3759" s="138" t="s">
        <v>369</v>
      </c>
      <c r="D3759" t="s">
        <v>6032</v>
      </c>
      <c r="E3759" t="s">
        <v>6078</v>
      </c>
      <c r="F3759" s="129" t="s">
        <v>6078</v>
      </c>
      <c r="G3759" s="135" t="s">
        <v>406</v>
      </c>
      <c r="H3759" s="129" t="str">
        <f>IF(Proc[[#This Row],[type]]="LFF (MDG-F)",MID(Proc[[#This Row],[Obj]],13,10),"")</f>
        <v>JP01TDOZ04</v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EL</v>
      </c>
      <c r="L3759" s="129" t="s">
        <v>4894</v>
      </c>
      <c r="M3759" s="136">
        <v>45895</v>
      </c>
      <c r="N3759" s="137"/>
      <c r="O3759" s="137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72</v>
      </c>
      <c r="R3759" s="136" t="s">
        <v>6087</v>
      </c>
      <c r="S3759" s="129"/>
    </row>
    <row r="3760" spans="1:19" hidden="1">
      <c r="A3760" s="135" t="s">
        <v>6086</v>
      </c>
      <c r="B3760" s="149" t="str">
        <f>IFERROR(VLOOKUP(Proc[[#This Row],[App]],Table2[],3,0),"open")</f>
        <v>ok</v>
      </c>
      <c r="C3760" s="138" t="s">
        <v>369</v>
      </c>
      <c r="D3760" t="s">
        <v>6033</v>
      </c>
      <c r="E3760" t="s">
        <v>6078</v>
      </c>
      <c r="F3760" s="129" t="s">
        <v>6078</v>
      </c>
      <c r="G3760" s="135" t="s">
        <v>406</v>
      </c>
      <c r="H3760" s="129" t="str">
        <f>IF(Proc[[#This Row],[type]]="LFF (MDG-F)",MID(Proc[[#This Row],[Obj]],13,10),"")</f>
        <v>JP01TDOZ05</v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EL</v>
      </c>
      <c r="L3760" s="129" t="s">
        <v>4894</v>
      </c>
      <c r="M3760" s="136">
        <v>45895</v>
      </c>
      <c r="N3760" s="137"/>
      <c r="O3760" s="137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72</v>
      </c>
      <c r="R3760" s="136" t="s">
        <v>6087</v>
      </c>
      <c r="S3760" s="129"/>
    </row>
    <row r="3761" spans="1:19" hidden="1">
      <c r="A3761" s="135" t="s">
        <v>6086</v>
      </c>
      <c r="B3761" s="149" t="str">
        <f>IFERROR(VLOOKUP(Proc[[#This Row],[App]],Table2[],3,0),"open")</f>
        <v>ok</v>
      </c>
      <c r="C3761" s="138" t="s">
        <v>369</v>
      </c>
      <c r="D3761" t="s">
        <v>6034</v>
      </c>
      <c r="E3761" t="s">
        <v>6078</v>
      </c>
      <c r="F3761" s="129" t="s">
        <v>6078</v>
      </c>
      <c r="G3761" s="135" t="s">
        <v>406</v>
      </c>
      <c r="H3761" s="129" t="str">
        <f>IF(Proc[[#This Row],[type]]="LFF (MDG-F)",MID(Proc[[#This Row],[Obj]],13,10),"")</f>
        <v>JP01TDOZ06</v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EL</v>
      </c>
      <c r="L3761" s="129" t="s">
        <v>4894</v>
      </c>
      <c r="M3761" s="136">
        <v>45895</v>
      </c>
      <c r="N3761" s="137"/>
      <c r="O3761" s="137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72</v>
      </c>
      <c r="R3761" s="136" t="s">
        <v>6087</v>
      </c>
      <c r="S3761" s="129"/>
    </row>
    <row r="3762" spans="1:19" hidden="1">
      <c r="A3762" s="135" t="s">
        <v>6086</v>
      </c>
      <c r="B3762" s="149" t="str">
        <f>IFERROR(VLOOKUP(Proc[[#This Row],[App]],Table2[],3,0),"open")</f>
        <v>ok</v>
      </c>
      <c r="C3762" s="138" t="s">
        <v>369</v>
      </c>
      <c r="D3762" t="s">
        <v>6035</v>
      </c>
      <c r="E3762" t="s">
        <v>6079</v>
      </c>
      <c r="F3762" s="129" t="s">
        <v>6079</v>
      </c>
      <c r="G3762" s="135" t="s">
        <v>406</v>
      </c>
      <c r="H3762" s="129" t="str">
        <f>IF(Proc[[#This Row],[type]]="LFF (MDG-F)",MID(Proc[[#This Row],[Obj]],13,10),"")</f>
        <v>JP01TEOZ01</v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EL</v>
      </c>
      <c r="L3762" s="129" t="s">
        <v>4894</v>
      </c>
      <c r="M3762" s="136">
        <v>45895</v>
      </c>
      <c r="N3762" s="137"/>
      <c r="O3762" s="137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72</v>
      </c>
      <c r="R3762" s="136" t="s">
        <v>6087</v>
      </c>
      <c r="S3762" s="129"/>
    </row>
    <row r="3763" spans="1:19" hidden="1">
      <c r="A3763" s="135" t="s">
        <v>6086</v>
      </c>
      <c r="B3763" s="149" t="str">
        <f>IFERROR(VLOOKUP(Proc[[#This Row],[App]],Table2[],3,0),"open")</f>
        <v>ok</v>
      </c>
      <c r="C3763" s="138" t="s">
        <v>369</v>
      </c>
      <c r="D3763" t="s">
        <v>6036</v>
      </c>
      <c r="E3763" t="s">
        <v>6074</v>
      </c>
      <c r="F3763" s="129" t="s">
        <v>6074</v>
      </c>
      <c r="G3763" s="135" t="s">
        <v>406</v>
      </c>
      <c r="H3763" s="129" t="str">
        <f>IF(Proc[[#This Row],[type]]="LFF (MDG-F)",MID(Proc[[#This Row],[Obj]],13,10),"")</f>
        <v>JP01TFOZ01</v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EL</v>
      </c>
      <c r="L3763" s="129" t="s">
        <v>4894</v>
      </c>
      <c r="M3763" s="136">
        <v>45895</v>
      </c>
      <c r="N3763" s="137"/>
      <c r="O3763" s="137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72</v>
      </c>
      <c r="R3763" s="136" t="s">
        <v>6087</v>
      </c>
      <c r="S3763" s="129"/>
    </row>
    <row r="3764" spans="1:19" hidden="1">
      <c r="A3764" s="135" t="s">
        <v>6086</v>
      </c>
      <c r="B3764" s="149" t="str">
        <f>IFERROR(VLOOKUP(Proc[[#This Row],[App]],Table2[],3,0),"open")</f>
        <v>ok</v>
      </c>
      <c r="C3764" s="138" t="s">
        <v>369</v>
      </c>
      <c r="D3764" t="s">
        <v>6037</v>
      </c>
      <c r="E3764" t="s">
        <v>6074</v>
      </c>
      <c r="F3764" s="129" t="s">
        <v>6074</v>
      </c>
      <c r="G3764" s="135" t="s">
        <v>406</v>
      </c>
      <c r="H3764" s="129" t="str">
        <f>IF(Proc[[#This Row],[type]]="LFF (MDG-F)",MID(Proc[[#This Row],[Obj]],13,10),"")</f>
        <v>JP01TFOZ02</v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EL</v>
      </c>
      <c r="L3764" s="129" t="s">
        <v>4894</v>
      </c>
      <c r="M3764" s="136">
        <v>45895</v>
      </c>
      <c r="N3764" s="137"/>
      <c r="O3764" s="137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72</v>
      </c>
      <c r="R3764" s="136" t="s">
        <v>6087</v>
      </c>
      <c r="S3764" s="129"/>
    </row>
    <row r="3765" spans="1:19" hidden="1">
      <c r="A3765" s="135" t="s">
        <v>6086</v>
      </c>
      <c r="B3765" s="149" t="str">
        <f>IFERROR(VLOOKUP(Proc[[#This Row],[App]],Table2[],3,0),"open")</f>
        <v>ok</v>
      </c>
      <c r="C3765" s="138" t="s">
        <v>369</v>
      </c>
      <c r="D3765" t="s">
        <v>6038</v>
      </c>
      <c r="E3765" t="s">
        <v>6074</v>
      </c>
      <c r="F3765" s="129" t="s">
        <v>6074</v>
      </c>
      <c r="G3765" s="135" t="s">
        <v>406</v>
      </c>
      <c r="H3765" s="129" t="str">
        <f>IF(Proc[[#This Row],[type]]="LFF (MDG-F)",MID(Proc[[#This Row],[Obj]],13,10),"")</f>
        <v>JP01TFOZ03</v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EL</v>
      </c>
      <c r="L3765" s="129" t="s">
        <v>4894</v>
      </c>
      <c r="M3765" s="136">
        <v>45895</v>
      </c>
      <c r="N3765" s="137"/>
      <c r="O3765" s="137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72</v>
      </c>
      <c r="R3765" s="136" t="s">
        <v>6087</v>
      </c>
      <c r="S3765" s="129"/>
    </row>
    <row r="3766" spans="1:19" hidden="1">
      <c r="A3766" s="135" t="s">
        <v>6086</v>
      </c>
      <c r="B3766" s="149" t="str">
        <f>IFERROR(VLOOKUP(Proc[[#This Row],[App]],Table2[],3,0),"open")</f>
        <v>ok</v>
      </c>
      <c r="C3766" s="138" t="s">
        <v>369</v>
      </c>
      <c r="D3766" t="s">
        <v>6039</v>
      </c>
      <c r="E3766" t="s">
        <v>6080</v>
      </c>
      <c r="F3766" s="129" t="s">
        <v>6080</v>
      </c>
      <c r="G3766" s="135" t="s">
        <v>406</v>
      </c>
      <c r="H3766" s="129" t="str">
        <f>IF(Proc[[#This Row],[type]]="LFF (MDG-F)",MID(Proc[[#This Row],[Obj]],13,10),"")</f>
        <v>JP01TKOZ00</v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EL</v>
      </c>
      <c r="L3766" s="129" t="s">
        <v>4894</v>
      </c>
      <c r="M3766" s="136">
        <v>45895</v>
      </c>
      <c r="N3766" s="137"/>
      <c r="O3766" s="137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72</v>
      </c>
      <c r="R3766" s="136" t="s">
        <v>6087</v>
      </c>
      <c r="S3766" s="129"/>
    </row>
    <row r="3767" spans="1:19" hidden="1">
      <c r="A3767" s="135" t="s">
        <v>6086</v>
      </c>
      <c r="B3767" s="149" t="str">
        <f>IFERROR(VLOOKUP(Proc[[#This Row],[App]],Table2[],3,0),"open")</f>
        <v>ok</v>
      </c>
      <c r="C3767" s="138" t="s">
        <v>369</v>
      </c>
      <c r="D3767" t="s">
        <v>6040</v>
      </c>
      <c r="E3767" t="s">
        <v>6081</v>
      </c>
      <c r="F3767" s="129" t="s">
        <v>6081</v>
      </c>
      <c r="G3767" s="135" t="s">
        <v>406</v>
      </c>
      <c r="H3767" s="129" t="str">
        <f>IF(Proc[[#This Row],[type]]="LFF (MDG-F)",MID(Proc[[#This Row],[Obj]],13,10),"")</f>
        <v>JP01TLOZ01</v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EL</v>
      </c>
      <c r="L3767" s="129" t="s">
        <v>4894</v>
      </c>
      <c r="M3767" s="136">
        <v>45895</v>
      </c>
      <c r="N3767" s="137"/>
      <c r="O3767" s="137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72</v>
      </c>
      <c r="R3767" s="136" t="s">
        <v>6087</v>
      </c>
      <c r="S3767" s="129"/>
    </row>
    <row r="3768" spans="1:19" hidden="1">
      <c r="A3768" s="135" t="s">
        <v>6086</v>
      </c>
      <c r="B3768" s="149" t="str">
        <f>IFERROR(VLOOKUP(Proc[[#This Row],[App]],Table2[],3,0),"open")</f>
        <v>ok</v>
      </c>
      <c r="C3768" s="138" t="s">
        <v>369</v>
      </c>
      <c r="D3768" t="s">
        <v>6041</v>
      </c>
      <c r="E3768" t="s">
        <v>6082</v>
      </c>
      <c r="F3768" s="129" t="s">
        <v>6082</v>
      </c>
      <c r="G3768" s="135" t="s">
        <v>406</v>
      </c>
      <c r="H3768" s="129" t="str">
        <f>IF(Proc[[#This Row],[type]]="LFF (MDG-F)",MID(Proc[[#This Row],[Obj]],13,10),"")</f>
        <v>JP01TNMZ04</v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EL</v>
      </c>
      <c r="L3768" s="129" t="s">
        <v>4894</v>
      </c>
      <c r="M3768" s="136">
        <v>45895</v>
      </c>
      <c r="N3768" s="137"/>
      <c r="O3768" s="137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72</v>
      </c>
      <c r="R3768" s="136" t="s">
        <v>6087</v>
      </c>
      <c r="S3768" s="129"/>
    </row>
    <row r="3769" spans="1:19" hidden="1">
      <c r="A3769" s="135" t="s">
        <v>6086</v>
      </c>
      <c r="B3769" s="149" t="str">
        <f>IFERROR(VLOOKUP(Proc[[#This Row],[App]],Table2[],3,0),"open")</f>
        <v>ok</v>
      </c>
      <c r="C3769" s="138" t="s">
        <v>369</v>
      </c>
      <c r="D3769" t="s">
        <v>6042</v>
      </c>
      <c r="E3769" t="s">
        <v>6083</v>
      </c>
      <c r="F3769" s="129" t="s">
        <v>6083</v>
      </c>
      <c r="G3769" s="135" t="s">
        <v>406</v>
      </c>
      <c r="H3769" s="129" t="str">
        <f>IF(Proc[[#This Row],[type]]="LFF (MDG-F)",MID(Proc[[#This Row],[Obj]],13,10),"")</f>
        <v>JP01TPOZ01</v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EL</v>
      </c>
      <c r="L3769" s="129" t="s">
        <v>4894</v>
      </c>
      <c r="M3769" s="136">
        <v>45895</v>
      </c>
      <c r="N3769" s="137"/>
      <c r="O3769" s="137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72</v>
      </c>
      <c r="R3769" s="136" t="s">
        <v>6087</v>
      </c>
      <c r="S3769" s="129"/>
    </row>
    <row r="3770" spans="1:19" hidden="1">
      <c r="A3770" s="135" t="s">
        <v>6086</v>
      </c>
      <c r="B3770" s="149" t="str">
        <f>IFERROR(VLOOKUP(Proc[[#This Row],[App]],Table2[],3,0),"open")</f>
        <v>ok</v>
      </c>
      <c r="C3770" s="138" t="s">
        <v>369</v>
      </c>
      <c r="D3770" t="s">
        <v>6043</v>
      </c>
      <c r="E3770" t="s">
        <v>6084</v>
      </c>
      <c r="F3770" s="129" t="s">
        <v>6084</v>
      </c>
      <c r="G3770" s="135" t="s">
        <v>406</v>
      </c>
      <c r="H3770" s="129" t="str">
        <f>IF(Proc[[#This Row],[type]]="LFF (MDG-F)",MID(Proc[[#This Row],[Obj]],13,10),"")</f>
        <v>JP01TQOZ01</v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EL</v>
      </c>
      <c r="L3770" s="129" t="s">
        <v>4894</v>
      </c>
      <c r="M3770" s="136">
        <v>45895</v>
      </c>
      <c r="N3770" s="137"/>
      <c r="O3770" s="137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72</v>
      </c>
      <c r="R3770" s="136" t="s">
        <v>6087</v>
      </c>
      <c r="S3770" s="129"/>
    </row>
    <row r="3771" spans="1:19" hidden="1">
      <c r="A3771" s="135" t="s">
        <v>6086</v>
      </c>
      <c r="B3771" s="149" t="str">
        <f>IFERROR(VLOOKUP(Proc[[#This Row],[App]],Table2[],3,0),"open")</f>
        <v>ok</v>
      </c>
      <c r="C3771" s="138" t="s">
        <v>369</v>
      </c>
      <c r="D3771" t="s">
        <v>6044</v>
      </c>
      <c r="E3771" t="s">
        <v>6085</v>
      </c>
      <c r="F3771" s="129" t="s">
        <v>6085</v>
      </c>
      <c r="G3771" s="135" t="s">
        <v>406</v>
      </c>
      <c r="H3771" s="129" t="str">
        <f>IF(Proc[[#This Row],[type]]="LFF (MDG-F)",MID(Proc[[#This Row],[Obj]],13,10),"")</f>
        <v>JP01TQOZ03</v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EL</v>
      </c>
      <c r="L3771" s="129" t="s">
        <v>4894</v>
      </c>
      <c r="M3771" s="136">
        <v>45895</v>
      </c>
      <c r="N3771" s="137"/>
      <c r="O3771" s="137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72</v>
      </c>
      <c r="R3771" s="136" t="s">
        <v>6087</v>
      </c>
      <c r="S3771" s="129"/>
    </row>
    <row r="3772" spans="1:19" hidden="1">
      <c r="A3772" s="135" t="s">
        <v>6086</v>
      </c>
      <c r="B3772" s="149" t="str">
        <f>IFERROR(VLOOKUP(Proc[[#This Row],[App]],Table2[],3,0),"open")</f>
        <v>ok</v>
      </c>
      <c r="C3772" s="138" t="s">
        <v>369</v>
      </c>
      <c r="D3772" t="s">
        <v>6045</v>
      </c>
      <c r="E3772" t="s">
        <v>6085</v>
      </c>
      <c r="F3772" s="129" t="s">
        <v>6085</v>
      </c>
      <c r="G3772" s="135" t="s">
        <v>406</v>
      </c>
      <c r="H3772" s="129" t="str">
        <f>IF(Proc[[#This Row],[type]]="LFF (MDG-F)",MID(Proc[[#This Row],[Obj]],13,10),"")</f>
        <v>JP01TQOZ04</v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EL</v>
      </c>
      <c r="L3772" s="129" t="s">
        <v>4894</v>
      </c>
      <c r="M3772" s="136">
        <v>45895</v>
      </c>
      <c r="N3772" s="137"/>
      <c r="O3772" s="137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72</v>
      </c>
      <c r="R3772" s="136" t="s">
        <v>6087</v>
      </c>
      <c r="S3772" s="129"/>
    </row>
    <row r="3773" spans="1:19" hidden="1">
      <c r="A3773" s="135" t="s">
        <v>6086</v>
      </c>
      <c r="B3773" s="149" t="str">
        <f>IFERROR(VLOOKUP(Proc[[#This Row],[App]],Table2[],3,0),"open")</f>
        <v>ok</v>
      </c>
      <c r="C3773" s="138" t="s">
        <v>369</v>
      </c>
      <c r="D3773" t="s">
        <v>6046</v>
      </c>
      <c r="E3773" t="s">
        <v>6059</v>
      </c>
      <c r="F3773" s="129" t="s">
        <v>6059</v>
      </c>
      <c r="G3773" s="135" t="s">
        <v>406</v>
      </c>
      <c r="H3773" s="129" t="str">
        <f>IF(Proc[[#This Row],[type]]="LFF (MDG-F)",MID(Proc[[#This Row],[Obj]],13,10),"")</f>
        <v>JP01Z01000</v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EL</v>
      </c>
      <c r="L3773" s="129" t="s">
        <v>4894</v>
      </c>
      <c r="M3773" s="136">
        <v>45895</v>
      </c>
      <c r="N3773" s="137"/>
      <c r="O3773" s="137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72</v>
      </c>
      <c r="R3773" s="136" t="s">
        <v>6087</v>
      </c>
      <c r="S3773" s="129"/>
    </row>
    <row r="3774" spans="1:19" hidden="1">
      <c r="A3774" s="135" t="s">
        <v>6086</v>
      </c>
      <c r="B3774" s="149" t="str">
        <f>IFERROR(VLOOKUP(Proc[[#This Row],[App]],Table2[],3,0),"open")</f>
        <v>ok</v>
      </c>
      <c r="C3774" s="138" t="s">
        <v>369</v>
      </c>
      <c r="D3774" t="s">
        <v>6047</v>
      </c>
      <c r="E3774" t="s">
        <v>6059</v>
      </c>
      <c r="F3774" s="129" t="s">
        <v>6059</v>
      </c>
      <c r="G3774" s="135" t="s">
        <v>406</v>
      </c>
      <c r="H3774" s="129" t="str">
        <f>IF(Proc[[#This Row],[type]]="LFF (MDG-F)",MID(Proc[[#This Row],[Obj]],13,10),"")</f>
        <v>JP01Z01IF9</v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EL</v>
      </c>
      <c r="L3774" s="129" t="s">
        <v>4894</v>
      </c>
      <c r="M3774" s="136">
        <v>45895</v>
      </c>
      <c r="N3774" s="137"/>
      <c r="O3774" s="137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72</v>
      </c>
      <c r="R3774" s="136" t="s">
        <v>6087</v>
      </c>
      <c r="S3774" s="129"/>
    </row>
    <row r="3775" spans="1:19" hidden="1">
      <c r="A3775" s="135" t="s">
        <v>6086</v>
      </c>
      <c r="B3775" s="149" t="str">
        <f>IFERROR(VLOOKUP(Proc[[#This Row],[App]],Table2[],3,0),"open")</f>
        <v>ok</v>
      </c>
      <c r="C3775" s="138" t="s">
        <v>369</v>
      </c>
      <c r="D3775" t="s">
        <v>6048</v>
      </c>
      <c r="E3775" t="s">
        <v>6059</v>
      </c>
      <c r="F3775" s="129" t="s">
        <v>6059</v>
      </c>
      <c r="G3775" s="135" t="s">
        <v>406</v>
      </c>
      <c r="H3775" s="129" t="str">
        <f>IF(Proc[[#This Row],[type]]="LFF (MDG-F)",MID(Proc[[#This Row],[Obj]],13,10),"")</f>
        <v>JP01Z02141</v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EL</v>
      </c>
      <c r="L3775" s="129" t="s">
        <v>4894</v>
      </c>
      <c r="M3775" s="136">
        <v>45895</v>
      </c>
      <c r="N3775" s="137"/>
      <c r="O3775" s="137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72</v>
      </c>
      <c r="R3775" s="136" t="s">
        <v>6087</v>
      </c>
      <c r="S3775" s="129"/>
    </row>
    <row r="3776" spans="1:19" hidden="1">
      <c r="A3776" s="135" t="s">
        <v>6086</v>
      </c>
      <c r="B3776" s="149" t="str">
        <f>IFERROR(VLOOKUP(Proc[[#This Row],[App]],Table2[],3,0),"open")</f>
        <v>ok</v>
      </c>
      <c r="C3776" s="138" t="s">
        <v>369</v>
      </c>
      <c r="D3776" t="s">
        <v>6049</v>
      </c>
      <c r="E3776" t="s">
        <v>6059</v>
      </c>
      <c r="F3776" s="129" t="s">
        <v>6059</v>
      </c>
      <c r="G3776" s="135" t="s">
        <v>406</v>
      </c>
      <c r="H3776" s="129" t="str">
        <f>IF(Proc[[#This Row],[type]]="LFF (MDG-F)",MID(Proc[[#This Row],[Obj]],13,10),"")</f>
        <v>JP01Z02171</v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EL</v>
      </c>
      <c r="L3776" s="129" t="s">
        <v>4894</v>
      </c>
      <c r="M3776" s="136">
        <v>45895</v>
      </c>
      <c r="N3776" s="137"/>
      <c r="O3776" s="137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72</v>
      </c>
      <c r="R3776" s="136" t="s">
        <v>6087</v>
      </c>
      <c r="S3776" s="129"/>
    </row>
    <row r="3777" spans="1:19" hidden="1">
      <c r="A3777" s="135" t="s">
        <v>6086</v>
      </c>
      <c r="B3777" s="149" t="str">
        <f>IFERROR(VLOOKUP(Proc[[#This Row],[App]],Table2[],3,0),"open")</f>
        <v>ok</v>
      </c>
      <c r="C3777" s="138" t="s">
        <v>369</v>
      </c>
      <c r="D3777" t="s">
        <v>6050</v>
      </c>
      <c r="E3777" t="s">
        <v>6059</v>
      </c>
      <c r="F3777" s="129" t="s">
        <v>6059</v>
      </c>
      <c r="G3777" s="135" t="s">
        <v>406</v>
      </c>
      <c r="H3777" s="129" t="str">
        <f>IF(Proc[[#This Row],[type]]="LFF (MDG-F)",MID(Proc[[#This Row],[Obj]],13,10),"")</f>
        <v>JP01Z02173</v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EL</v>
      </c>
      <c r="L3777" s="129" t="s">
        <v>4894</v>
      </c>
      <c r="M3777" s="136">
        <v>45895</v>
      </c>
      <c r="N3777" s="137"/>
      <c r="O3777" s="137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72</v>
      </c>
      <c r="R3777" s="136" t="s">
        <v>6087</v>
      </c>
      <c r="S3777" s="129"/>
    </row>
    <row r="3778" spans="1:19" hidden="1">
      <c r="A3778" s="135" t="s">
        <v>6086</v>
      </c>
      <c r="B3778" s="149" t="str">
        <f>IFERROR(VLOOKUP(Proc[[#This Row],[App]],Table2[],3,0),"open")</f>
        <v>ok</v>
      </c>
      <c r="C3778" s="138" t="s">
        <v>369</v>
      </c>
      <c r="D3778" t="s">
        <v>6051</v>
      </c>
      <c r="E3778" t="s">
        <v>6059</v>
      </c>
      <c r="F3778" s="129" t="s">
        <v>6059</v>
      </c>
      <c r="G3778" s="135" t="s">
        <v>406</v>
      </c>
      <c r="H3778" s="129" t="str">
        <f>IF(Proc[[#This Row],[type]]="LFF (MDG-F)",MID(Proc[[#This Row],[Obj]],13,10),"")</f>
        <v>JP01Z02174</v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EL</v>
      </c>
      <c r="L3778" s="129" t="s">
        <v>4894</v>
      </c>
      <c r="M3778" s="136">
        <v>45895</v>
      </c>
      <c r="N3778" s="137"/>
      <c r="O3778" s="137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72</v>
      </c>
      <c r="R3778" s="136" t="s">
        <v>6087</v>
      </c>
      <c r="S3778" s="129"/>
    </row>
    <row r="3779" spans="1:19" hidden="1">
      <c r="A3779" s="135" t="s">
        <v>6086</v>
      </c>
      <c r="B3779" s="149" t="str">
        <f>IFERROR(VLOOKUP(Proc[[#This Row],[App]],Table2[],3,0),"open")</f>
        <v>ok</v>
      </c>
      <c r="C3779" s="138" t="s">
        <v>369</v>
      </c>
      <c r="D3779" t="s">
        <v>6052</v>
      </c>
      <c r="E3779" t="s">
        <v>6059</v>
      </c>
      <c r="F3779" s="129" t="s">
        <v>6059</v>
      </c>
      <c r="G3779" s="135" t="s">
        <v>406</v>
      </c>
      <c r="H3779" s="129" t="str">
        <f>IF(Proc[[#This Row],[type]]="LFF (MDG-F)",MID(Proc[[#This Row],[Obj]],13,10),"")</f>
        <v>JP01Z02175</v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EL</v>
      </c>
      <c r="L3779" s="129" t="s">
        <v>4894</v>
      </c>
      <c r="M3779" s="136">
        <v>45895</v>
      </c>
      <c r="N3779" s="137"/>
      <c r="O3779" s="137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72</v>
      </c>
      <c r="R3779" s="136" t="s">
        <v>6087</v>
      </c>
      <c r="S3779" s="129"/>
    </row>
    <row r="3780" spans="1:19" hidden="1">
      <c r="A3780" s="135" t="s">
        <v>6086</v>
      </c>
      <c r="B3780" s="149" t="str">
        <f>IFERROR(VLOOKUP(Proc[[#This Row],[App]],Table2[],3,0),"open")</f>
        <v>ok</v>
      </c>
      <c r="C3780" s="138" t="s">
        <v>369</v>
      </c>
      <c r="D3780" t="s">
        <v>6053</v>
      </c>
      <c r="E3780" t="s">
        <v>6059</v>
      </c>
      <c r="F3780" s="129" t="s">
        <v>6059</v>
      </c>
      <c r="G3780" s="135" t="s">
        <v>406</v>
      </c>
      <c r="H3780" s="129" t="str">
        <f>IF(Proc[[#This Row],[type]]="LFF (MDG-F)",MID(Proc[[#This Row],[Obj]],13,10),"")</f>
        <v>JP01Z02183</v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EL</v>
      </c>
      <c r="L3780" s="129" t="s">
        <v>4894</v>
      </c>
      <c r="M3780" s="136">
        <v>45895</v>
      </c>
      <c r="N3780" s="137"/>
      <c r="O3780" s="137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72</v>
      </c>
      <c r="R3780" s="136" t="s">
        <v>6087</v>
      </c>
      <c r="S3780" s="129"/>
    </row>
    <row r="3781" spans="1:19" hidden="1">
      <c r="A3781" s="135" t="s">
        <v>6086</v>
      </c>
      <c r="B3781" s="149" t="str">
        <f>IFERROR(VLOOKUP(Proc[[#This Row],[App]],Table2[],3,0),"open")</f>
        <v>ok</v>
      </c>
      <c r="C3781" s="138" t="s">
        <v>369</v>
      </c>
      <c r="D3781" t="s">
        <v>6054</v>
      </c>
      <c r="E3781" t="s">
        <v>6069</v>
      </c>
      <c r="F3781" s="129" t="s">
        <v>6069</v>
      </c>
      <c r="G3781" s="135" t="s">
        <v>406</v>
      </c>
      <c r="H3781" s="129" t="str">
        <f>IF(Proc[[#This Row],[type]]="LFF (MDG-F)",MID(Proc[[#This Row],[Obj]],13,10),"")</f>
        <v>JP01Z03103</v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EL</v>
      </c>
      <c r="L3781" s="129" t="s">
        <v>4894</v>
      </c>
      <c r="M3781" s="136">
        <v>45895</v>
      </c>
      <c r="N3781" s="137"/>
      <c r="O3781" s="137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72</v>
      </c>
      <c r="R3781" s="136" t="s">
        <v>6087</v>
      </c>
      <c r="S3781" s="129"/>
    </row>
    <row r="3782" spans="1:19" hidden="1">
      <c r="A3782" s="135" t="s">
        <v>6086</v>
      </c>
      <c r="B3782" s="149" t="str">
        <f>IFERROR(VLOOKUP(Proc[[#This Row],[App]],Table2[],3,0),"open")</f>
        <v>ok</v>
      </c>
      <c r="C3782" s="138" t="s">
        <v>369</v>
      </c>
      <c r="D3782" t="s">
        <v>6055</v>
      </c>
      <c r="E3782" t="s">
        <v>6059</v>
      </c>
      <c r="F3782" s="129" t="s">
        <v>6059</v>
      </c>
      <c r="G3782" s="135" t="s">
        <v>406</v>
      </c>
      <c r="H3782" s="129" t="str">
        <f>IF(Proc[[#This Row],[type]]="LFF (MDG-F)",MID(Proc[[#This Row],[Obj]],13,10),"")</f>
        <v>JP01Z03104</v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EL</v>
      </c>
      <c r="L3782" s="129" t="s">
        <v>4894</v>
      </c>
      <c r="M3782" s="136">
        <v>45895</v>
      </c>
      <c r="N3782" s="137"/>
      <c r="O3782" s="137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72</v>
      </c>
      <c r="R3782" s="136" t="s">
        <v>6087</v>
      </c>
      <c r="S3782" s="129"/>
    </row>
    <row r="3783" spans="1:19" hidden="1">
      <c r="A3783" s="135" t="s">
        <v>6086</v>
      </c>
      <c r="B3783" s="149" t="str">
        <f>IFERROR(VLOOKUP(Proc[[#This Row],[App]],Table2[],3,0),"open")</f>
        <v>ok</v>
      </c>
      <c r="C3783" s="138" t="s">
        <v>369</v>
      </c>
      <c r="D3783" t="s">
        <v>6056</v>
      </c>
      <c r="E3783" t="s">
        <v>6059</v>
      </c>
      <c r="F3783" s="129" t="s">
        <v>6059</v>
      </c>
      <c r="G3783" s="135" t="s">
        <v>406</v>
      </c>
      <c r="H3783" s="129" t="str">
        <f>IF(Proc[[#This Row],[type]]="LFF (MDG-F)",MID(Proc[[#This Row],[Obj]],13,10),"")</f>
        <v>JP01Z03105</v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EL</v>
      </c>
      <c r="L3783" s="129" t="s">
        <v>4894</v>
      </c>
      <c r="M3783" s="136">
        <v>45895</v>
      </c>
      <c r="N3783" s="137"/>
      <c r="O3783" s="137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72</v>
      </c>
      <c r="R3783" s="136" t="s">
        <v>6087</v>
      </c>
      <c r="S3783" s="129"/>
    </row>
    <row r="3784" spans="1:19" hidden="1">
      <c r="A3784" s="135" t="s">
        <v>6086</v>
      </c>
      <c r="B3784" s="149" t="str">
        <f>IFERROR(VLOOKUP(Proc[[#This Row],[App]],Table2[],3,0),"open")</f>
        <v>ok</v>
      </c>
      <c r="C3784" s="138" t="s">
        <v>369</v>
      </c>
      <c r="D3784" t="s">
        <v>6057</v>
      </c>
      <c r="E3784" t="s">
        <v>6059</v>
      </c>
      <c r="F3784" s="129" t="s">
        <v>6059</v>
      </c>
      <c r="G3784" s="135" t="s">
        <v>406</v>
      </c>
      <c r="H3784" s="129" t="str">
        <f>IF(Proc[[#This Row],[type]]="LFF (MDG-F)",MID(Proc[[#This Row],[Obj]],13,10),"")</f>
        <v>JP01Z03700</v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EL</v>
      </c>
      <c r="L3784" s="129" t="s">
        <v>4894</v>
      </c>
      <c r="M3784" s="136">
        <v>45895</v>
      </c>
      <c r="N3784" s="137"/>
      <c r="O3784" s="137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72</v>
      </c>
      <c r="R3784" s="136" t="s">
        <v>6087</v>
      </c>
      <c r="S3784" s="129"/>
    </row>
    <row r="3785" spans="1:19" hidden="1">
      <c r="A3785" s="135" t="s">
        <v>6086</v>
      </c>
      <c r="B3785" s="149" t="str">
        <f>IFERROR(VLOOKUP(Proc[[#This Row],[App]],Table2[],3,0),"open")</f>
        <v>ok</v>
      </c>
      <c r="C3785" s="138" t="s">
        <v>369</v>
      </c>
      <c r="D3785" t="s">
        <v>6058</v>
      </c>
      <c r="E3785" t="s">
        <v>6059</v>
      </c>
      <c r="F3785" s="129" t="s">
        <v>6059</v>
      </c>
      <c r="G3785" s="135" t="s">
        <v>406</v>
      </c>
      <c r="H3785" s="129" t="str">
        <f>IF(Proc[[#This Row],[type]]="LFF (MDG-F)",MID(Proc[[#This Row],[Obj]],13,10),"")</f>
        <v>JP01Z03725</v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EL</v>
      </c>
      <c r="L3785" s="129" t="s">
        <v>4894</v>
      </c>
      <c r="M3785" s="136">
        <v>45895</v>
      </c>
      <c r="N3785" s="137"/>
      <c r="O3785" s="137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72</v>
      </c>
      <c r="R3785" s="136" t="s">
        <v>6087</v>
      </c>
      <c r="S3785" s="129"/>
    </row>
    <row r="3786" spans="1:19" hidden="1">
      <c r="A3786" t="s">
        <v>6089</v>
      </c>
      <c r="B3786" s="149" t="str">
        <f>IFERROR(VLOOKUP(Proc[[#This Row],[App]],Table2[],3,0),"open")</f>
        <v>ok</v>
      </c>
      <c r="C3786" t="s">
        <v>369</v>
      </c>
      <c r="D3786" t="s">
        <v>5337</v>
      </c>
      <c r="E3786" t="s">
        <v>6088</v>
      </c>
      <c r="F3786" s="129" t="s">
        <v>6088</v>
      </c>
      <c r="G3786" t="s">
        <v>406</v>
      </c>
      <c r="H3786" s="129" t="str">
        <f>IF(Proc[[#This Row],[type]]="LFF (MDG-F)",MID(Proc[[#This Row],[Obj]],13,10),"")</f>
        <v>DE10YIT011</v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MGF</v>
      </c>
      <c r="L3786" s="129" t="s">
        <v>4894</v>
      </c>
      <c r="M3786" s="136">
        <v>45897</v>
      </c>
      <c r="N3786" s="137"/>
      <c r="O3786" s="137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70</v>
      </c>
      <c r="R3786" s="136" t="s">
        <v>1459</v>
      </c>
      <c r="S3786" s="129"/>
    </row>
    <row r="3787" spans="1:19" hidden="1">
      <c r="A3787" s="135" t="s">
        <v>6089</v>
      </c>
      <c r="B3787" s="149" t="str">
        <f>IFERROR(VLOOKUP(Proc[[#This Row],[App]],Table2[],3,0),"open")</f>
        <v>ok</v>
      </c>
      <c r="C3787" s="138" t="s">
        <v>369</v>
      </c>
      <c r="D3787" t="s">
        <v>5336</v>
      </c>
      <c r="E3787" t="s">
        <v>6088</v>
      </c>
      <c r="F3787" s="129" t="s">
        <v>6088</v>
      </c>
      <c r="G3787" s="135" t="s">
        <v>406</v>
      </c>
      <c r="H3787" s="129" t="str">
        <f>IF(Proc[[#This Row],[type]]="LFF (MDG-F)",MID(Proc[[#This Row],[Obj]],13,10),"")</f>
        <v>DE10YIT012</v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MGF</v>
      </c>
      <c r="L3787" s="129" t="s">
        <v>4894</v>
      </c>
      <c r="M3787" s="136">
        <v>45897</v>
      </c>
      <c r="N3787" s="137"/>
      <c r="O3787" s="137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70</v>
      </c>
      <c r="R3787" s="136" t="s">
        <v>1459</v>
      </c>
      <c r="S3787" s="129"/>
    </row>
    <row r="3788" spans="1:19" hidden="1">
      <c r="A3788" s="135" t="s">
        <v>6089</v>
      </c>
      <c r="B3788" s="149" t="str">
        <f>IFERROR(VLOOKUP(Proc[[#This Row],[App]],Table2[],3,0),"open")</f>
        <v>ok</v>
      </c>
      <c r="C3788" s="138" t="s">
        <v>369</v>
      </c>
      <c r="D3788" t="s">
        <v>5334</v>
      </c>
      <c r="E3788" t="s">
        <v>6088</v>
      </c>
      <c r="F3788" s="129" t="s">
        <v>6088</v>
      </c>
      <c r="G3788" s="135" t="s">
        <v>406</v>
      </c>
      <c r="H3788" s="129" t="str">
        <f>IF(Proc[[#This Row],[type]]="LFF (MDG-F)",MID(Proc[[#This Row],[Obj]],13,10),"")</f>
        <v>DE10YIT009</v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MGF</v>
      </c>
      <c r="L3788" s="129" t="s">
        <v>4894</v>
      </c>
      <c r="M3788" s="136">
        <v>45897</v>
      </c>
      <c r="N3788" s="137"/>
      <c r="O3788" s="137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70</v>
      </c>
      <c r="R3788" s="136" t="s">
        <v>1459</v>
      </c>
      <c r="S3788" s="129"/>
    </row>
    <row r="3789" spans="1:19" hidden="1">
      <c r="A3789" s="135" t="s">
        <v>6089</v>
      </c>
      <c r="B3789" s="149" t="str">
        <f>IFERROR(VLOOKUP(Proc[[#This Row],[App]],Table2[],3,0),"open")</f>
        <v>ok</v>
      </c>
      <c r="C3789" s="138" t="s">
        <v>369</v>
      </c>
      <c r="D3789" t="s">
        <v>5368</v>
      </c>
      <c r="E3789" t="s">
        <v>6088</v>
      </c>
      <c r="F3789" s="129" t="s">
        <v>6088</v>
      </c>
      <c r="G3789" s="135" t="s">
        <v>406</v>
      </c>
      <c r="H3789" s="129" t="str">
        <f>IF(Proc[[#This Row],[type]]="LFF (MDG-F)",MID(Proc[[#This Row],[Obj]],13,10),"")</f>
        <v>CH65YIT001</v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MGF</v>
      </c>
      <c r="L3789" s="129" t="s">
        <v>4894</v>
      </c>
      <c r="M3789" s="136">
        <v>45897</v>
      </c>
      <c r="N3789" s="137"/>
      <c r="O3789" s="137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70</v>
      </c>
      <c r="R3789" s="136" t="s">
        <v>1459</v>
      </c>
      <c r="S3789" s="129"/>
    </row>
    <row r="3790" spans="1:19" hidden="1">
      <c r="A3790" s="135" t="s">
        <v>6089</v>
      </c>
      <c r="B3790" s="149" t="str">
        <f>IFERROR(VLOOKUP(Proc[[#This Row],[App]],Table2[],3,0),"open")</f>
        <v>ok</v>
      </c>
      <c r="C3790" s="138" t="s">
        <v>369</v>
      </c>
      <c r="D3790" t="s">
        <v>5335</v>
      </c>
      <c r="E3790" t="s">
        <v>6088</v>
      </c>
      <c r="F3790" s="129" t="s">
        <v>6088</v>
      </c>
      <c r="G3790" s="135" t="s">
        <v>406</v>
      </c>
      <c r="H3790" s="129" t="str">
        <f>IF(Proc[[#This Row],[type]]="LFF (MDG-F)",MID(Proc[[#This Row],[Obj]],13,10),"")</f>
        <v>DE10YIT008</v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MGF</v>
      </c>
      <c r="L3790" s="129" t="s">
        <v>4894</v>
      </c>
      <c r="M3790" s="136">
        <v>45897</v>
      </c>
      <c r="N3790" s="137"/>
      <c r="O3790" s="137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70</v>
      </c>
      <c r="R3790" s="136" t="s">
        <v>1459</v>
      </c>
      <c r="S3790" s="129"/>
    </row>
    <row r="3791" spans="1:19" hidden="1">
      <c r="A3791" t="s">
        <v>6098</v>
      </c>
      <c r="B3791" s="149" t="str">
        <f>IFERROR(VLOOKUP(Proc[[#This Row],[App]],Table2[],3,0),"open")</f>
        <v>ok</v>
      </c>
      <c r="C3791" s="138" t="s">
        <v>369</v>
      </c>
      <c r="D3791" t="s">
        <v>6090</v>
      </c>
      <c r="E3791" t="s">
        <v>496</v>
      </c>
      <c r="F3791" s="129" t="s">
        <v>496</v>
      </c>
      <c r="G3791" s="135" t="s">
        <v>406</v>
      </c>
      <c r="H3791" s="129" t="str">
        <f>IF(Proc[[#This Row],[type]]="LFF (MDG-F)",MID(Proc[[#This Row],[Obj]],13,10),"")</f>
        <v>DE10GM8401</v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LS</v>
      </c>
      <c r="L3791" s="129" t="s">
        <v>4894</v>
      </c>
      <c r="M3791" s="136">
        <v>45897</v>
      </c>
      <c r="N3791" s="137"/>
      <c r="O3791" s="137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70</v>
      </c>
      <c r="R3791" s="136" t="s">
        <v>972</v>
      </c>
      <c r="S3791" s="129"/>
    </row>
    <row r="3792" spans="1:19" hidden="1">
      <c r="A3792" s="135" t="s">
        <v>6098</v>
      </c>
      <c r="B3792" s="149" t="str">
        <f>IFERROR(VLOOKUP(Proc[[#This Row],[App]],Table2[],3,0),"open")</f>
        <v>ok</v>
      </c>
      <c r="C3792" s="138" t="s">
        <v>369</v>
      </c>
      <c r="D3792" t="s">
        <v>6091</v>
      </c>
      <c r="E3792" t="s">
        <v>6097</v>
      </c>
      <c r="F3792" s="129" t="s">
        <v>6097</v>
      </c>
      <c r="G3792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LS</v>
      </c>
      <c r="L3792" s="129" t="s">
        <v>4894</v>
      </c>
      <c r="M3792" s="136">
        <v>45897</v>
      </c>
      <c r="N3792" s="137"/>
      <c r="O3792" s="137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70</v>
      </c>
      <c r="R3792" s="136" t="s">
        <v>972</v>
      </c>
      <c r="S3792" s="129"/>
    </row>
    <row r="3793" spans="1:19" hidden="1">
      <c r="A3793" s="135" t="s">
        <v>6098</v>
      </c>
      <c r="B3793" s="149" t="str">
        <f>IFERROR(VLOOKUP(Proc[[#This Row],[App]],Table2[],3,0),"open")</f>
        <v>ok</v>
      </c>
      <c r="C3793" s="138" t="s">
        <v>369</v>
      </c>
      <c r="D3793" t="s">
        <v>6092</v>
      </c>
      <c r="E3793" t="s">
        <v>2813</v>
      </c>
      <c r="F3793" s="129" t="s">
        <v>2813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LS</v>
      </c>
      <c r="L3793" s="129" t="s">
        <v>4894</v>
      </c>
      <c r="M3793" s="136">
        <v>45897</v>
      </c>
      <c r="N3793" s="137"/>
      <c r="O3793" s="137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70</v>
      </c>
      <c r="R3793" s="136" t="s">
        <v>972</v>
      </c>
      <c r="S3793" s="129"/>
    </row>
    <row r="3794" spans="1:19" hidden="1">
      <c r="A3794" s="135" t="s">
        <v>6098</v>
      </c>
      <c r="B3794" s="149" t="str">
        <f>IFERROR(VLOOKUP(Proc[[#This Row],[App]],Table2[],3,0),"open")</f>
        <v>ok</v>
      </c>
      <c r="C3794" s="138" t="s">
        <v>369</v>
      </c>
      <c r="D3794" t="s">
        <v>6093</v>
      </c>
      <c r="E3794" t="s">
        <v>2813</v>
      </c>
      <c r="F3794" s="129" t="s">
        <v>2813</v>
      </c>
      <c r="G3794" s="135" t="s">
        <v>400</v>
      </c>
      <c r="H3794" s="129" t="str">
        <f>IF(Proc[[#This Row],[type]]="LFF (MDG-F)",MID(Proc[[#This Row],[Obj]],13,10),"")</f>
        <v/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LS</v>
      </c>
      <c r="L3794" s="129" t="s">
        <v>4894</v>
      </c>
      <c r="M3794" s="136">
        <v>45897</v>
      </c>
      <c r="N3794" s="137"/>
      <c r="O3794" s="137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70</v>
      </c>
      <c r="R3794" s="136" t="s">
        <v>972</v>
      </c>
      <c r="S3794" s="129"/>
    </row>
    <row r="3795" spans="1:19" hidden="1">
      <c r="A3795" s="135" t="s">
        <v>6098</v>
      </c>
      <c r="B3795" s="149" t="str">
        <f>IFERROR(VLOOKUP(Proc[[#This Row],[App]],Table2[],3,0),"open")</f>
        <v>ok</v>
      </c>
      <c r="C3795" s="138" t="s">
        <v>369</v>
      </c>
      <c r="D3795" t="s">
        <v>6094</v>
      </c>
      <c r="E3795" t="s">
        <v>2813</v>
      </c>
      <c r="F3795" s="129" t="s">
        <v>2813</v>
      </c>
      <c r="G3795" s="135" t="s">
        <v>400</v>
      </c>
      <c r="H3795" s="129" t="str">
        <f>IF(Proc[[#This Row],[type]]="LFF (MDG-F)",MID(Proc[[#This Row],[Obj]],13,10),"")</f>
        <v/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LS</v>
      </c>
      <c r="L3795" s="129" t="s">
        <v>4894</v>
      </c>
      <c r="M3795" s="136">
        <v>45897</v>
      </c>
      <c r="N3795" s="137"/>
      <c r="O3795" s="137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70</v>
      </c>
      <c r="R3795" s="136" t="s">
        <v>972</v>
      </c>
      <c r="S3795" s="129"/>
    </row>
    <row r="3796" spans="1:19" hidden="1">
      <c r="A3796" s="135" t="s">
        <v>6098</v>
      </c>
      <c r="B3796" s="149" t="str">
        <f>IFERROR(VLOOKUP(Proc[[#This Row],[App]],Table2[],3,0),"open")</f>
        <v>ok</v>
      </c>
      <c r="C3796" s="138" t="s">
        <v>369</v>
      </c>
      <c r="D3796" t="s">
        <v>6095</v>
      </c>
      <c r="E3796" t="s">
        <v>2813</v>
      </c>
      <c r="F3796" s="129" t="s">
        <v>2813</v>
      </c>
      <c r="G3796" s="135" t="s">
        <v>400</v>
      </c>
      <c r="H3796" s="129" t="str">
        <f>IF(Proc[[#This Row],[type]]="LFF (MDG-F)",MID(Proc[[#This Row],[Obj]],13,10),"")</f>
        <v/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LS</v>
      </c>
      <c r="L3796" s="129" t="s">
        <v>4894</v>
      </c>
      <c r="M3796" s="136">
        <v>45897</v>
      </c>
      <c r="N3796" s="137"/>
      <c r="O3796" s="137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70</v>
      </c>
      <c r="R3796" s="136" t="s">
        <v>972</v>
      </c>
      <c r="S3796" s="129"/>
    </row>
    <row r="3797" spans="1:19" hidden="1">
      <c r="A3797" s="135" t="s">
        <v>6098</v>
      </c>
      <c r="B3797" s="149" t="str">
        <f>IFERROR(VLOOKUP(Proc[[#This Row],[App]],Table2[],3,0),"open")</f>
        <v>ok</v>
      </c>
      <c r="C3797" s="138" t="s">
        <v>369</v>
      </c>
      <c r="D3797" t="s">
        <v>6096</v>
      </c>
      <c r="E3797" t="s">
        <v>2813</v>
      </c>
      <c r="F3797" s="129" t="s">
        <v>2813</v>
      </c>
      <c r="G3797" s="135" t="s">
        <v>400</v>
      </c>
      <c r="H3797" s="129" t="str">
        <f>IF(Proc[[#This Row],[type]]="LFF (MDG-F)",MID(Proc[[#This Row],[Obj]],13,10),"")</f>
        <v/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LS</v>
      </c>
      <c r="L3797" s="129" t="s">
        <v>4894</v>
      </c>
      <c r="M3797" s="136">
        <v>45897</v>
      </c>
      <c r="N3797" s="137"/>
      <c r="O3797" s="137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70</v>
      </c>
      <c r="R3797" s="136" t="s">
        <v>972</v>
      </c>
      <c r="S3797" s="129"/>
    </row>
    <row r="3798" spans="1:19" hidden="1">
      <c r="A3798" t="s">
        <v>6099</v>
      </c>
      <c r="B3798" s="149" t="str">
        <f>IFERROR(VLOOKUP(Proc[[#This Row],[App]],Table2[],3,0),"open")</f>
        <v>ok</v>
      </c>
      <c r="C3798" s="138" t="s">
        <v>369</v>
      </c>
      <c r="D3798" t="s">
        <v>6100</v>
      </c>
      <c r="E3798" t="s">
        <v>5668</v>
      </c>
      <c r="F3798" s="142" t="s">
        <v>5668</v>
      </c>
      <c r="G3798" s="138" t="s">
        <v>400</v>
      </c>
      <c r="H3798" s="129" t="str">
        <f>IF(Proc[[#This Row],[type]]="LFF (MDG-F)",MID(Proc[[#This Row],[Obj]],13,10),"")</f>
        <v/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6">
        <v>45897</v>
      </c>
      <c r="N3798" s="137"/>
      <c r="O3798" s="137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70</v>
      </c>
      <c r="R3798" s="136" t="s">
        <v>515</v>
      </c>
      <c r="S3798" s="129"/>
    </row>
    <row r="3799" spans="1:19" hidden="1">
      <c r="A3799" s="138" t="s">
        <v>6099</v>
      </c>
      <c r="B3799" s="149" t="str">
        <f>IFERROR(VLOOKUP(Proc[[#This Row],[App]],Table2[],3,0),"open")</f>
        <v>ok</v>
      </c>
      <c r="C3799" s="138" t="s">
        <v>369</v>
      </c>
      <c r="D3799" t="s">
        <v>6101</v>
      </c>
      <c r="E3799" t="s">
        <v>5668</v>
      </c>
      <c r="F3799" s="129" t="s">
        <v>5668</v>
      </c>
      <c r="G3799" t="s">
        <v>406</v>
      </c>
      <c r="H3799" s="129" t="str">
        <f>IF(Proc[[#This Row],[type]]="LFF (MDG-F)",MID(Proc[[#This Row],[Obj]],13,10),"")</f>
        <v>NL50GPO180</v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MGF</v>
      </c>
      <c r="L3799" s="129" t="s">
        <v>4894</v>
      </c>
      <c r="M3799" s="136">
        <v>45897</v>
      </c>
      <c r="N3799" s="137"/>
      <c r="O3799" s="137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70</v>
      </c>
      <c r="R3799" s="136" t="s">
        <v>515</v>
      </c>
      <c r="S3799" s="129"/>
    </row>
    <row r="3800" spans="1:19" hidden="1">
      <c r="A3800" s="138" t="s">
        <v>6099</v>
      </c>
      <c r="B3800" s="149" t="str">
        <f>IFERROR(VLOOKUP(Proc[[#This Row],[App]],Table2[],3,0),"open")</f>
        <v>ok</v>
      </c>
      <c r="C3800" s="142" t="s">
        <v>369</v>
      </c>
      <c r="D3800" t="s">
        <v>6102</v>
      </c>
      <c r="E3800" t="s">
        <v>5668</v>
      </c>
      <c r="F3800" s="142" t="s">
        <v>5668</v>
      </c>
      <c r="G3800" s="138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MGF</v>
      </c>
      <c r="L3800" s="129" t="s">
        <v>4894</v>
      </c>
      <c r="M3800" s="136">
        <v>45897</v>
      </c>
      <c r="N3800" s="137"/>
      <c r="O3800" s="137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70</v>
      </c>
      <c r="R3800" s="136" t="s">
        <v>515</v>
      </c>
      <c r="S3800" s="129"/>
    </row>
    <row r="3801" spans="1:19" hidden="1">
      <c r="A3801" t="s">
        <v>6105</v>
      </c>
      <c r="B3801" s="149" t="str">
        <f>IFERROR(VLOOKUP(Proc[[#This Row],[App]],Table2[],3,0),"open")</f>
        <v>ok</v>
      </c>
      <c r="C3801" s="149" t="s">
        <v>369</v>
      </c>
      <c r="D3801" s="138" t="s">
        <v>5953</v>
      </c>
      <c r="E3801" s="138" t="s">
        <v>6063</v>
      </c>
      <c r="F3801" s="150" t="s">
        <v>6063</v>
      </c>
      <c r="G3801" t="s">
        <v>406</v>
      </c>
      <c r="H3801" s="129" t="str">
        <f>IF(Proc[[#This Row],[type]]="LFF (MDG-F)",MID(Proc[[#This Row],[Obj]],13,10),"")</f>
        <v>JP01C0M825</v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EL</v>
      </c>
      <c r="L3801" s="129" t="s">
        <v>4894</v>
      </c>
      <c r="M3801" s="136">
        <v>45897</v>
      </c>
      <c r="N3801" s="137"/>
      <c r="O3801" s="137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70</v>
      </c>
      <c r="R3801" s="136" t="s">
        <v>6087</v>
      </c>
      <c r="S3801" s="129"/>
    </row>
    <row r="3802" spans="1:19" hidden="1">
      <c r="A3802" t="s">
        <v>6106</v>
      </c>
      <c r="B3802" s="149" t="str">
        <f>IFERROR(VLOOKUP(Proc[[#This Row],[App]],Table2[],3,0),"open")</f>
        <v>ok</v>
      </c>
      <c r="C3802" s="138" t="s">
        <v>369</v>
      </c>
      <c r="D3802" t="s">
        <v>6107</v>
      </c>
      <c r="E3802" t="s">
        <v>555</v>
      </c>
      <c r="F3802" s="129" t="s">
        <v>555</v>
      </c>
      <c r="G3802" s="138" t="s">
        <v>400</v>
      </c>
      <c r="H3802" s="129" t="str">
        <f>IF(Proc[[#This Row],[type]]="LFF (MDG-F)",MID(Proc[[#This Row],[Obj]],13,10),"")</f>
        <v/>
      </c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6">
        <v>45898</v>
      </c>
      <c r="N3802" s="137"/>
      <c r="O3802" s="137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69</v>
      </c>
      <c r="R3802" s="136" t="s">
        <v>1013</v>
      </c>
      <c r="S3802" s="129"/>
    </row>
    <row r="3803" spans="1:19" hidden="1">
      <c r="A3803" s="138" t="s">
        <v>6106</v>
      </c>
      <c r="B3803" s="149" t="str">
        <f>IFERROR(VLOOKUP(Proc[[#This Row],[App]],Table2[],3,0),"open")</f>
        <v>ok</v>
      </c>
      <c r="C3803" s="138" t="s">
        <v>369</v>
      </c>
      <c r="D3803" t="s">
        <v>6108</v>
      </c>
      <c r="E3803" t="s">
        <v>555</v>
      </c>
      <c r="F3803" s="129" t="s">
        <v>555</v>
      </c>
      <c r="G3803" s="138" t="s">
        <v>400</v>
      </c>
      <c r="H3803" s="129" t="str">
        <f>IF(Proc[[#This Row],[type]]="LFF (MDG-F)",MID(Proc[[#This Row],[Obj]],13,10),"")</f>
        <v/>
      </c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6">
        <v>45898</v>
      </c>
      <c r="N3803" s="137"/>
      <c r="O3803" s="137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69</v>
      </c>
      <c r="R3803" s="136" t="s">
        <v>1013</v>
      </c>
      <c r="S3803" s="129"/>
    </row>
    <row r="3804" spans="1:19" hidden="1">
      <c r="A3804" s="138" t="s">
        <v>6106</v>
      </c>
      <c r="B3804" s="149" t="str">
        <f>IFERROR(VLOOKUP(Proc[[#This Row],[App]],Table2[],3,0),"open")</f>
        <v>ok</v>
      </c>
      <c r="C3804" s="138" t="s">
        <v>369</v>
      </c>
      <c r="D3804" t="s">
        <v>6109</v>
      </c>
      <c r="E3804" t="s">
        <v>1012</v>
      </c>
      <c r="F3804" s="129" t="s">
        <v>1012</v>
      </c>
      <c r="G3804" s="138" t="s">
        <v>400</v>
      </c>
      <c r="H3804" s="129" t="str">
        <f>IF(Proc[[#This Row],[type]]="LFF (MDG-F)",MID(Proc[[#This Row],[Obj]],13,10),"")</f>
        <v/>
      </c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6">
        <v>45898</v>
      </c>
      <c r="N3804" s="137"/>
      <c r="O3804" s="137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69</v>
      </c>
      <c r="R3804" s="136" t="s">
        <v>1013</v>
      </c>
      <c r="S3804" s="129"/>
    </row>
    <row r="3805" spans="1:19" hidden="1">
      <c r="A3805" s="138" t="s">
        <v>6106</v>
      </c>
      <c r="B3805" s="149" t="str">
        <f>IFERROR(VLOOKUP(Proc[[#This Row],[App]],Table2[],3,0),"open")</f>
        <v>ok</v>
      </c>
      <c r="C3805" s="138" t="s">
        <v>369</v>
      </c>
      <c r="D3805" t="s">
        <v>6110</v>
      </c>
      <c r="E3805" t="s">
        <v>555</v>
      </c>
      <c r="F3805" s="129" t="s">
        <v>555</v>
      </c>
      <c r="G3805" s="138" t="s">
        <v>400</v>
      </c>
      <c r="H3805" s="129" t="str">
        <f>IF(Proc[[#This Row],[type]]="LFF (MDG-F)",MID(Proc[[#This Row],[Obj]],13,10),"")</f>
        <v/>
      </c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6">
        <v>45898</v>
      </c>
      <c r="N3805" s="137"/>
      <c r="O3805" s="137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69</v>
      </c>
      <c r="R3805" s="136" t="s">
        <v>1013</v>
      </c>
      <c r="S3805" s="129"/>
    </row>
    <row r="3806" spans="1:19" hidden="1">
      <c r="A3806" s="138" t="s">
        <v>6106</v>
      </c>
      <c r="B3806" s="149" t="str">
        <f>IFERROR(VLOOKUP(Proc[[#This Row],[App]],Table2[],3,0),"open")</f>
        <v>ok</v>
      </c>
      <c r="C3806" s="138" t="s">
        <v>369</v>
      </c>
      <c r="D3806" t="s">
        <v>6111</v>
      </c>
      <c r="E3806" t="s">
        <v>1012</v>
      </c>
      <c r="F3806" s="129" t="s">
        <v>1012</v>
      </c>
      <c r="G3806" s="138" t="s">
        <v>400</v>
      </c>
      <c r="H3806" s="129" t="str">
        <f>IF(Proc[[#This Row],[type]]="LFF (MDG-F)",MID(Proc[[#This Row],[Obj]],13,10),"")</f>
        <v/>
      </c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6">
        <v>45898</v>
      </c>
      <c r="N3806" s="137"/>
      <c r="O3806" s="137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69</v>
      </c>
      <c r="R3806" s="136" t="s">
        <v>1013</v>
      </c>
      <c r="S3806" s="129"/>
    </row>
    <row r="3807" spans="1:19" hidden="1">
      <c r="A3807" s="138" t="s">
        <v>6106</v>
      </c>
      <c r="B3807" s="149" t="str">
        <f>IFERROR(VLOOKUP(Proc[[#This Row],[App]],Table2[],3,0),"open")</f>
        <v>ok</v>
      </c>
      <c r="C3807" s="138" t="s">
        <v>369</v>
      </c>
      <c r="D3807" t="s">
        <v>6112</v>
      </c>
      <c r="E3807" t="s">
        <v>555</v>
      </c>
      <c r="F3807" s="129" t="s">
        <v>555</v>
      </c>
      <c r="G3807" s="138" t="s">
        <v>400</v>
      </c>
      <c r="H3807" s="129" t="str">
        <f>IF(Proc[[#This Row],[type]]="LFF (MDG-F)",MID(Proc[[#This Row],[Obj]],13,10),"")</f>
        <v/>
      </c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6">
        <v>45898</v>
      </c>
      <c r="N3807" s="137"/>
      <c r="O3807" s="137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69</v>
      </c>
      <c r="R3807" s="136" t="s">
        <v>1013</v>
      </c>
      <c r="S3807" s="129"/>
    </row>
    <row r="3808" spans="1:19" hidden="1">
      <c r="A3808" s="138" t="s">
        <v>6106</v>
      </c>
      <c r="B3808" s="149" t="str">
        <f>IFERROR(VLOOKUP(Proc[[#This Row],[App]],Table2[],3,0),"open")</f>
        <v>ok</v>
      </c>
      <c r="C3808" s="138" t="s">
        <v>369</v>
      </c>
      <c r="D3808" t="s">
        <v>6113</v>
      </c>
      <c r="E3808" t="s">
        <v>555</v>
      </c>
      <c r="F3808" s="129" t="s">
        <v>555</v>
      </c>
      <c r="G3808" s="138" t="s">
        <v>400</v>
      </c>
      <c r="H3808" s="129" t="str">
        <f>IF(Proc[[#This Row],[type]]="LFF (MDG-F)",MID(Proc[[#This Row],[Obj]],13,10),"")</f>
        <v/>
      </c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6">
        <v>45898</v>
      </c>
      <c r="N3808" s="137"/>
      <c r="O3808" s="137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69</v>
      </c>
      <c r="R3808" s="136" t="s">
        <v>1013</v>
      </c>
      <c r="S3808" s="129"/>
    </row>
    <row r="3809" spans="1:19" hidden="1">
      <c r="A3809" s="138" t="s">
        <v>6106</v>
      </c>
      <c r="B3809" s="149" t="str">
        <f>IFERROR(VLOOKUP(Proc[[#This Row],[App]],Table2[],3,0),"open")</f>
        <v>ok</v>
      </c>
      <c r="C3809" s="138" t="s">
        <v>369</v>
      </c>
      <c r="D3809" t="s">
        <v>6114</v>
      </c>
      <c r="E3809" t="s">
        <v>1012</v>
      </c>
      <c r="F3809" s="129" t="s">
        <v>1012</v>
      </c>
      <c r="G3809" s="138" t="s">
        <v>400</v>
      </c>
      <c r="H3809" s="129" t="str">
        <f>IF(Proc[[#This Row],[type]]="LFF (MDG-F)",MID(Proc[[#This Row],[Obj]],13,10),"")</f>
        <v/>
      </c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6">
        <v>45898</v>
      </c>
      <c r="N3809" s="137"/>
      <c r="O3809" s="137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69</v>
      </c>
      <c r="R3809" s="136" t="s">
        <v>1013</v>
      </c>
      <c r="S3809" s="129"/>
    </row>
    <row r="3810" spans="1:19" hidden="1">
      <c r="A3810" s="138" t="s">
        <v>6106</v>
      </c>
      <c r="B3810" s="149" t="str">
        <f>IFERROR(VLOOKUP(Proc[[#This Row],[App]],Table2[],3,0),"open")</f>
        <v>ok</v>
      </c>
      <c r="C3810" s="138" t="s">
        <v>369</v>
      </c>
      <c r="D3810" t="s">
        <v>6115</v>
      </c>
      <c r="E3810" t="s">
        <v>556</v>
      </c>
      <c r="F3810" s="129" t="s">
        <v>556</v>
      </c>
      <c r="G3810" s="138" t="s">
        <v>400</v>
      </c>
      <c r="H3810" s="129" t="str">
        <f>IF(Proc[[#This Row],[type]]="LFF (MDG-F)",MID(Proc[[#This Row],[Obj]],13,10),"")</f>
        <v/>
      </c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6">
        <v>45898</v>
      </c>
      <c r="N3810" s="137"/>
      <c r="O3810" s="137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69</v>
      </c>
      <c r="R3810" s="136" t="s">
        <v>1013</v>
      </c>
      <c r="S3810" s="129"/>
    </row>
    <row r="3811" spans="1:19" hidden="1">
      <c r="A3811" s="138" t="s">
        <v>6106</v>
      </c>
      <c r="B3811" s="149" t="str">
        <f>IFERROR(VLOOKUP(Proc[[#This Row],[App]],Table2[],3,0),"open")</f>
        <v>ok</v>
      </c>
      <c r="C3811" s="138" t="s">
        <v>369</v>
      </c>
      <c r="D3811" t="s">
        <v>6116</v>
      </c>
      <c r="E3811" t="s">
        <v>1012</v>
      </c>
      <c r="F3811" s="129" t="s">
        <v>1012</v>
      </c>
      <c r="G3811" s="138" t="s">
        <v>400</v>
      </c>
      <c r="H3811" s="129" t="str">
        <f>IF(Proc[[#This Row],[type]]="LFF (MDG-F)",MID(Proc[[#This Row],[Obj]],13,10),"")</f>
        <v/>
      </c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6">
        <v>45898</v>
      </c>
      <c r="N3811" s="137"/>
      <c r="O3811" s="137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69</v>
      </c>
      <c r="R3811" s="136" t="s">
        <v>1013</v>
      </c>
      <c r="S3811" s="129"/>
    </row>
    <row r="3812" spans="1:19" hidden="1">
      <c r="A3812" s="138" t="s">
        <v>6106</v>
      </c>
      <c r="B3812" s="149" t="str">
        <f>IFERROR(VLOOKUP(Proc[[#This Row],[App]],Table2[],3,0),"open")</f>
        <v>ok</v>
      </c>
      <c r="C3812" s="138" t="s">
        <v>369</v>
      </c>
      <c r="D3812" t="s">
        <v>6117</v>
      </c>
      <c r="E3812" t="s">
        <v>1012</v>
      </c>
      <c r="F3812" s="129" t="s">
        <v>1012</v>
      </c>
      <c r="G3812" s="138" t="s">
        <v>400</v>
      </c>
      <c r="H3812" s="129" t="str">
        <f>IF(Proc[[#This Row],[type]]="LFF (MDG-F)",MID(Proc[[#This Row],[Obj]],13,10),"")</f>
        <v/>
      </c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6">
        <v>45898</v>
      </c>
      <c r="N3812" s="137"/>
      <c r="O3812" s="137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69</v>
      </c>
      <c r="R3812" s="136" t="s">
        <v>1013</v>
      </c>
      <c r="S3812" s="129"/>
    </row>
    <row r="3813" spans="1:19" hidden="1">
      <c r="A3813" s="138" t="s">
        <v>6106</v>
      </c>
      <c r="B3813" s="149" t="str">
        <f>IFERROR(VLOOKUP(Proc[[#This Row],[App]],Table2[],3,0),"open")</f>
        <v>ok</v>
      </c>
      <c r="C3813" s="138" t="s">
        <v>369</v>
      </c>
      <c r="D3813" t="s">
        <v>6118</v>
      </c>
      <c r="E3813" t="s">
        <v>1012</v>
      </c>
      <c r="F3813" s="129" t="s">
        <v>1012</v>
      </c>
      <c r="G3813" s="138" t="s">
        <v>400</v>
      </c>
      <c r="H3813" s="129" t="str">
        <f>IF(Proc[[#This Row],[type]]="LFF (MDG-F)",MID(Proc[[#This Row],[Obj]],13,10),"")</f>
        <v/>
      </c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6">
        <v>45898</v>
      </c>
      <c r="N3813" s="137"/>
      <c r="O3813" s="137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69</v>
      </c>
      <c r="R3813" s="136" t="s">
        <v>1013</v>
      </c>
      <c r="S3813" s="129"/>
    </row>
    <row r="3814" spans="1:19" hidden="1">
      <c r="A3814" s="138" t="s">
        <v>6106</v>
      </c>
      <c r="B3814" s="149" t="str">
        <f>IFERROR(VLOOKUP(Proc[[#This Row],[App]],Table2[],3,0),"open")</f>
        <v>ok</v>
      </c>
      <c r="C3814" s="138" t="s">
        <v>369</v>
      </c>
      <c r="D3814" t="s">
        <v>6119</v>
      </c>
      <c r="E3814" t="s">
        <v>555</v>
      </c>
      <c r="F3814" s="129" t="s">
        <v>555</v>
      </c>
      <c r="G3814" s="138" t="s">
        <v>400</v>
      </c>
      <c r="H3814" s="129" t="str">
        <f>IF(Proc[[#This Row],[type]]="LFF (MDG-F)",MID(Proc[[#This Row],[Obj]],13,10),"")</f>
        <v/>
      </c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6">
        <v>45898</v>
      </c>
      <c r="N3814" s="137"/>
      <c r="O3814" s="137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69</v>
      </c>
      <c r="R3814" s="136" t="s">
        <v>1013</v>
      </c>
      <c r="S3814" s="129"/>
    </row>
    <row r="3815" spans="1:19" hidden="1">
      <c r="A3815" s="138" t="s">
        <v>6106</v>
      </c>
      <c r="B3815" s="149" t="str">
        <f>IFERROR(VLOOKUP(Proc[[#This Row],[App]],Table2[],3,0),"open")</f>
        <v>ok</v>
      </c>
      <c r="C3815" s="138" t="s">
        <v>369</v>
      </c>
      <c r="D3815" t="s">
        <v>6120</v>
      </c>
      <c r="E3815" t="s">
        <v>554</v>
      </c>
      <c r="F3815" s="129" t="s">
        <v>554</v>
      </c>
      <c r="G3815" s="138" t="s">
        <v>400</v>
      </c>
      <c r="H3815" s="129" t="str">
        <f>IF(Proc[[#This Row],[type]]="LFF (MDG-F)",MID(Proc[[#This Row],[Obj]],13,10),"")</f>
        <v/>
      </c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6">
        <v>45898</v>
      </c>
      <c r="N3815" s="137"/>
      <c r="O3815" s="137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69</v>
      </c>
      <c r="R3815" s="136" t="s">
        <v>1013</v>
      </c>
      <c r="S3815" s="129"/>
    </row>
    <row r="3816" spans="1:19" hidden="1">
      <c r="A3816" s="138" t="s">
        <v>6106</v>
      </c>
      <c r="B3816" s="149" t="str">
        <f>IFERROR(VLOOKUP(Proc[[#This Row],[App]],Table2[],3,0),"open")</f>
        <v>ok</v>
      </c>
      <c r="C3816" s="138" t="s">
        <v>369</v>
      </c>
      <c r="D3816" t="s">
        <v>6121</v>
      </c>
      <c r="E3816" t="s">
        <v>554</v>
      </c>
      <c r="F3816" s="129" t="s">
        <v>554</v>
      </c>
      <c r="G3816" s="138" t="s">
        <v>400</v>
      </c>
      <c r="H3816" s="129" t="str">
        <f>IF(Proc[[#This Row],[type]]="LFF (MDG-F)",MID(Proc[[#This Row],[Obj]],13,10),"")</f>
        <v/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6">
        <v>45898</v>
      </c>
      <c r="N3816" s="137"/>
      <c r="O3816" s="137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69</v>
      </c>
      <c r="R3816" s="136" t="s">
        <v>1013</v>
      </c>
      <c r="S3816" s="129"/>
    </row>
    <row r="3817" spans="1:19" hidden="1">
      <c r="A3817" s="138" t="s">
        <v>6106</v>
      </c>
      <c r="B3817" s="149" t="str">
        <f>IFERROR(VLOOKUP(Proc[[#This Row],[App]],Table2[],3,0),"open")</f>
        <v>ok</v>
      </c>
      <c r="C3817" s="138" t="s">
        <v>369</v>
      </c>
      <c r="D3817" t="s">
        <v>6122</v>
      </c>
      <c r="E3817" t="s">
        <v>554</v>
      </c>
      <c r="F3817" s="129" t="s">
        <v>554</v>
      </c>
      <c r="G3817" s="138" t="s">
        <v>400</v>
      </c>
      <c r="H3817" s="129" t="str">
        <f>IF(Proc[[#This Row],[type]]="LFF (MDG-F)",MID(Proc[[#This Row],[Obj]],13,10),"")</f>
        <v/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6">
        <v>45898</v>
      </c>
      <c r="N3817" s="137"/>
      <c r="O3817" s="137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69</v>
      </c>
      <c r="R3817" s="136" t="s">
        <v>1013</v>
      </c>
      <c r="S3817" s="129"/>
    </row>
    <row r="3818" spans="1:19" hidden="1">
      <c r="A3818" s="138" t="s">
        <v>6106</v>
      </c>
      <c r="B3818" s="149" t="str">
        <f>IFERROR(VLOOKUP(Proc[[#This Row],[App]],Table2[],3,0),"open")</f>
        <v>ok</v>
      </c>
      <c r="C3818" s="138" t="s">
        <v>369</v>
      </c>
      <c r="D3818" t="s">
        <v>6123</v>
      </c>
      <c r="E3818" t="s">
        <v>557</v>
      </c>
      <c r="F3818" s="129" t="s">
        <v>557</v>
      </c>
      <c r="G3818" s="138" t="s">
        <v>400</v>
      </c>
      <c r="H3818" s="129" t="str">
        <f>IF(Proc[[#This Row],[type]]="LFF (MDG-F)",MID(Proc[[#This Row],[Obj]],13,10),"")</f>
        <v/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HC</v>
      </c>
      <c r="L3818" s="129" t="s">
        <v>4894</v>
      </c>
      <c r="M3818" s="136">
        <v>45898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69</v>
      </c>
      <c r="R3818" s="136" t="s">
        <v>1013</v>
      </c>
      <c r="S3818" s="129"/>
    </row>
    <row r="3819" spans="1:19" hidden="1">
      <c r="A3819" s="138" t="s">
        <v>6106</v>
      </c>
      <c r="B3819" s="149" t="str">
        <f>IFERROR(VLOOKUP(Proc[[#This Row],[App]],Table2[],3,0),"open")</f>
        <v>ok</v>
      </c>
      <c r="C3819" s="138" t="s">
        <v>369</v>
      </c>
      <c r="D3819" t="s">
        <v>6124</v>
      </c>
      <c r="E3819" t="s">
        <v>557</v>
      </c>
      <c r="F3819" s="129" t="s">
        <v>557</v>
      </c>
      <c r="G3819" s="138" t="s">
        <v>400</v>
      </c>
      <c r="H3819" s="129" t="str">
        <f>IF(Proc[[#This Row],[type]]="LFF (MDG-F)",MID(Proc[[#This Row],[Obj]],13,10),"")</f>
        <v/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HC</v>
      </c>
      <c r="L3819" s="129" t="s">
        <v>4894</v>
      </c>
      <c r="M3819" s="136">
        <v>45898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69</v>
      </c>
      <c r="R3819" s="136" t="s">
        <v>1013</v>
      </c>
      <c r="S3819" s="129"/>
    </row>
    <row r="3820" spans="1:19" hidden="1">
      <c r="A3820" s="138" t="s">
        <v>6106</v>
      </c>
      <c r="B3820" s="149" t="str">
        <f>IFERROR(VLOOKUP(Proc[[#This Row],[App]],Table2[],3,0),"open")</f>
        <v>ok</v>
      </c>
      <c r="C3820" s="138" t="s">
        <v>369</v>
      </c>
      <c r="D3820" t="s">
        <v>6125</v>
      </c>
      <c r="E3820" t="s">
        <v>543</v>
      </c>
      <c r="F3820" s="129" t="s">
        <v>543</v>
      </c>
      <c r="G3820" s="138" t="s">
        <v>400</v>
      </c>
      <c r="H3820" s="129" t="str">
        <f>IF(Proc[[#This Row],[type]]="LFF (MDG-F)",MID(Proc[[#This Row],[Obj]],13,10),"")</f>
        <v/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HC</v>
      </c>
      <c r="L3820" s="129" t="s">
        <v>4894</v>
      </c>
      <c r="M3820" s="136">
        <v>45898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69</v>
      </c>
      <c r="R3820" s="136" t="s">
        <v>1013</v>
      </c>
      <c r="S3820" s="129"/>
    </row>
    <row r="3821" spans="1:19" hidden="1">
      <c r="A3821" s="138" t="s">
        <v>6106</v>
      </c>
      <c r="B3821" s="149" t="str">
        <f>IFERROR(VLOOKUP(Proc[[#This Row],[App]],Table2[],3,0),"open")</f>
        <v>ok</v>
      </c>
      <c r="C3821" s="138" t="s">
        <v>369</v>
      </c>
      <c r="D3821" t="s">
        <v>6126</v>
      </c>
      <c r="E3821" t="s">
        <v>1012</v>
      </c>
      <c r="F3821" s="129" t="s">
        <v>1012</v>
      </c>
      <c r="G3821" s="138" t="s">
        <v>400</v>
      </c>
      <c r="H3821" s="129" t="str">
        <f>IF(Proc[[#This Row],[type]]="LFF (MDG-F)",MID(Proc[[#This Row],[Obj]],13,10),"")</f>
        <v/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HC</v>
      </c>
      <c r="L3821" s="129" t="s">
        <v>4894</v>
      </c>
      <c r="M3821" s="136">
        <v>45898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69</v>
      </c>
      <c r="R3821" s="136" t="s">
        <v>1013</v>
      </c>
      <c r="S3821" s="129"/>
    </row>
    <row r="3822" spans="1:19" hidden="1">
      <c r="A3822" s="138" t="s">
        <v>6106</v>
      </c>
      <c r="B3822" s="149" t="str">
        <f>IFERROR(VLOOKUP(Proc[[#This Row],[App]],Table2[],3,0),"open")</f>
        <v>ok</v>
      </c>
      <c r="C3822" s="138" t="s">
        <v>369</v>
      </c>
      <c r="D3822" t="s">
        <v>6127</v>
      </c>
      <c r="E3822" t="s">
        <v>1012</v>
      </c>
      <c r="F3822" s="129" t="s">
        <v>1012</v>
      </c>
      <c r="G3822" s="138" t="s">
        <v>400</v>
      </c>
      <c r="H3822" s="129" t="str">
        <f>IF(Proc[[#This Row],[type]]="LFF (MDG-F)",MID(Proc[[#This Row],[Obj]],13,10),"")</f>
        <v/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HC</v>
      </c>
      <c r="L3822" s="129" t="s">
        <v>4894</v>
      </c>
      <c r="M3822" s="136">
        <v>45898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69</v>
      </c>
      <c r="R3822" s="136" t="s">
        <v>1013</v>
      </c>
      <c r="S3822" s="129"/>
    </row>
    <row r="3823" spans="1:19" hidden="1">
      <c r="A3823" s="138" t="s">
        <v>6106</v>
      </c>
      <c r="B3823" s="149" t="str">
        <f>IFERROR(VLOOKUP(Proc[[#This Row],[App]],Table2[],3,0),"open")</f>
        <v>ok</v>
      </c>
      <c r="C3823" s="138" t="s">
        <v>369</v>
      </c>
      <c r="D3823" t="s">
        <v>6128</v>
      </c>
      <c r="E3823" t="s">
        <v>1012</v>
      </c>
      <c r="F3823" s="129" t="s">
        <v>1012</v>
      </c>
      <c r="G3823" s="138" t="s">
        <v>400</v>
      </c>
      <c r="H3823" s="129" t="str">
        <f>IF(Proc[[#This Row],[type]]="LFF (MDG-F)",MID(Proc[[#This Row],[Obj]],13,10),"")</f>
        <v/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HC</v>
      </c>
      <c r="L3823" s="129" t="s">
        <v>4894</v>
      </c>
      <c r="M3823" s="136">
        <v>45898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69</v>
      </c>
      <c r="R3823" s="136" t="s">
        <v>1013</v>
      </c>
      <c r="S3823" s="129"/>
    </row>
    <row r="3824" spans="1:19" hidden="1">
      <c r="A3824" s="138" t="s">
        <v>6106</v>
      </c>
      <c r="B3824" s="149" t="str">
        <f>IFERROR(VLOOKUP(Proc[[#This Row],[App]],Table2[],3,0),"open")</f>
        <v>ok</v>
      </c>
      <c r="C3824" s="138" t="s">
        <v>369</v>
      </c>
      <c r="D3824" t="s">
        <v>6129</v>
      </c>
      <c r="E3824" t="s">
        <v>554</v>
      </c>
      <c r="F3824" s="129" t="s">
        <v>554</v>
      </c>
      <c r="G3824" s="138" t="s">
        <v>400</v>
      </c>
      <c r="H3824" s="129" t="str">
        <f>IF(Proc[[#This Row],[type]]="LFF (MDG-F)",MID(Proc[[#This Row],[Obj]],13,10),"")</f>
        <v/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HC</v>
      </c>
      <c r="L3824" s="129" t="s">
        <v>4894</v>
      </c>
      <c r="M3824" s="136">
        <v>45898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69</v>
      </c>
      <c r="R3824" s="136" t="s">
        <v>1013</v>
      </c>
      <c r="S3824" s="129"/>
    </row>
    <row r="3825" spans="1:19" hidden="1">
      <c r="A3825" s="138" t="s">
        <v>6106</v>
      </c>
      <c r="B3825" s="149" t="str">
        <f>IFERROR(VLOOKUP(Proc[[#This Row],[App]],Table2[],3,0),"open")</f>
        <v>ok</v>
      </c>
      <c r="C3825" s="138" t="s">
        <v>369</v>
      </c>
      <c r="D3825" t="s">
        <v>6130</v>
      </c>
      <c r="E3825" t="s">
        <v>555</v>
      </c>
      <c r="F3825" s="129" t="s">
        <v>555</v>
      </c>
      <c r="G3825" s="138" t="s">
        <v>400</v>
      </c>
      <c r="H3825" s="129" t="str">
        <f>IF(Proc[[#This Row],[type]]="LFF (MDG-F)",MID(Proc[[#This Row],[Obj]],13,10),"")</f>
        <v/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HC</v>
      </c>
      <c r="L3825" s="129" t="s">
        <v>4894</v>
      </c>
      <c r="M3825" s="136">
        <v>45898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69</v>
      </c>
      <c r="R3825" s="136" t="s">
        <v>1013</v>
      </c>
      <c r="S3825" s="129"/>
    </row>
    <row r="3826" spans="1:19" hidden="1">
      <c r="A3826" s="138" t="s">
        <v>6106</v>
      </c>
      <c r="B3826" s="149" t="str">
        <f>IFERROR(VLOOKUP(Proc[[#This Row],[App]],Table2[],3,0),"open")</f>
        <v>ok</v>
      </c>
      <c r="C3826" s="138" t="s">
        <v>369</v>
      </c>
      <c r="D3826" t="s">
        <v>6131</v>
      </c>
      <c r="E3826" t="s">
        <v>557</v>
      </c>
      <c r="F3826" s="129" t="s">
        <v>557</v>
      </c>
      <c r="G3826" s="138" t="s">
        <v>400</v>
      </c>
      <c r="H3826" s="129" t="str">
        <f>IF(Proc[[#This Row],[type]]="LFF (MDG-F)",MID(Proc[[#This Row],[Obj]],13,10),"")</f>
        <v/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HC</v>
      </c>
      <c r="L3826" s="129" t="s">
        <v>4894</v>
      </c>
      <c r="M3826" s="136">
        <v>45898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69</v>
      </c>
      <c r="R3826" s="136" t="s">
        <v>1013</v>
      </c>
      <c r="S3826" s="129"/>
    </row>
    <row r="3827" spans="1:19" hidden="1">
      <c r="A3827" s="138" t="s">
        <v>6106</v>
      </c>
      <c r="B3827" s="149" t="str">
        <f>IFERROR(VLOOKUP(Proc[[#This Row],[App]],Table2[],3,0),"open")</f>
        <v>ok</v>
      </c>
      <c r="C3827" s="138" t="s">
        <v>369</v>
      </c>
      <c r="D3827" t="s">
        <v>6132</v>
      </c>
      <c r="E3827" t="s">
        <v>543</v>
      </c>
      <c r="F3827" s="129" t="s">
        <v>543</v>
      </c>
      <c r="G3827" s="138" t="s">
        <v>400</v>
      </c>
      <c r="H3827" s="129" t="str">
        <f>IF(Proc[[#This Row],[type]]="LFF (MDG-F)",MID(Proc[[#This Row],[Obj]],13,10),"")</f>
        <v/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HC</v>
      </c>
      <c r="L3827" s="129" t="s">
        <v>4894</v>
      </c>
      <c r="M3827" s="136">
        <v>45898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69</v>
      </c>
      <c r="R3827" s="136" t="s">
        <v>1013</v>
      </c>
      <c r="S3827" s="129"/>
    </row>
    <row r="3828" spans="1:19" hidden="1">
      <c r="A3828" s="138" t="s">
        <v>6106</v>
      </c>
      <c r="B3828" s="149" t="str">
        <f>IFERROR(VLOOKUP(Proc[[#This Row],[App]],Table2[],3,0),"open")</f>
        <v>ok</v>
      </c>
      <c r="C3828" s="138" t="s">
        <v>369</v>
      </c>
      <c r="D3828" t="s">
        <v>6133</v>
      </c>
      <c r="E3828" t="s">
        <v>1012</v>
      </c>
      <c r="F3828" s="129" t="s">
        <v>1012</v>
      </c>
      <c r="G3828" s="138" t="s">
        <v>400</v>
      </c>
      <c r="H3828" s="129" t="str">
        <f>IF(Proc[[#This Row],[type]]="LFF (MDG-F)",MID(Proc[[#This Row],[Obj]],13,10),"")</f>
        <v/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HC</v>
      </c>
      <c r="L3828" s="129" t="s">
        <v>4894</v>
      </c>
      <c r="M3828" s="136">
        <v>45898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69</v>
      </c>
      <c r="R3828" s="136" t="s">
        <v>1013</v>
      </c>
      <c r="S3828" s="129"/>
    </row>
    <row r="3829" spans="1:19" hidden="1">
      <c r="A3829" s="138" t="s">
        <v>6106</v>
      </c>
      <c r="B3829" s="149" t="str">
        <f>IFERROR(VLOOKUP(Proc[[#This Row],[App]],Table2[],3,0),"open")</f>
        <v>ok</v>
      </c>
      <c r="C3829" s="138" t="s">
        <v>369</v>
      </c>
      <c r="D3829" t="s">
        <v>6134</v>
      </c>
      <c r="E3829" t="s">
        <v>1012</v>
      </c>
      <c r="F3829" s="129" t="s">
        <v>1012</v>
      </c>
      <c r="G3829" s="138" t="s">
        <v>400</v>
      </c>
      <c r="H3829" s="129" t="str">
        <f>IF(Proc[[#This Row],[type]]="LFF (MDG-F)",MID(Proc[[#This Row],[Obj]],13,10),"")</f>
        <v/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HC</v>
      </c>
      <c r="L3829" s="129" t="s">
        <v>4894</v>
      </c>
      <c r="M3829" s="136">
        <v>45898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69</v>
      </c>
      <c r="R3829" s="136" t="s">
        <v>1013</v>
      </c>
      <c r="S3829" s="129"/>
    </row>
    <row r="3830" spans="1:19" hidden="1">
      <c r="A3830" s="138" t="s">
        <v>6106</v>
      </c>
      <c r="B3830" s="149" t="str">
        <f>IFERROR(VLOOKUP(Proc[[#This Row],[App]],Table2[],3,0),"open")</f>
        <v>ok</v>
      </c>
      <c r="C3830" s="138" t="s">
        <v>369</v>
      </c>
      <c r="D3830" t="s">
        <v>6135</v>
      </c>
      <c r="E3830" t="s">
        <v>555</v>
      </c>
      <c r="F3830" s="129" t="s">
        <v>555</v>
      </c>
      <c r="G3830" s="138" t="s">
        <v>400</v>
      </c>
      <c r="H3830" s="129" t="str">
        <f>IF(Proc[[#This Row],[type]]="LFF (MDG-F)",MID(Proc[[#This Row],[Obj]],13,10),"")</f>
        <v/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HC</v>
      </c>
      <c r="L3830" s="129" t="s">
        <v>4894</v>
      </c>
      <c r="M3830" s="136">
        <v>45898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69</v>
      </c>
      <c r="R3830" s="136" t="s">
        <v>1013</v>
      </c>
      <c r="S3830" s="129"/>
    </row>
    <row r="3831" spans="1:19" hidden="1">
      <c r="A3831" s="138" t="s">
        <v>6106</v>
      </c>
      <c r="B3831" s="149" t="str">
        <f>IFERROR(VLOOKUP(Proc[[#This Row],[App]],Table2[],3,0),"open")</f>
        <v>ok</v>
      </c>
      <c r="C3831" s="138" t="s">
        <v>369</v>
      </c>
      <c r="D3831" t="s">
        <v>6136</v>
      </c>
      <c r="E3831" t="s">
        <v>555</v>
      </c>
      <c r="F3831" s="129" t="s">
        <v>555</v>
      </c>
      <c r="G3831" s="138" t="s">
        <v>400</v>
      </c>
      <c r="H3831" s="129" t="str">
        <f>IF(Proc[[#This Row],[type]]="LFF (MDG-F)",MID(Proc[[#This Row],[Obj]],13,10),"")</f>
        <v/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HC</v>
      </c>
      <c r="L3831" s="129" t="s">
        <v>4894</v>
      </c>
      <c r="M3831" s="136">
        <v>45898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69</v>
      </c>
      <c r="R3831" s="136" t="s">
        <v>1013</v>
      </c>
      <c r="S3831" s="129"/>
    </row>
    <row r="3832" spans="1:19" hidden="1">
      <c r="A3832" s="138" t="s">
        <v>6106</v>
      </c>
      <c r="B3832" s="149" t="str">
        <f>IFERROR(VLOOKUP(Proc[[#This Row],[App]],Table2[],3,0),"open")</f>
        <v>ok</v>
      </c>
      <c r="C3832" s="138" t="s">
        <v>369</v>
      </c>
      <c r="D3832" t="s">
        <v>6137</v>
      </c>
      <c r="E3832" t="s">
        <v>1012</v>
      </c>
      <c r="F3832" s="129" t="s">
        <v>1012</v>
      </c>
      <c r="G3832" s="138" t="s">
        <v>400</v>
      </c>
      <c r="H3832" s="129" t="str">
        <f>IF(Proc[[#This Row],[type]]="LFF (MDG-F)",MID(Proc[[#This Row],[Obj]],13,10),"")</f>
        <v/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HC</v>
      </c>
      <c r="L3832" s="129" t="s">
        <v>4894</v>
      </c>
      <c r="M3832" s="136">
        <v>45898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69</v>
      </c>
      <c r="R3832" s="136" t="s">
        <v>1013</v>
      </c>
      <c r="S3832" s="129"/>
    </row>
    <row r="3833" spans="1:19" hidden="1">
      <c r="A3833" s="138" t="s">
        <v>6106</v>
      </c>
      <c r="B3833" s="149" t="str">
        <f>IFERROR(VLOOKUP(Proc[[#This Row],[App]],Table2[],3,0),"open")</f>
        <v>ok</v>
      </c>
      <c r="C3833" s="138" t="s">
        <v>369</v>
      </c>
      <c r="D3833" t="s">
        <v>6138</v>
      </c>
      <c r="E3833" t="s">
        <v>6146</v>
      </c>
      <c r="F3833" s="129" t="s">
        <v>6146</v>
      </c>
      <c r="G3833" s="138" t="s">
        <v>400</v>
      </c>
      <c r="H3833" s="129" t="str">
        <f>IF(Proc[[#This Row],[type]]="LFF (MDG-F)",MID(Proc[[#This Row],[Obj]],13,10),"")</f>
        <v/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HC</v>
      </c>
      <c r="L3833" s="129" t="s">
        <v>4894</v>
      </c>
      <c r="M3833" s="136">
        <v>45898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69</v>
      </c>
      <c r="R3833" s="136" t="s">
        <v>1013</v>
      </c>
      <c r="S3833" s="129"/>
    </row>
    <row r="3834" spans="1:19" hidden="1">
      <c r="A3834" s="138" t="s">
        <v>6106</v>
      </c>
      <c r="B3834" s="149" t="str">
        <f>IFERROR(VLOOKUP(Proc[[#This Row],[App]],Table2[],3,0),"open")</f>
        <v>ok</v>
      </c>
      <c r="C3834" s="138" t="s">
        <v>369</v>
      </c>
      <c r="D3834" t="s">
        <v>6139</v>
      </c>
      <c r="E3834" t="s">
        <v>6146</v>
      </c>
      <c r="F3834" s="129" t="s">
        <v>6146</v>
      </c>
      <c r="G3834" s="138" t="s">
        <v>400</v>
      </c>
      <c r="H3834" s="129" t="str">
        <f>IF(Proc[[#This Row],[type]]="LFF (MDG-F)",MID(Proc[[#This Row],[Obj]],13,10),"")</f>
        <v/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HC</v>
      </c>
      <c r="L3834" s="129" t="s">
        <v>4894</v>
      </c>
      <c r="M3834" s="136">
        <v>45898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69</v>
      </c>
      <c r="R3834" s="136" t="s">
        <v>1013</v>
      </c>
      <c r="S3834" s="129"/>
    </row>
    <row r="3835" spans="1:19" hidden="1">
      <c r="A3835" s="138" t="s">
        <v>6106</v>
      </c>
      <c r="B3835" s="149" t="str">
        <f>IFERROR(VLOOKUP(Proc[[#This Row],[App]],Table2[],3,0),"open")</f>
        <v>ok</v>
      </c>
      <c r="C3835" s="138" t="s">
        <v>369</v>
      </c>
      <c r="D3835" t="s">
        <v>6140</v>
      </c>
      <c r="E3835" t="s">
        <v>1012</v>
      </c>
      <c r="F3835" s="129" t="s">
        <v>1012</v>
      </c>
      <c r="G3835" s="138" t="s">
        <v>400</v>
      </c>
      <c r="H3835" s="129" t="str">
        <f>IF(Proc[[#This Row],[type]]="LFF (MDG-F)",MID(Proc[[#This Row],[Obj]],13,10),"")</f>
        <v/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HC</v>
      </c>
      <c r="L3835" s="129" t="s">
        <v>4894</v>
      </c>
      <c r="M3835" s="136">
        <v>45898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69</v>
      </c>
      <c r="R3835" s="136" t="s">
        <v>1013</v>
      </c>
      <c r="S3835" s="129"/>
    </row>
    <row r="3836" spans="1:19" hidden="1">
      <c r="A3836" s="138" t="s">
        <v>6106</v>
      </c>
      <c r="B3836" s="149" t="str">
        <f>IFERROR(VLOOKUP(Proc[[#This Row],[App]],Table2[],3,0),"open")</f>
        <v>ok</v>
      </c>
      <c r="C3836" s="138" t="s">
        <v>369</v>
      </c>
      <c r="D3836" t="s">
        <v>6141</v>
      </c>
      <c r="E3836" t="s">
        <v>1012</v>
      </c>
      <c r="F3836" s="129" t="s">
        <v>1012</v>
      </c>
      <c r="G3836" s="138" t="s">
        <v>400</v>
      </c>
      <c r="H3836" s="129" t="str">
        <f>IF(Proc[[#This Row],[type]]="LFF (MDG-F)",MID(Proc[[#This Row],[Obj]],13,10),"")</f>
        <v/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HC</v>
      </c>
      <c r="L3836" s="129" t="s">
        <v>4894</v>
      </c>
      <c r="M3836" s="136">
        <v>45898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69</v>
      </c>
      <c r="R3836" s="136" t="s">
        <v>1013</v>
      </c>
      <c r="S3836" s="129"/>
    </row>
    <row r="3837" spans="1:19" hidden="1">
      <c r="A3837" s="138" t="s">
        <v>6106</v>
      </c>
      <c r="B3837" s="149" t="str">
        <f>IFERROR(VLOOKUP(Proc[[#This Row],[App]],Table2[],3,0),"open")</f>
        <v>ok</v>
      </c>
      <c r="C3837" s="138" t="s">
        <v>369</v>
      </c>
      <c r="D3837" t="s">
        <v>6142</v>
      </c>
      <c r="E3837" t="s">
        <v>1012</v>
      </c>
      <c r="F3837" s="129" t="s">
        <v>1012</v>
      </c>
      <c r="G3837" s="138" t="s">
        <v>400</v>
      </c>
      <c r="H3837" s="129" t="str">
        <f>IF(Proc[[#This Row],[type]]="LFF (MDG-F)",MID(Proc[[#This Row],[Obj]],13,10),"")</f>
        <v/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HC</v>
      </c>
      <c r="L3837" s="129" t="s">
        <v>4894</v>
      </c>
      <c r="M3837" s="136">
        <v>45898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69</v>
      </c>
      <c r="R3837" s="136" t="s">
        <v>1013</v>
      </c>
      <c r="S3837" s="129"/>
    </row>
    <row r="3838" spans="1:19" hidden="1">
      <c r="A3838" s="138" t="s">
        <v>6106</v>
      </c>
      <c r="B3838" s="149" t="str">
        <f>IFERROR(VLOOKUP(Proc[[#This Row],[App]],Table2[],3,0),"open")</f>
        <v>ok</v>
      </c>
      <c r="C3838" s="138" t="s">
        <v>369</v>
      </c>
      <c r="D3838" t="s">
        <v>6143</v>
      </c>
      <c r="E3838" t="s">
        <v>1012</v>
      </c>
      <c r="F3838" s="129" t="s">
        <v>1012</v>
      </c>
      <c r="G3838" s="138" t="s">
        <v>400</v>
      </c>
      <c r="H3838" s="129" t="str">
        <f>IF(Proc[[#This Row],[type]]="LFF (MDG-F)",MID(Proc[[#This Row],[Obj]],13,10),"")</f>
        <v/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HC</v>
      </c>
      <c r="L3838" s="129" t="s">
        <v>4894</v>
      </c>
      <c r="M3838" s="136">
        <v>45898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69</v>
      </c>
      <c r="R3838" s="136" t="s">
        <v>1013</v>
      </c>
      <c r="S3838" s="129"/>
    </row>
    <row r="3839" spans="1:19" hidden="1">
      <c r="A3839" s="138" t="s">
        <v>6106</v>
      </c>
      <c r="B3839" s="149" t="str">
        <f>IFERROR(VLOOKUP(Proc[[#This Row],[App]],Table2[],3,0),"open")</f>
        <v>ok</v>
      </c>
      <c r="C3839" s="138" t="s">
        <v>369</v>
      </c>
      <c r="D3839" t="s">
        <v>6144</v>
      </c>
      <c r="E3839" t="s">
        <v>554</v>
      </c>
      <c r="F3839" s="129" t="s">
        <v>554</v>
      </c>
      <c r="G3839" s="138" t="s">
        <v>400</v>
      </c>
      <c r="H3839" s="129" t="str">
        <f>IF(Proc[[#This Row],[type]]="LFF (MDG-F)",MID(Proc[[#This Row],[Obj]],13,10),"")</f>
        <v/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HC</v>
      </c>
      <c r="L3839" s="129" t="s">
        <v>4894</v>
      </c>
      <c r="M3839" s="136">
        <v>45898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69</v>
      </c>
      <c r="R3839" s="136" t="s">
        <v>1013</v>
      </c>
      <c r="S3839" s="129"/>
    </row>
    <row r="3840" spans="1:19" hidden="1">
      <c r="A3840" s="138" t="s">
        <v>6106</v>
      </c>
      <c r="B3840" s="149" t="str">
        <f>IFERROR(VLOOKUP(Proc[[#This Row],[App]],Table2[],3,0),"open")</f>
        <v>ok</v>
      </c>
      <c r="C3840" s="138" t="s">
        <v>369</v>
      </c>
      <c r="D3840" t="s">
        <v>6145</v>
      </c>
      <c r="E3840" t="s">
        <v>554</v>
      </c>
      <c r="F3840" s="129" t="s">
        <v>554</v>
      </c>
      <c r="G3840" s="138" t="s">
        <v>400</v>
      </c>
      <c r="H3840" s="129" t="str">
        <f>IF(Proc[[#This Row],[type]]="LFF (MDG-F)",MID(Proc[[#This Row],[Obj]],13,10),"")</f>
        <v/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HC</v>
      </c>
      <c r="L3840" s="129" t="s">
        <v>4894</v>
      </c>
      <c r="M3840" s="136">
        <v>45898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69</v>
      </c>
      <c r="R3840" s="136" t="s">
        <v>1013</v>
      </c>
      <c r="S3840" s="129"/>
    </row>
    <row r="3841" spans="1:19" hidden="1">
      <c r="A3841" t="s">
        <v>6147</v>
      </c>
      <c r="B3841" s="149" t="str">
        <f>IFERROR(VLOOKUP(Proc[[#This Row],[App]],Table2[],3,0),"open")</f>
        <v>ok</v>
      </c>
      <c r="C3841" s="139" t="s">
        <v>369</v>
      </c>
      <c r="D3841" t="s">
        <v>6148</v>
      </c>
      <c r="E3841" s="139" t="s">
        <v>3543</v>
      </c>
      <c r="F3841" s="129" t="s">
        <v>3543</v>
      </c>
      <c r="G3841" s="139" t="s">
        <v>400</v>
      </c>
      <c r="H3841" s="129" t="str">
        <f>IF(Proc[[#This Row],[type]]="LFF (MDG-F)",MID(Proc[[#This Row],[Obj]],13,10),"")</f>
        <v/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LS</v>
      </c>
      <c r="L3841" s="129" t="s">
        <v>4894</v>
      </c>
      <c r="M3841" s="136">
        <v>45901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68</v>
      </c>
      <c r="R3841" s="136" t="s">
        <v>1262</v>
      </c>
      <c r="S3841" s="129"/>
    </row>
    <row r="3842" spans="1:19" hidden="1">
      <c r="A3842" t="s">
        <v>6160</v>
      </c>
      <c r="B3842" s="149" t="str">
        <f>IFERROR(VLOOKUP(Proc[[#This Row],[App]],Table2[],3,0),"open")</f>
        <v>ok</v>
      </c>
      <c r="C3842" s="142" t="s">
        <v>369</v>
      </c>
      <c r="D3842" t="s">
        <v>5277</v>
      </c>
      <c r="E3842" t="s">
        <v>6158</v>
      </c>
      <c r="F3842" s="140" t="s">
        <v>6158</v>
      </c>
      <c r="G3842" s="139" t="s">
        <v>406</v>
      </c>
      <c r="H3842" s="140" t="str">
        <f>IF(Proc[[#This Row],[type]]="LFF (MDG-F)",MID(Proc[[#This Row],[Obj]],13,10),"")</f>
        <v>CN90GIT120</v>
      </c>
      <c r="J3842" s="140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MGF</v>
      </c>
      <c r="L3842" s="140" t="s">
        <v>4894</v>
      </c>
      <c r="M3842" s="136">
        <v>45901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68</v>
      </c>
      <c r="R3842" s="136" t="s">
        <v>1459</v>
      </c>
      <c r="S3842" s="140"/>
    </row>
    <row r="3843" spans="1:19" hidden="1">
      <c r="A3843" s="139" t="s">
        <v>6160</v>
      </c>
      <c r="B3843" s="149" t="str">
        <f>IFERROR(VLOOKUP(Proc[[#This Row],[App]],Table2[],3,0),"open")</f>
        <v>ok</v>
      </c>
      <c r="C3843" s="142" t="s">
        <v>369</v>
      </c>
      <c r="D3843" t="s">
        <v>6150</v>
      </c>
      <c r="E3843" t="s">
        <v>4411</v>
      </c>
      <c r="F3843" s="140" t="s">
        <v>4411</v>
      </c>
      <c r="G3843" t="s">
        <v>400</v>
      </c>
      <c r="H3843" s="140" t="str">
        <f>IF(Proc[[#This Row],[type]]="LFF (MDG-F)",MID(Proc[[#This Row],[Obj]],13,10),"")</f>
        <v/>
      </c>
      <c r="J3843" s="140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MGF</v>
      </c>
      <c r="L3843" s="140" t="s">
        <v>4894</v>
      </c>
      <c r="M3843" s="136">
        <v>45901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68</v>
      </c>
      <c r="R3843" s="136" t="s">
        <v>1459</v>
      </c>
      <c r="S3843" s="140"/>
    </row>
    <row r="3844" spans="1:19" hidden="1">
      <c r="A3844" s="139" t="s">
        <v>6160</v>
      </c>
      <c r="B3844" s="149" t="str">
        <f>IFERROR(VLOOKUP(Proc[[#This Row],[App]],Table2[],3,0),"open")</f>
        <v>ok</v>
      </c>
      <c r="C3844" s="142" t="s">
        <v>369</v>
      </c>
      <c r="D3844" t="s">
        <v>6151</v>
      </c>
      <c r="E3844" t="s">
        <v>5452</v>
      </c>
      <c r="F3844" s="140" t="s">
        <v>5452</v>
      </c>
      <c r="G3844" s="139" t="s">
        <v>406</v>
      </c>
      <c r="H3844" s="140" t="str">
        <f>IF(Proc[[#This Row],[type]]="LFF (MDG-F)",MID(Proc[[#This Row],[Obj]],13,10),"")</f>
        <v>AE50GIT02C</v>
      </c>
      <c r="J3844" s="140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MGF</v>
      </c>
      <c r="L3844" s="140" t="s">
        <v>4894</v>
      </c>
      <c r="M3844" s="136">
        <v>45901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68</v>
      </c>
      <c r="R3844" s="136" t="s">
        <v>1459</v>
      </c>
      <c r="S3844" s="140"/>
    </row>
    <row r="3845" spans="1:19" hidden="1">
      <c r="A3845" s="139" t="s">
        <v>6160</v>
      </c>
      <c r="B3845" s="149" t="str">
        <f>IFERROR(VLOOKUP(Proc[[#This Row],[App]],Table2[],3,0),"open")</f>
        <v>ok</v>
      </c>
      <c r="C3845" s="149" t="s">
        <v>377</v>
      </c>
      <c r="D3845" t="s">
        <v>2319</v>
      </c>
      <c r="E3845" t="s">
        <v>430</v>
      </c>
      <c r="F3845" s="150" t="s">
        <v>5569</v>
      </c>
      <c r="G3845" s="139" t="s">
        <v>406</v>
      </c>
      <c r="H3845" s="140" t="str">
        <f>IF(Proc[[#This Row],[type]]="LFF (MDG-F)",MID(Proc[[#This Row],[Obj]],13,10),"")</f>
        <v>DE65GIT032</v>
      </c>
      <c r="I3845" s="149" t="s">
        <v>4832</v>
      </c>
      <c r="J3845" s="140" t="b">
        <f>Proc[[#This Row],[Requested]]=Proc[[#This Row],[CurrentParent]]</f>
        <v>0</v>
      </c>
      <c r="K3845" s="144" t="str">
        <f>IF(Proc[[#This Row],[Author]]="Marcela Urrego",VLOOKUP(LEFT(Proc[[#This Row],[Requested]],1),Table3[#All],2,0),VLOOKUP(Proc[[#This Row],[Author]],Table4[],2,0))</f>
        <v>MGF</v>
      </c>
      <c r="L3845" s="140" t="s">
        <v>4894</v>
      </c>
      <c r="M3845" s="136">
        <v>45901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68</v>
      </c>
      <c r="R3845" s="136" t="s">
        <v>1459</v>
      </c>
      <c r="S3845" s="140"/>
    </row>
    <row r="3846" spans="1:19" hidden="1">
      <c r="A3846" s="139" t="s">
        <v>6160</v>
      </c>
      <c r="B3846" s="149" t="str">
        <f>IFERROR(VLOOKUP(Proc[[#This Row],[App]],Table2[],3,0),"open")</f>
        <v>ok</v>
      </c>
      <c r="C3846" s="149" t="s">
        <v>692</v>
      </c>
      <c r="D3846" t="s">
        <v>6152</v>
      </c>
      <c r="E3846" t="s">
        <v>427</v>
      </c>
      <c r="F3846" s="150" t="s">
        <v>446</v>
      </c>
      <c r="G3846" s="139" t="s">
        <v>406</v>
      </c>
      <c r="H3846" s="140" t="str">
        <f>IF(Proc[[#This Row],[type]]="LFF (MDG-F)",MID(Proc[[#This Row],[Obj]],13,10),"")</f>
        <v>SG09GBT020</v>
      </c>
      <c r="I3846" s="149" t="s">
        <v>4832</v>
      </c>
      <c r="J3846" s="140" t="b">
        <f>Proc[[#This Row],[Requested]]=Proc[[#This Row],[CurrentParent]]</f>
        <v>0</v>
      </c>
      <c r="K3846" s="144" t="str">
        <f>IF(Proc[[#This Row],[Author]]="Marcela Urrego",VLOOKUP(LEFT(Proc[[#This Row],[Requested]],1),Table3[#All],2,0),VLOOKUP(Proc[[#This Row],[Author]],Table4[],2,0))</f>
        <v>MGF</v>
      </c>
      <c r="L3846" s="140" t="s">
        <v>4894</v>
      </c>
      <c r="M3846" s="136">
        <v>45901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68</v>
      </c>
      <c r="R3846" s="136" t="s">
        <v>1459</v>
      </c>
      <c r="S3846" s="140"/>
    </row>
    <row r="3847" spans="1:19" hidden="1">
      <c r="A3847" s="139" t="s">
        <v>6160</v>
      </c>
      <c r="B3847" s="149" t="str">
        <f>IFERROR(VLOOKUP(Proc[[#This Row],[App]],Table2[],3,0),"open")</f>
        <v>ok</v>
      </c>
      <c r="C3847" s="142" t="s">
        <v>369</v>
      </c>
      <c r="D3847" t="s">
        <v>5967</v>
      </c>
      <c r="E3847" t="s">
        <v>424</v>
      </c>
      <c r="F3847" s="140" t="s">
        <v>424</v>
      </c>
      <c r="G3847" s="139" t="s">
        <v>406</v>
      </c>
      <c r="H3847" s="140" t="str">
        <f>IF(Proc[[#This Row],[type]]="LFF (MDG-F)",MID(Proc[[#This Row],[Obj]],13,10),"")</f>
        <v>JP01GIT01B</v>
      </c>
      <c r="J3847" s="140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MGF</v>
      </c>
      <c r="L3847" s="140" t="s">
        <v>4894</v>
      </c>
      <c r="M3847" s="136">
        <v>45901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68</v>
      </c>
      <c r="R3847" s="136" t="s">
        <v>1459</v>
      </c>
      <c r="S3847" s="140"/>
    </row>
    <row r="3848" spans="1:19" hidden="1">
      <c r="A3848" s="139" t="s">
        <v>6160</v>
      </c>
      <c r="B3848" s="149" t="str">
        <f>IFERROR(VLOOKUP(Proc[[#This Row],[App]],Table2[],3,0),"open")</f>
        <v>ok</v>
      </c>
      <c r="C3848" s="142" t="s">
        <v>369</v>
      </c>
      <c r="D3848" t="s">
        <v>6153</v>
      </c>
      <c r="E3848" t="s">
        <v>5452</v>
      </c>
      <c r="F3848" s="140" t="s">
        <v>5452</v>
      </c>
      <c r="G3848" s="139" t="s">
        <v>400</v>
      </c>
      <c r="H3848" s="140" t="str">
        <f>IF(Proc[[#This Row],[type]]="LFF (MDG-F)",MID(Proc[[#This Row],[Obj]],13,10),"")</f>
        <v/>
      </c>
      <c r="J3848" s="140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MGF</v>
      </c>
      <c r="L3848" s="140" t="s">
        <v>4894</v>
      </c>
      <c r="M3848" s="136">
        <v>45901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68</v>
      </c>
      <c r="R3848" s="136" t="s">
        <v>1459</v>
      </c>
      <c r="S3848" s="140"/>
    </row>
    <row r="3849" spans="1:19" hidden="1">
      <c r="A3849" s="139" t="s">
        <v>6160</v>
      </c>
      <c r="B3849" s="149" t="str">
        <f>IFERROR(VLOOKUP(Proc[[#This Row],[App]],Table2[],3,0),"open")</f>
        <v>ok</v>
      </c>
      <c r="C3849" s="142" t="s">
        <v>369</v>
      </c>
      <c r="D3849" t="s">
        <v>4400</v>
      </c>
      <c r="E3849" t="s">
        <v>4409</v>
      </c>
      <c r="F3849" s="140" t="s">
        <v>4409</v>
      </c>
      <c r="G3849" s="139" t="s">
        <v>406</v>
      </c>
      <c r="H3849" s="140" t="str">
        <f>IF(Proc[[#This Row],[type]]="LFF (MDG-F)",MID(Proc[[#This Row],[Obj]],13,10),"")</f>
        <v>DE10677800</v>
      </c>
      <c r="J3849" s="140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MGF</v>
      </c>
      <c r="L3849" s="140" t="s">
        <v>4894</v>
      </c>
      <c r="M3849" s="136">
        <v>45901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68</v>
      </c>
      <c r="R3849" s="136" t="s">
        <v>1459</v>
      </c>
      <c r="S3849" s="140"/>
    </row>
    <row r="3850" spans="1:19" hidden="1">
      <c r="A3850" s="139" t="s">
        <v>6160</v>
      </c>
      <c r="B3850" s="149" t="str">
        <f>IFERROR(VLOOKUP(Proc[[#This Row],[App]],Table2[],3,0),"open")</f>
        <v>ok</v>
      </c>
      <c r="C3850" s="142" t="s">
        <v>369</v>
      </c>
      <c r="D3850" t="s">
        <v>5326</v>
      </c>
      <c r="E3850" t="s">
        <v>4410</v>
      </c>
      <c r="F3850" s="140" t="s">
        <v>4410</v>
      </c>
      <c r="G3850" s="139" t="s">
        <v>406</v>
      </c>
      <c r="H3850" s="140" t="str">
        <f>IF(Proc[[#This Row],[type]]="LFF (MDG-F)",MID(Proc[[#This Row],[Obj]],13,10),"")</f>
        <v>DE10685700</v>
      </c>
      <c r="J3850" s="140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MGF</v>
      </c>
      <c r="L3850" s="140" t="s">
        <v>4894</v>
      </c>
      <c r="M3850" s="136">
        <v>45901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68</v>
      </c>
      <c r="R3850" s="136" t="s">
        <v>1459</v>
      </c>
      <c r="S3850" s="140"/>
    </row>
    <row r="3851" spans="1:19" hidden="1">
      <c r="A3851" s="139" t="s">
        <v>6160</v>
      </c>
      <c r="B3851" s="149" t="str">
        <f>IFERROR(VLOOKUP(Proc[[#This Row],[App]],Table2[],3,0),"open")</f>
        <v>ok</v>
      </c>
      <c r="C3851" s="142" t="s">
        <v>369</v>
      </c>
      <c r="D3851" t="s">
        <v>5398</v>
      </c>
      <c r="E3851" t="s">
        <v>6158</v>
      </c>
      <c r="F3851" s="140" t="s">
        <v>6158</v>
      </c>
      <c r="G3851" s="139" t="s">
        <v>400</v>
      </c>
      <c r="H3851" s="140" t="str">
        <f>IF(Proc[[#This Row],[type]]="LFF (MDG-F)",MID(Proc[[#This Row],[Obj]],13,10),"")</f>
        <v/>
      </c>
      <c r="J3851" s="140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MGF</v>
      </c>
      <c r="L3851" s="140" t="s">
        <v>4894</v>
      </c>
      <c r="M3851" s="136">
        <v>45901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68</v>
      </c>
      <c r="R3851" s="136" t="s">
        <v>1459</v>
      </c>
      <c r="S3851" s="140"/>
    </row>
    <row r="3852" spans="1:19" hidden="1">
      <c r="A3852" s="139" t="s">
        <v>6160</v>
      </c>
      <c r="B3852" s="149" t="str">
        <f>IFERROR(VLOOKUP(Proc[[#This Row],[App]],Table2[],3,0),"open")</f>
        <v>ok</v>
      </c>
      <c r="C3852" s="142" t="s">
        <v>369</v>
      </c>
      <c r="D3852" t="s">
        <v>6154</v>
      </c>
      <c r="E3852" t="s">
        <v>759</v>
      </c>
      <c r="F3852" s="140" t="s">
        <v>759</v>
      </c>
      <c r="G3852" s="139" t="s">
        <v>400</v>
      </c>
      <c r="H3852" s="140" t="str">
        <f>IF(Proc[[#This Row],[type]]="LFF (MDG-F)",MID(Proc[[#This Row],[Obj]],13,10),"")</f>
        <v/>
      </c>
      <c r="J3852" s="140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MGF</v>
      </c>
      <c r="L3852" s="140" t="s">
        <v>4894</v>
      </c>
      <c r="M3852" s="136">
        <v>45901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68</v>
      </c>
      <c r="R3852" s="136" t="s">
        <v>1459</v>
      </c>
      <c r="S3852" s="140"/>
    </row>
    <row r="3853" spans="1:19" hidden="1">
      <c r="A3853" s="139" t="s">
        <v>6160</v>
      </c>
      <c r="B3853" s="149" t="str">
        <f>IFERROR(VLOOKUP(Proc[[#This Row],[App]],Table2[],3,0),"open")</f>
        <v>ok</v>
      </c>
      <c r="C3853" s="142" t="s">
        <v>369</v>
      </c>
      <c r="D3853" t="s">
        <v>5399</v>
      </c>
      <c r="E3853" t="s">
        <v>6158</v>
      </c>
      <c r="F3853" s="140" t="s">
        <v>6158</v>
      </c>
      <c r="G3853" s="139" t="s">
        <v>400</v>
      </c>
      <c r="H3853" s="140" t="str">
        <f>IF(Proc[[#This Row],[type]]="LFF (MDG-F)",MID(Proc[[#This Row],[Obj]],13,10),"")</f>
        <v/>
      </c>
      <c r="J3853" s="140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MGF</v>
      </c>
      <c r="L3853" s="140" t="s">
        <v>4894</v>
      </c>
      <c r="M3853" s="136">
        <v>45901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68</v>
      </c>
      <c r="R3853" s="136" t="s">
        <v>1459</v>
      </c>
      <c r="S3853" s="140"/>
    </row>
    <row r="3854" spans="1:19" hidden="1">
      <c r="A3854" s="139" t="s">
        <v>6160</v>
      </c>
      <c r="B3854" s="149" t="str">
        <f>IFERROR(VLOOKUP(Proc[[#This Row],[App]],Table2[],3,0),"open")</f>
        <v>ok</v>
      </c>
      <c r="C3854" s="142" t="s">
        <v>369</v>
      </c>
      <c r="D3854" t="s">
        <v>5418</v>
      </c>
      <c r="E3854" t="s">
        <v>6158</v>
      </c>
      <c r="F3854" s="140" t="s">
        <v>6158</v>
      </c>
      <c r="G3854" s="139" t="s">
        <v>406</v>
      </c>
      <c r="H3854" s="140" t="str">
        <f>IF(Proc[[#This Row],[type]]="LFF (MDG-F)",MID(Proc[[#This Row],[Obj]],13,10),"")</f>
        <v>2123GIT129</v>
      </c>
      <c r="J3854" s="140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MGF</v>
      </c>
      <c r="L3854" s="140" t="s">
        <v>4894</v>
      </c>
      <c r="M3854" s="136">
        <v>45901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68</v>
      </c>
      <c r="R3854" s="136" t="s">
        <v>1459</v>
      </c>
      <c r="S3854" s="140"/>
    </row>
    <row r="3855" spans="1:19" hidden="1">
      <c r="A3855" s="139" t="s">
        <v>6160</v>
      </c>
      <c r="B3855" s="149" t="str">
        <f>IFERROR(VLOOKUP(Proc[[#This Row],[App]],Table2[],3,0),"open")</f>
        <v>ok</v>
      </c>
      <c r="C3855" s="149" t="s">
        <v>692</v>
      </c>
      <c r="D3855" t="s">
        <v>6155</v>
      </c>
      <c r="E3855" t="s">
        <v>427</v>
      </c>
      <c r="F3855" s="150" t="s">
        <v>446</v>
      </c>
      <c r="G3855" s="139" t="s">
        <v>406</v>
      </c>
      <c r="H3855" s="140" t="str">
        <f>IF(Proc[[#This Row],[type]]="LFF (MDG-F)",MID(Proc[[#This Row],[Obj]],13,10),"")</f>
        <v>2128GIT020</v>
      </c>
      <c r="I3855" s="149" t="s">
        <v>4832</v>
      </c>
      <c r="J3855" s="140" t="b">
        <f>Proc[[#This Row],[Requested]]=Proc[[#This Row],[CurrentParent]]</f>
        <v>0</v>
      </c>
      <c r="K3855" s="144" t="str">
        <f>IF(Proc[[#This Row],[Author]]="Marcela Urrego",VLOOKUP(LEFT(Proc[[#This Row],[Requested]],1),Table3[#All],2,0),VLOOKUP(Proc[[#This Row],[Author]],Table4[],2,0))</f>
        <v>MGF</v>
      </c>
      <c r="L3855" s="140" t="s">
        <v>4894</v>
      </c>
      <c r="M3855" s="136">
        <v>45901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68</v>
      </c>
      <c r="R3855" s="136" t="s">
        <v>1459</v>
      </c>
      <c r="S3855" s="140"/>
    </row>
    <row r="3856" spans="1:19" hidden="1">
      <c r="A3856" s="139" t="s">
        <v>6160</v>
      </c>
      <c r="B3856" s="149" t="str">
        <f>IFERROR(VLOOKUP(Proc[[#This Row],[App]],Table2[],3,0),"open")</f>
        <v>ok</v>
      </c>
      <c r="C3856" s="142" t="s">
        <v>369</v>
      </c>
      <c r="D3856" t="s">
        <v>5434</v>
      </c>
      <c r="E3856" t="s">
        <v>662</v>
      </c>
      <c r="F3856" s="140" t="s">
        <v>662</v>
      </c>
      <c r="G3856" s="139" t="s">
        <v>400</v>
      </c>
      <c r="H3856" s="140" t="str">
        <f>IF(Proc[[#This Row],[type]]="LFF (MDG-F)",MID(Proc[[#This Row],[Obj]],13,10),"")</f>
        <v/>
      </c>
      <c r="J3856" s="140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MGF</v>
      </c>
      <c r="L3856" s="140" t="s">
        <v>4894</v>
      </c>
      <c r="M3856" s="136">
        <v>45901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68</v>
      </c>
      <c r="R3856" s="136" t="s">
        <v>1459</v>
      </c>
      <c r="S3856" s="140"/>
    </row>
    <row r="3857" spans="1:19" hidden="1">
      <c r="A3857" s="139" t="s">
        <v>6160</v>
      </c>
      <c r="B3857" s="149" t="str">
        <f>IFERROR(VLOOKUP(Proc[[#This Row],[App]],Table2[],3,0),"open")</f>
        <v>ok</v>
      </c>
      <c r="C3857" s="142" t="s">
        <v>369</v>
      </c>
      <c r="D3857" t="s">
        <v>6156</v>
      </c>
      <c r="E3857" t="s">
        <v>6159</v>
      </c>
      <c r="F3857" s="140" t="s">
        <v>6159</v>
      </c>
      <c r="G3857" s="139" t="s">
        <v>406</v>
      </c>
      <c r="H3857" s="140" t="str">
        <f>IF(Proc[[#This Row],[type]]="LFF (MDG-F)",MID(Proc[[#This Row],[Obj]],13,10),"")</f>
        <v>US10GIT034</v>
      </c>
      <c r="J3857" s="140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MGF</v>
      </c>
      <c r="L3857" s="140" t="s">
        <v>4894</v>
      </c>
      <c r="M3857" s="136">
        <v>45901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68</v>
      </c>
      <c r="R3857" s="136" t="s">
        <v>1459</v>
      </c>
      <c r="S3857" s="140"/>
    </row>
    <row r="3858" spans="1:19" hidden="1">
      <c r="A3858" s="139" t="s">
        <v>6160</v>
      </c>
      <c r="B3858" s="149" t="str">
        <f>IFERROR(VLOOKUP(Proc[[#This Row],[App]],Table2[],3,0),"open")</f>
        <v>ok</v>
      </c>
      <c r="C3858" s="142" t="s">
        <v>369</v>
      </c>
      <c r="D3858" t="s">
        <v>6157</v>
      </c>
      <c r="E3858" t="s">
        <v>5452</v>
      </c>
      <c r="F3858" s="140" t="s">
        <v>5452</v>
      </c>
      <c r="G3858" s="139" t="s">
        <v>406</v>
      </c>
      <c r="H3858" s="140" t="str">
        <f>IF(Proc[[#This Row],[type]]="LFF (MDG-F)",MID(Proc[[#This Row],[Obj]],13,10),"")</f>
        <v>US10GIT048</v>
      </c>
      <c r="J3858" s="140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MGF</v>
      </c>
      <c r="L3858" s="140" t="s">
        <v>4894</v>
      </c>
      <c r="M3858" s="136">
        <v>45901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68</v>
      </c>
      <c r="R3858" s="136" t="s">
        <v>1459</v>
      </c>
      <c r="S3858" s="140"/>
    </row>
    <row r="3859" spans="1:19" hidden="1">
      <c r="A3859" t="s">
        <v>6161</v>
      </c>
      <c r="B3859" s="149" t="str">
        <f>IFERROR(VLOOKUP(Proc[[#This Row],[App]],Table2[],3,0),"open")</f>
        <v>ok</v>
      </c>
      <c r="C3859" s="142" t="s">
        <v>369</v>
      </c>
      <c r="D3859" s="141" t="s">
        <v>6090</v>
      </c>
      <c r="E3859" s="142" t="s">
        <v>2678</v>
      </c>
      <c r="F3859" s="140" t="s">
        <v>2678</v>
      </c>
      <c r="G3859" s="142" t="s">
        <v>406</v>
      </c>
      <c r="H3859" s="140" t="str">
        <f>IF(Proc[[#This Row],[type]]="LFF (MDG-F)",MID(Proc[[#This Row],[Obj]],13,10),"")</f>
        <v>DE10GM8401</v>
      </c>
      <c r="J3859" s="140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LS</v>
      </c>
      <c r="L3859" s="140" t="s">
        <v>4894</v>
      </c>
      <c r="M3859" s="136">
        <v>45902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67</v>
      </c>
      <c r="R3859" s="136" t="s">
        <v>972</v>
      </c>
      <c r="S3859" s="140"/>
    </row>
    <row r="3860" spans="1:19" hidden="1">
      <c r="A3860" t="s">
        <v>6201</v>
      </c>
      <c r="B3860" s="149" t="str">
        <f>IFERROR(VLOOKUP(Proc[[#This Row],[App]],Table2[],3,0),"open")</f>
        <v>ok</v>
      </c>
      <c r="C3860" s="142" t="s">
        <v>369</v>
      </c>
      <c r="D3860" t="s">
        <v>5948</v>
      </c>
      <c r="E3860" t="s">
        <v>6162</v>
      </c>
      <c r="F3860" s="140" t="s">
        <v>6162</v>
      </c>
      <c r="G3860" s="142" t="s">
        <v>406</v>
      </c>
      <c r="H3860" s="140" t="str">
        <f>IF(Proc[[#This Row],[type]]="LFF (MDG-F)",MID(Proc[[#This Row],[Obj]],13,10),"")</f>
        <v>JP01C0M121</v>
      </c>
      <c r="J3860" s="140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40" t="s">
        <v>4894</v>
      </c>
      <c r="M3860" s="136">
        <v>45902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67</v>
      </c>
      <c r="R3860" s="136" t="s">
        <v>6087</v>
      </c>
      <c r="S3860" s="140"/>
    </row>
    <row r="3861" spans="1:19" hidden="1">
      <c r="A3861" s="142" t="s">
        <v>6201</v>
      </c>
      <c r="B3861" s="149" t="str">
        <f>IFERROR(VLOOKUP(Proc[[#This Row],[App]],Table2[],3,0),"open")</f>
        <v>ok</v>
      </c>
      <c r="C3861" s="142" t="s">
        <v>369</v>
      </c>
      <c r="D3861" t="s">
        <v>6045</v>
      </c>
      <c r="E3861" t="s">
        <v>6163</v>
      </c>
      <c r="F3861" s="140" t="s">
        <v>6163</v>
      </c>
      <c r="G3861" s="142" t="s">
        <v>406</v>
      </c>
      <c r="H3861" s="140" t="str">
        <f>IF(Proc[[#This Row],[type]]="LFF (MDG-F)",MID(Proc[[#This Row],[Obj]],13,10),"")</f>
        <v>JP01TQOZ04</v>
      </c>
      <c r="J3861" s="140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40" t="s">
        <v>4894</v>
      </c>
      <c r="M3861" s="136">
        <v>45902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67</v>
      </c>
      <c r="R3861" s="136" t="s">
        <v>6087</v>
      </c>
      <c r="S3861" s="140"/>
    </row>
    <row r="3862" spans="1:19" hidden="1">
      <c r="A3862" s="142" t="s">
        <v>6201</v>
      </c>
      <c r="B3862" s="149" t="str">
        <f>IFERROR(VLOOKUP(Proc[[#This Row],[App]],Table2[],3,0),"open")</f>
        <v>ok</v>
      </c>
      <c r="C3862" s="142" t="s">
        <v>369</v>
      </c>
      <c r="D3862" t="s">
        <v>5955</v>
      </c>
      <c r="E3862" t="s">
        <v>6164</v>
      </c>
      <c r="F3862" s="140" t="s">
        <v>6164</v>
      </c>
      <c r="G3862" s="142" t="s">
        <v>406</v>
      </c>
      <c r="H3862" s="140" t="str">
        <f>IF(Proc[[#This Row],[type]]="LFF (MDG-F)",MID(Proc[[#This Row],[Obj]],13,10),"")</f>
        <v>JP01C0O921</v>
      </c>
      <c r="J3862" s="140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40" t="s">
        <v>4894</v>
      </c>
      <c r="M3862" s="136">
        <v>45902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67</v>
      </c>
      <c r="R3862" s="136" t="s">
        <v>6087</v>
      </c>
      <c r="S3862" s="140"/>
    </row>
    <row r="3863" spans="1:19" hidden="1">
      <c r="A3863" s="142" t="s">
        <v>6201</v>
      </c>
      <c r="B3863" s="149" t="str">
        <f>IFERROR(VLOOKUP(Proc[[#This Row],[App]],Table2[],3,0),"open")</f>
        <v>ok</v>
      </c>
      <c r="C3863" s="142" t="s">
        <v>369</v>
      </c>
      <c r="D3863" t="s">
        <v>6000</v>
      </c>
      <c r="E3863" t="s">
        <v>6164</v>
      </c>
      <c r="F3863" s="140" t="s">
        <v>6164</v>
      </c>
      <c r="G3863" s="142" t="s">
        <v>406</v>
      </c>
      <c r="H3863" s="140" t="str">
        <f>IF(Proc[[#This Row],[type]]="LFF (MDG-F)",MID(Proc[[#This Row],[Obj]],13,10),"")</f>
        <v>JP01R0O721</v>
      </c>
      <c r="J3863" s="140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40" t="s">
        <v>4894</v>
      </c>
      <c r="M3863" s="136">
        <v>45902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67</v>
      </c>
      <c r="R3863" s="136" t="s">
        <v>6087</v>
      </c>
      <c r="S3863" s="140"/>
    </row>
    <row r="3864" spans="1:19" hidden="1">
      <c r="A3864" s="142" t="s">
        <v>6201</v>
      </c>
      <c r="B3864" s="149" t="str">
        <f>IFERROR(VLOOKUP(Proc[[#This Row],[App]],Table2[],3,0),"open")</f>
        <v>ok</v>
      </c>
      <c r="C3864" s="142" t="s">
        <v>369</v>
      </c>
      <c r="D3864" t="s">
        <v>5950</v>
      </c>
      <c r="E3864" t="s">
        <v>6165</v>
      </c>
      <c r="F3864" s="140" t="s">
        <v>6165</v>
      </c>
      <c r="G3864" s="142" t="s">
        <v>406</v>
      </c>
      <c r="H3864" s="140" t="str">
        <f>IF(Proc[[#This Row],[type]]="LFF (MDG-F)",MID(Proc[[#This Row],[Obj]],13,10),"")</f>
        <v>JP01C0M621</v>
      </c>
      <c r="J3864" s="140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40" t="s">
        <v>4894</v>
      </c>
      <c r="M3864" s="136">
        <v>45902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67</v>
      </c>
      <c r="R3864" s="136" t="s">
        <v>6087</v>
      </c>
      <c r="S3864" s="140"/>
    </row>
    <row r="3865" spans="1:19" hidden="1">
      <c r="A3865" s="142" t="s">
        <v>6201</v>
      </c>
      <c r="B3865" s="149" t="str">
        <f>IFERROR(VLOOKUP(Proc[[#This Row],[App]],Table2[],3,0),"open")</f>
        <v>ok</v>
      </c>
      <c r="C3865" s="142" t="s">
        <v>369</v>
      </c>
      <c r="D3865" t="s">
        <v>5949</v>
      </c>
      <c r="E3865" t="s">
        <v>2470</v>
      </c>
      <c r="F3865" s="140" t="s">
        <v>2470</v>
      </c>
      <c r="G3865" s="142" t="s">
        <v>406</v>
      </c>
      <c r="H3865" s="140" t="str">
        <f>IF(Proc[[#This Row],[type]]="LFF (MDG-F)",MID(Proc[[#This Row],[Obj]],13,10),"")</f>
        <v>JP01C0M600</v>
      </c>
      <c r="J3865" s="140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40" t="s">
        <v>4894</v>
      </c>
      <c r="M3865" s="136">
        <v>45902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67</v>
      </c>
      <c r="R3865" s="136" t="s">
        <v>6087</v>
      </c>
      <c r="S3865" s="140"/>
    </row>
    <row r="3866" spans="1:19" hidden="1">
      <c r="A3866" s="142" t="s">
        <v>6201</v>
      </c>
      <c r="B3866" s="149" t="str">
        <f>IFERROR(VLOOKUP(Proc[[#This Row],[App]],Table2[],3,0),"open")</f>
        <v>ok</v>
      </c>
      <c r="C3866" s="149" t="s">
        <v>369</v>
      </c>
      <c r="D3866" t="s">
        <v>5974</v>
      </c>
      <c r="E3866" t="s">
        <v>474</v>
      </c>
      <c r="F3866" s="150" t="s">
        <v>474</v>
      </c>
      <c r="G3866" s="142" t="s">
        <v>406</v>
      </c>
      <c r="H3866" s="140" t="str">
        <f>IF(Proc[[#This Row],[type]]="LFF (MDG-F)",MID(Proc[[#This Row],[Obj]],13,10),"")</f>
        <v>JP01GM8002</v>
      </c>
      <c r="J3866" s="140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40" t="s">
        <v>4894</v>
      </c>
      <c r="M3866" s="136">
        <v>45902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67</v>
      </c>
      <c r="R3866" s="136" t="s">
        <v>6087</v>
      </c>
      <c r="S3866" s="140"/>
    </row>
    <row r="3867" spans="1:19" hidden="1">
      <c r="A3867" s="142" t="s">
        <v>6201</v>
      </c>
      <c r="B3867" s="149" t="str">
        <f>IFERROR(VLOOKUP(Proc[[#This Row],[App]],Table2[],3,0),"open")</f>
        <v>ok</v>
      </c>
      <c r="C3867" s="142" t="s">
        <v>369</v>
      </c>
      <c r="D3867" t="s">
        <v>5964</v>
      </c>
      <c r="E3867" t="s">
        <v>413</v>
      </c>
      <c r="F3867" s="140" t="s">
        <v>413</v>
      </c>
      <c r="G3867" s="142" t="s">
        <v>406</v>
      </c>
      <c r="H3867" s="140" t="str">
        <f>IF(Proc[[#This Row],[type]]="LFF (MDG-F)",MID(Proc[[#This Row],[Obj]],13,10),"")</f>
        <v>JP01GFO301</v>
      </c>
      <c r="J3867" s="140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40" t="s">
        <v>4894</v>
      </c>
      <c r="M3867" s="136">
        <v>45902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67</v>
      </c>
      <c r="R3867" s="136" t="s">
        <v>6087</v>
      </c>
      <c r="S3867" s="140"/>
    </row>
    <row r="3868" spans="1:19" hidden="1">
      <c r="A3868" s="142" t="s">
        <v>6201</v>
      </c>
      <c r="B3868" s="149" t="str">
        <f>IFERROR(VLOOKUP(Proc[[#This Row],[App]],Table2[],3,0),"open")</f>
        <v>ok</v>
      </c>
      <c r="C3868" s="142" t="s">
        <v>369</v>
      </c>
      <c r="D3868" t="s">
        <v>5968</v>
      </c>
      <c r="E3868" t="s">
        <v>6166</v>
      </c>
      <c r="F3868" s="140" t="s">
        <v>6166</v>
      </c>
      <c r="G3868" s="142" t="s">
        <v>406</v>
      </c>
      <c r="H3868" s="140" t="str">
        <f>IF(Proc[[#This Row],[type]]="LFF (MDG-F)",MID(Proc[[#This Row],[Obj]],13,10),"")</f>
        <v>JP01GLE301</v>
      </c>
      <c r="J3868" s="140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40" t="s">
        <v>4894</v>
      </c>
      <c r="M3868" s="136">
        <v>45902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67</v>
      </c>
      <c r="R3868" s="136" t="s">
        <v>6087</v>
      </c>
      <c r="S3868" s="140"/>
    </row>
    <row r="3869" spans="1:19" hidden="1">
      <c r="A3869" s="142" t="s">
        <v>6201</v>
      </c>
      <c r="B3869" s="149" t="str">
        <f>IFERROR(VLOOKUP(Proc[[#This Row],[App]],Table2[],3,0),"open")</f>
        <v>ok</v>
      </c>
      <c r="C3869" s="142" t="s">
        <v>369</v>
      </c>
      <c r="D3869" t="s">
        <v>5961</v>
      </c>
      <c r="E3869" t="s">
        <v>6167</v>
      </c>
      <c r="F3869" s="140" t="s">
        <v>6167</v>
      </c>
      <c r="G3869" s="142" t="s">
        <v>406</v>
      </c>
      <c r="H3869" s="140" t="str">
        <f>IF(Proc[[#This Row],[type]]="LFF (MDG-F)",MID(Proc[[#This Row],[Obj]],13,10),"")</f>
        <v>JP01GCM301</v>
      </c>
      <c r="J3869" s="140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40" t="s">
        <v>4894</v>
      </c>
      <c r="M3869" s="136">
        <v>45902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67</v>
      </c>
      <c r="R3869" s="136" t="s">
        <v>6087</v>
      </c>
      <c r="S3869" s="140"/>
    </row>
    <row r="3870" spans="1:19" hidden="1">
      <c r="A3870" s="142" t="s">
        <v>6201</v>
      </c>
      <c r="B3870" s="149" t="str">
        <f>IFERROR(VLOOKUP(Proc[[#This Row],[App]],Table2[],3,0),"open")</f>
        <v>ok</v>
      </c>
      <c r="C3870" s="142" t="s">
        <v>369</v>
      </c>
      <c r="D3870" t="s">
        <v>5962</v>
      </c>
      <c r="E3870" t="s">
        <v>6168</v>
      </c>
      <c r="F3870" s="140" t="s">
        <v>6168</v>
      </c>
      <c r="G3870" s="142" t="s">
        <v>406</v>
      </c>
      <c r="H3870" s="140" t="str">
        <f>IF(Proc[[#This Row],[type]]="LFF (MDG-F)",MID(Proc[[#This Row],[Obj]],13,10),"")</f>
        <v>JP01GCO301</v>
      </c>
      <c r="J3870" s="140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40" t="s">
        <v>4894</v>
      </c>
      <c r="M3870" s="136">
        <v>45902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67</v>
      </c>
      <c r="R3870" s="136" t="s">
        <v>6087</v>
      </c>
      <c r="S3870" s="140"/>
    </row>
    <row r="3871" spans="1:19" hidden="1">
      <c r="A3871" s="142" t="s">
        <v>6201</v>
      </c>
      <c r="B3871" s="149" t="str">
        <f>IFERROR(VLOOKUP(Proc[[#This Row],[App]],Table2[],3,0),"open")</f>
        <v>ok</v>
      </c>
      <c r="C3871" s="142" t="s">
        <v>369</v>
      </c>
      <c r="D3871" t="s">
        <v>5990</v>
      </c>
      <c r="E3871" t="s">
        <v>6169</v>
      </c>
      <c r="F3871" s="140" t="s">
        <v>6169</v>
      </c>
      <c r="G3871" s="142" t="s">
        <v>406</v>
      </c>
      <c r="H3871" s="140" t="str">
        <f>IF(Proc[[#This Row],[type]]="LFF (MDG-F)",MID(Proc[[#This Row],[Obj]],13,10),"")</f>
        <v>JP01L5M302</v>
      </c>
      <c r="J3871" s="140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40" t="s">
        <v>4894</v>
      </c>
      <c r="M3871" s="136">
        <v>45902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67</v>
      </c>
      <c r="R3871" s="136" t="s">
        <v>6087</v>
      </c>
      <c r="S3871" s="140"/>
    </row>
    <row r="3872" spans="1:19" hidden="1">
      <c r="A3872" s="142" t="s">
        <v>6201</v>
      </c>
      <c r="B3872" s="149" t="str">
        <f>IFERROR(VLOOKUP(Proc[[#This Row],[App]],Table2[],3,0),"open")</f>
        <v>ok</v>
      </c>
      <c r="C3872" s="142" t="s">
        <v>369</v>
      </c>
      <c r="D3872" t="s">
        <v>5971</v>
      </c>
      <c r="E3872" t="s">
        <v>413</v>
      </c>
      <c r="F3872" s="140" t="s">
        <v>413</v>
      </c>
      <c r="G3872" s="142" t="s">
        <v>406</v>
      </c>
      <c r="H3872" s="140" t="str">
        <f>IF(Proc[[#This Row],[type]]="LFF (MDG-F)",MID(Proc[[#This Row],[Obj]],13,10),"")</f>
        <v>JP01GM4001</v>
      </c>
      <c r="J3872" s="140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40" t="s">
        <v>4894</v>
      </c>
      <c r="M3872" s="136">
        <v>45902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67</v>
      </c>
      <c r="R3872" s="136" t="s">
        <v>6087</v>
      </c>
      <c r="S3872" s="140"/>
    </row>
    <row r="3873" spans="1:19" hidden="1">
      <c r="A3873" s="142" t="s">
        <v>6201</v>
      </c>
      <c r="B3873" s="149" t="str">
        <f>IFERROR(VLOOKUP(Proc[[#This Row],[App]],Table2[],3,0),"open")</f>
        <v>ok</v>
      </c>
      <c r="C3873" s="149" t="s">
        <v>369</v>
      </c>
      <c r="D3873" t="s">
        <v>5972</v>
      </c>
      <c r="E3873" t="s">
        <v>473</v>
      </c>
      <c r="F3873" s="150" t="s">
        <v>473</v>
      </c>
      <c r="G3873" s="142" t="s">
        <v>406</v>
      </c>
      <c r="H3873" s="140" t="str">
        <f>IF(Proc[[#This Row],[type]]="LFF (MDG-F)",MID(Proc[[#This Row],[Obj]],13,10),"")</f>
        <v>JP01GM4002</v>
      </c>
      <c r="J3873" s="140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40" t="s">
        <v>4894</v>
      </c>
      <c r="M3873" s="136">
        <v>45902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67</v>
      </c>
      <c r="R3873" s="136" t="s">
        <v>6087</v>
      </c>
      <c r="S3873" s="140"/>
    </row>
    <row r="3874" spans="1:19" hidden="1">
      <c r="A3874" s="142" t="s">
        <v>6201</v>
      </c>
      <c r="B3874" s="149" t="str">
        <f>IFERROR(VLOOKUP(Proc[[#This Row],[App]],Table2[],3,0),"open")</f>
        <v>ok</v>
      </c>
      <c r="C3874" s="142" t="s">
        <v>369</v>
      </c>
      <c r="D3874" t="s">
        <v>5988</v>
      </c>
      <c r="E3874" t="s">
        <v>6170</v>
      </c>
      <c r="F3874" s="140" t="s">
        <v>6170</v>
      </c>
      <c r="G3874" s="142" t="s">
        <v>406</v>
      </c>
      <c r="H3874" s="140" t="str">
        <f>IF(Proc[[#This Row],[type]]="LFF (MDG-F)",MID(Proc[[#This Row],[Obj]],13,10),"")</f>
        <v>JP01L4M302</v>
      </c>
      <c r="J3874" s="140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40" t="s">
        <v>4894</v>
      </c>
      <c r="M3874" s="136">
        <v>45902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67</v>
      </c>
      <c r="R3874" s="136" t="s">
        <v>6087</v>
      </c>
      <c r="S3874" s="140"/>
    </row>
    <row r="3875" spans="1:19" hidden="1">
      <c r="A3875" s="142" t="s">
        <v>6201</v>
      </c>
      <c r="B3875" s="149" t="str">
        <f>IFERROR(VLOOKUP(Proc[[#This Row],[App]],Table2[],3,0),"open")</f>
        <v>ok</v>
      </c>
      <c r="C3875" s="142" t="s">
        <v>369</v>
      </c>
      <c r="D3875" t="s">
        <v>5995</v>
      </c>
      <c r="E3875" t="s">
        <v>2681</v>
      </c>
      <c r="F3875" s="140" t="s">
        <v>2681</v>
      </c>
      <c r="G3875" s="142" t="s">
        <v>406</v>
      </c>
      <c r="H3875" s="140" t="str">
        <f>IF(Proc[[#This Row],[type]]="LFF (MDG-F)",MID(Proc[[#This Row],[Obj]],13,10),"")</f>
        <v>JP01O05001</v>
      </c>
      <c r="J3875" s="140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40" t="s">
        <v>4894</v>
      </c>
      <c r="M3875" s="136">
        <v>45902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67</v>
      </c>
      <c r="R3875" s="136" t="s">
        <v>6087</v>
      </c>
      <c r="S3875" s="140"/>
    </row>
    <row r="3876" spans="1:19" hidden="1">
      <c r="A3876" s="142" t="s">
        <v>6201</v>
      </c>
      <c r="B3876" s="149" t="str">
        <f>IFERROR(VLOOKUP(Proc[[#This Row],[App]],Table2[],3,0),"open")</f>
        <v>ok</v>
      </c>
      <c r="C3876" s="142" t="s">
        <v>369</v>
      </c>
      <c r="D3876" t="s">
        <v>5993</v>
      </c>
      <c r="E3876" t="s">
        <v>6171</v>
      </c>
      <c r="F3876" s="140" t="s">
        <v>6171</v>
      </c>
      <c r="G3876" s="142" t="s">
        <v>406</v>
      </c>
      <c r="H3876" s="140" t="str">
        <f>IF(Proc[[#This Row],[type]]="LFF (MDG-F)",MID(Proc[[#This Row],[Obj]],13,10),"")</f>
        <v>JP01L7M303</v>
      </c>
      <c r="J3876" s="140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40" t="s">
        <v>4894</v>
      </c>
      <c r="M3876" s="136">
        <v>45902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67</v>
      </c>
      <c r="R3876" s="136" t="s">
        <v>6087</v>
      </c>
      <c r="S3876" s="140"/>
    </row>
    <row r="3877" spans="1:19" hidden="1">
      <c r="A3877" s="142" t="s">
        <v>6201</v>
      </c>
      <c r="B3877" s="149" t="str">
        <f>IFERROR(VLOOKUP(Proc[[#This Row],[App]],Table2[],3,0),"open")</f>
        <v>ok</v>
      </c>
      <c r="C3877" s="142" t="s">
        <v>369</v>
      </c>
      <c r="D3877" t="s">
        <v>6042</v>
      </c>
      <c r="E3877" t="s">
        <v>6163</v>
      </c>
      <c r="F3877" s="140" t="s">
        <v>6163</v>
      </c>
      <c r="G3877" s="142" t="s">
        <v>406</v>
      </c>
      <c r="H3877" s="140" t="str">
        <f>IF(Proc[[#This Row],[type]]="LFF (MDG-F)",MID(Proc[[#This Row],[Obj]],13,10),"")</f>
        <v>JP01TPOZ01</v>
      </c>
      <c r="J3877" s="140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40" t="s">
        <v>4894</v>
      </c>
      <c r="M3877" s="136">
        <v>45902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67</v>
      </c>
      <c r="R3877" s="136" t="s">
        <v>6087</v>
      </c>
      <c r="S3877" s="140"/>
    </row>
    <row r="3878" spans="1:19" hidden="1">
      <c r="A3878" s="142" t="s">
        <v>6201</v>
      </c>
      <c r="B3878" s="149" t="str">
        <f>IFERROR(VLOOKUP(Proc[[#This Row],[App]],Table2[],3,0),"open")</f>
        <v>ok</v>
      </c>
      <c r="C3878" s="142" t="s">
        <v>369</v>
      </c>
      <c r="D3878" t="s">
        <v>6044</v>
      </c>
      <c r="E3878" t="s">
        <v>6163</v>
      </c>
      <c r="F3878" s="140" t="s">
        <v>6163</v>
      </c>
      <c r="G3878" s="142" t="s">
        <v>406</v>
      </c>
      <c r="H3878" s="140" t="str">
        <f>IF(Proc[[#This Row],[type]]="LFF (MDG-F)",MID(Proc[[#This Row],[Obj]],13,10),"")</f>
        <v>JP01TQOZ03</v>
      </c>
      <c r="J3878" s="140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40" t="s">
        <v>4894</v>
      </c>
      <c r="M3878" s="136">
        <v>45902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67</v>
      </c>
      <c r="R3878" s="136" t="s">
        <v>6087</v>
      </c>
      <c r="S3878" s="140"/>
    </row>
    <row r="3879" spans="1:19" hidden="1">
      <c r="A3879" s="142" t="s">
        <v>6201</v>
      </c>
      <c r="B3879" s="149" t="str">
        <f>IFERROR(VLOOKUP(Proc[[#This Row],[App]],Table2[],3,0),"open")</f>
        <v>ok</v>
      </c>
      <c r="C3879" s="142" t="s">
        <v>369</v>
      </c>
      <c r="D3879" t="s">
        <v>5953</v>
      </c>
      <c r="E3879" t="s">
        <v>6103</v>
      </c>
      <c r="F3879" s="140" t="s">
        <v>6103</v>
      </c>
      <c r="G3879" s="142" t="s">
        <v>406</v>
      </c>
      <c r="H3879" s="140" t="str">
        <f>IF(Proc[[#This Row],[type]]="LFF (MDG-F)",MID(Proc[[#This Row],[Obj]],13,10),"")</f>
        <v>JP01C0M825</v>
      </c>
      <c r="J3879" s="140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40" t="s">
        <v>4894</v>
      </c>
      <c r="M3879" s="136">
        <v>45902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67</v>
      </c>
      <c r="R3879" s="136" t="s">
        <v>6087</v>
      </c>
      <c r="S3879" s="140"/>
    </row>
    <row r="3880" spans="1:19" hidden="1">
      <c r="A3880" s="142" t="s">
        <v>6201</v>
      </c>
      <c r="B3880" s="149" t="str">
        <f>IFERROR(VLOOKUP(Proc[[#This Row],[App]],Table2[],3,0),"open")</f>
        <v>ok</v>
      </c>
      <c r="C3880" s="142" t="s">
        <v>369</v>
      </c>
      <c r="D3880" t="s">
        <v>6036</v>
      </c>
      <c r="E3880" t="s">
        <v>6172</v>
      </c>
      <c r="F3880" s="140" t="s">
        <v>6172</v>
      </c>
      <c r="G3880" s="142" t="s">
        <v>406</v>
      </c>
      <c r="H3880" s="140" t="str">
        <f>IF(Proc[[#This Row],[type]]="LFF (MDG-F)",MID(Proc[[#This Row],[Obj]],13,10),"")</f>
        <v>JP01TFOZ01</v>
      </c>
      <c r="J3880" s="140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40" t="s">
        <v>4894</v>
      </c>
      <c r="M3880" s="136">
        <v>45902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67</v>
      </c>
      <c r="R3880" s="136" t="s">
        <v>6087</v>
      </c>
      <c r="S3880" s="140"/>
    </row>
    <row r="3881" spans="1:19" hidden="1">
      <c r="A3881" s="142" t="s">
        <v>6201</v>
      </c>
      <c r="B3881" s="149" t="str">
        <f>IFERROR(VLOOKUP(Proc[[#This Row],[App]],Table2[],3,0),"open")</f>
        <v>ok</v>
      </c>
      <c r="C3881" s="142" t="s">
        <v>369</v>
      </c>
      <c r="D3881" t="s">
        <v>6037</v>
      </c>
      <c r="E3881" t="s">
        <v>6172</v>
      </c>
      <c r="F3881" s="140" t="s">
        <v>6172</v>
      </c>
      <c r="G3881" s="142" t="s">
        <v>406</v>
      </c>
      <c r="H3881" s="140" t="str">
        <f>IF(Proc[[#This Row],[type]]="LFF (MDG-F)",MID(Proc[[#This Row],[Obj]],13,10),"")</f>
        <v>JP01TFOZ02</v>
      </c>
      <c r="J3881" s="140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40" t="s">
        <v>4894</v>
      </c>
      <c r="M3881" s="136">
        <v>45902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67</v>
      </c>
      <c r="R3881" s="136" t="s">
        <v>6087</v>
      </c>
      <c r="S3881" s="140"/>
    </row>
    <row r="3882" spans="1:19" hidden="1">
      <c r="A3882" s="142" t="s">
        <v>6201</v>
      </c>
      <c r="B3882" s="149" t="str">
        <f>IFERROR(VLOOKUP(Proc[[#This Row],[App]],Table2[],3,0),"open")</f>
        <v>ok</v>
      </c>
      <c r="C3882" s="142" t="s">
        <v>369</v>
      </c>
      <c r="D3882" t="s">
        <v>6038</v>
      </c>
      <c r="E3882" t="s">
        <v>6172</v>
      </c>
      <c r="F3882" s="140" t="s">
        <v>6172</v>
      </c>
      <c r="G3882" s="142" t="s">
        <v>406</v>
      </c>
      <c r="H3882" s="140" t="str">
        <f>IF(Proc[[#This Row],[type]]="LFF (MDG-F)",MID(Proc[[#This Row],[Obj]],13,10),"")</f>
        <v>JP01TFOZ03</v>
      </c>
      <c r="J3882" s="140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40" t="s">
        <v>4894</v>
      </c>
      <c r="M3882" s="136">
        <v>45902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67</v>
      </c>
      <c r="R3882" s="136" t="s">
        <v>6087</v>
      </c>
      <c r="S3882" s="140"/>
    </row>
    <row r="3883" spans="1:19" hidden="1">
      <c r="A3883" s="142" t="s">
        <v>6201</v>
      </c>
      <c r="B3883" s="149" t="str">
        <f>IFERROR(VLOOKUP(Proc[[#This Row],[App]],Table2[],3,0),"open")</f>
        <v>ok</v>
      </c>
      <c r="C3883" s="142" t="s">
        <v>369</v>
      </c>
      <c r="D3883" t="s">
        <v>6058</v>
      </c>
      <c r="E3883" t="s">
        <v>1251</v>
      </c>
      <c r="F3883" s="140" t="s">
        <v>1251</v>
      </c>
      <c r="G3883" s="142" t="s">
        <v>406</v>
      </c>
      <c r="H3883" s="140" t="str">
        <f>IF(Proc[[#This Row],[type]]="LFF (MDG-F)",MID(Proc[[#This Row],[Obj]],13,10),"")</f>
        <v>JP01Z03725</v>
      </c>
      <c r="J3883" s="140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40" t="s">
        <v>4894</v>
      </c>
      <c r="M3883" s="136">
        <v>45902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67</v>
      </c>
      <c r="R3883" s="136" t="s">
        <v>6087</v>
      </c>
      <c r="S3883" s="140"/>
    </row>
    <row r="3884" spans="1:19" hidden="1">
      <c r="A3884" s="142" t="s">
        <v>6201</v>
      </c>
      <c r="B3884" s="149" t="str">
        <f>IFERROR(VLOOKUP(Proc[[#This Row],[App]],Table2[],3,0),"open")</f>
        <v>ok</v>
      </c>
      <c r="C3884" s="142" t="s">
        <v>369</v>
      </c>
      <c r="D3884" t="s">
        <v>6055</v>
      </c>
      <c r="E3884" t="s">
        <v>2044</v>
      </c>
      <c r="F3884" s="140" t="s">
        <v>2044</v>
      </c>
      <c r="G3884" s="142" t="s">
        <v>406</v>
      </c>
      <c r="H3884" s="140" t="str">
        <f>IF(Proc[[#This Row],[type]]="LFF (MDG-F)",MID(Proc[[#This Row],[Obj]],13,10),"")</f>
        <v>JP01Z03104</v>
      </c>
      <c r="J3884" s="140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40" t="s">
        <v>4894</v>
      </c>
      <c r="M3884" s="136">
        <v>45902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67</v>
      </c>
      <c r="R3884" s="136" t="s">
        <v>6087</v>
      </c>
      <c r="S3884" s="140"/>
    </row>
    <row r="3885" spans="1:19" hidden="1">
      <c r="A3885" s="142" t="s">
        <v>6201</v>
      </c>
      <c r="B3885" s="149" t="str">
        <f>IFERROR(VLOOKUP(Proc[[#This Row],[App]],Table2[],3,0),"open")</f>
        <v>ok</v>
      </c>
      <c r="C3885" s="142" t="s">
        <v>369</v>
      </c>
      <c r="D3885" t="s">
        <v>6056</v>
      </c>
      <c r="E3885" t="s">
        <v>6173</v>
      </c>
      <c r="F3885" s="140" t="s">
        <v>6173</v>
      </c>
      <c r="G3885" s="142" t="s">
        <v>406</v>
      </c>
      <c r="H3885" s="140" t="str">
        <f>IF(Proc[[#This Row],[type]]="LFF (MDG-F)",MID(Proc[[#This Row],[Obj]],13,10),"")</f>
        <v>JP01Z03105</v>
      </c>
      <c r="J3885" s="140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40" t="s">
        <v>4894</v>
      </c>
      <c r="M3885" s="136">
        <v>45902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67</v>
      </c>
      <c r="R3885" s="136" t="s">
        <v>6087</v>
      </c>
      <c r="S3885" s="140"/>
    </row>
    <row r="3886" spans="1:19" hidden="1">
      <c r="A3886" s="142" t="s">
        <v>6201</v>
      </c>
      <c r="B3886" s="149" t="str">
        <f>IFERROR(VLOOKUP(Proc[[#This Row],[App]],Table2[],3,0),"open")</f>
        <v>ok</v>
      </c>
      <c r="C3886" s="142" t="s">
        <v>369</v>
      </c>
      <c r="D3886" t="s">
        <v>5945</v>
      </c>
      <c r="E3886" t="s">
        <v>6174</v>
      </c>
      <c r="F3886" s="140" t="s">
        <v>6174</v>
      </c>
      <c r="G3886" s="142" t="s">
        <v>406</v>
      </c>
      <c r="H3886" s="140" t="str">
        <f>IF(Proc[[#This Row],[type]]="LFF (MDG-F)",MID(Proc[[#This Row],[Obj]],13,10),"")</f>
        <v>JP01C00020</v>
      </c>
      <c r="J3886" s="140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40" t="s">
        <v>4894</v>
      </c>
      <c r="M3886" s="136">
        <v>45902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67</v>
      </c>
      <c r="R3886" s="136" t="s">
        <v>6087</v>
      </c>
      <c r="S3886" s="140"/>
    </row>
    <row r="3887" spans="1:19" hidden="1">
      <c r="A3887" s="142" t="s">
        <v>6201</v>
      </c>
      <c r="B3887" s="149" t="str">
        <f>IFERROR(VLOOKUP(Proc[[#This Row],[App]],Table2[],3,0),"open")</f>
        <v>ok</v>
      </c>
      <c r="C3887" s="142" t="s">
        <v>369</v>
      </c>
      <c r="D3887" t="s">
        <v>5946</v>
      </c>
      <c r="E3887" t="s">
        <v>6175</v>
      </c>
      <c r="F3887" s="140" t="s">
        <v>6175</v>
      </c>
      <c r="G3887" s="142" t="s">
        <v>406</v>
      </c>
      <c r="H3887" s="140" t="str">
        <f>IF(Proc[[#This Row],[type]]="LFF (MDG-F)",MID(Proc[[#This Row],[Obj]],13,10),"")</f>
        <v>JP01C00301</v>
      </c>
      <c r="J3887" s="140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40" t="s">
        <v>4894</v>
      </c>
      <c r="M3887" s="136">
        <v>45902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67</v>
      </c>
      <c r="R3887" s="136" t="s">
        <v>6087</v>
      </c>
      <c r="S3887" s="140"/>
    </row>
    <row r="3888" spans="1:19" hidden="1">
      <c r="A3888" s="142" t="s">
        <v>6201</v>
      </c>
      <c r="B3888" s="149" t="str">
        <f>IFERROR(VLOOKUP(Proc[[#This Row],[App]],Table2[],3,0),"open")</f>
        <v>ok</v>
      </c>
      <c r="C3888" s="142" t="s">
        <v>369</v>
      </c>
      <c r="D3888" t="s">
        <v>5947</v>
      </c>
      <c r="E3888" t="s">
        <v>6175</v>
      </c>
      <c r="F3888" s="140" t="s">
        <v>6175</v>
      </c>
      <c r="G3888" s="142" t="s">
        <v>406</v>
      </c>
      <c r="H3888" s="140" t="str">
        <f>IF(Proc[[#This Row],[type]]="LFF (MDG-F)",MID(Proc[[#This Row],[Obj]],13,10),"")</f>
        <v>JP01C00401</v>
      </c>
      <c r="J3888" s="140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40" t="s">
        <v>4894</v>
      </c>
      <c r="M3888" s="136">
        <v>45902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67</v>
      </c>
      <c r="R3888" s="136" t="s">
        <v>6087</v>
      </c>
      <c r="S3888" s="140"/>
    </row>
    <row r="3889" spans="1:19" hidden="1">
      <c r="A3889" s="142" t="s">
        <v>6201</v>
      </c>
      <c r="B3889" s="149" t="str">
        <f>IFERROR(VLOOKUP(Proc[[#This Row],[App]],Table2[],3,0),"open")</f>
        <v>ok</v>
      </c>
      <c r="C3889" s="142" t="s">
        <v>369</v>
      </c>
      <c r="D3889" t="s">
        <v>5976</v>
      </c>
      <c r="E3889" t="s">
        <v>6176</v>
      </c>
      <c r="F3889" s="140" t="s">
        <v>6176</v>
      </c>
      <c r="G3889" s="142" t="s">
        <v>406</v>
      </c>
      <c r="H3889" s="140" t="str">
        <f>IF(Proc[[#This Row],[type]]="LFF (MDG-F)",MID(Proc[[#This Row],[Obj]],13,10),"")</f>
        <v>JP01GMW080</v>
      </c>
      <c r="J3889" s="140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40" t="s">
        <v>4894</v>
      </c>
      <c r="M3889" s="136">
        <v>45902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67</v>
      </c>
      <c r="R3889" s="136" t="s">
        <v>6087</v>
      </c>
      <c r="S3889" s="140"/>
    </row>
    <row r="3890" spans="1:19" hidden="1">
      <c r="A3890" s="142" t="s">
        <v>6201</v>
      </c>
      <c r="B3890" s="149" t="str">
        <f>IFERROR(VLOOKUP(Proc[[#This Row],[App]],Table2[],3,0),"open")</f>
        <v>ok</v>
      </c>
      <c r="C3890" s="142" t="s">
        <v>369</v>
      </c>
      <c r="D3890" t="s">
        <v>5994</v>
      </c>
      <c r="E3890" t="s">
        <v>2681</v>
      </c>
      <c r="F3890" s="140" t="s">
        <v>2681</v>
      </c>
      <c r="G3890" s="142" t="s">
        <v>406</v>
      </c>
      <c r="H3890" s="140" t="str">
        <f>IF(Proc[[#This Row],[type]]="LFF (MDG-F)",MID(Proc[[#This Row],[Obj]],13,10),"")</f>
        <v>JP01O05000</v>
      </c>
      <c r="J3890" s="140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40" t="s">
        <v>4894</v>
      </c>
      <c r="M3890" s="136">
        <v>45902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67</v>
      </c>
      <c r="R3890" s="136" t="s">
        <v>6087</v>
      </c>
      <c r="S3890" s="140"/>
    </row>
    <row r="3891" spans="1:19" hidden="1">
      <c r="A3891" s="142" t="s">
        <v>6201</v>
      </c>
      <c r="B3891" s="149" t="str">
        <f>IFERROR(VLOOKUP(Proc[[#This Row],[App]],Table2[],3,0),"open")</f>
        <v>ok</v>
      </c>
      <c r="C3891" s="142" t="s">
        <v>369</v>
      </c>
      <c r="D3891" t="s">
        <v>5996</v>
      </c>
      <c r="E3891" t="s">
        <v>2681</v>
      </c>
      <c r="F3891" s="140" t="s">
        <v>2681</v>
      </c>
      <c r="G3891" s="142" t="s">
        <v>406</v>
      </c>
      <c r="H3891" s="140" t="str">
        <f>IF(Proc[[#This Row],[type]]="LFF (MDG-F)",MID(Proc[[#This Row],[Obj]],13,10),"")</f>
        <v>JP01O05002</v>
      </c>
      <c r="J3891" s="140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40" t="s">
        <v>4894</v>
      </c>
      <c r="M3891" s="136">
        <v>45902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67</v>
      </c>
      <c r="R3891" s="136" t="s">
        <v>6087</v>
      </c>
      <c r="S3891" s="140"/>
    </row>
    <row r="3892" spans="1:19" hidden="1">
      <c r="A3892" s="142" t="s">
        <v>6201</v>
      </c>
      <c r="B3892" s="149" t="str">
        <f>IFERROR(VLOOKUP(Proc[[#This Row],[App]],Table2[],3,0),"open")</f>
        <v>ok</v>
      </c>
      <c r="C3892" s="142" t="s">
        <v>369</v>
      </c>
      <c r="D3892" t="s">
        <v>5997</v>
      </c>
      <c r="E3892" t="s">
        <v>2681</v>
      </c>
      <c r="F3892" s="140" t="s">
        <v>2681</v>
      </c>
      <c r="G3892" s="142" t="s">
        <v>406</v>
      </c>
      <c r="H3892" s="140" t="str">
        <f>IF(Proc[[#This Row],[type]]="LFF (MDG-F)",MID(Proc[[#This Row],[Obj]],13,10),"")</f>
        <v>JP01O05003</v>
      </c>
      <c r="J3892" s="140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40" t="s">
        <v>4894</v>
      </c>
      <c r="M3892" s="136">
        <v>45902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67</v>
      </c>
      <c r="R3892" s="136" t="s">
        <v>6087</v>
      </c>
      <c r="S3892" s="140"/>
    </row>
    <row r="3893" spans="1:19" hidden="1">
      <c r="A3893" s="142" t="s">
        <v>6201</v>
      </c>
      <c r="B3893" s="149" t="str">
        <f>IFERROR(VLOOKUP(Proc[[#This Row],[App]],Table2[],3,0),"open")</f>
        <v>ok</v>
      </c>
      <c r="C3893" s="142" t="s">
        <v>369</v>
      </c>
      <c r="D3893" t="s">
        <v>5998</v>
      </c>
      <c r="E3893" t="s">
        <v>2681</v>
      </c>
      <c r="F3893" s="140" t="s">
        <v>2681</v>
      </c>
      <c r="G3893" s="142" t="s">
        <v>406</v>
      </c>
      <c r="H3893" s="140" t="str">
        <f>IF(Proc[[#This Row],[type]]="LFF (MDG-F)",MID(Proc[[#This Row],[Obj]],13,10),"")</f>
        <v>JP01O05004</v>
      </c>
      <c r="J3893" s="140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40" t="s">
        <v>4894</v>
      </c>
      <c r="M3893" s="136">
        <v>45902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67</v>
      </c>
      <c r="R3893" s="136" t="s">
        <v>6087</v>
      </c>
      <c r="S3893" s="140"/>
    </row>
    <row r="3894" spans="1:19" hidden="1">
      <c r="A3894" s="142" t="s">
        <v>6201</v>
      </c>
      <c r="B3894" s="149" t="str">
        <f>IFERROR(VLOOKUP(Proc[[#This Row],[App]],Table2[],3,0),"open")</f>
        <v>ok</v>
      </c>
      <c r="C3894" s="149" t="s">
        <v>369</v>
      </c>
      <c r="D3894" t="s">
        <v>6046</v>
      </c>
      <c r="E3894" t="s">
        <v>735</v>
      </c>
      <c r="F3894" s="150" t="s">
        <v>735</v>
      </c>
      <c r="G3894" s="142" t="s">
        <v>406</v>
      </c>
      <c r="H3894" s="140" t="str">
        <f>IF(Proc[[#This Row],[type]]="LFF (MDG-F)",MID(Proc[[#This Row],[Obj]],13,10),"")</f>
        <v>JP01Z01000</v>
      </c>
      <c r="J3894" s="140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40" t="s">
        <v>4894</v>
      </c>
      <c r="M3894" s="136">
        <v>45902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67</v>
      </c>
      <c r="R3894" s="136" t="s">
        <v>6087</v>
      </c>
      <c r="S3894" s="140"/>
    </row>
    <row r="3895" spans="1:19" hidden="1">
      <c r="A3895" s="142" t="s">
        <v>6201</v>
      </c>
      <c r="B3895" s="149" t="str">
        <f>IFERROR(VLOOKUP(Proc[[#This Row],[App]],Table2[],3,0),"open")</f>
        <v>ok</v>
      </c>
      <c r="C3895" s="142" t="s">
        <v>369</v>
      </c>
      <c r="D3895" t="s">
        <v>6047</v>
      </c>
      <c r="E3895" t="s">
        <v>6177</v>
      </c>
      <c r="F3895" s="140" t="s">
        <v>6177</v>
      </c>
      <c r="G3895" s="142" t="s">
        <v>406</v>
      </c>
      <c r="H3895" s="140" t="str">
        <f>IF(Proc[[#This Row],[type]]="LFF (MDG-F)",MID(Proc[[#This Row],[Obj]],13,10),"")</f>
        <v>JP01Z01IF9</v>
      </c>
      <c r="J3895" s="140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40" t="s">
        <v>4894</v>
      </c>
      <c r="M3895" s="136">
        <v>45902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67</v>
      </c>
      <c r="R3895" s="136" t="s">
        <v>6087</v>
      </c>
      <c r="S3895" s="140"/>
    </row>
    <row r="3896" spans="1:19" hidden="1">
      <c r="A3896" s="142" t="s">
        <v>6201</v>
      </c>
      <c r="B3896" s="149" t="str">
        <f>IFERROR(VLOOKUP(Proc[[#This Row],[App]],Table2[],3,0),"open")</f>
        <v>ok</v>
      </c>
      <c r="C3896" s="142" t="s">
        <v>369</v>
      </c>
      <c r="D3896" t="s">
        <v>6048</v>
      </c>
      <c r="E3896" t="s">
        <v>6178</v>
      </c>
      <c r="F3896" s="140" t="s">
        <v>6178</v>
      </c>
      <c r="G3896" s="142" t="s">
        <v>406</v>
      </c>
      <c r="H3896" s="140" t="str">
        <f>IF(Proc[[#This Row],[type]]="LFF (MDG-F)",MID(Proc[[#This Row],[Obj]],13,10),"")</f>
        <v>JP01Z02141</v>
      </c>
      <c r="J3896" s="140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40" t="s">
        <v>4894</v>
      </c>
      <c r="M3896" s="136">
        <v>45902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67</v>
      </c>
      <c r="R3896" s="136" t="s">
        <v>6087</v>
      </c>
      <c r="S3896" s="140"/>
    </row>
    <row r="3897" spans="1:19" hidden="1">
      <c r="A3897" s="142" t="s">
        <v>6201</v>
      </c>
      <c r="B3897" s="149" t="str">
        <f>IFERROR(VLOOKUP(Proc[[#This Row],[App]],Table2[],3,0),"open")</f>
        <v>ok</v>
      </c>
      <c r="C3897" s="142" t="s">
        <v>369</v>
      </c>
      <c r="D3897" t="s">
        <v>6049</v>
      </c>
      <c r="E3897" t="s">
        <v>6179</v>
      </c>
      <c r="F3897" s="140" t="s">
        <v>6179</v>
      </c>
      <c r="G3897" s="142" t="s">
        <v>406</v>
      </c>
      <c r="H3897" s="140" t="str">
        <f>IF(Proc[[#This Row],[type]]="LFF (MDG-F)",MID(Proc[[#This Row],[Obj]],13,10),"")</f>
        <v>JP01Z02171</v>
      </c>
      <c r="J3897" s="140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40" t="s">
        <v>4894</v>
      </c>
      <c r="M3897" s="136">
        <v>45902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67</v>
      </c>
      <c r="R3897" s="136" t="s">
        <v>6087</v>
      </c>
      <c r="S3897" s="140"/>
    </row>
    <row r="3898" spans="1:19" hidden="1">
      <c r="A3898" s="142" t="s">
        <v>6201</v>
      </c>
      <c r="B3898" s="149" t="str">
        <f>IFERROR(VLOOKUP(Proc[[#This Row],[App]],Table2[],3,0),"open")</f>
        <v>ok</v>
      </c>
      <c r="C3898" s="142" t="s">
        <v>369</v>
      </c>
      <c r="D3898" t="s">
        <v>6050</v>
      </c>
      <c r="E3898" t="s">
        <v>6179</v>
      </c>
      <c r="F3898" s="140" t="s">
        <v>6179</v>
      </c>
      <c r="G3898" s="142" t="s">
        <v>406</v>
      </c>
      <c r="H3898" s="140" t="str">
        <f>IF(Proc[[#This Row],[type]]="LFF (MDG-F)",MID(Proc[[#This Row],[Obj]],13,10),"")</f>
        <v>JP01Z02173</v>
      </c>
      <c r="J3898" s="140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40" t="s">
        <v>4894</v>
      </c>
      <c r="M3898" s="136">
        <v>45902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67</v>
      </c>
      <c r="R3898" s="136" t="s">
        <v>6087</v>
      </c>
      <c r="S3898" s="140"/>
    </row>
    <row r="3899" spans="1:19" hidden="1">
      <c r="A3899" s="142" t="s">
        <v>6201</v>
      </c>
      <c r="B3899" s="149" t="str">
        <f>IFERROR(VLOOKUP(Proc[[#This Row],[App]],Table2[],3,0),"open")</f>
        <v>ok</v>
      </c>
      <c r="C3899" s="142" t="s">
        <v>369</v>
      </c>
      <c r="D3899" t="s">
        <v>6051</v>
      </c>
      <c r="E3899" t="s">
        <v>6179</v>
      </c>
      <c r="F3899" s="140" t="s">
        <v>6179</v>
      </c>
      <c r="G3899" s="142" t="s">
        <v>406</v>
      </c>
      <c r="H3899" s="140" t="str">
        <f>IF(Proc[[#This Row],[type]]="LFF (MDG-F)",MID(Proc[[#This Row],[Obj]],13,10),"")</f>
        <v>JP01Z02174</v>
      </c>
      <c r="J3899" s="140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40" t="s">
        <v>4894</v>
      </c>
      <c r="M3899" s="136">
        <v>45902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67</v>
      </c>
      <c r="R3899" s="136" t="s">
        <v>6087</v>
      </c>
      <c r="S3899" s="140"/>
    </row>
    <row r="3900" spans="1:19" hidden="1">
      <c r="A3900" s="142" t="s">
        <v>6201</v>
      </c>
      <c r="B3900" s="149" t="str">
        <f>IFERROR(VLOOKUP(Proc[[#This Row],[App]],Table2[],3,0),"open")</f>
        <v>ok</v>
      </c>
      <c r="C3900" s="142" t="s">
        <v>369</v>
      </c>
      <c r="D3900" t="s">
        <v>6052</v>
      </c>
      <c r="E3900" t="s">
        <v>6179</v>
      </c>
      <c r="F3900" s="140" t="s">
        <v>6179</v>
      </c>
      <c r="G3900" s="142" t="s">
        <v>406</v>
      </c>
      <c r="H3900" s="140" t="str">
        <f>IF(Proc[[#This Row],[type]]="LFF (MDG-F)",MID(Proc[[#This Row],[Obj]],13,10),"")</f>
        <v>JP01Z02175</v>
      </c>
      <c r="J3900" s="140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40" t="s">
        <v>4894</v>
      </c>
      <c r="M3900" s="136">
        <v>45902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67</v>
      </c>
      <c r="R3900" s="136" t="s">
        <v>6087</v>
      </c>
      <c r="S3900" s="140"/>
    </row>
    <row r="3901" spans="1:19" hidden="1">
      <c r="A3901" s="142" t="s">
        <v>6201</v>
      </c>
      <c r="B3901" s="149" t="str">
        <f>IFERROR(VLOOKUP(Proc[[#This Row],[App]],Table2[],3,0),"open")</f>
        <v>ok</v>
      </c>
      <c r="C3901" s="142" t="s">
        <v>369</v>
      </c>
      <c r="D3901" t="s">
        <v>6053</v>
      </c>
      <c r="E3901" t="s">
        <v>6180</v>
      </c>
      <c r="F3901" s="140" t="s">
        <v>6180</v>
      </c>
      <c r="G3901" s="142" t="s">
        <v>406</v>
      </c>
      <c r="H3901" s="140" t="str">
        <f>IF(Proc[[#This Row],[type]]="LFF (MDG-F)",MID(Proc[[#This Row],[Obj]],13,10),"")</f>
        <v>JP01Z02183</v>
      </c>
      <c r="J3901" s="140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40" t="s">
        <v>4894</v>
      </c>
      <c r="M3901" s="136">
        <v>45902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67</v>
      </c>
      <c r="R3901" s="136" t="s">
        <v>6087</v>
      </c>
      <c r="S3901" s="140"/>
    </row>
    <row r="3902" spans="1:19" hidden="1">
      <c r="A3902" s="142" t="s">
        <v>6201</v>
      </c>
      <c r="B3902" s="149" t="str">
        <f>IFERROR(VLOOKUP(Proc[[#This Row],[App]],Table2[],3,0),"open")</f>
        <v>ok</v>
      </c>
      <c r="C3902" s="142" t="s">
        <v>369</v>
      </c>
      <c r="D3902" t="s">
        <v>6057</v>
      </c>
      <c r="E3902" t="s">
        <v>6181</v>
      </c>
      <c r="F3902" s="140" t="s">
        <v>6181</v>
      </c>
      <c r="G3902" s="142" t="s">
        <v>406</v>
      </c>
      <c r="H3902" s="140" t="str">
        <f>IF(Proc[[#This Row],[type]]="LFF (MDG-F)",MID(Proc[[#This Row],[Obj]],13,10),"")</f>
        <v>JP01Z03700</v>
      </c>
      <c r="J3902" s="140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40" t="s">
        <v>4894</v>
      </c>
      <c r="M3902" s="136">
        <v>45902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67</v>
      </c>
      <c r="R3902" s="136" t="s">
        <v>6087</v>
      </c>
      <c r="S3902" s="140"/>
    </row>
    <row r="3903" spans="1:19" hidden="1">
      <c r="A3903" s="142" t="s">
        <v>6201</v>
      </c>
      <c r="B3903" s="149" t="str">
        <f>IFERROR(VLOOKUP(Proc[[#This Row],[App]],Table2[],3,0),"open")</f>
        <v>ok</v>
      </c>
      <c r="C3903" s="142" t="s">
        <v>369</v>
      </c>
      <c r="D3903" t="s">
        <v>5980</v>
      </c>
      <c r="E3903" t="s">
        <v>6182</v>
      </c>
      <c r="F3903" s="140" t="s">
        <v>6182</v>
      </c>
      <c r="G3903" s="142" t="s">
        <v>406</v>
      </c>
      <c r="H3903" s="140" t="str">
        <f>IF(Proc[[#This Row],[type]]="LFF (MDG-F)",MID(Proc[[#This Row],[Obj]],13,10),"")</f>
        <v>JP01GPS302</v>
      </c>
      <c r="J3903" s="140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40" t="s">
        <v>4894</v>
      </c>
      <c r="M3903" s="136">
        <v>45902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67</v>
      </c>
      <c r="R3903" s="136" t="s">
        <v>6087</v>
      </c>
      <c r="S3903" s="140"/>
    </row>
    <row r="3904" spans="1:19" hidden="1">
      <c r="A3904" s="142" t="s">
        <v>6201</v>
      </c>
      <c r="B3904" s="149" t="str">
        <f>IFERROR(VLOOKUP(Proc[[#This Row],[App]],Table2[],3,0),"open")</f>
        <v>ok</v>
      </c>
      <c r="C3904" s="142" t="s">
        <v>369</v>
      </c>
      <c r="D3904" t="s">
        <v>5977</v>
      </c>
      <c r="E3904" t="s">
        <v>6183</v>
      </c>
      <c r="F3904" s="140" t="s">
        <v>6183</v>
      </c>
      <c r="G3904" s="142" t="s">
        <v>406</v>
      </c>
      <c r="H3904" s="140" t="str">
        <f>IF(Proc[[#This Row],[type]]="LFF (MDG-F)",MID(Proc[[#This Row],[Obj]],13,10),"")</f>
        <v>JP01GPO301</v>
      </c>
      <c r="J3904" s="140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40" t="s">
        <v>4894</v>
      </c>
      <c r="M3904" s="136">
        <v>45902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67</v>
      </c>
      <c r="R3904" s="136" t="s">
        <v>6087</v>
      </c>
      <c r="S3904" s="140"/>
    </row>
    <row r="3905" spans="1:19" hidden="1">
      <c r="A3905" s="142" t="s">
        <v>6201</v>
      </c>
      <c r="B3905" s="149" t="str">
        <f>IFERROR(VLOOKUP(Proc[[#This Row],[App]],Table2[],3,0),"open")</f>
        <v>ok</v>
      </c>
      <c r="C3905" s="142" t="s">
        <v>369</v>
      </c>
      <c r="D3905" t="s">
        <v>5978</v>
      </c>
      <c r="E3905" t="s">
        <v>6104</v>
      </c>
      <c r="F3905" s="140" t="s">
        <v>6104</v>
      </c>
      <c r="G3905" s="142" t="s">
        <v>406</v>
      </c>
      <c r="H3905" s="140" t="str">
        <f>IF(Proc[[#This Row],[type]]="LFF (MDG-F)",MID(Proc[[#This Row],[Obj]],13,10),"")</f>
        <v>JP01GPO302</v>
      </c>
      <c r="J3905" s="140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40" t="s">
        <v>4894</v>
      </c>
      <c r="M3905" s="136">
        <v>45902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67</v>
      </c>
      <c r="R3905" s="136" t="s">
        <v>6087</v>
      </c>
      <c r="S3905" s="140"/>
    </row>
    <row r="3906" spans="1:19" hidden="1">
      <c r="A3906" s="142" t="s">
        <v>6201</v>
      </c>
      <c r="B3906" s="149" t="str">
        <f>IFERROR(VLOOKUP(Proc[[#This Row],[App]],Table2[],3,0),"open")</f>
        <v>ok</v>
      </c>
      <c r="C3906" s="142" t="s">
        <v>369</v>
      </c>
      <c r="D3906" t="s">
        <v>5967</v>
      </c>
      <c r="E3906" t="s">
        <v>424</v>
      </c>
      <c r="F3906" s="140" t="s">
        <v>424</v>
      </c>
      <c r="G3906" s="142" t="s">
        <v>406</v>
      </c>
      <c r="H3906" s="140" t="str">
        <f>IF(Proc[[#This Row],[type]]="LFF (MDG-F)",MID(Proc[[#This Row],[Obj]],13,10),"")</f>
        <v>JP01GIT01B</v>
      </c>
      <c r="J3906" s="140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40" t="s">
        <v>4894</v>
      </c>
      <c r="M3906" s="136">
        <v>45902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67</v>
      </c>
      <c r="R3906" s="136" t="s">
        <v>6087</v>
      </c>
      <c r="S3906" s="140"/>
    </row>
    <row r="3907" spans="1:19" hidden="1">
      <c r="A3907" s="142" t="s">
        <v>6201</v>
      </c>
      <c r="B3907" s="149" t="str">
        <f>IFERROR(VLOOKUP(Proc[[#This Row],[App]],Table2[],3,0),"open")</f>
        <v>ok</v>
      </c>
      <c r="C3907" s="142" t="s">
        <v>369</v>
      </c>
      <c r="D3907" t="s">
        <v>6021</v>
      </c>
      <c r="E3907" t="s">
        <v>6184</v>
      </c>
      <c r="F3907" s="140" t="s">
        <v>6184</v>
      </c>
      <c r="G3907" s="142" t="s">
        <v>406</v>
      </c>
      <c r="H3907" s="140" t="str">
        <f>IF(Proc[[#This Row],[type]]="LFF (MDG-F)",MID(Proc[[#This Row],[Obj]],13,10),"")</f>
        <v>JP01TAOZ02</v>
      </c>
      <c r="J3907" s="140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40" t="s">
        <v>4894</v>
      </c>
      <c r="M3907" s="136">
        <v>45902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67</v>
      </c>
      <c r="R3907" s="136" t="s">
        <v>6087</v>
      </c>
      <c r="S3907" s="140"/>
    </row>
    <row r="3908" spans="1:19" hidden="1">
      <c r="A3908" s="142" t="s">
        <v>6201</v>
      </c>
      <c r="B3908" s="149" t="str">
        <f>IFERROR(VLOOKUP(Proc[[#This Row],[App]],Table2[],3,0),"open")</f>
        <v>ok</v>
      </c>
      <c r="C3908" s="142" t="s">
        <v>369</v>
      </c>
      <c r="D3908" t="s">
        <v>6024</v>
      </c>
      <c r="E3908" t="s">
        <v>6184</v>
      </c>
      <c r="F3908" s="140" t="s">
        <v>6184</v>
      </c>
      <c r="G3908" s="142" t="s">
        <v>406</v>
      </c>
      <c r="H3908" s="140" t="str">
        <f>IF(Proc[[#This Row],[type]]="LFF (MDG-F)",MID(Proc[[#This Row],[Obj]],13,10),"")</f>
        <v>JP01TAOZ05</v>
      </c>
      <c r="J3908" s="140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40" t="s">
        <v>4894</v>
      </c>
      <c r="M3908" s="136">
        <v>45902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67</v>
      </c>
      <c r="R3908" s="136" t="s">
        <v>6087</v>
      </c>
      <c r="S3908" s="140"/>
    </row>
    <row r="3909" spans="1:19" hidden="1">
      <c r="A3909" s="142" t="s">
        <v>6201</v>
      </c>
      <c r="B3909" s="149" t="str">
        <f>IFERROR(VLOOKUP(Proc[[#This Row],[App]],Table2[],3,0),"open")</f>
        <v>ok</v>
      </c>
      <c r="C3909" s="142" t="s">
        <v>369</v>
      </c>
      <c r="D3909" t="s">
        <v>5966</v>
      </c>
      <c r="E3909" t="s">
        <v>6185</v>
      </c>
      <c r="F3909" s="140" t="s">
        <v>6185</v>
      </c>
      <c r="G3909" s="142" t="s">
        <v>406</v>
      </c>
      <c r="H3909" s="140" t="str">
        <f>IF(Proc[[#This Row],[type]]="LFF (MDG-F)",MID(Proc[[#This Row],[Obj]],13,10),"")</f>
        <v>JP01GHR303</v>
      </c>
      <c r="J3909" s="140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40" t="s">
        <v>4894</v>
      </c>
      <c r="M3909" s="136">
        <v>45902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67</v>
      </c>
      <c r="R3909" s="136" t="s">
        <v>6087</v>
      </c>
      <c r="S3909" s="140"/>
    </row>
    <row r="3910" spans="1:19" hidden="1">
      <c r="A3910" s="142" t="s">
        <v>6201</v>
      </c>
      <c r="B3910" s="149" t="str">
        <f>IFERROR(VLOOKUP(Proc[[#This Row],[App]],Table2[],3,0),"open")</f>
        <v>ok</v>
      </c>
      <c r="C3910" s="142" t="s">
        <v>369</v>
      </c>
      <c r="D3910" t="s">
        <v>6054</v>
      </c>
      <c r="E3910" t="s">
        <v>3225</v>
      </c>
      <c r="F3910" s="140" t="s">
        <v>3225</v>
      </c>
      <c r="G3910" s="142" t="s">
        <v>406</v>
      </c>
      <c r="H3910" s="140" t="str">
        <f>IF(Proc[[#This Row],[type]]="LFF (MDG-F)",MID(Proc[[#This Row],[Obj]],13,10),"")</f>
        <v>JP01Z03103</v>
      </c>
      <c r="J3910" s="140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40" t="s">
        <v>4894</v>
      </c>
      <c r="M3910" s="136">
        <v>45902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67</v>
      </c>
      <c r="R3910" s="136" t="s">
        <v>6087</v>
      </c>
      <c r="S3910" s="140"/>
    </row>
    <row r="3911" spans="1:19" hidden="1">
      <c r="A3911" s="142" t="s">
        <v>6201</v>
      </c>
      <c r="B3911" s="149" t="str">
        <f>IFERROR(VLOOKUP(Proc[[#This Row],[App]],Table2[],3,0),"open")</f>
        <v>ok</v>
      </c>
      <c r="C3911" s="142" t="s">
        <v>369</v>
      </c>
      <c r="D3911" t="s">
        <v>6008</v>
      </c>
      <c r="E3911" t="s">
        <v>6184</v>
      </c>
      <c r="F3911" s="140" t="s">
        <v>6184</v>
      </c>
      <c r="G3911" s="142" t="s">
        <v>406</v>
      </c>
      <c r="H3911" s="140" t="str">
        <f>IF(Proc[[#This Row],[type]]="LFF (MDG-F)",MID(Proc[[#This Row],[Obj]],13,10),"")</f>
        <v>JP01TAOC00</v>
      </c>
      <c r="J3911" s="140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40" t="s">
        <v>4894</v>
      </c>
      <c r="M3911" s="136">
        <v>45902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67</v>
      </c>
      <c r="R3911" s="136" t="s">
        <v>6087</v>
      </c>
      <c r="S3911" s="140"/>
    </row>
    <row r="3912" spans="1:19" hidden="1">
      <c r="A3912" s="142" t="s">
        <v>6201</v>
      </c>
      <c r="B3912" s="149" t="str">
        <f>IFERROR(VLOOKUP(Proc[[#This Row],[App]],Table2[],3,0),"open")</f>
        <v>ok</v>
      </c>
      <c r="C3912" s="142" t="s">
        <v>369</v>
      </c>
      <c r="D3912" t="s">
        <v>6009</v>
      </c>
      <c r="E3912" t="s">
        <v>6184</v>
      </c>
      <c r="F3912" s="140" t="s">
        <v>6184</v>
      </c>
      <c r="G3912" s="142" t="s">
        <v>406</v>
      </c>
      <c r="H3912" s="140" t="str">
        <f>IF(Proc[[#This Row],[type]]="LFF (MDG-F)",MID(Proc[[#This Row],[Obj]],13,10),"")</f>
        <v>JP01TAOC01</v>
      </c>
      <c r="J3912" s="140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40" t="s">
        <v>4894</v>
      </c>
      <c r="M3912" s="136">
        <v>45902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67</v>
      </c>
      <c r="R3912" s="136" t="s">
        <v>6087</v>
      </c>
      <c r="S3912" s="140"/>
    </row>
    <row r="3913" spans="1:19" hidden="1">
      <c r="A3913" s="142" t="s">
        <v>6201</v>
      </c>
      <c r="B3913" s="149" t="str">
        <f>IFERROR(VLOOKUP(Proc[[#This Row],[App]],Table2[],3,0),"open")</f>
        <v>ok</v>
      </c>
      <c r="C3913" s="142" t="s">
        <v>369</v>
      </c>
      <c r="D3913" t="s">
        <v>6011</v>
      </c>
      <c r="E3913" t="s">
        <v>6184</v>
      </c>
      <c r="F3913" s="140" t="s">
        <v>6184</v>
      </c>
      <c r="G3913" s="142" t="s">
        <v>406</v>
      </c>
      <c r="H3913" s="140" t="str">
        <f>IF(Proc[[#This Row],[type]]="LFF (MDG-F)",MID(Proc[[#This Row],[Obj]],13,10),"")</f>
        <v>JP01TAOC03</v>
      </c>
      <c r="J3913" s="140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40" t="s">
        <v>4894</v>
      </c>
      <c r="M3913" s="136">
        <v>45902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67</v>
      </c>
      <c r="R3913" s="136" t="s">
        <v>6087</v>
      </c>
      <c r="S3913" s="140"/>
    </row>
    <row r="3914" spans="1:19" hidden="1">
      <c r="A3914" s="142" t="s">
        <v>6201</v>
      </c>
      <c r="B3914" s="149" t="str">
        <f>IFERROR(VLOOKUP(Proc[[#This Row],[App]],Table2[],3,0),"open")</f>
        <v>ok</v>
      </c>
      <c r="C3914" s="142" t="s">
        <v>369</v>
      </c>
      <c r="D3914" t="s">
        <v>6012</v>
      </c>
      <c r="E3914" t="s">
        <v>6184</v>
      </c>
      <c r="F3914" s="140" t="s">
        <v>6184</v>
      </c>
      <c r="G3914" s="142" t="s">
        <v>406</v>
      </c>
      <c r="H3914" s="140" t="str">
        <f>IF(Proc[[#This Row],[type]]="LFF (MDG-F)",MID(Proc[[#This Row],[Obj]],13,10),"")</f>
        <v>JP01TAOC99</v>
      </c>
      <c r="J3914" s="140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40" t="s">
        <v>4894</v>
      </c>
      <c r="M3914" s="136">
        <v>45902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67</v>
      </c>
      <c r="R3914" s="136" t="s">
        <v>6087</v>
      </c>
      <c r="S3914" s="140"/>
    </row>
    <row r="3915" spans="1:19" hidden="1">
      <c r="A3915" s="142" t="s">
        <v>6201</v>
      </c>
      <c r="B3915" s="149" t="str">
        <f>IFERROR(VLOOKUP(Proc[[#This Row],[App]],Table2[],3,0),"open")</f>
        <v>ok</v>
      </c>
      <c r="C3915" s="142" t="s">
        <v>369</v>
      </c>
      <c r="D3915" t="s">
        <v>6013</v>
      </c>
      <c r="E3915" t="s">
        <v>6184</v>
      </c>
      <c r="F3915" s="140" t="s">
        <v>6184</v>
      </c>
      <c r="G3915" s="142" t="s">
        <v>406</v>
      </c>
      <c r="H3915" s="140" t="str">
        <f>IF(Proc[[#This Row],[type]]="LFF (MDG-F)",MID(Proc[[#This Row],[Obj]],13,10),"")</f>
        <v>JP01TAOD00</v>
      </c>
      <c r="J3915" s="140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40" t="s">
        <v>4894</v>
      </c>
      <c r="M3915" s="136">
        <v>45902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67</v>
      </c>
      <c r="R3915" s="136" t="s">
        <v>6087</v>
      </c>
      <c r="S3915" s="140"/>
    </row>
    <row r="3916" spans="1:19" hidden="1">
      <c r="A3916" s="142" t="s">
        <v>6201</v>
      </c>
      <c r="B3916" s="149" t="str">
        <f>IFERROR(VLOOKUP(Proc[[#This Row],[App]],Table2[],3,0),"open")</f>
        <v>ok</v>
      </c>
      <c r="C3916" s="142" t="s">
        <v>369</v>
      </c>
      <c r="D3916" t="s">
        <v>6014</v>
      </c>
      <c r="E3916" t="s">
        <v>6184</v>
      </c>
      <c r="F3916" s="140" t="s">
        <v>6184</v>
      </c>
      <c r="G3916" s="142" t="s">
        <v>406</v>
      </c>
      <c r="H3916" s="140" t="str">
        <f>IF(Proc[[#This Row],[type]]="LFF (MDG-F)",MID(Proc[[#This Row],[Obj]],13,10),"")</f>
        <v>JP01TAOD01</v>
      </c>
      <c r="J3916" s="140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40" t="s">
        <v>4894</v>
      </c>
      <c r="M3916" s="136">
        <v>45902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67</v>
      </c>
      <c r="R3916" s="136" t="s">
        <v>6087</v>
      </c>
      <c r="S3916" s="140"/>
    </row>
    <row r="3917" spans="1:19" hidden="1">
      <c r="A3917" s="142" t="s">
        <v>6201</v>
      </c>
      <c r="B3917" s="149" t="str">
        <f>IFERROR(VLOOKUP(Proc[[#This Row],[App]],Table2[],3,0),"open")</f>
        <v>ok</v>
      </c>
      <c r="C3917" s="142" t="s">
        <v>369</v>
      </c>
      <c r="D3917" t="s">
        <v>6016</v>
      </c>
      <c r="E3917" t="s">
        <v>6184</v>
      </c>
      <c r="F3917" s="140" t="s">
        <v>6184</v>
      </c>
      <c r="G3917" s="142" t="s">
        <v>406</v>
      </c>
      <c r="H3917" s="140" t="str">
        <f>IF(Proc[[#This Row],[type]]="LFF (MDG-F)",MID(Proc[[#This Row],[Obj]],13,10),"")</f>
        <v>JP01TAOD99</v>
      </c>
      <c r="J3917" s="140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40" t="s">
        <v>4894</v>
      </c>
      <c r="M3917" s="136">
        <v>45902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67</v>
      </c>
      <c r="R3917" s="136" t="s">
        <v>6087</v>
      </c>
      <c r="S3917" s="140"/>
    </row>
    <row r="3918" spans="1:19" hidden="1">
      <c r="A3918" s="142" t="s">
        <v>6201</v>
      </c>
      <c r="B3918" s="149" t="str">
        <f>IFERROR(VLOOKUP(Proc[[#This Row],[App]],Table2[],3,0),"open")</f>
        <v>ok</v>
      </c>
      <c r="C3918" s="142" t="s">
        <v>369</v>
      </c>
      <c r="D3918" t="s">
        <v>6022</v>
      </c>
      <c r="E3918" t="s">
        <v>6184</v>
      </c>
      <c r="F3918" s="140" t="s">
        <v>6184</v>
      </c>
      <c r="G3918" s="142" t="s">
        <v>406</v>
      </c>
      <c r="H3918" s="140" t="str">
        <f>IF(Proc[[#This Row],[type]]="LFF (MDG-F)",MID(Proc[[#This Row],[Obj]],13,10),"")</f>
        <v>JP01TAOZ03</v>
      </c>
      <c r="J3918" s="140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40" t="s">
        <v>4894</v>
      </c>
      <c r="M3918" s="136">
        <v>45902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67</v>
      </c>
      <c r="R3918" s="136" t="s">
        <v>6087</v>
      </c>
      <c r="S3918" s="140"/>
    </row>
    <row r="3919" spans="1:19" hidden="1">
      <c r="A3919" s="142" t="s">
        <v>6201</v>
      </c>
      <c r="B3919" s="149" t="str">
        <f>IFERROR(VLOOKUP(Proc[[#This Row],[App]],Table2[],3,0),"open")</f>
        <v>ok</v>
      </c>
      <c r="C3919" s="142" t="s">
        <v>369</v>
      </c>
      <c r="D3919" t="s">
        <v>6029</v>
      </c>
      <c r="E3919" t="s">
        <v>6186</v>
      </c>
      <c r="F3919" s="140" t="s">
        <v>6186</v>
      </c>
      <c r="G3919" s="142" t="s">
        <v>406</v>
      </c>
      <c r="H3919" s="140" t="str">
        <f>IF(Proc[[#This Row],[type]]="LFF (MDG-F)",MID(Proc[[#This Row],[Obj]],13,10),"")</f>
        <v>JP01TDOZ01</v>
      </c>
      <c r="J3919" s="140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40" t="s">
        <v>4894</v>
      </c>
      <c r="M3919" s="136">
        <v>45902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67</v>
      </c>
      <c r="R3919" s="136" t="s">
        <v>6087</v>
      </c>
      <c r="S3919" s="140"/>
    </row>
    <row r="3920" spans="1:19" hidden="1">
      <c r="A3920" s="142" t="s">
        <v>6201</v>
      </c>
      <c r="B3920" s="149" t="str">
        <f>IFERROR(VLOOKUP(Proc[[#This Row],[App]],Table2[],3,0),"open")</f>
        <v>ok</v>
      </c>
      <c r="C3920" s="142" t="s">
        <v>369</v>
      </c>
      <c r="D3920" t="s">
        <v>6030</v>
      </c>
      <c r="E3920" t="s">
        <v>6186</v>
      </c>
      <c r="F3920" s="140" t="s">
        <v>6186</v>
      </c>
      <c r="G3920" s="142" t="s">
        <v>406</v>
      </c>
      <c r="H3920" s="140" t="str">
        <f>IF(Proc[[#This Row],[type]]="LFF (MDG-F)",MID(Proc[[#This Row],[Obj]],13,10),"")</f>
        <v>JP01TDOZ02</v>
      </c>
      <c r="J3920" s="140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40" t="s">
        <v>4894</v>
      </c>
      <c r="M3920" s="136">
        <v>45902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67</v>
      </c>
      <c r="R3920" s="136" t="s">
        <v>6087</v>
      </c>
      <c r="S3920" s="140"/>
    </row>
    <row r="3921" spans="1:19" hidden="1">
      <c r="A3921" s="142" t="s">
        <v>6201</v>
      </c>
      <c r="B3921" s="149" t="str">
        <f>IFERROR(VLOOKUP(Proc[[#This Row],[App]],Table2[],3,0),"open")</f>
        <v>ok</v>
      </c>
      <c r="C3921" s="142" t="s">
        <v>369</v>
      </c>
      <c r="D3921" t="s">
        <v>6031</v>
      </c>
      <c r="E3921" t="s">
        <v>6186</v>
      </c>
      <c r="F3921" s="140" t="s">
        <v>6186</v>
      </c>
      <c r="G3921" s="142" t="s">
        <v>406</v>
      </c>
      <c r="H3921" s="140" t="str">
        <f>IF(Proc[[#This Row],[type]]="LFF (MDG-F)",MID(Proc[[#This Row],[Obj]],13,10),"")</f>
        <v>JP01TDOZ03</v>
      </c>
      <c r="J3921" s="140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40" t="s">
        <v>4894</v>
      </c>
      <c r="M3921" s="136">
        <v>45902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67</v>
      </c>
      <c r="R3921" s="136" t="s">
        <v>6087</v>
      </c>
      <c r="S3921" s="140"/>
    </row>
    <row r="3922" spans="1:19" hidden="1">
      <c r="A3922" s="142" t="s">
        <v>6201</v>
      </c>
      <c r="B3922" s="149" t="str">
        <f>IFERROR(VLOOKUP(Proc[[#This Row],[App]],Table2[],3,0),"open")</f>
        <v>ok</v>
      </c>
      <c r="C3922" s="142" t="s">
        <v>369</v>
      </c>
      <c r="D3922" t="s">
        <v>6032</v>
      </c>
      <c r="E3922" t="s">
        <v>6186</v>
      </c>
      <c r="F3922" s="140" t="s">
        <v>6186</v>
      </c>
      <c r="G3922" s="142" t="s">
        <v>406</v>
      </c>
      <c r="H3922" s="140" t="str">
        <f>IF(Proc[[#This Row],[type]]="LFF (MDG-F)",MID(Proc[[#This Row],[Obj]],13,10),"")</f>
        <v>JP01TDOZ04</v>
      </c>
      <c r="J3922" s="140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40" t="s">
        <v>4894</v>
      </c>
      <c r="M3922" s="136">
        <v>45902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67</v>
      </c>
      <c r="R3922" s="136" t="s">
        <v>6087</v>
      </c>
      <c r="S3922" s="140"/>
    </row>
    <row r="3923" spans="1:19" hidden="1">
      <c r="A3923" s="142" t="s">
        <v>6201</v>
      </c>
      <c r="B3923" s="149" t="str">
        <f>IFERROR(VLOOKUP(Proc[[#This Row],[App]],Table2[],3,0),"open")</f>
        <v>ok</v>
      </c>
      <c r="C3923" s="142" t="s">
        <v>369</v>
      </c>
      <c r="D3923" t="s">
        <v>6033</v>
      </c>
      <c r="E3923" t="s">
        <v>6186</v>
      </c>
      <c r="F3923" s="140" t="s">
        <v>6186</v>
      </c>
      <c r="G3923" s="142" t="s">
        <v>406</v>
      </c>
      <c r="H3923" s="140" t="str">
        <f>IF(Proc[[#This Row],[type]]="LFF (MDG-F)",MID(Proc[[#This Row],[Obj]],13,10),"")</f>
        <v>JP01TDOZ05</v>
      </c>
      <c r="J3923" s="140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40" t="s">
        <v>4894</v>
      </c>
      <c r="M3923" s="136">
        <v>45902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67</v>
      </c>
      <c r="R3923" s="136" t="s">
        <v>6087</v>
      </c>
      <c r="S3923" s="140"/>
    </row>
    <row r="3924" spans="1:19" hidden="1">
      <c r="A3924" s="142" t="s">
        <v>6201</v>
      </c>
      <c r="B3924" s="149" t="str">
        <f>IFERROR(VLOOKUP(Proc[[#This Row],[App]],Table2[],3,0),"open")</f>
        <v>ok</v>
      </c>
      <c r="C3924" s="142" t="s">
        <v>369</v>
      </c>
      <c r="D3924" t="s">
        <v>6034</v>
      </c>
      <c r="E3924" t="s">
        <v>6186</v>
      </c>
      <c r="F3924" s="140" t="s">
        <v>6186</v>
      </c>
      <c r="G3924" s="142" t="s">
        <v>406</v>
      </c>
      <c r="H3924" s="140" t="str">
        <f>IF(Proc[[#This Row],[type]]="LFF (MDG-F)",MID(Proc[[#This Row],[Obj]],13,10),"")</f>
        <v>JP01TDOZ06</v>
      </c>
      <c r="J3924" s="140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40" t="s">
        <v>4894</v>
      </c>
      <c r="M3924" s="136">
        <v>45902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67</v>
      </c>
      <c r="R3924" s="136" t="s">
        <v>6087</v>
      </c>
      <c r="S3924" s="140"/>
    </row>
    <row r="3925" spans="1:19" hidden="1">
      <c r="A3925" s="142" t="s">
        <v>6201</v>
      </c>
      <c r="B3925" s="149" t="str">
        <f>IFERROR(VLOOKUP(Proc[[#This Row],[App]],Table2[],3,0),"open")</f>
        <v>ok</v>
      </c>
      <c r="C3925" s="142" t="s">
        <v>369</v>
      </c>
      <c r="D3925" t="s">
        <v>6035</v>
      </c>
      <c r="E3925" t="s">
        <v>6187</v>
      </c>
      <c r="F3925" s="140" t="s">
        <v>6187</v>
      </c>
      <c r="G3925" s="142" t="s">
        <v>406</v>
      </c>
      <c r="H3925" s="140" t="str">
        <f>IF(Proc[[#This Row],[type]]="LFF (MDG-F)",MID(Proc[[#This Row],[Obj]],13,10),"")</f>
        <v>JP01TEOZ01</v>
      </c>
      <c r="J3925" s="140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40" t="s">
        <v>4894</v>
      </c>
      <c r="M3925" s="136">
        <v>45902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67</v>
      </c>
      <c r="R3925" s="136" t="s">
        <v>6087</v>
      </c>
      <c r="S3925" s="140"/>
    </row>
    <row r="3926" spans="1:19" hidden="1">
      <c r="A3926" s="142" t="s">
        <v>6201</v>
      </c>
      <c r="B3926" s="149" t="str">
        <f>IFERROR(VLOOKUP(Proc[[#This Row],[App]],Table2[],3,0),"open")</f>
        <v>ok</v>
      </c>
      <c r="C3926" s="142" t="s">
        <v>369</v>
      </c>
      <c r="D3926" t="s">
        <v>6004</v>
      </c>
      <c r="E3926" t="s">
        <v>6184</v>
      </c>
      <c r="F3926" s="140" t="s">
        <v>6184</v>
      </c>
      <c r="G3926" s="142" t="s">
        <v>406</v>
      </c>
      <c r="H3926" s="140" t="str">
        <f>IF(Proc[[#This Row],[type]]="LFF (MDG-F)",MID(Proc[[#This Row],[Obj]],13,10),"")</f>
        <v>JP01TAOB00</v>
      </c>
      <c r="J3926" s="140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40" t="s">
        <v>4894</v>
      </c>
      <c r="M3926" s="136">
        <v>45902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67</v>
      </c>
      <c r="R3926" s="136" t="s">
        <v>6087</v>
      </c>
      <c r="S3926" s="140"/>
    </row>
    <row r="3927" spans="1:19" hidden="1">
      <c r="A3927" s="142" t="s">
        <v>6201</v>
      </c>
      <c r="B3927" s="149" t="str">
        <f>IFERROR(VLOOKUP(Proc[[#This Row],[App]],Table2[],3,0),"open")</f>
        <v>ok</v>
      </c>
      <c r="C3927" s="142" t="s">
        <v>369</v>
      </c>
      <c r="D3927" t="s">
        <v>6005</v>
      </c>
      <c r="E3927" t="s">
        <v>6184</v>
      </c>
      <c r="F3927" s="140" t="s">
        <v>6184</v>
      </c>
      <c r="G3927" s="142" t="s">
        <v>406</v>
      </c>
      <c r="H3927" s="140" t="str">
        <f>IF(Proc[[#This Row],[type]]="LFF (MDG-F)",MID(Proc[[#This Row],[Obj]],13,10),"")</f>
        <v>JP01TAOB01</v>
      </c>
      <c r="J3927" s="140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40" t="s">
        <v>4894</v>
      </c>
      <c r="M3927" s="136">
        <v>45902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67</v>
      </c>
      <c r="R3927" s="136" t="s">
        <v>6087</v>
      </c>
      <c r="S3927" s="140"/>
    </row>
    <row r="3928" spans="1:19" hidden="1">
      <c r="A3928" s="142" t="s">
        <v>6201</v>
      </c>
      <c r="B3928" s="149" t="str">
        <f>IFERROR(VLOOKUP(Proc[[#This Row],[App]],Table2[],3,0),"open")</f>
        <v>ok</v>
      </c>
      <c r="C3928" s="142" t="s">
        <v>369</v>
      </c>
      <c r="D3928" t="s">
        <v>6006</v>
      </c>
      <c r="E3928" t="s">
        <v>6184</v>
      </c>
      <c r="F3928" s="140" t="s">
        <v>6184</v>
      </c>
      <c r="G3928" s="142" t="s">
        <v>406</v>
      </c>
      <c r="H3928" s="140" t="str">
        <f>IF(Proc[[#This Row],[type]]="LFF (MDG-F)",MID(Proc[[#This Row],[Obj]],13,10),"")</f>
        <v>JP01TAOB02</v>
      </c>
      <c r="J3928" s="140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40" t="s">
        <v>4894</v>
      </c>
      <c r="M3928" s="136">
        <v>45902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67</v>
      </c>
      <c r="R3928" s="136" t="s">
        <v>6087</v>
      </c>
      <c r="S3928" s="140"/>
    </row>
    <row r="3929" spans="1:19" hidden="1">
      <c r="A3929" s="142" t="s">
        <v>6201</v>
      </c>
      <c r="B3929" s="149" t="str">
        <f>IFERROR(VLOOKUP(Proc[[#This Row],[App]],Table2[],3,0),"open")</f>
        <v>ok</v>
      </c>
      <c r="C3929" s="142" t="s">
        <v>369</v>
      </c>
      <c r="D3929" t="s">
        <v>6007</v>
      </c>
      <c r="E3929" t="s">
        <v>6184</v>
      </c>
      <c r="F3929" s="140" t="s">
        <v>6184</v>
      </c>
      <c r="G3929" s="142" t="s">
        <v>406</v>
      </c>
      <c r="H3929" s="140" t="str">
        <f>IF(Proc[[#This Row],[type]]="LFF (MDG-F)",MID(Proc[[#This Row],[Obj]],13,10),"")</f>
        <v>JP01TAOB99</v>
      </c>
      <c r="J3929" s="140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40" t="s">
        <v>4894</v>
      </c>
      <c r="M3929" s="136">
        <v>45902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67</v>
      </c>
      <c r="R3929" s="136" t="s">
        <v>6087</v>
      </c>
      <c r="S3929" s="140"/>
    </row>
    <row r="3930" spans="1:19" hidden="1">
      <c r="A3930" s="142" t="s">
        <v>6201</v>
      </c>
      <c r="B3930" s="149" t="str">
        <f>IFERROR(VLOOKUP(Proc[[#This Row],[App]],Table2[],3,0),"open")</f>
        <v>ok</v>
      </c>
      <c r="C3930" s="142" t="s">
        <v>369</v>
      </c>
      <c r="D3930" t="s">
        <v>6010</v>
      </c>
      <c r="E3930" t="s">
        <v>6184</v>
      </c>
      <c r="F3930" s="140" t="s">
        <v>6184</v>
      </c>
      <c r="G3930" s="142" t="s">
        <v>406</v>
      </c>
      <c r="H3930" s="140" t="str">
        <f>IF(Proc[[#This Row],[type]]="LFF (MDG-F)",MID(Proc[[#This Row],[Obj]],13,10),"")</f>
        <v>JP01TAOC02</v>
      </c>
      <c r="J3930" s="140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40" t="s">
        <v>4894</v>
      </c>
      <c r="M3930" s="136">
        <v>45902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67</v>
      </c>
      <c r="R3930" s="136" t="s">
        <v>6087</v>
      </c>
      <c r="S3930" s="140"/>
    </row>
    <row r="3931" spans="1:19" hidden="1">
      <c r="A3931" s="142" t="s">
        <v>6201</v>
      </c>
      <c r="B3931" s="149" t="str">
        <f>IFERROR(VLOOKUP(Proc[[#This Row],[App]],Table2[],3,0),"open")</f>
        <v>ok</v>
      </c>
      <c r="C3931" s="142" t="s">
        <v>369</v>
      </c>
      <c r="D3931" t="s">
        <v>6017</v>
      </c>
      <c r="E3931" t="s">
        <v>6184</v>
      </c>
      <c r="F3931" s="140" t="s">
        <v>6184</v>
      </c>
      <c r="G3931" s="142" t="s">
        <v>406</v>
      </c>
      <c r="H3931" s="140" t="str">
        <f>IF(Proc[[#This Row],[type]]="LFF (MDG-F)",MID(Proc[[#This Row],[Obj]],13,10),"")</f>
        <v>JP01TAOE00</v>
      </c>
      <c r="J3931" s="140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40" t="s">
        <v>4894</v>
      </c>
      <c r="M3931" s="136">
        <v>45902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67</v>
      </c>
      <c r="R3931" s="136" t="s">
        <v>6087</v>
      </c>
      <c r="S3931" s="140"/>
    </row>
    <row r="3932" spans="1:19" hidden="1">
      <c r="A3932" s="142" t="s">
        <v>6201</v>
      </c>
      <c r="B3932" s="149" t="str">
        <f>IFERROR(VLOOKUP(Proc[[#This Row],[App]],Table2[],3,0),"open")</f>
        <v>ok</v>
      </c>
      <c r="C3932" s="142" t="s">
        <v>369</v>
      </c>
      <c r="D3932" t="s">
        <v>6018</v>
      </c>
      <c r="E3932" t="s">
        <v>6184</v>
      </c>
      <c r="F3932" s="140" t="s">
        <v>6184</v>
      </c>
      <c r="G3932" s="142" t="s">
        <v>406</v>
      </c>
      <c r="H3932" s="140" t="str">
        <f>IF(Proc[[#This Row],[type]]="LFF (MDG-F)",MID(Proc[[#This Row],[Obj]],13,10),"")</f>
        <v>JP01TAOE01</v>
      </c>
      <c r="J3932" s="140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EL</v>
      </c>
      <c r="L3932" s="140" t="s">
        <v>4894</v>
      </c>
      <c r="M3932" s="136">
        <v>45902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67</v>
      </c>
      <c r="R3932" s="136" t="s">
        <v>6087</v>
      </c>
      <c r="S3932" s="140"/>
    </row>
    <row r="3933" spans="1:19" hidden="1">
      <c r="A3933" s="142" t="s">
        <v>6201</v>
      </c>
      <c r="B3933" s="149" t="str">
        <f>IFERROR(VLOOKUP(Proc[[#This Row],[App]],Table2[],3,0),"open")</f>
        <v>ok</v>
      </c>
      <c r="C3933" s="142" t="s">
        <v>369</v>
      </c>
      <c r="D3933" t="s">
        <v>6019</v>
      </c>
      <c r="E3933" t="s">
        <v>6184</v>
      </c>
      <c r="F3933" s="140" t="s">
        <v>6184</v>
      </c>
      <c r="G3933" s="142" t="s">
        <v>406</v>
      </c>
      <c r="H3933" s="140" t="str">
        <f>IF(Proc[[#This Row],[type]]="LFF (MDG-F)",MID(Proc[[#This Row],[Obj]],13,10),"")</f>
        <v>JP01TAOE99</v>
      </c>
      <c r="J3933" s="140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EL</v>
      </c>
      <c r="L3933" s="140" t="s">
        <v>4894</v>
      </c>
      <c r="M3933" s="136">
        <v>45902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67</v>
      </c>
      <c r="R3933" s="136" t="s">
        <v>6087</v>
      </c>
      <c r="S3933" s="140"/>
    </row>
    <row r="3934" spans="1:19" hidden="1">
      <c r="A3934" s="142" t="s">
        <v>6201</v>
      </c>
      <c r="B3934" s="149" t="str">
        <f>IFERROR(VLOOKUP(Proc[[#This Row],[App]],Table2[],3,0),"open")</f>
        <v>ok</v>
      </c>
      <c r="C3934" s="142" t="s">
        <v>369</v>
      </c>
      <c r="D3934" t="s">
        <v>6001</v>
      </c>
      <c r="E3934" t="s">
        <v>6184</v>
      </c>
      <c r="F3934" s="140" t="s">
        <v>6184</v>
      </c>
      <c r="G3934" s="142" t="s">
        <v>406</v>
      </c>
      <c r="H3934" s="140" t="str">
        <f>IF(Proc[[#This Row],[type]]="LFF (MDG-F)",MID(Proc[[#This Row],[Obj]],13,10),"")</f>
        <v>JP01TAOA00</v>
      </c>
      <c r="J3934" s="140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EL</v>
      </c>
      <c r="L3934" s="140" t="s">
        <v>4894</v>
      </c>
      <c r="M3934" s="136">
        <v>45902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67</v>
      </c>
      <c r="R3934" s="136" t="s">
        <v>6087</v>
      </c>
      <c r="S3934" s="140"/>
    </row>
    <row r="3935" spans="1:19" hidden="1">
      <c r="A3935" s="142" t="s">
        <v>6201</v>
      </c>
      <c r="B3935" s="149" t="str">
        <f>IFERROR(VLOOKUP(Proc[[#This Row],[App]],Table2[],3,0),"open")</f>
        <v>ok</v>
      </c>
      <c r="C3935" s="142" t="s">
        <v>369</v>
      </c>
      <c r="D3935" t="s">
        <v>6002</v>
      </c>
      <c r="E3935" t="s">
        <v>6184</v>
      </c>
      <c r="F3935" s="140" t="s">
        <v>6184</v>
      </c>
      <c r="G3935" s="142" t="s">
        <v>406</v>
      </c>
      <c r="H3935" s="140" t="str">
        <f>IF(Proc[[#This Row],[type]]="LFF (MDG-F)",MID(Proc[[#This Row],[Obj]],13,10),"")</f>
        <v>JP01TAOA01</v>
      </c>
      <c r="J3935" s="140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EL</v>
      </c>
      <c r="L3935" s="140" t="s">
        <v>4894</v>
      </c>
      <c r="M3935" s="136">
        <v>45902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67</v>
      </c>
      <c r="R3935" s="136" t="s">
        <v>6087</v>
      </c>
      <c r="S3935" s="140"/>
    </row>
    <row r="3936" spans="1:19" hidden="1">
      <c r="A3936" s="142" t="s">
        <v>6201</v>
      </c>
      <c r="B3936" s="149" t="str">
        <f>IFERROR(VLOOKUP(Proc[[#This Row],[App]],Table2[],3,0),"open")</f>
        <v>ok</v>
      </c>
      <c r="C3936" s="142" t="s">
        <v>369</v>
      </c>
      <c r="D3936" t="s">
        <v>6003</v>
      </c>
      <c r="E3936" t="s">
        <v>6184</v>
      </c>
      <c r="F3936" s="140" t="s">
        <v>6184</v>
      </c>
      <c r="G3936" s="142" t="s">
        <v>406</v>
      </c>
      <c r="H3936" s="140" t="str">
        <f>IF(Proc[[#This Row],[type]]="LFF (MDG-F)",MID(Proc[[#This Row],[Obj]],13,10),"")</f>
        <v>JP01TAOA99</v>
      </c>
      <c r="J3936" s="140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EL</v>
      </c>
      <c r="L3936" s="140" t="s">
        <v>4894</v>
      </c>
      <c r="M3936" s="136">
        <v>45902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67</v>
      </c>
      <c r="R3936" s="136" t="s">
        <v>6087</v>
      </c>
      <c r="S3936" s="140"/>
    </row>
    <row r="3937" spans="1:19" hidden="1">
      <c r="A3937" s="142" t="s">
        <v>6201</v>
      </c>
      <c r="B3937" s="149" t="str">
        <f>IFERROR(VLOOKUP(Proc[[#This Row],[App]],Table2[],3,0),"open")</f>
        <v>ok</v>
      </c>
      <c r="C3937" s="142" t="s">
        <v>369</v>
      </c>
      <c r="D3937" t="s">
        <v>6015</v>
      </c>
      <c r="E3937" t="s">
        <v>6184</v>
      </c>
      <c r="F3937" s="140" t="s">
        <v>6184</v>
      </c>
      <c r="G3937" s="142" t="s">
        <v>406</v>
      </c>
      <c r="H3937" s="140" t="str">
        <f>IF(Proc[[#This Row],[type]]="LFF (MDG-F)",MID(Proc[[#This Row],[Obj]],13,10),"")</f>
        <v>JP01TAOD02</v>
      </c>
      <c r="J3937" s="140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EL</v>
      </c>
      <c r="L3937" s="140" t="s">
        <v>4894</v>
      </c>
      <c r="M3937" s="136">
        <v>45902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67</v>
      </c>
      <c r="R3937" s="136" t="s">
        <v>6087</v>
      </c>
      <c r="S3937" s="140"/>
    </row>
    <row r="3938" spans="1:19" hidden="1">
      <c r="A3938" s="142" t="s">
        <v>6201</v>
      </c>
      <c r="B3938" s="149" t="str">
        <f>IFERROR(VLOOKUP(Proc[[#This Row],[App]],Table2[],3,0),"open")</f>
        <v>ok</v>
      </c>
      <c r="C3938" s="142" t="s">
        <v>369</v>
      </c>
      <c r="D3938" t="s">
        <v>6025</v>
      </c>
      <c r="E3938" t="s">
        <v>6184</v>
      </c>
      <c r="F3938" s="140" t="s">
        <v>6184</v>
      </c>
      <c r="G3938" s="142" t="s">
        <v>406</v>
      </c>
      <c r="H3938" s="140" t="str">
        <f>IF(Proc[[#This Row],[type]]="LFF (MDG-F)",MID(Proc[[#This Row],[Obj]],13,10),"")</f>
        <v>JP01TAOZ06</v>
      </c>
      <c r="J3938" s="140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EL</v>
      </c>
      <c r="L3938" s="140" t="s">
        <v>4894</v>
      </c>
      <c r="M3938" s="136">
        <v>45902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67</v>
      </c>
      <c r="R3938" s="136" t="s">
        <v>6087</v>
      </c>
      <c r="S3938" s="140"/>
    </row>
    <row r="3939" spans="1:19" hidden="1">
      <c r="A3939" s="142" t="s">
        <v>6201</v>
      </c>
      <c r="B3939" s="149" t="str">
        <f>IFERROR(VLOOKUP(Proc[[#This Row],[App]],Table2[],3,0),"open")</f>
        <v>ok</v>
      </c>
      <c r="C3939" s="142" t="s">
        <v>369</v>
      </c>
      <c r="D3939" t="s">
        <v>5981</v>
      </c>
      <c r="E3939" t="s">
        <v>2416</v>
      </c>
      <c r="F3939" s="140" t="s">
        <v>2416</v>
      </c>
      <c r="G3939" s="142" t="s">
        <v>406</v>
      </c>
      <c r="H3939" s="140" t="str">
        <f>IF(Proc[[#This Row],[type]]="LFF (MDG-F)",MID(Proc[[#This Row],[Obj]],13,10),"")</f>
        <v>JP01GSQ013</v>
      </c>
      <c r="J3939" s="140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EL</v>
      </c>
      <c r="L3939" s="140" t="s">
        <v>4894</v>
      </c>
      <c r="M3939" s="136">
        <v>45902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67</v>
      </c>
      <c r="R3939" s="136" t="s">
        <v>6087</v>
      </c>
      <c r="S3939" s="140"/>
    </row>
    <row r="3940" spans="1:19" hidden="1">
      <c r="A3940" s="142" t="s">
        <v>6201</v>
      </c>
      <c r="B3940" s="149" t="str">
        <f>IFERROR(VLOOKUP(Proc[[#This Row],[App]],Table2[],3,0),"open")</f>
        <v>ok</v>
      </c>
      <c r="C3940" s="142" t="s">
        <v>369</v>
      </c>
      <c r="D3940" t="s">
        <v>6020</v>
      </c>
      <c r="E3940" t="s">
        <v>6184</v>
      </c>
      <c r="F3940" s="140" t="s">
        <v>6184</v>
      </c>
      <c r="G3940" s="142" t="s">
        <v>406</v>
      </c>
      <c r="H3940" s="140" t="str">
        <f>IF(Proc[[#This Row],[type]]="LFF (MDG-F)",MID(Proc[[#This Row],[Obj]],13,10),"")</f>
        <v>JP01TAOZ01</v>
      </c>
      <c r="J3940" s="140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EL</v>
      </c>
      <c r="L3940" s="140" t="s">
        <v>4894</v>
      </c>
      <c r="M3940" s="136">
        <v>45902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67</v>
      </c>
      <c r="R3940" s="136" t="s">
        <v>6087</v>
      </c>
      <c r="S3940" s="140"/>
    </row>
    <row r="3941" spans="1:19" hidden="1">
      <c r="A3941" s="142" t="s">
        <v>6201</v>
      </c>
      <c r="B3941" s="149" t="str">
        <f>IFERROR(VLOOKUP(Proc[[#This Row],[App]],Table2[],3,0),"open")</f>
        <v>ok</v>
      </c>
      <c r="C3941" s="142" t="s">
        <v>369</v>
      </c>
      <c r="D3941" t="s">
        <v>6040</v>
      </c>
      <c r="E3941" t="s">
        <v>6188</v>
      </c>
      <c r="F3941" s="140" t="s">
        <v>6188</v>
      </c>
      <c r="G3941" s="142" t="s">
        <v>406</v>
      </c>
      <c r="H3941" s="140" t="str">
        <f>IF(Proc[[#This Row],[type]]="LFF (MDG-F)",MID(Proc[[#This Row],[Obj]],13,10),"")</f>
        <v>JP01TLOZ01</v>
      </c>
      <c r="J3941" s="140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EL</v>
      </c>
      <c r="L3941" s="140" t="s">
        <v>4894</v>
      </c>
      <c r="M3941" s="136">
        <v>45902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67</v>
      </c>
      <c r="R3941" s="136" t="s">
        <v>6087</v>
      </c>
      <c r="S3941" s="140"/>
    </row>
    <row r="3942" spans="1:19" hidden="1">
      <c r="A3942" s="142" t="s">
        <v>6201</v>
      </c>
      <c r="B3942" s="149" t="str">
        <f>IFERROR(VLOOKUP(Proc[[#This Row],[App]],Table2[],3,0),"open")</f>
        <v>ok</v>
      </c>
      <c r="C3942" s="142" t="s">
        <v>369</v>
      </c>
      <c r="D3942" t="s">
        <v>6041</v>
      </c>
      <c r="E3942" t="s">
        <v>6189</v>
      </c>
      <c r="F3942" s="140" t="s">
        <v>6189</v>
      </c>
      <c r="G3942" s="142" t="s">
        <v>406</v>
      </c>
      <c r="H3942" s="140" t="str">
        <f>IF(Proc[[#This Row],[type]]="LFF (MDG-F)",MID(Proc[[#This Row],[Obj]],13,10),"")</f>
        <v>JP01TNMZ04</v>
      </c>
      <c r="J3942" s="140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EL</v>
      </c>
      <c r="L3942" s="140" t="s">
        <v>4894</v>
      </c>
      <c r="M3942" s="136">
        <v>45902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67</v>
      </c>
      <c r="R3942" s="136" t="s">
        <v>6087</v>
      </c>
      <c r="S3942" s="140"/>
    </row>
    <row r="3943" spans="1:19" hidden="1">
      <c r="A3943" s="142" t="s">
        <v>6201</v>
      </c>
      <c r="B3943" s="149" t="str">
        <f>IFERROR(VLOOKUP(Proc[[#This Row],[App]],Table2[],3,0),"open")</f>
        <v>ok</v>
      </c>
      <c r="C3943" s="142" t="s">
        <v>369</v>
      </c>
      <c r="D3943" t="s">
        <v>6023</v>
      </c>
      <c r="E3943" t="s">
        <v>6184</v>
      </c>
      <c r="F3943" s="140" t="s">
        <v>6184</v>
      </c>
      <c r="G3943" s="142" t="s">
        <v>406</v>
      </c>
      <c r="H3943" s="140" t="str">
        <f>IF(Proc[[#This Row],[type]]="LFF (MDG-F)",MID(Proc[[#This Row],[Obj]],13,10),"")</f>
        <v>JP01TAOZ04</v>
      </c>
      <c r="J3943" s="140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EL</v>
      </c>
      <c r="L3943" s="140" t="s">
        <v>4894</v>
      </c>
      <c r="M3943" s="136">
        <v>45902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67</v>
      </c>
      <c r="R3943" s="136" t="s">
        <v>6087</v>
      </c>
      <c r="S3943" s="140"/>
    </row>
    <row r="3944" spans="1:19" hidden="1">
      <c r="A3944" s="142" t="s">
        <v>6201</v>
      </c>
      <c r="B3944" s="149" t="str">
        <f>IFERROR(VLOOKUP(Proc[[#This Row],[App]],Table2[],3,0),"open")</f>
        <v>ok</v>
      </c>
      <c r="C3944" s="142" t="s">
        <v>369</v>
      </c>
      <c r="D3944" t="s">
        <v>6039</v>
      </c>
      <c r="E3944" t="s">
        <v>6190</v>
      </c>
      <c r="F3944" s="140" t="s">
        <v>6190</v>
      </c>
      <c r="G3944" s="142" t="s">
        <v>406</v>
      </c>
      <c r="H3944" s="140" t="str">
        <f>IF(Proc[[#This Row],[type]]="LFF (MDG-F)",MID(Proc[[#This Row],[Obj]],13,10),"")</f>
        <v>JP01TKOZ00</v>
      </c>
      <c r="J3944" s="140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EL</v>
      </c>
      <c r="L3944" s="140" t="s">
        <v>4894</v>
      </c>
      <c r="M3944" s="136">
        <v>45902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67</v>
      </c>
      <c r="R3944" s="136" t="s">
        <v>6087</v>
      </c>
      <c r="S3944" s="140"/>
    </row>
    <row r="3945" spans="1:19" hidden="1">
      <c r="A3945" s="142" t="s">
        <v>6201</v>
      </c>
      <c r="B3945" s="149" t="str">
        <f>IFERROR(VLOOKUP(Proc[[#This Row],[App]],Table2[],3,0),"open")</f>
        <v>ok</v>
      </c>
      <c r="C3945" s="142" t="s">
        <v>369</v>
      </c>
      <c r="D3945" t="s">
        <v>6026</v>
      </c>
      <c r="E3945" t="s">
        <v>6191</v>
      </c>
      <c r="F3945" s="140" t="s">
        <v>6191</v>
      </c>
      <c r="G3945" s="142" t="s">
        <v>406</v>
      </c>
      <c r="H3945" s="140" t="str">
        <f>IF(Proc[[#This Row],[type]]="LFF (MDG-F)",MID(Proc[[#This Row],[Obj]],13,10),"")</f>
        <v>JP01TBOZ01</v>
      </c>
      <c r="J3945" s="140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EL</v>
      </c>
      <c r="L3945" s="140" t="s">
        <v>4894</v>
      </c>
      <c r="M3945" s="136">
        <v>45902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67</v>
      </c>
      <c r="R3945" s="136" t="s">
        <v>6087</v>
      </c>
      <c r="S3945" s="140"/>
    </row>
    <row r="3946" spans="1:19" hidden="1">
      <c r="A3946" s="142" t="s">
        <v>6201</v>
      </c>
      <c r="B3946" s="149" t="str">
        <f>IFERROR(VLOOKUP(Proc[[#This Row],[App]],Table2[],3,0),"open")</f>
        <v>ok</v>
      </c>
      <c r="C3946" s="142" t="s">
        <v>369</v>
      </c>
      <c r="D3946" t="s">
        <v>6043</v>
      </c>
      <c r="E3946" t="s">
        <v>6163</v>
      </c>
      <c r="F3946" s="140" t="s">
        <v>6163</v>
      </c>
      <c r="G3946" s="142" t="s">
        <v>406</v>
      </c>
      <c r="H3946" s="140" t="str">
        <f>IF(Proc[[#This Row],[type]]="LFF (MDG-F)",MID(Proc[[#This Row],[Obj]],13,10),"")</f>
        <v>JP01TQOZ01</v>
      </c>
      <c r="J3946" s="140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EL</v>
      </c>
      <c r="L3946" s="140" t="s">
        <v>4894</v>
      </c>
      <c r="M3946" s="136">
        <v>45902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67</v>
      </c>
      <c r="R3946" s="136" t="s">
        <v>6087</v>
      </c>
      <c r="S3946" s="140"/>
    </row>
    <row r="3947" spans="1:19" hidden="1">
      <c r="A3947" s="142" t="s">
        <v>6201</v>
      </c>
      <c r="B3947" s="149" t="str">
        <f>IFERROR(VLOOKUP(Proc[[#This Row],[App]],Table2[],3,0),"open")</f>
        <v>ok</v>
      </c>
      <c r="C3947" s="142" t="s">
        <v>369</v>
      </c>
      <c r="D3947" t="s">
        <v>6027</v>
      </c>
      <c r="E3947" t="s">
        <v>6192</v>
      </c>
      <c r="F3947" s="140" t="s">
        <v>6192</v>
      </c>
      <c r="G3947" s="142" t="s">
        <v>406</v>
      </c>
      <c r="H3947" s="140" t="str">
        <f>IF(Proc[[#This Row],[type]]="LFF (MDG-F)",MID(Proc[[#This Row],[Obj]],13,10),"")</f>
        <v>JP01TBOZ05</v>
      </c>
      <c r="J3947" s="140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40" t="s">
        <v>4894</v>
      </c>
      <c r="M3947" s="136">
        <v>45902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67</v>
      </c>
      <c r="R3947" s="136" t="s">
        <v>6087</v>
      </c>
      <c r="S3947" s="140"/>
    </row>
    <row r="3948" spans="1:19" hidden="1">
      <c r="A3948" s="142" t="s">
        <v>6201</v>
      </c>
      <c r="B3948" s="149" t="str">
        <f>IFERROR(VLOOKUP(Proc[[#This Row],[App]],Table2[],3,0),"open")</f>
        <v>ok</v>
      </c>
      <c r="C3948" s="142" t="s">
        <v>369</v>
      </c>
      <c r="D3948" t="s">
        <v>6028</v>
      </c>
      <c r="E3948" t="s">
        <v>6193</v>
      </c>
      <c r="F3948" s="140" t="s">
        <v>6193</v>
      </c>
      <c r="G3948" s="142" t="s">
        <v>406</v>
      </c>
      <c r="H3948" s="140" t="str">
        <f>IF(Proc[[#This Row],[type]]="LFF (MDG-F)",MID(Proc[[#This Row],[Obj]],13,10),"")</f>
        <v>JP01TCOZ01</v>
      </c>
      <c r="J3948" s="140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EL</v>
      </c>
      <c r="L3948" s="140" t="s">
        <v>4894</v>
      </c>
      <c r="M3948" s="136">
        <v>45902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67</v>
      </c>
      <c r="R3948" s="136" t="s">
        <v>6087</v>
      </c>
      <c r="S3948" s="140"/>
    </row>
    <row r="3949" spans="1:19" hidden="1">
      <c r="A3949" s="142" t="s">
        <v>6201</v>
      </c>
      <c r="B3949" s="149" t="str">
        <f>IFERROR(VLOOKUP(Proc[[#This Row],[App]],Table2[],3,0),"open")</f>
        <v>ok</v>
      </c>
      <c r="C3949" s="142" t="s">
        <v>369</v>
      </c>
      <c r="D3949" t="s">
        <v>5951</v>
      </c>
      <c r="E3949" t="s">
        <v>6194</v>
      </c>
      <c r="F3949" s="140" t="s">
        <v>6194</v>
      </c>
      <c r="G3949" s="142" t="s">
        <v>406</v>
      </c>
      <c r="H3949" s="140" t="str">
        <f>IF(Proc[[#This Row],[type]]="LFF (MDG-F)",MID(Proc[[#This Row],[Obj]],13,10),"")</f>
        <v>JP01C0M821</v>
      </c>
      <c r="J3949" s="140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EL</v>
      </c>
      <c r="L3949" s="140" t="s">
        <v>4894</v>
      </c>
      <c r="M3949" s="136">
        <v>45902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67</v>
      </c>
      <c r="R3949" s="136" t="s">
        <v>6087</v>
      </c>
      <c r="S3949" s="140"/>
    </row>
    <row r="3950" spans="1:19" hidden="1">
      <c r="A3950" s="142" t="s">
        <v>6201</v>
      </c>
      <c r="B3950" s="149" t="str">
        <f>IFERROR(VLOOKUP(Proc[[#This Row],[App]],Table2[],3,0),"open")</f>
        <v>ok</v>
      </c>
      <c r="C3950" s="144" t="s">
        <v>369</v>
      </c>
      <c r="D3950" t="s">
        <v>5954</v>
      </c>
      <c r="E3950" t="s">
        <v>6195</v>
      </c>
      <c r="F3950" s="140" t="s">
        <v>6195</v>
      </c>
      <c r="G3950" s="142" t="s">
        <v>406</v>
      </c>
      <c r="H3950" s="140" t="str">
        <f>IF(Proc[[#This Row],[type]]="LFF (MDG-F)",MID(Proc[[#This Row],[Obj]],13,10),"")</f>
        <v>JP01C0M921</v>
      </c>
      <c r="J3950" s="140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EL</v>
      </c>
      <c r="L3950" s="140" t="s">
        <v>4894</v>
      </c>
      <c r="M3950" s="136">
        <v>45902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67</v>
      </c>
      <c r="R3950" s="136" t="s">
        <v>6087</v>
      </c>
      <c r="S3950" s="140"/>
    </row>
    <row r="3951" spans="1:19" hidden="1">
      <c r="A3951" s="142" t="s">
        <v>6201</v>
      </c>
      <c r="B3951" s="149" t="str">
        <f>IFERROR(VLOOKUP(Proc[[#This Row],[App]],Table2[],3,0),"open")</f>
        <v>ok</v>
      </c>
      <c r="C3951" s="142" t="s">
        <v>369</v>
      </c>
      <c r="D3951" t="s">
        <v>5952</v>
      </c>
      <c r="E3951" t="s">
        <v>6196</v>
      </c>
      <c r="F3951" s="140" t="s">
        <v>6196</v>
      </c>
      <c r="G3951" s="142" t="s">
        <v>406</v>
      </c>
      <c r="H3951" s="140" t="str">
        <f>IF(Proc[[#This Row],[type]]="LFF (MDG-F)",MID(Proc[[#This Row],[Obj]],13,10),"")</f>
        <v>JP01C0M822</v>
      </c>
      <c r="J3951" s="140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EL</v>
      </c>
      <c r="L3951" s="140" t="s">
        <v>4894</v>
      </c>
      <c r="M3951" s="136">
        <v>45902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67</v>
      </c>
      <c r="R3951" s="136" t="s">
        <v>6087</v>
      </c>
      <c r="S3951" s="140"/>
    </row>
    <row r="3952" spans="1:19" hidden="1">
      <c r="A3952" s="142" t="s">
        <v>6201</v>
      </c>
      <c r="B3952" s="149" t="str">
        <f>IFERROR(VLOOKUP(Proc[[#This Row],[App]],Table2[],3,0),"open")</f>
        <v>ok</v>
      </c>
      <c r="C3952" s="142" t="s">
        <v>369</v>
      </c>
      <c r="D3952" t="s">
        <v>5956</v>
      </c>
      <c r="E3952" t="s">
        <v>6197</v>
      </c>
      <c r="F3952" s="140" t="s">
        <v>6197</v>
      </c>
      <c r="G3952" s="142" t="s">
        <v>406</v>
      </c>
      <c r="H3952" s="140" t="str">
        <f>IF(Proc[[#This Row],[type]]="LFF (MDG-F)",MID(Proc[[#This Row],[Obj]],13,10),"")</f>
        <v>JP01C0O999</v>
      </c>
      <c r="J3952" s="140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EL</v>
      </c>
      <c r="L3952" s="140" t="s">
        <v>4894</v>
      </c>
      <c r="M3952" s="136">
        <v>45902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67</v>
      </c>
      <c r="R3952" s="136" t="s">
        <v>6087</v>
      </c>
      <c r="S3952" s="140"/>
    </row>
    <row r="3953" spans="1:19" hidden="1">
      <c r="A3953" s="142" t="s">
        <v>6201</v>
      </c>
      <c r="B3953" s="149" t="str">
        <f>IFERROR(VLOOKUP(Proc[[#This Row],[App]],Table2[],3,0),"open")</f>
        <v>ok</v>
      </c>
      <c r="C3953" s="142" t="s">
        <v>369</v>
      </c>
      <c r="D3953" t="s">
        <v>5982</v>
      </c>
      <c r="E3953" t="s">
        <v>6198</v>
      </c>
      <c r="F3953" s="140" t="s">
        <v>6198</v>
      </c>
      <c r="G3953" s="142" t="s">
        <v>406</v>
      </c>
      <c r="H3953" s="140" t="str">
        <f>IF(Proc[[#This Row],[type]]="LFF (MDG-F)",MID(Proc[[#This Row],[Obj]],13,10),"")</f>
        <v>JP01L1M001</v>
      </c>
      <c r="J3953" s="140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EL</v>
      </c>
      <c r="L3953" s="140" t="s">
        <v>4894</v>
      </c>
      <c r="M3953" s="136">
        <v>45902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67</v>
      </c>
      <c r="R3953" s="136" t="s">
        <v>6087</v>
      </c>
      <c r="S3953" s="140"/>
    </row>
    <row r="3954" spans="1:19" hidden="1">
      <c r="A3954" s="142" t="s">
        <v>6201</v>
      </c>
      <c r="B3954" s="149" t="str">
        <f>IFERROR(VLOOKUP(Proc[[#This Row],[App]],Table2[],3,0),"open")</f>
        <v>ok</v>
      </c>
      <c r="C3954" s="142" t="s">
        <v>369</v>
      </c>
      <c r="D3954" t="s">
        <v>5979</v>
      </c>
      <c r="E3954" t="s">
        <v>784</v>
      </c>
      <c r="F3954" s="140" t="s">
        <v>784</v>
      </c>
      <c r="G3954" s="142" t="s">
        <v>406</v>
      </c>
      <c r="H3954" s="140" t="str">
        <f>IF(Proc[[#This Row],[type]]="LFF (MDG-F)",MID(Proc[[#This Row],[Obj]],13,10),"")</f>
        <v>JP01GPO303</v>
      </c>
      <c r="J3954" s="140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EL</v>
      </c>
      <c r="L3954" s="140" t="s">
        <v>4894</v>
      </c>
      <c r="M3954" s="136">
        <v>45902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67</v>
      </c>
      <c r="R3954" s="136" t="s">
        <v>6087</v>
      </c>
      <c r="S3954" s="140"/>
    </row>
    <row r="3955" spans="1:19" hidden="1">
      <c r="A3955" s="142" t="s">
        <v>6201</v>
      </c>
      <c r="B3955" s="149" t="str">
        <f>IFERROR(VLOOKUP(Proc[[#This Row],[App]],Table2[],3,0),"open")</f>
        <v>ok</v>
      </c>
      <c r="C3955" s="142" t="s">
        <v>369</v>
      </c>
      <c r="D3955" t="s">
        <v>5983</v>
      </c>
      <c r="E3955" t="s">
        <v>784</v>
      </c>
      <c r="F3955" s="140" t="s">
        <v>784</v>
      </c>
      <c r="G3955" s="142" t="s">
        <v>406</v>
      </c>
      <c r="H3955" s="140" t="str">
        <f>IF(Proc[[#This Row],[type]]="LFF (MDG-F)",MID(Proc[[#This Row],[Obj]],13,10),"")</f>
        <v>JP01L3K302</v>
      </c>
      <c r="J3955" s="140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EL</v>
      </c>
      <c r="L3955" s="140" t="s">
        <v>4894</v>
      </c>
      <c r="M3955" s="136">
        <v>45902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67</v>
      </c>
      <c r="R3955" s="136" t="s">
        <v>6087</v>
      </c>
      <c r="S3955" s="140"/>
    </row>
    <row r="3956" spans="1:19" hidden="1">
      <c r="A3956" s="142" t="s">
        <v>6201</v>
      </c>
      <c r="B3956" s="149" t="str">
        <f>IFERROR(VLOOKUP(Proc[[#This Row],[App]],Table2[],3,0),"open")</f>
        <v>ok</v>
      </c>
      <c r="C3956" s="142" t="s">
        <v>369</v>
      </c>
      <c r="D3956" t="s">
        <v>5984</v>
      </c>
      <c r="E3956" t="s">
        <v>6171</v>
      </c>
      <c r="F3956" s="140" t="s">
        <v>6171</v>
      </c>
      <c r="G3956" s="142" t="s">
        <v>406</v>
      </c>
      <c r="H3956" s="140" t="str">
        <f>IF(Proc[[#This Row],[type]]="LFF (MDG-F)",MID(Proc[[#This Row],[Obj]],13,10),"")</f>
        <v>JP01L3K304</v>
      </c>
      <c r="J3956" s="140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EL</v>
      </c>
      <c r="L3956" s="140" t="s">
        <v>4894</v>
      </c>
      <c r="M3956" s="136">
        <v>45902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67</v>
      </c>
      <c r="R3956" s="136" t="s">
        <v>6087</v>
      </c>
      <c r="S3956" s="140"/>
    </row>
    <row r="3957" spans="1:19" hidden="1">
      <c r="A3957" s="142" t="s">
        <v>6201</v>
      </c>
      <c r="B3957" s="149" t="str">
        <f>IFERROR(VLOOKUP(Proc[[#This Row],[App]],Table2[],3,0),"open")</f>
        <v>ok</v>
      </c>
      <c r="C3957" s="142" t="s">
        <v>369</v>
      </c>
      <c r="D3957" t="s">
        <v>5985</v>
      </c>
      <c r="E3957" t="s">
        <v>784</v>
      </c>
      <c r="F3957" s="140" t="s">
        <v>784</v>
      </c>
      <c r="G3957" s="142" t="s">
        <v>406</v>
      </c>
      <c r="H3957" s="140" t="str">
        <f>IF(Proc[[#This Row],[type]]="LFF (MDG-F)",MID(Proc[[#This Row],[Obj]],13,10),"")</f>
        <v>JP01L3M301</v>
      </c>
      <c r="J3957" s="140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EL</v>
      </c>
      <c r="L3957" s="140" t="s">
        <v>4894</v>
      </c>
      <c r="M3957" s="136">
        <v>45902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67</v>
      </c>
      <c r="R3957" s="136" t="s">
        <v>6087</v>
      </c>
      <c r="S3957" s="140"/>
    </row>
    <row r="3958" spans="1:19" hidden="1">
      <c r="A3958" s="142" t="s">
        <v>6201</v>
      </c>
      <c r="B3958" s="149" t="str">
        <f>IFERROR(VLOOKUP(Proc[[#This Row],[App]],Table2[],3,0),"open")</f>
        <v>ok</v>
      </c>
      <c r="C3958" s="142" t="s">
        <v>369</v>
      </c>
      <c r="D3958" t="s">
        <v>5986</v>
      </c>
      <c r="E3958" t="s">
        <v>6171</v>
      </c>
      <c r="F3958" s="140" t="s">
        <v>6171</v>
      </c>
      <c r="G3958" s="142" t="s">
        <v>406</v>
      </c>
      <c r="H3958" s="140" t="str">
        <f>IF(Proc[[#This Row],[type]]="LFF (MDG-F)",MID(Proc[[#This Row],[Obj]],13,10),"")</f>
        <v>JP01L3M303</v>
      </c>
      <c r="J3958" s="140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EL</v>
      </c>
      <c r="L3958" s="140" t="s">
        <v>4894</v>
      </c>
      <c r="M3958" s="136">
        <v>45902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67</v>
      </c>
      <c r="R3958" s="136" t="s">
        <v>6087</v>
      </c>
      <c r="S3958" s="140"/>
    </row>
    <row r="3959" spans="1:19" hidden="1">
      <c r="A3959" s="142" t="s">
        <v>6201</v>
      </c>
      <c r="B3959" s="149" t="str">
        <f>IFERROR(VLOOKUP(Proc[[#This Row],[App]],Table2[],3,0),"open")</f>
        <v>ok</v>
      </c>
      <c r="C3959" s="142" t="s">
        <v>369</v>
      </c>
      <c r="D3959" t="s">
        <v>5987</v>
      </c>
      <c r="E3959" t="s">
        <v>6171</v>
      </c>
      <c r="F3959" s="140" t="s">
        <v>6171</v>
      </c>
      <c r="G3959" s="142" t="s">
        <v>406</v>
      </c>
      <c r="H3959" s="140" t="str">
        <f>IF(Proc[[#This Row],[type]]="LFF (MDG-F)",MID(Proc[[#This Row],[Obj]],13,10),"")</f>
        <v>JP01L4M301</v>
      </c>
      <c r="J3959" s="140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EL</v>
      </c>
      <c r="L3959" s="140" t="s">
        <v>4894</v>
      </c>
      <c r="M3959" s="136">
        <v>45902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67</v>
      </c>
      <c r="R3959" s="136" t="s">
        <v>6087</v>
      </c>
      <c r="S3959" s="140"/>
    </row>
    <row r="3960" spans="1:19" hidden="1">
      <c r="A3960" s="142" t="s">
        <v>6201</v>
      </c>
      <c r="B3960" s="149" t="str">
        <f>IFERROR(VLOOKUP(Proc[[#This Row],[App]],Table2[],3,0),"open")</f>
        <v>ok</v>
      </c>
      <c r="C3960" s="142" t="s">
        <v>369</v>
      </c>
      <c r="D3960" t="s">
        <v>5989</v>
      </c>
      <c r="E3960" t="s">
        <v>6169</v>
      </c>
      <c r="F3960" s="140" t="s">
        <v>6169</v>
      </c>
      <c r="G3960" s="142" t="s">
        <v>406</v>
      </c>
      <c r="H3960" s="140" t="str">
        <f>IF(Proc[[#This Row],[type]]="LFF (MDG-F)",MID(Proc[[#This Row],[Obj]],13,10),"")</f>
        <v>JP01L5M301</v>
      </c>
      <c r="J3960" s="140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EL</v>
      </c>
      <c r="L3960" s="140" t="s">
        <v>4894</v>
      </c>
      <c r="M3960" s="136">
        <v>45902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67</v>
      </c>
      <c r="R3960" s="136" t="s">
        <v>6087</v>
      </c>
      <c r="S3960" s="140"/>
    </row>
    <row r="3961" spans="1:19" hidden="1">
      <c r="A3961" s="142" t="s">
        <v>6201</v>
      </c>
      <c r="B3961" s="149" t="str">
        <f>IFERROR(VLOOKUP(Proc[[#This Row],[App]],Table2[],3,0),"open")</f>
        <v>ok</v>
      </c>
      <c r="C3961" s="142" t="s">
        <v>369</v>
      </c>
      <c r="D3961" t="s">
        <v>5991</v>
      </c>
      <c r="E3961" t="s">
        <v>6171</v>
      </c>
      <c r="F3961" s="140" t="s">
        <v>6171</v>
      </c>
      <c r="G3961" s="142" t="s">
        <v>406</v>
      </c>
      <c r="H3961" s="140" t="str">
        <f>IF(Proc[[#This Row],[type]]="LFF (MDG-F)",MID(Proc[[#This Row],[Obj]],13,10),"")</f>
        <v>JP01L7M301</v>
      </c>
      <c r="J3961" s="140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EL</v>
      </c>
      <c r="L3961" s="140" t="s">
        <v>4894</v>
      </c>
      <c r="M3961" s="136">
        <v>45902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67</v>
      </c>
      <c r="R3961" s="136" t="s">
        <v>6087</v>
      </c>
      <c r="S3961" s="140"/>
    </row>
    <row r="3962" spans="1:19" hidden="1">
      <c r="A3962" s="142" t="s">
        <v>6201</v>
      </c>
      <c r="B3962" s="149" t="str">
        <f>IFERROR(VLOOKUP(Proc[[#This Row],[App]],Table2[],3,0),"open")</f>
        <v>ok</v>
      </c>
      <c r="C3962" s="142" t="s">
        <v>369</v>
      </c>
      <c r="D3962" t="s">
        <v>5957</v>
      </c>
      <c r="E3962" t="s">
        <v>413</v>
      </c>
      <c r="F3962" s="140" t="s">
        <v>413</v>
      </c>
      <c r="G3962" s="142" t="s">
        <v>406</v>
      </c>
      <c r="H3962" s="140" t="str">
        <f>IF(Proc[[#This Row],[type]]="LFF (MDG-F)",MID(Proc[[#This Row],[Obj]],13,10),"")</f>
        <v>JP01GBT301</v>
      </c>
      <c r="J3962" s="140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EL</v>
      </c>
      <c r="L3962" s="140" t="s">
        <v>4894</v>
      </c>
      <c r="M3962" s="136">
        <v>45902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67</v>
      </c>
      <c r="R3962" s="136" t="s">
        <v>6087</v>
      </c>
      <c r="S3962" s="140"/>
    </row>
    <row r="3963" spans="1:19" hidden="1">
      <c r="A3963" s="142" t="s">
        <v>6201</v>
      </c>
      <c r="B3963" s="149" t="str">
        <f>IFERROR(VLOOKUP(Proc[[#This Row],[App]],Table2[],3,0),"open")</f>
        <v>ok</v>
      </c>
      <c r="C3963" s="142" t="s">
        <v>369</v>
      </c>
      <c r="D3963" t="s">
        <v>5958</v>
      </c>
      <c r="E3963" t="s">
        <v>413</v>
      </c>
      <c r="F3963" s="140" t="s">
        <v>413</v>
      </c>
      <c r="G3963" s="142" t="s">
        <v>406</v>
      </c>
      <c r="H3963" s="140" t="str">
        <f>IF(Proc[[#This Row],[type]]="LFF (MDG-F)",MID(Proc[[#This Row],[Obj]],13,10),"")</f>
        <v>JP01GBT303</v>
      </c>
      <c r="J3963" s="140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EL</v>
      </c>
      <c r="L3963" s="140" t="s">
        <v>4894</v>
      </c>
      <c r="M3963" s="136">
        <v>45902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67</v>
      </c>
      <c r="R3963" s="136" t="s">
        <v>6087</v>
      </c>
      <c r="S3963" s="140"/>
    </row>
    <row r="3964" spans="1:19" hidden="1">
      <c r="A3964" s="142" t="s">
        <v>6201</v>
      </c>
      <c r="B3964" s="149" t="str">
        <f>IFERROR(VLOOKUP(Proc[[#This Row],[App]],Table2[],3,0),"open")</f>
        <v>ok</v>
      </c>
      <c r="C3964" s="142" t="s">
        <v>369</v>
      </c>
      <c r="D3964" t="s">
        <v>5959</v>
      </c>
      <c r="E3964" t="s">
        <v>413</v>
      </c>
      <c r="F3964" s="140" t="s">
        <v>413</v>
      </c>
      <c r="G3964" s="142" t="s">
        <v>406</v>
      </c>
      <c r="H3964" s="140" t="str">
        <f>IF(Proc[[#This Row],[type]]="LFF (MDG-F)",MID(Proc[[#This Row],[Obj]],13,10),"")</f>
        <v>JP01GBT304</v>
      </c>
      <c r="J3964" s="140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EL</v>
      </c>
      <c r="L3964" s="140" t="s">
        <v>4894</v>
      </c>
      <c r="M3964" s="136">
        <v>45902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67</v>
      </c>
      <c r="R3964" s="136" t="s">
        <v>6087</v>
      </c>
      <c r="S3964" s="140"/>
    </row>
    <row r="3965" spans="1:19" hidden="1">
      <c r="A3965" s="142" t="s">
        <v>6201</v>
      </c>
      <c r="B3965" s="149" t="str">
        <f>IFERROR(VLOOKUP(Proc[[#This Row],[App]],Table2[],3,0),"open")</f>
        <v>ok</v>
      </c>
      <c r="C3965" s="142" t="s">
        <v>369</v>
      </c>
      <c r="D3965" t="s">
        <v>5963</v>
      </c>
      <c r="E3965" t="s">
        <v>413</v>
      </c>
      <c r="F3965" s="140" t="s">
        <v>413</v>
      </c>
      <c r="G3965" s="142" t="s">
        <v>406</v>
      </c>
      <c r="H3965" s="140" t="str">
        <f>IF(Proc[[#This Row],[type]]="LFF (MDG-F)",MID(Proc[[#This Row],[Obj]],13,10),"")</f>
        <v>JP01GFO300</v>
      </c>
      <c r="J3965" s="140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EL</v>
      </c>
      <c r="L3965" s="140" t="s">
        <v>4894</v>
      </c>
      <c r="M3965" s="136">
        <v>45902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67</v>
      </c>
      <c r="R3965" s="136" t="s">
        <v>6087</v>
      </c>
      <c r="S3965" s="140"/>
    </row>
    <row r="3966" spans="1:19" hidden="1">
      <c r="A3966" s="142" t="s">
        <v>6201</v>
      </c>
      <c r="B3966" s="149" t="str">
        <f>IFERROR(VLOOKUP(Proc[[#This Row],[App]],Table2[],3,0),"open")</f>
        <v>ok</v>
      </c>
      <c r="C3966" s="142" t="s">
        <v>369</v>
      </c>
      <c r="D3966" t="s">
        <v>5969</v>
      </c>
      <c r="E3966" t="s">
        <v>6199</v>
      </c>
      <c r="F3966" s="140" t="s">
        <v>6199</v>
      </c>
      <c r="G3966" s="142" t="s">
        <v>406</v>
      </c>
      <c r="H3966" s="140" t="str">
        <f>IF(Proc[[#This Row],[type]]="LFF (MDG-F)",MID(Proc[[#This Row],[Obj]],13,10),"")</f>
        <v>JP01GLE302</v>
      </c>
      <c r="J3966" s="140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EL</v>
      </c>
      <c r="L3966" s="140" t="s">
        <v>4894</v>
      </c>
      <c r="M3966" s="136">
        <v>45902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67</v>
      </c>
      <c r="R3966" s="136" t="s">
        <v>6087</v>
      </c>
      <c r="S3966" s="140"/>
    </row>
    <row r="3967" spans="1:19" hidden="1">
      <c r="A3967" s="142" t="s">
        <v>6201</v>
      </c>
      <c r="B3967" s="149" t="str">
        <f>IFERROR(VLOOKUP(Proc[[#This Row],[App]],Table2[],3,0),"open")</f>
        <v>ok</v>
      </c>
      <c r="C3967" s="149" t="s">
        <v>369</v>
      </c>
      <c r="D3967" t="s">
        <v>5970</v>
      </c>
      <c r="E3967" t="s">
        <v>2505</v>
      </c>
      <c r="F3967" s="150" t="s">
        <v>2505</v>
      </c>
      <c r="G3967" s="142" t="s">
        <v>406</v>
      </c>
      <c r="H3967" s="140" t="str">
        <f>IF(Proc[[#This Row],[type]]="LFF (MDG-F)",MID(Proc[[#This Row],[Obj]],13,10),"")</f>
        <v>JP01GM1002</v>
      </c>
      <c r="J3967" s="140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EL</v>
      </c>
      <c r="L3967" s="140" t="s">
        <v>4894</v>
      </c>
      <c r="M3967" s="136">
        <v>45902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67</v>
      </c>
      <c r="R3967" s="136" t="s">
        <v>6087</v>
      </c>
      <c r="S3967" s="140"/>
    </row>
    <row r="3968" spans="1:19" hidden="1">
      <c r="A3968" s="142" t="s">
        <v>6201</v>
      </c>
      <c r="B3968" s="149" t="str">
        <f>IFERROR(VLOOKUP(Proc[[#This Row],[App]],Table2[],3,0),"open")</f>
        <v>ok</v>
      </c>
      <c r="C3968" s="142" t="s">
        <v>369</v>
      </c>
      <c r="D3968" t="s">
        <v>5973</v>
      </c>
      <c r="E3968" t="s">
        <v>413</v>
      </c>
      <c r="F3968" s="140" t="s">
        <v>413</v>
      </c>
      <c r="G3968" s="142" t="s">
        <v>406</v>
      </c>
      <c r="H3968" s="140" t="str">
        <f>IF(Proc[[#This Row],[type]]="LFF (MDG-F)",MID(Proc[[#This Row],[Obj]],13,10),"")</f>
        <v>JP01GM8001</v>
      </c>
      <c r="J3968" s="140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EL</v>
      </c>
      <c r="L3968" s="140" t="s">
        <v>4894</v>
      </c>
      <c r="M3968" s="136">
        <v>45902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67</v>
      </c>
      <c r="R3968" s="136" t="s">
        <v>6087</v>
      </c>
      <c r="S3968" s="140"/>
    </row>
    <row r="3969" spans="1:19" hidden="1">
      <c r="A3969" s="142" t="s">
        <v>6201</v>
      </c>
      <c r="B3969" s="149" t="str">
        <f>IFERROR(VLOOKUP(Proc[[#This Row],[App]],Table2[],3,0),"open")</f>
        <v>ok</v>
      </c>
      <c r="C3969" s="142" t="s">
        <v>369</v>
      </c>
      <c r="D3969" t="s">
        <v>5975</v>
      </c>
      <c r="E3969" t="s">
        <v>1221</v>
      </c>
      <c r="F3969" s="140" t="s">
        <v>1221</v>
      </c>
      <c r="G3969" s="142" t="s">
        <v>406</v>
      </c>
      <c r="H3969" s="140" t="str">
        <f>IF(Proc[[#This Row],[type]]="LFF (MDG-F)",MID(Proc[[#This Row],[Obj]],13,10),"")</f>
        <v>JP01GMB040</v>
      </c>
      <c r="J3969" s="140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EL</v>
      </c>
      <c r="L3969" s="140" t="s">
        <v>4894</v>
      </c>
      <c r="M3969" s="136">
        <v>45902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67</v>
      </c>
      <c r="R3969" s="136" t="s">
        <v>6087</v>
      </c>
      <c r="S3969" s="140"/>
    </row>
    <row r="3970" spans="1:19" hidden="1">
      <c r="A3970" s="142" t="s">
        <v>6201</v>
      </c>
      <c r="B3970" s="149" t="str">
        <f>IFERROR(VLOOKUP(Proc[[#This Row],[App]],Table2[],3,0),"open")</f>
        <v>ok</v>
      </c>
      <c r="C3970" s="142" t="s">
        <v>369</v>
      </c>
      <c r="D3970" t="s">
        <v>5992</v>
      </c>
      <c r="E3970" t="s">
        <v>6171</v>
      </c>
      <c r="F3970" s="140" t="s">
        <v>6171</v>
      </c>
      <c r="G3970" s="142" t="s">
        <v>406</v>
      </c>
      <c r="H3970" s="140" t="str">
        <f>IF(Proc[[#This Row],[type]]="LFF (MDG-F)",MID(Proc[[#This Row],[Obj]],13,10),"")</f>
        <v>JP01L7M302</v>
      </c>
      <c r="J3970" s="140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EL</v>
      </c>
      <c r="L3970" s="140" t="s">
        <v>4894</v>
      </c>
      <c r="M3970" s="136">
        <v>45902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67</v>
      </c>
      <c r="R3970" s="136" t="s">
        <v>6087</v>
      </c>
      <c r="S3970" s="140"/>
    </row>
    <row r="3971" spans="1:19" hidden="1">
      <c r="A3971" s="142" t="s">
        <v>6201</v>
      </c>
      <c r="B3971" s="149" t="str">
        <f>IFERROR(VLOOKUP(Proc[[#This Row],[App]],Table2[],3,0),"open")</f>
        <v>ok</v>
      </c>
      <c r="C3971" s="142" t="s">
        <v>369</v>
      </c>
      <c r="D3971" t="s">
        <v>5999</v>
      </c>
      <c r="E3971" t="s">
        <v>6200</v>
      </c>
      <c r="F3971" s="140" t="s">
        <v>6200</v>
      </c>
      <c r="G3971" s="142" t="s">
        <v>406</v>
      </c>
      <c r="H3971" s="140" t="str">
        <f>IF(Proc[[#This Row],[type]]="LFF (MDG-F)",MID(Proc[[#This Row],[Obj]],13,10),"")</f>
        <v>JP01OF0203</v>
      </c>
      <c r="J3971" s="140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EL</v>
      </c>
      <c r="L3971" s="140" t="s">
        <v>4894</v>
      </c>
      <c r="M3971" s="136">
        <v>45902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67</v>
      </c>
      <c r="R3971" s="136" t="s">
        <v>6087</v>
      </c>
      <c r="S3971" s="140"/>
    </row>
    <row r="3972" spans="1:19" hidden="1">
      <c r="A3972" s="142" t="s">
        <v>6201</v>
      </c>
      <c r="B3972" s="149" t="str">
        <f>IFERROR(VLOOKUP(Proc[[#This Row],[App]],Table2[],3,0),"open")</f>
        <v>ok</v>
      </c>
      <c r="C3972" s="142" t="s">
        <v>369</v>
      </c>
      <c r="D3972" t="s">
        <v>6203</v>
      </c>
      <c r="E3972" t="s">
        <v>2041</v>
      </c>
      <c r="F3972" s="140" t="s">
        <v>2041</v>
      </c>
      <c r="G3972" s="142" t="s">
        <v>406</v>
      </c>
      <c r="H3972" s="140" t="str">
        <f>IF(Proc[[#This Row],[type]]="LFF (MDG-F)",MID(Proc[[#This Row],[Obj]],13,10),"")</f>
        <v>JP01R0S743</v>
      </c>
      <c r="J3972" s="140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EL</v>
      </c>
      <c r="L3972" s="140" t="s">
        <v>4894</v>
      </c>
      <c r="M3972" s="136">
        <v>45902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67</v>
      </c>
      <c r="R3972" s="136" t="s">
        <v>6087</v>
      </c>
      <c r="S3972" s="140"/>
    </row>
    <row r="3973" spans="1:19" hidden="1">
      <c r="A3973" t="s">
        <v>6202</v>
      </c>
      <c r="B3973" s="149" t="str">
        <f>IFERROR(VLOOKUP(Proc[[#This Row],[App]],Table2[],3,0),"open")</f>
        <v>ok</v>
      </c>
      <c r="C3973" s="144" t="s">
        <v>369</v>
      </c>
      <c r="D3973" t="s">
        <v>6276</v>
      </c>
      <c r="E3973" t="s">
        <v>3522</v>
      </c>
      <c r="F3973" s="149" t="s">
        <v>3522</v>
      </c>
      <c r="G3973" t="s">
        <v>400</v>
      </c>
      <c r="H3973" s="140" t="str">
        <f>IF(Proc[[#This Row],[type]]="LFF (MDG-F)",MID(Proc[[#This Row],[Obj]],13,10),"")</f>
        <v/>
      </c>
      <c r="J3973" s="140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LS</v>
      </c>
      <c r="L3973" s="140" t="s">
        <v>4894</v>
      </c>
      <c r="M3973" s="136">
        <v>45902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67</v>
      </c>
      <c r="R3973" s="136" t="s">
        <v>1262</v>
      </c>
      <c r="S3973" s="140"/>
    </row>
    <row r="3974" spans="1:19" hidden="1">
      <c r="A3974" t="s">
        <v>6216</v>
      </c>
      <c r="B3974" s="149" t="str">
        <f>IFERROR(VLOOKUP(Proc[[#This Row],[App]],Table2[],3,0),"open")</f>
        <v>ok</v>
      </c>
      <c r="C3974" s="142" t="s">
        <v>369</v>
      </c>
      <c r="D3974" t="s">
        <v>6205</v>
      </c>
      <c r="E3974" t="s">
        <v>6204</v>
      </c>
      <c r="F3974" s="140" t="s">
        <v>6204</v>
      </c>
      <c r="G3974" t="s">
        <v>406</v>
      </c>
      <c r="H3974" s="140" t="str">
        <f>IF(Proc[[#This Row],[type]]="LFF (MDG-F)",MID(Proc[[#This Row],[Obj]],13,10),"")</f>
        <v>CNS1OF0144</v>
      </c>
      <c r="J3974" s="140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EL</v>
      </c>
      <c r="L3974" s="140" t="s">
        <v>4894</v>
      </c>
      <c r="M3974" s="136">
        <v>45906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63</v>
      </c>
      <c r="R3974" s="136" t="s">
        <v>6087</v>
      </c>
      <c r="S3974" s="140"/>
    </row>
    <row r="3975" spans="1:19" hidden="1">
      <c r="A3975" s="142" t="s">
        <v>6216</v>
      </c>
      <c r="B3975" s="149" t="str">
        <f>IFERROR(VLOOKUP(Proc[[#This Row],[App]],Table2[],3,0),"open")</f>
        <v>ok</v>
      </c>
      <c r="C3975" s="149" t="s">
        <v>369</v>
      </c>
      <c r="D3975" t="s">
        <v>6206</v>
      </c>
      <c r="E3975" t="s">
        <v>6069</v>
      </c>
      <c r="F3975" s="150" t="s">
        <v>6069</v>
      </c>
      <c r="G3975" s="142" t="s">
        <v>406</v>
      </c>
      <c r="H3975" s="140" t="str">
        <f>IF(Proc[[#This Row],[type]]="LFF (MDG-F)",MID(Proc[[#This Row],[Obj]],13,10),"")</f>
        <v>DES1OFCX20</v>
      </c>
      <c r="J3975" s="140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EL</v>
      </c>
      <c r="L3975" s="140" t="s">
        <v>4894</v>
      </c>
      <c r="M3975" s="136">
        <v>45906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63</v>
      </c>
      <c r="R3975" s="136" t="s">
        <v>6087</v>
      </c>
      <c r="S3975" s="140"/>
    </row>
    <row r="3976" spans="1:19" hidden="1">
      <c r="A3976" s="142" t="s">
        <v>6216</v>
      </c>
      <c r="B3976" s="149" t="str">
        <f>IFERROR(VLOOKUP(Proc[[#This Row],[App]],Table2[],3,0),"open")</f>
        <v>ok</v>
      </c>
      <c r="C3976" s="149" t="s">
        <v>369</v>
      </c>
      <c r="D3976" t="s">
        <v>6207</v>
      </c>
      <c r="E3976" t="s">
        <v>6069</v>
      </c>
      <c r="F3976" s="150" t="s">
        <v>6069</v>
      </c>
      <c r="G3976" s="142" t="s">
        <v>406</v>
      </c>
      <c r="H3976" s="140" t="str">
        <f>IF(Proc[[#This Row],[type]]="LFF (MDG-F)",MID(Proc[[#This Row],[Obj]],13,10),"")</f>
        <v>DES1OFCX21</v>
      </c>
      <c r="J3976" s="140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EL</v>
      </c>
      <c r="L3976" s="140" t="s">
        <v>4894</v>
      </c>
      <c r="M3976" s="136">
        <v>45906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63</v>
      </c>
      <c r="R3976" s="136" t="s">
        <v>6087</v>
      </c>
      <c r="S3976" s="140"/>
    </row>
    <row r="3977" spans="1:19" hidden="1">
      <c r="A3977" s="142" t="s">
        <v>6216</v>
      </c>
      <c r="B3977" s="149" t="str">
        <f>IFERROR(VLOOKUP(Proc[[#This Row],[App]],Table2[],3,0),"open")</f>
        <v>ok</v>
      </c>
      <c r="C3977" s="144" t="s">
        <v>369</v>
      </c>
      <c r="D3977" t="s">
        <v>6208</v>
      </c>
      <c r="E3977" t="s">
        <v>6059</v>
      </c>
      <c r="F3977" s="140" t="s">
        <v>6059</v>
      </c>
      <c r="G3977" s="142" t="s">
        <v>406</v>
      </c>
      <c r="H3977" s="140" t="str">
        <f>IF(Proc[[#This Row],[type]]="LFF (MDG-F)",MID(Proc[[#This Row],[Obj]],13,10),"")</f>
        <v>DES1Z01000</v>
      </c>
      <c r="J3977" s="140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EL</v>
      </c>
      <c r="L3977" s="140" t="s">
        <v>4894</v>
      </c>
      <c r="M3977" s="136">
        <v>45906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63</v>
      </c>
      <c r="R3977" s="136" t="s">
        <v>6087</v>
      </c>
      <c r="S3977" s="140"/>
    </row>
    <row r="3978" spans="1:19" hidden="1">
      <c r="A3978" s="142" t="s">
        <v>6216</v>
      </c>
      <c r="B3978" s="149" t="str">
        <f>IFERROR(VLOOKUP(Proc[[#This Row],[App]],Table2[],3,0),"open")</f>
        <v>ok</v>
      </c>
      <c r="C3978" s="144" t="s">
        <v>369</v>
      </c>
      <c r="D3978" t="s">
        <v>6209</v>
      </c>
      <c r="E3978" t="s">
        <v>6059</v>
      </c>
      <c r="F3978" s="140" t="s">
        <v>6059</v>
      </c>
      <c r="G3978" s="142" t="s">
        <v>406</v>
      </c>
      <c r="H3978" s="140" t="str">
        <f>IF(Proc[[#This Row],[type]]="LFF (MDG-F)",MID(Proc[[#This Row],[Obj]],13,10),"")</f>
        <v>KRS1Z01000</v>
      </c>
      <c r="J3978" s="140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EL</v>
      </c>
      <c r="L3978" s="140" t="s">
        <v>4894</v>
      </c>
      <c r="M3978" s="136">
        <v>45906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63</v>
      </c>
      <c r="R3978" s="136" t="s">
        <v>6087</v>
      </c>
      <c r="S3978" s="140"/>
    </row>
    <row r="3979" spans="1:19" hidden="1">
      <c r="A3979" s="142" t="s">
        <v>6216</v>
      </c>
      <c r="B3979" s="149" t="str">
        <f>IFERROR(VLOOKUP(Proc[[#This Row],[App]],Table2[],3,0),"open")</f>
        <v>ok</v>
      </c>
      <c r="C3979" s="142" t="s">
        <v>369</v>
      </c>
      <c r="D3979" t="s">
        <v>6210</v>
      </c>
      <c r="E3979" t="s">
        <v>6204</v>
      </c>
      <c r="F3979" s="140" t="s">
        <v>6204</v>
      </c>
      <c r="G3979" s="142" t="s">
        <v>406</v>
      </c>
      <c r="H3979" s="140" t="str">
        <f>IF(Proc[[#This Row],[type]]="LFF (MDG-F)",MID(Proc[[#This Row],[Obj]],13,10),"")</f>
        <v>MYS1OF0110</v>
      </c>
      <c r="J3979" s="140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EL</v>
      </c>
      <c r="L3979" s="140" t="s">
        <v>4894</v>
      </c>
      <c r="M3979" s="136">
        <v>45906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63</v>
      </c>
      <c r="R3979" s="136" t="s">
        <v>6087</v>
      </c>
      <c r="S3979" s="140"/>
    </row>
    <row r="3980" spans="1:19" hidden="1">
      <c r="A3980" s="142" t="s">
        <v>6216</v>
      </c>
      <c r="B3980" s="149" t="str">
        <f>IFERROR(VLOOKUP(Proc[[#This Row],[App]],Table2[],3,0),"open")</f>
        <v>ok</v>
      </c>
      <c r="C3980" s="144" t="s">
        <v>369</v>
      </c>
      <c r="D3980" t="s">
        <v>6211</v>
      </c>
      <c r="E3980" t="s">
        <v>6059</v>
      </c>
      <c r="F3980" s="140" t="s">
        <v>6059</v>
      </c>
      <c r="G3980" s="142" t="s">
        <v>406</v>
      </c>
      <c r="H3980" s="140" t="str">
        <f>IF(Proc[[#This Row],[type]]="LFF (MDG-F)",MID(Proc[[#This Row],[Obj]],13,10),"")</f>
        <v>MYS1Z01000</v>
      </c>
      <c r="J3980" s="140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EL</v>
      </c>
      <c r="L3980" s="140" t="s">
        <v>4894</v>
      </c>
      <c r="M3980" s="136">
        <v>45906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63</v>
      </c>
      <c r="R3980" s="136" t="s">
        <v>6087</v>
      </c>
      <c r="S3980" s="140"/>
    </row>
    <row r="3981" spans="1:19" hidden="1">
      <c r="A3981" s="142" t="s">
        <v>6216</v>
      </c>
      <c r="B3981" s="149" t="str">
        <f>IFERROR(VLOOKUP(Proc[[#This Row],[App]],Table2[],3,0),"open")</f>
        <v>ok</v>
      </c>
      <c r="C3981" s="142" t="s">
        <v>369</v>
      </c>
      <c r="D3981" t="s">
        <v>6212</v>
      </c>
      <c r="E3981" t="s">
        <v>6204</v>
      </c>
      <c r="F3981" s="140" t="s">
        <v>6204</v>
      </c>
      <c r="G3981" s="142" t="s">
        <v>406</v>
      </c>
      <c r="H3981" s="140" t="str">
        <f>IF(Proc[[#This Row],[type]]="LFF (MDG-F)",MID(Proc[[#This Row],[Obj]],13,10),"")</f>
        <v>THS1OF0110</v>
      </c>
      <c r="J3981" s="140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EL</v>
      </c>
      <c r="L3981" s="140" t="s">
        <v>4894</v>
      </c>
      <c r="M3981" s="136">
        <v>45906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63</v>
      </c>
      <c r="R3981" s="136" t="s">
        <v>6087</v>
      </c>
      <c r="S3981" s="140"/>
    </row>
    <row r="3982" spans="1:19" hidden="1">
      <c r="A3982" s="142" t="s">
        <v>6216</v>
      </c>
      <c r="B3982" s="149" t="str">
        <f>IFERROR(VLOOKUP(Proc[[#This Row],[App]],Table2[],3,0),"open")</f>
        <v>ok</v>
      </c>
      <c r="C3982" s="144" t="s">
        <v>369</v>
      </c>
      <c r="D3982" t="s">
        <v>6213</v>
      </c>
      <c r="E3982" t="s">
        <v>6059</v>
      </c>
      <c r="F3982" s="140" t="s">
        <v>6059</v>
      </c>
      <c r="G3982" s="142" t="s">
        <v>406</v>
      </c>
      <c r="H3982" s="140" t="str">
        <f>IF(Proc[[#This Row],[type]]="LFF (MDG-F)",MID(Proc[[#This Row],[Obj]],13,10),"")</f>
        <v>USS1Z01000</v>
      </c>
      <c r="J3982" s="140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EL</v>
      </c>
      <c r="L3982" s="140" t="s">
        <v>4894</v>
      </c>
      <c r="M3982" s="136">
        <v>45906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63</v>
      </c>
      <c r="R3982" s="136" t="s">
        <v>6087</v>
      </c>
      <c r="S3982" s="140"/>
    </row>
    <row r="3983" spans="1:19" hidden="1">
      <c r="A3983" s="142" t="s">
        <v>6216</v>
      </c>
      <c r="B3983" s="149" t="str">
        <f>IFERROR(VLOOKUP(Proc[[#This Row],[App]],Table2[],3,0),"open")</f>
        <v>ok</v>
      </c>
      <c r="C3983" s="144" t="s">
        <v>369</v>
      </c>
      <c r="D3983" t="s">
        <v>6214</v>
      </c>
      <c r="E3983" t="s">
        <v>6059</v>
      </c>
      <c r="F3983" s="140" t="s">
        <v>6059</v>
      </c>
      <c r="G3983" s="142" t="s">
        <v>406</v>
      </c>
      <c r="H3983" s="140" t="str">
        <f>IF(Proc[[#This Row],[type]]="LFF (MDG-F)",MID(Proc[[#This Row],[Obj]],13,10),"")</f>
        <v>CNS1Z01000</v>
      </c>
      <c r="J3983" s="140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EL</v>
      </c>
      <c r="L3983" s="140" t="s">
        <v>4894</v>
      </c>
      <c r="M3983" s="136">
        <v>45906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63</v>
      </c>
      <c r="R3983" s="136" t="s">
        <v>6087</v>
      </c>
      <c r="S3983" s="140"/>
    </row>
    <row r="3984" spans="1:19" hidden="1">
      <c r="A3984" s="142" t="s">
        <v>6216</v>
      </c>
      <c r="B3984" s="149" t="str">
        <f>IFERROR(VLOOKUP(Proc[[#This Row],[App]],Table2[],3,0),"open")</f>
        <v>ok</v>
      </c>
      <c r="C3984" s="144" t="s">
        <v>369</v>
      </c>
      <c r="D3984" t="s">
        <v>6215</v>
      </c>
      <c r="E3984" t="s">
        <v>6059</v>
      </c>
      <c r="F3984" s="140" t="s">
        <v>6059</v>
      </c>
      <c r="G3984" s="142" t="s">
        <v>406</v>
      </c>
      <c r="H3984" s="140" t="str">
        <f>IF(Proc[[#This Row],[type]]="LFF (MDG-F)",MID(Proc[[#This Row],[Obj]],13,10),"")</f>
        <v>THS1Z01000</v>
      </c>
      <c r="J3984" s="140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EL</v>
      </c>
      <c r="L3984" s="140" t="s">
        <v>4894</v>
      </c>
      <c r="M3984" s="136">
        <v>45906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63</v>
      </c>
      <c r="R3984" s="136" t="s">
        <v>6087</v>
      </c>
      <c r="S3984" s="140"/>
    </row>
    <row r="3985" spans="1:19" hidden="1">
      <c r="A3985" t="s">
        <v>6217</v>
      </c>
      <c r="B3985" s="149" t="str">
        <f>IFERROR(VLOOKUP(Proc[[#This Row],[App]],Table2[],3,0),"open")</f>
        <v>ok</v>
      </c>
      <c r="C3985" s="144" t="s">
        <v>369</v>
      </c>
      <c r="D3985" s="143" t="s">
        <v>6218</v>
      </c>
      <c r="E3985" s="144" t="s">
        <v>3249</v>
      </c>
      <c r="F3985" s="140" t="s">
        <v>3249</v>
      </c>
      <c r="G3985" t="s">
        <v>400</v>
      </c>
      <c r="H3985" s="140" t="str">
        <f>IF(Proc[[#This Row],[type]]="LFF (MDG-F)",MID(Proc[[#This Row],[Obj]],13,10),"")</f>
        <v/>
      </c>
      <c r="J3985" s="140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MGF</v>
      </c>
      <c r="L3985" s="140" t="s">
        <v>4894</v>
      </c>
      <c r="M3985" s="136">
        <v>45908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63</v>
      </c>
      <c r="R3985" s="136" t="s">
        <v>515</v>
      </c>
      <c r="S3985" s="140"/>
    </row>
    <row r="3986" spans="1:19" hidden="1">
      <c r="A3986" t="s">
        <v>6236</v>
      </c>
      <c r="B3986" s="149" t="str">
        <f>IFERROR(VLOOKUP(Proc[[#This Row],[App]],Table2[],3,0),"open")</f>
        <v>ok</v>
      </c>
      <c r="C3986" s="144" t="s">
        <v>369</v>
      </c>
      <c r="D3986" t="s">
        <v>6219</v>
      </c>
      <c r="E3986" t="s">
        <v>4864</v>
      </c>
      <c r="F3986" s="140" t="s">
        <v>4864</v>
      </c>
      <c r="G3986" t="s">
        <v>400</v>
      </c>
      <c r="H3986" s="140" t="str">
        <f>IF(Proc[[#This Row],[type]]="LFF (MDG-F)",MID(Proc[[#This Row],[Obj]],13,10),"")</f>
        <v/>
      </c>
      <c r="J3986" s="140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MGF</v>
      </c>
      <c r="L3986" s="140" t="s">
        <v>4894</v>
      </c>
      <c r="M3986" s="137">
        <v>45909</v>
      </c>
      <c r="N3986" s="137"/>
      <c r="O3986" s="137"/>
      <c r="P3986" s="145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62</v>
      </c>
      <c r="R3986" s="137" t="s">
        <v>515</v>
      </c>
      <c r="S3986" s="140"/>
    </row>
    <row r="3987" spans="1:19" hidden="1">
      <c r="A3987" s="144" t="s">
        <v>6236</v>
      </c>
      <c r="B3987" s="149" t="str">
        <f>IFERROR(VLOOKUP(Proc[[#This Row],[App]],Table2[],3,0),"open")</f>
        <v>ok</v>
      </c>
      <c r="C3987" s="144" t="s">
        <v>369</v>
      </c>
      <c r="D3987" t="s">
        <v>6220</v>
      </c>
      <c r="E3987" t="s">
        <v>4864</v>
      </c>
      <c r="F3987" s="140" t="s">
        <v>4864</v>
      </c>
      <c r="G3987" t="s">
        <v>400</v>
      </c>
      <c r="H3987" s="140" t="str">
        <f>IF(Proc[[#This Row],[type]]="LFF (MDG-F)",MID(Proc[[#This Row],[Obj]],13,10),"")</f>
        <v/>
      </c>
      <c r="J3987" s="140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MGF</v>
      </c>
      <c r="L3987" s="140" t="s">
        <v>4894</v>
      </c>
      <c r="M3987" s="137">
        <v>45909</v>
      </c>
      <c r="N3987" s="137"/>
      <c r="O3987" s="137"/>
      <c r="P3987" s="145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62</v>
      </c>
      <c r="R3987" s="137" t="s">
        <v>515</v>
      </c>
      <c r="S3987" s="140"/>
    </row>
    <row r="3988" spans="1:19" hidden="1">
      <c r="A3988" s="144" t="s">
        <v>6236</v>
      </c>
      <c r="B3988" s="149" t="str">
        <f>IFERROR(VLOOKUP(Proc[[#This Row],[App]],Table2[],3,0),"open")</f>
        <v>ok</v>
      </c>
      <c r="C3988" s="144" t="s">
        <v>369</v>
      </c>
      <c r="D3988" t="s">
        <v>6221</v>
      </c>
      <c r="E3988" t="s">
        <v>4865</v>
      </c>
      <c r="F3988" s="140" t="s">
        <v>4865</v>
      </c>
      <c r="G3988" t="s">
        <v>400</v>
      </c>
      <c r="H3988" s="140" t="str">
        <f>IF(Proc[[#This Row],[type]]="LFF (MDG-F)",MID(Proc[[#This Row],[Obj]],13,10),"")</f>
        <v/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7">
        <v>45909</v>
      </c>
      <c r="N3988" s="137"/>
      <c r="O3988" s="137"/>
      <c r="P3988" s="145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62</v>
      </c>
      <c r="R3988" s="137" t="s">
        <v>515</v>
      </c>
      <c r="S3988" s="140"/>
    </row>
    <row r="3989" spans="1:19" hidden="1">
      <c r="A3989" s="144" t="s">
        <v>6236</v>
      </c>
      <c r="B3989" s="149" t="str">
        <f>IFERROR(VLOOKUP(Proc[[#This Row],[App]],Table2[],3,0),"open")</f>
        <v>ok</v>
      </c>
      <c r="C3989" s="144" t="s">
        <v>369</v>
      </c>
      <c r="D3989" t="s">
        <v>6222</v>
      </c>
      <c r="E3989" t="s">
        <v>4865</v>
      </c>
      <c r="F3989" s="140" t="s">
        <v>4865</v>
      </c>
      <c r="G3989" t="s">
        <v>406</v>
      </c>
      <c r="H3989" s="140" t="str">
        <f>IF(Proc[[#This Row],[type]]="LFF (MDG-F)",MID(Proc[[#This Row],[Obj]],13,10),"")</f>
        <v>BE50GLE300</v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7">
        <v>45909</v>
      </c>
      <c r="N3989" s="137"/>
      <c r="O3989" s="137"/>
      <c r="P3989" s="145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62</v>
      </c>
      <c r="R3989" s="137" t="s">
        <v>515</v>
      </c>
      <c r="S3989" s="140"/>
    </row>
    <row r="3990" spans="1:19" hidden="1">
      <c r="A3990" s="144" t="s">
        <v>6236</v>
      </c>
      <c r="B3990" s="149" t="str">
        <f>IFERROR(VLOOKUP(Proc[[#This Row],[App]],Table2[],3,0),"open")</f>
        <v>ok</v>
      </c>
      <c r="C3990" s="144" t="s">
        <v>369</v>
      </c>
      <c r="D3990" t="s">
        <v>6223</v>
      </c>
      <c r="E3990" t="s">
        <v>4864</v>
      </c>
      <c r="F3990" s="140" t="s">
        <v>4864</v>
      </c>
      <c r="G3990" s="144" t="s">
        <v>406</v>
      </c>
      <c r="H3990" s="140" t="str">
        <f>IF(Proc[[#This Row],[type]]="LFF (MDG-F)",MID(Proc[[#This Row],[Obj]],13,10),"")</f>
        <v>JP01GLE302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7">
        <v>45909</v>
      </c>
      <c r="N3990" s="137"/>
      <c r="O3990" s="137"/>
      <c r="P3990" s="145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62</v>
      </c>
      <c r="R3990" s="137" t="s">
        <v>515</v>
      </c>
      <c r="S3990" s="140"/>
    </row>
    <row r="3991" spans="1:19" hidden="1">
      <c r="A3991" s="144" t="s">
        <v>6236</v>
      </c>
      <c r="B3991" s="149" t="str">
        <f>IFERROR(VLOOKUP(Proc[[#This Row],[App]],Table2[],3,0),"open")</f>
        <v>ok</v>
      </c>
      <c r="C3991" s="144" t="s">
        <v>369</v>
      </c>
      <c r="D3991" t="s">
        <v>6224</v>
      </c>
      <c r="E3991" t="s">
        <v>4864</v>
      </c>
      <c r="F3991" s="140" t="s">
        <v>4864</v>
      </c>
      <c r="G3991" s="144" t="s">
        <v>406</v>
      </c>
      <c r="H3991" s="140" t="str">
        <f>IF(Proc[[#This Row],[type]]="LFF (MDG-F)",MID(Proc[[#This Row],[Obj]],13,10),"")</f>
        <v>JP02GLE302</v>
      </c>
      <c r="J3991" s="140" t="b">
        <f>Proc[[#This Row],[Requested]]=Proc[[#This Row],[CurrentParent]]</f>
        <v>1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7">
        <v>45909</v>
      </c>
      <c r="N3991" s="137"/>
      <c r="O3991" s="137"/>
      <c r="P3991" s="145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62</v>
      </c>
      <c r="R3991" s="137" t="s">
        <v>515</v>
      </c>
      <c r="S3991" s="140"/>
    </row>
    <row r="3992" spans="1:19" hidden="1">
      <c r="A3992" s="144" t="s">
        <v>6236</v>
      </c>
      <c r="B3992" s="149" t="str">
        <f>IFERROR(VLOOKUP(Proc[[#This Row],[App]],Table2[],3,0),"open")</f>
        <v>ok</v>
      </c>
      <c r="C3992" s="144" t="s">
        <v>369</v>
      </c>
      <c r="D3992" t="s">
        <v>6225</v>
      </c>
      <c r="E3992" t="s">
        <v>4864</v>
      </c>
      <c r="F3992" s="140" t="s">
        <v>4864</v>
      </c>
      <c r="G3992" s="144" t="s">
        <v>406</v>
      </c>
      <c r="H3992" s="140" t="str">
        <f>IF(Proc[[#This Row],[type]]="LFF (MDG-F)",MID(Proc[[#This Row],[Obj]],13,10),"")</f>
        <v>KR02GLE005</v>
      </c>
      <c r="J3992" s="140" t="b">
        <f>Proc[[#This Row],[Requested]]=Proc[[#This Row],[CurrentParent]]</f>
        <v>1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7">
        <v>45909</v>
      </c>
      <c r="N3992" s="137"/>
      <c r="O3992" s="137"/>
      <c r="P3992" s="145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62</v>
      </c>
      <c r="R3992" s="137" t="s">
        <v>515</v>
      </c>
      <c r="S3992" s="140"/>
    </row>
    <row r="3993" spans="1:19" hidden="1">
      <c r="A3993" s="144" t="s">
        <v>6236</v>
      </c>
      <c r="B3993" s="149" t="str">
        <f>IFERROR(VLOOKUP(Proc[[#This Row],[App]],Table2[],3,0),"open")</f>
        <v>ok</v>
      </c>
      <c r="C3993" s="144" t="s">
        <v>369</v>
      </c>
      <c r="D3993" t="s">
        <v>6226</v>
      </c>
      <c r="E3993" t="s">
        <v>4864</v>
      </c>
      <c r="F3993" s="140" t="s">
        <v>4864</v>
      </c>
      <c r="G3993" s="144" t="s">
        <v>406</v>
      </c>
      <c r="H3993" s="140" t="str">
        <f>IF(Proc[[#This Row],[type]]="LFF (MDG-F)",MID(Proc[[#This Row],[Obj]],13,10),"")</f>
        <v>TW02GLE006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7">
        <v>45909</v>
      </c>
      <c r="N3993" s="137"/>
      <c r="O3993" s="137"/>
      <c r="P3993" s="145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62</v>
      </c>
      <c r="R3993" s="137" t="s">
        <v>515</v>
      </c>
      <c r="S3993" s="140"/>
    </row>
    <row r="3994" spans="1:19" hidden="1">
      <c r="A3994" s="144" t="s">
        <v>6236</v>
      </c>
      <c r="B3994" s="149" t="str">
        <f>IFERROR(VLOOKUP(Proc[[#This Row],[App]],Table2[],3,0),"open")</f>
        <v>ok</v>
      </c>
      <c r="C3994" s="144" t="s">
        <v>369</v>
      </c>
      <c r="D3994" t="s">
        <v>6227</v>
      </c>
      <c r="E3994" t="s">
        <v>4864</v>
      </c>
      <c r="F3994" s="140" t="s">
        <v>4864</v>
      </c>
      <c r="G3994" s="144" t="s">
        <v>406</v>
      </c>
      <c r="H3994" s="140" t="str">
        <f>IF(Proc[[#This Row],[type]]="LFF (MDG-F)",MID(Proc[[#This Row],[Obj]],13,10),"")</f>
        <v>TW03GLE006</v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7">
        <v>45909</v>
      </c>
      <c r="N3994" s="137"/>
      <c r="O3994" s="137"/>
      <c r="P3994" s="145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62</v>
      </c>
      <c r="R3994" s="137" t="s">
        <v>515</v>
      </c>
      <c r="S3994" s="140"/>
    </row>
    <row r="3995" spans="1:19" hidden="1">
      <c r="A3995" s="144" t="s">
        <v>6236</v>
      </c>
      <c r="B3995" s="149" t="str">
        <f>IFERROR(VLOOKUP(Proc[[#This Row],[App]],Table2[],3,0),"open")</f>
        <v>ok</v>
      </c>
      <c r="C3995" s="144" t="s">
        <v>369</v>
      </c>
      <c r="D3995" t="s">
        <v>6228</v>
      </c>
      <c r="E3995" t="s">
        <v>4865</v>
      </c>
      <c r="F3995" s="140" t="s">
        <v>4865</v>
      </c>
      <c r="G3995" s="144" t="s">
        <v>406</v>
      </c>
      <c r="H3995" s="140" t="str">
        <f>IF(Proc[[#This Row],[type]]="LFF (MDG-F)",MID(Proc[[#This Row],[Obj]],13,10),"")</f>
        <v>2057GLE006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7">
        <v>45909</v>
      </c>
      <c r="N3995" s="137"/>
      <c r="O3995" s="137"/>
      <c r="P3995" s="145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62</v>
      </c>
      <c r="R3995" s="137" t="s">
        <v>515</v>
      </c>
      <c r="S3995" s="140"/>
    </row>
    <row r="3996" spans="1:19" hidden="1">
      <c r="A3996" s="144" t="s">
        <v>6236</v>
      </c>
      <c r="B3996" s="149" t="str">
        <f>IFERROR(VLOOKUP(Proc[[#This Row],[App]],Table2[],3,0),"open")</f>
        <v>ok</v>
      </c>
      <c r="C3996" s="144" t="s">
        <v>369</v>
      </c>
      <c r="D3996" t="s">
        <v>6229</v>
      </c>
      <c r="E3996" t="s">
        <v>4864</v>
      </c>
      <c r="F3996" s="140" t="s">
        <v>4864</v>
      </c>
      <c r="G3996" s="144" t="s">
        <v>406</v>
      </c>
      <c r="H3996" s="140" t="str">
        <f>IF(Proc[[#This Row],[type]]="LFF (MDG-F)",MID(Proc[[#This Row],[Obj]],13,10),"")</f>
        <v>KR03GLE005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7">
        <v>45909</v>
      </c>
      <c r="N3996" s="137"/>
      <c r="O3996" s="137"/>
      <c r="P3996" s="145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62</v>
      </c>
      <c r="R3996" s="137" t="s">
        <v>515</v>
      </c>
      <c r="S3996" s="140"/>
    </row>
    <row r="3997" spans="1:19" hidden="1">
      <c r="A3997" s="144" t="s">
        <v>6236</v>
      </c>
      <c r="B3997" s="149" t="str">
        <f>IFERROR(VLOOKUP(Proc[[#This Row],[App]],Table2[],3,0),"open")</f>
        <v>ok</v>
      </c>
      <c r="C3997" s="144" t="s">
        <v>369</v>
      </c>
      <c r="D3997" t="s">
        <v>6230</v>
      </c>
      <c r="E3997" t="s">
        <v>4864</v>
      </c>
      <c r="F3997" s="140" t="s">
        <v>4864</v>
      </c>
      <c r="G3997" s="144" t="s">
        <v>406</v>
      </c>
      <c r="H3997" s="140" t="str">
        <f>IF(Proc[[#This Row],[type]]="LFF (MDG-F)",MID(Proc[[#This Row],[Obj]],13,10),"")</f>
        <v>TW10GLE106</v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7">
        <v>45909</v>
      </c>
      <c r="N3997" s="137"/>
      <c r="O3997" s="137"/>
      <c r="P3997" s="145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62</v>
      </c>
      <c r="R3997" s="137" t="s">
        <v>515</v>
      </c>
      <c r="S3997" s="140"/>
    </row>
    <row r="3998" spans="1:19" hidden="1">
      <c r="A3998" s="144" t="s">
        <v>6236</v>
      </c>
      <c r="B3998" s="149" t="str">
        <f>IFERROR(VLOOKUP(Proc[[#This Row],[App]],Table2[],3,0),"open")</f>
        <v>ok</v>
      </c>
      <c r="C3998" s="144" t="s">
        <v>369</v>
      </c>
      <c r="D3998" t="s">
        <v>6231</v>
      </c>
      <c r="E3998" t="s">
        <v>4864</v>
      </c>
      <c r="F3998" s="140" t="s">
        <v>4864</v>
      </c>
      <c r="G3998" s="144" t="s">
        <v>406</v>
      </c>
      <c r="H3998" s="140" t="str">
        <f>IF(Proc[[#This Row],[type]]="LFF (MDG-F)",MID(Proc[[#This Row],[Obj]],13,10),"")</f>
        <v>TW91GLE106</v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7">
        <v>45909</v>
      </c>
      <c r="N3998" s="137"/>
      <c r="O3998" s="137"/>
      <c r="P3998" s="145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62</v>
      </c>
      <c r="R3998" s="137" t="s">
        <v>515</v>
      </c>
      <c r="S3998" s="140"/>
    </row>
    <row r="3999" spans="1:19" hidden="1">
      <c r="A3999" s="144" t="s">
        <v>6236</v>
      </c>
      <c r="B3999" s="149" t="str">
        <f>IFERROR(VLOOKUP(Proc[[#This Row],[App]],Table2[],3,0),"open")</f>
        <v>ok</v>
      </c>
      <c r="C3999" s="144" t="s">
        <v>369</v>
      </c>
      <c r="D3999" t="s">
        <v>6232</v>
      </c>
      <c r="E3999" t="s">
        <v>4864</v>
      </c>
      <c r="F3999" s="140" t="s">
        <v>4864</v>
      </c>
      <c r="G399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7">
        <v>45909</v>
      </c>
      <c r="N3999" s="137"/>
      <c r="O3999" s="137"/>
      <c r="P3999" s="145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62</v>
      </c>
      <c r="R3999" s="137" t="s">
        <v>515</v>
      </c>
      <c r="S3999" s="140"/>
    </row>
    <row r="4000" spans="1:19" hidden="1">
      <c r="A4000" s="144" t="s">
        <v>6236</v>
      </c>
      <c r="B4000" s="149" t="str">
        <f>IFERROR(VLOOKUP(Proc[[#This Row],[App]],Table2[],3,0),"open")</f>
        <v>ok</v>
      </c>
      <c r="C4000" s="144" t="s">
        <v>369</v>
      </c>
      <c r="D4000" t="s">
        <v>6233</v>
      </c>
      <c r="E4000" t="s">
        <v>4864</v>
      </c>
      <c r="F4000" s="140" t="s">
        <v>4864</v>
      </c>
      <c r="G4000" t="s">
        <v>400</v>
      </c>
      <c r="H4000" s="140" t="str">
        <f>IF(Proc[[#This Row],[type]]="LFF (MDG-F)",MID(Proc[[#This Row],[Obj]],13,10),"")</f>
        <v/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7">
        <v>45909</v>
      </c>
      <c r="N4000" s="137"/>
      <c r="O4000" s="137"/>
      <c r="P4000" s="145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62</v>
      </c>
      <c r="R4000" s="137" t="s">
        <v>515</v>
      </c>
      <c r="S4000" s="140"/>
    </row>
    <row r="4001" spans="1:19" hidden="1">
      <c r="A4001" s="144" t="s">
        <v>6236</v>
      </c>
      <c r="B4001" s="149" t="str">
        <f>IFERROR(VLOOKUP(Proc[[#This Row],[App]],Table2[],3,0),"open")</f>
        <v>ok</v>
      </c>
      <c r="C4001" s="144" t="s">
        <v>369</v>
      </c>
      <c r="D4001" t="s">
        <v>6234</v>
      </c>
      <c r="E4001" t="s">
        <v>6237</v>
      </c>
      <c r="F4001" s="140" t="s">
        <v>6237</v>
      </c>
      <c r="G4001" t="s">
        <v>400</v>
      </c>
      <c r="H4001" s="140" t="str">
        <f>IF(Proc[[#This Row],[type]]="LFF (MDG-F)",MID(Proc[[#This Row],[Obj]],13,10),"")</f>
        <v/>
      </c>
      <c r="J4001" s="140" t="b">
        <f>Proc[[#This Row],[Requested]]=Proc[[#This Row],[CurrentParent]]</f>
        <v>1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7">
        <v>45909</v>
      </c>
      <c r="N4001" s="137"/>
      <c r="O4001" s="137"/>
      <c r="P4001" s="145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62</v>
      </c>
      <c r="R4001" s="137" t="s">
        <v>515</v>
      </c>
      <c r="S4001" s="140"/>
    </row>
    <row r="4002" spans="1:19" hidden="1">
      <c r="A4002" s="144" t="s">
        <v>6236</v>
      </c>
      <c r="B4002" s="149" t="str">
        <f>IFERROR(VLOOKUP(Proc[[#This Row],[App]],Table2[],3,0),"open")</f>
        <v>ok</v>
      </c>
      <c r="C4002" s="144" t="s">
        <v>369</v>
      </c>
      <c r="D4002" t="s">
        <v>6235</v>
      </c>
      <c r="E4002" t="s">
        <v>6237</v>
      </c>
      <c r="F4002" s="140" t="s">
        <v>6237</v>
      </c>
      <c r="G4002" s="144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7">
        <v>45909</v>
      </c>
      <c r="N4002" s="137"/>
      <c r="O4002" s="137"/>
      <c r="P4002" s="145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62</v>
      </c>
      <c r="R4002" s="137" t="s">
        <v>515</v>
      </c>
      <c r="S4002" s="140"/>
    </row>
    <row r="4003" spans="1:19" hidden="1">
      <c r="A4003" t="s">
        <v>6239</v>
      </c>
      <c r="B4003" s="149" t="str">
        <f>IFERROR(VLOOKUP(Proc[[#This Row],[App]],Table2[],3,0),"open")</f>
        <v>ok</v>
      </c>
      <c r="C4003" s="144" t="s">
        <v>369</v>
      </c>
      <c r="D4003" t="s">
        <v>6243</v>
      </c>
      <c r="E4003" s="144" t="s">
        <v>6238</v>
      </c>
      <c r="F4003" s="140" t="s">
        <v>6238</v>
      </c>
      <c r="G4003" s="144" t="s">
        <v>406</v>
      </c>
      <c r="H4003" s="140" t="str">
        <f>IF(Proc[[#This Row],[type]]="LFF (MDG-F)",MID(Proc[[#This Row],[Obj]],13,10),"")</f>
        <v>DE10620801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7">
        <v>45909</v>
      </c>
      <c r="N4003" s="137"/>
      <c r="O4003" s="137"/>
      <c r="P4003" s="145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62</v>
      </c>
      <c r="R4003" s="137" t="s">
        <v>452</v>
      </c>
      <c r="S4003" s="140"/>
    </row>
    <row r="4004" spans="1:19" hidden="1">
      <c r="A4004" t="s">
        <v>6240</v>
      </c>
      <c r="B4004" s="149" t="str">
        <f>IFERROR(VLOOKUP(Proc[[#This Row],[App]],Table2[],3,0),"open")</f>
        <v>ok</v>
      </c>
      <c r="C4004" s="149" t="s">
        <v>369</v>
      </c>
      <c r="D4004" t="s">
        <v>6244</v>
      </c>
      <c r="E4004" t="s">
        <v>1458</v>
      </c>
      <c r="F4004" s="150" t="s">
        <v>1458</v>
      </c>
      <c r="G4004" s="144" t="s">
        <v>400</v>
      </c>
      <c r="H4004" s="140" t="str">
        <f>IF(Proc[[#This Row],[type]]="LFF (MDG-F)",MID(Proc[[#This Row],[Obj]],13,10),"")</f>
        <v/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50" t="s">
        <v>4894</v>
      </c>
      <c r="M4004" s="137">
        <v>45909</v>
      </c>
      <c r="N4004" s="137"/>
      <c r="O4004" s="137"/>
      <c r="P4004" s="145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62</v>
      </c>
      <c r="R4004" s="145" t="s">
        <v>1459</v>
      </c>
      <c r="S4004" s="140"/>
    </row>
    <row r="4005" spans="1:19" hidden="1">
      <c r="A4005" t="s">
        <v>6241</v>
      </c>
      <c r="B4005" s="149" t="str">
        <f>IFERROR(VLOOKUP(Proc[[#This Row],[App]],Table2[],3,0),"open")</f>
        <v>ok</v>
      </c>
      <c r="C4005" s="144" t="s">
        <v>369</v>
      </c>
      <c r="D4005" t="s">
        <v>6205</v>
      </c>
      <c r="E4005" t="s">
        <v>6242</v>
      </c>
      <c r="F4005" s="140" t="s">
        <v>6242</v>
      </c>
      <c r="G4005" t="s">
        <v>406</v>
      </c>
      <c r="H4005" s="140" t="str">
        <f>IF(Proc[[#This Row],[type]]="LFF (MDG-F)",MID(Proc[[#This Row],[Obj]],13,10),"")</f>
        <v>CNS1OF0144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EL</v>
      </c>
      <c r="L4005" s="140" t="s">
        <v>4894</v>
      </c>
      <c r="M4005" s="137">
        <v>45909</v>
      </c>
      <c r="N4005" s="137"/>
      <c r="O4005" s="137"/>
      <c r="P4005" s="145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62</v>
      </c>
      <c r="R4005" s="145" t="s">
        <v>6087</v>
      </c>
      <c r="S4005" s="140"/>
    </row>
    <row r="4006" spans="1:19" hidden="1">
      <c r="A4006" s="144" t="s">
        <v>6241</v>
      </c>
      <c r="B4006" s="149" t="str">
        <f>IFERROR(VLOOKUP(Proc[[#This Row],[App]],Table2[],3,0),"open")</f>
        <v>ok</v>
      </c>
      <c r="C4006" s="144" t="s">
        <v>369</v>
      </c>
      <c r="D4006" t="s">
        <v>6210</v>
      </c>
      <c r="E4006" t="s">
        <v>6242</v>
      </c>
      <c r="F4006" s="140" t="s">
        <v>6242</v>
      </c>
      <c r="G4006" s="144" t="s">
        <v>406</v>
      </c>
      <c r="H4006" s="140" t="str">
        <f>IF(Proc[[#This Row],[type]]="LFF (MDG-F)",MID(Proc[[#This Row],[Obj]],13,10),"")</f>
        <v>MYS1OF0110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7">
        <v>45909</v>
      </c>
      <c r="N4006" s="137"/>
      <c r="O4006" s="137"/>
      <c r="P4006" s="145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62</v>
      </c>
      <c r="R4006" s="145" t="s">
        <v>6087</v>
      </c>
      <c r="S4006" s="140"/>
    </row>
    <row r="4007" spans="1:19" hidden="1">
      <c r="A4007" s="144" t="s">
        <v>6241</v>
      </c>
      <c r="B4007" s="149" t="str">
        <f>IFERROR(VLOOKUP(Proc[[#This Row],[App]],Table2[],3,0),"open")</f>
        <v>ok</v>
      </c>
      <c r="C4007" s="144" t="s">
        <v>369</v>
      </c>
      <c r="D4007" t="s">
        <v>6212</v>
      </c>
      <c r="E4007" t="s">
        <v>6242</v>
      </c>
      <c r="F4007" s="140" t="s">
        <v>6242</v>
      </c>
      <c r="G4007" s="144" t="s">
        <v>406</v>
      </c>
      <c r="H4007" s="140" t="str">
        <f>IF(Proc[[#This Row],[type]]="LFF (MDG-F)",MID(Proc[[#This Row],[Obj]],13,10),"")</f>
        <v>THS1OF0110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7">
        <v>45909</v>
      </c>
      <c r="N4007" s="137"/>
      <c r="O4007" s="137"/>
      <c r="P4007" s="145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62</v>
      </c>
      <c r="R4007" s="145" t="s">
        <v>6087</v>
      </c>
      <c r="S4007" s="140"/>
    </row>
    <row r="4008" spans="1:19" hidden="1">
      <c r="A4008" s="144" t="s">
        <v>6241</v>
      </c>
      <c r="B4008" s="149" t="str">
        <f>IFERROR(VLOOKUP(Proc[[#This Row],[App]],Table2[],3,0),"open")</f>
        <v>ok</v>
      </c>
      <c r="C4008" s="144" t="s">
        <v>369</v>
      </c>
      <c r="D4008" t="s">
        <v>6210</v>
      </c>
      <c r="E4008" t="s">
        <v>6242</v>
      </c>
      <c r="F4008" s="140" t="s">
        <v>6242</v>
      </c>
      <c r="G4008" s="144" t="s">
        <v>406</v>
      </c>
      <c r="H4008" s="140" t="str">
        <f>IF(Proc[[#This Row],[type]]="LFF (MDG-F)",MID(Proc[[#This Row],[Obj]],13,10),"")</f>
        <v>MYS1OF0110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7">
        <v>45909</v>
      </c>
      <c r="N4008" s="137"/>
      <c r="O4008" s="137"/>
      <c r="P4008" s="145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62</v>
      </c>
      <c r="R4008" s="145" t="s">
        <v>6087</v>
      </c>
      <c r="S4008" s="140"/>
    </row>
    <row r="4009" spans="1:19" hidden="1">
      <c r="A4009" t="s">
        <v>6246</v>
      </c>
      <c r="B4009" s="149" t="str">
        <f>IFERROR(VLOOKUP(Proc[[#This Row],[App]],Table2[],3,0),"open")</f>
        <v>ok</v>
      </c>
      <c r="C4009" s="144" t="s">
        <v>369</v>
      </c>
      <c r="D4009" t="s">
        <v>5534</v>
      </c>
      <c r="E4009" t="s">
        <v>6245</v>
      </c>
      <c r="F4009" s="140" t="s">
        <v>6245</v>
      </c>
      <c r="G4009" t="s">
        <v>400</v>
      </c>
      <c r="H4009" s="140" t="str">
        <f>IF(Proc[[#This Row],[type]]="LFF (MDG-F)",MID(Proc[[#This Row],[Obj]],13,10),"")</f>
        <v/>
      </c>
      <c r="J4009" s="140" t="b">
        <f>Proc[[#This Row],[Requested]]=Proc[[#This Row],[CurrentParent]]</f>
        <v>1</v>
      </c>
      <c r="K4009" s="140" t="str">
        <f>IF(Proc[[#This Row],[Author]]="Marcela Urrego",VLOOKUP(LEFT(Proc[[#This Row],[Requested]],1),Table3[#All],2,0),VLOOKUP(Proc[[#This Row],[Author]],Table4[],2,0))</f>
        <v>MGF</v>
      </c>
      <c r="L4009" s="140" t="s">
        <v>4894</v>
      </c>
      <c r="M4009" s="145">
        <v>45909</v>
      </c>
      <c r="N4009" s="145"/>
      <c r="O4009" s="145"/>
      <c r="P4009" s="14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62</v>
      </c>
      <c r="R4009" s="146" t="s">
        <v>6247</v>
      </c>
      <c r="S4009" s="140"/>
    </row>
    <row r="4010" spans="1:19" hidden="1">
      <c r="A4010" t="s">
        <v>6246</v>
      </c>
      <c r="B4010" s="149" t="str">
        <f>IFERROR(VLOOKUP(Proc[[#This Row],[App]],Table2[],3,0),"open")</f>
        <v>ok</v>
      </c>
      <c r="C4010" s="144" t="s">
        <v>369</v>
      </c>
      <c r="D4010" t="s">
        <v>5535</v>
      </c>
      <c r="E4010" t="s">
        <v>6245</v>
      </c>
      <c r="F4010" s="140" t="s">
        <v>6245</v>
      </c>
      <c r="G4010" t="s">
        <v>400</v>
      </c>
      <c r="H4010" s="140" t="str">
        <f>IF(Proc[[#This Row],[type]]="LFF (MDG-F)",MID(Proc[[#This Row],[Obj]],13,10),"")</f>
        <v/>
      </c>
      <c r="J4010" s="140" t="b">
        <f>Proc[[#This Row],[Requested]]=Proc[[#This Row],[CurrentParent]]</f>
        <v>1</v>
      </c>
      <c r="K4010" s="140" t="str">
        <f>IF(Proc[[#This Row],[Author]]="Marcela Urrego",VLOOKUP(LEFT(Proc[[#This Row],[Requested]],1),Table3[#All],2,0),VLOOKUP(Proc[[#This Row],[Author]],Table4[],2,0))</f>
        <v>MGF</v>
      </c>
      <c r="L4010" s="140" t="s">
        <v>4894</v>
      </c>
      <c r="M4010" s="145">
        <v>45909</v>
      </c>
      <c r="N4010" s="145"/>
      <c r="O4010" s="145"/>
      <c r="P4010" s="14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62</v>
      </c>
      <c r="R4010" s="146" t="s">
        <v>6247</v>
      </c>
      <c r="S4010" s="140"/>
    </row>
    <row r="4011" spans="1:19" hidden="1">
      <c r="A4011" s="144" t="s">
        <v>6246</v>
      </c>
      <c r="B4011" s="149" t="str">
        <f>IFERROR(VLOOKUP(Proc[[#This Row],[App]],Table2[],3,0),"open")</f>
        <v>ok</v>
      </c>
      <c r="C4011" s="144" t="s">
        <v>369</v>
      </c>
      <c r="D4011" t="s">
        <v>5536</v>
      </c>
      <c r="E4011" t="s">
        <v>6245</v>
      </c>
      <c r="F4011" s="140" t="s">
        <v>6245</v>
      </c>
      <c r="G4011" s="144" t="s">
        <v>400</v>
      </c>
      <c r="H4011" s="140" t="str">
        <f>IF(Proc[[#This Row],[type]]="LFF (MDG-F)",MID(Proc[[#This Row],[Obj]],13,10),"")</f>
        <v/>
      </c>
      <c r="J4011" s="140" t="b">
        <f>Proc[[#This Row],[Requested]]=Proc[[#This Row],[CurrentParent]]</f>
        <v>1</v>
      </c>
      <c r="K4011" s="140" t="str">
        <f>IF(Proc[[#This Row],[Author]]="Marcela Urrego",VLOOKUP(LEFT(Proc[[#This Row],[Requested]],1),Table3[#All],2,0),VLOOKUP(Proc[[#This Row],[Author]],Table4[],2,0))</f>
        <v>MGF</v>
      </c>
      <c r="L4011" s="140" t="s">
        <v>4894</v>
      </c>
      <c r="M4011" s="145">
        <v>45909</v>
      </c>
      <c r="N4011" s="145"/>
      <c r="O4011" s="145"/>
      <c r="P4011" s="14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62</v>
      </c>
      <c r="R4011" s="146" t="s">
        <v>6247</v>
      </c>
      <c r="S4011" s="140"/>
    </row>
    <row r="4012" spans="1:19" hidden="1">
      <c r="A4012" s="144" t="s">
        <v>6246</v>
      </c>
      <c r="B4012" s="149" t="str">
        <f>IFERROR(VLOOKUP(Proc[[#This Row],[App]],Table2[],3,0),"open")</f>
        <v>ok</v>
      </c>
      <c r="C4012" s="144" t="s">
        <v>369</v>
      </c>
      <c r="D4012" t="s">
        <v>5537</v>
      </c>
      <c r="E4012" t="s">
        <v>6245</v>
      </c>
      <c r="F4012" s="140" t="s">
        <v>6245</v>
      </c>
      <c r="G4012" s="144" t="s">
        <v>400</v>
      </c>
      <c r="H4012" s="140" t="str">
        <f>IF(Proc[[#This Row],[type]]="LFF (MDG-F)",MID(Proc[[#This Row],[Obj]],13,10),"")</f>
        <v/>
      </c>
      <c r="J4012" s="140" t="b">
        <f>Proc[[#This Row],[Requested]]=Proc[[#This Row],[CurrentParent]]</f>
        <v>1</v>
      </c>
      <c r="K4012" s="140" t="str">
        <f>IF(Proc[[#This Row],[Author]]="Marcela Urrego",VLOOKUP(LEFT(Proc[[#This Row],[Requested]],1),Table3[#All],2,0),VLOOKUP(Proc[[#This Row],[Author]],Table4[],2,0))</f>
        <v>MGF</v>
      </c>
      <c r="L4012" s="140" t="s">
        <v>4894</v>
      </c>
      <c r="M4012" s="145">
        <v>45909</v>
      </c>
      <c r="N4012" s="145"/>
      <c r="O4012" s="145"/>
      <c r="P4012" s="14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62</v>
      </c>
      <c r="R4012" s="146" t="s">
        <v>6247</v>
      </c>
      <c r="S4012" s="140"/>
    </row>
    <row r="4013" spans="1:19" hidden="1">
      <c r="A4013" s="144" t="s">
        <v>6246</v>
      </c>
      <c r="B4013" s="149" t="str">
        <f>IFERROR(VLOOKUP(Proc[[#This Row],[App]],Table2[],3,0),"open")</f>
        <v>ok</v>
      </c>
      <c r="C4013" s="144" t="s">
        <v>369</v>
      </c>
      <c r="D4013" t="s">
        <v>5538</v>
      </c>
      <c r="E4013" t="s">
        <v>6245</v>
      </c>
      <c r="F4013" s="140" t="s">
        <v>6245</v>
      </c>
      <c r="G4013" s="144" t="s">
        <v>400</v>
      </c>
      <c r="H4013" s="140" t="str">
        <f>IF(Proc[[#This Row],[type]]="LFF (MDG-F)",MID(Proc[[#This Row],[Obj]],13,10),"")</f>
        <v/>
      </c>
      <c r="J4013" s="140" t="b">
        <f>Proc[[#This Row],[Requested]]=Proc[[#This Row],[CurrentParent]]</f>
        <v>1</v>
      </c>
      <c r="K4013" s="140" t="str">
        <f>IF(Proc[[#This Row],[Author]]="Marcela Urrego",VLOOKUP(LEFT(Proc[[#This Row],[Requested]],1),Table3[#All],2,0),VLOOKUP(Proc[[#This Row],[Author]],Table4[],2,0))</f>
        <v>MGF</v>
      </c>
      <c r="L4013" s="140" t="s">
        <v>4894</v>
      </c>
      <c r="M4013" s="145">
        <v>45909</v>
      </c>
      <c r="N4013" s="145"/>
      <c r="O4013" s="145"/>
      <c r="P4013" s="14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62</v>
      </c>
      <c r="R4013" s="146" t="s">
        <v>6247</v>
      </c>
      <c r="S4013" s="140"/>
    </row>
    <row r="4014" spans="1:19" hidden="1">
      <c r="A4014" t="s">
        <v>6250</v>
      </c>
      <c r="B4014" s="149" t="str">
        <f>IFERROR(VLOOKUP(Proc[[#This Row],[App]],Table2[],3,0),"open")</f>
        <v>ok</v>
      </c>
      <c r="C4014" s="144" t="s">
        <v>369</v>
      </c>
      <c r="D4014" s="147" t="s">
        <v>6251</v>
      </c>
      <c r="E4014" t="s">
        <v>6248</v>
      </c>
      <c r="F4014" s="140" t="s">
        <v>6248</v>
      </c>
      <c r="G4014" t="s">
        <v>406</v>
      </c>
      <c r="H4014" s="140" t="str">
        <f>IF(Proc[[#This Row],[type]]="LFF (MDG-F)",MID(Proc[[#This Row],[Obj]],13,10),"")</f>
        <v>US10O05003</v>
      </c>
      <c r="J4014" s="140" t="b">
        <f>Proc[[#This Row],[Requested]]=Proc[[#This Row],[CurrentParent]]</f>
        <v>1</v>
      </c>
      <c r="K4014" s="140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46">
        <v>45909</v>
      </c>
      <c r="N4014" s="148"/>
      <c r="O4014" s="148"/>
      <c r="P4014" s="14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62</v>
      </c>
      <c r="R4014" s="146" t="s">
        <v>5709</v>
      </c>
      <c r="S4014" s="140"/>
    </row>
    <row r="4015" spans="1:19" hidden="1">
      <c r="A4015" s="144" t="s">
        <v>6250</v>
      </c>
      <c r="B4015" s="149" t="str">
        <f>IFERROR(VLOOKUP(Proc[[#This Row],[App]],Table2[],3,0),"open")</f>
        <v>ok</v>
      </c>
      <c r="C4015" s="144" t="s">
        <v>369</v>
      </c>
      <c r="D4015" s="147" t="s">
        <v>6252</v>
      </c>
      <c r="E4015" s="144" t="s">
        <v>6249</v>
      </c>
      <c r="F4015" s="140" t="s">
        <v>6249</v>
      </c>
      <c r="G4015" s="144" t="s">
        <v>406</v>
      </c>
      <c r="H4015" s="140" t="str">
        <f>IF(Proc[[#This Row],[type]]="LFF (MDG-F)",MID(Proc[[#This Row],[Obj]],13,10),"")</f>
        <v>KR07O05003</v>
      </c>
      <c r="J4015" s="140" t="b">
        <f>Proc[[#This Row],[Requested]]=Proc[[#This Row],[CurrentParent]]</f>
        <v>1</v>
      </c>
      <c r="K4015" s="140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46">
        <v>45909</v>
      </c>
      <c r="N4015" s="148"/>
      <c r="O4015" s="148"/>
      <c r="P4015" s="14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62</v>
      </c>
      <c r="R4015" s="146" t="s">
        <v>5709</v>
      </c>
      <c r="S4015" s="140"/>
    </row>
    <row r="4016" spans="1:19" hidden="1">
      <c r="A4016" s="144" t="s">
        <v>6250</v>
      </c>
      <c r="B4016" s="149" t="str">
        <f>IFERROR(VLOOKUP(Proc[[#This Row],[App]],Table2[],3,0),"open")</f>
        <v>ok</v>
      </c>
      <c r="C4016" s="144" t="s">
        <v>369</v>
      </c>
      <c r="D4016" s="147" t="s">
        <v>6253</v>
      </c>
      <c r="E4016" s="144" t="s">
        <v>6249</v>
      </c>
      <c r="F4016" s="140" t="s">
        <v>6249</v>
      </c>
      <c r="G4016" s="144" t="s">
        <v>406</v>
      </c>
      <c r="H4016" s="140" t="str">
        <f>IF(Proc[[#This Row],[type]]="LFF (MDG-F)",MID(Proc[[#This Row],[Obj]],13,10),"")</f>
        <v>CN10O05003</v>
      </c>
      <c r="J4016" s="140" t="b">
        <f>Proc[[#This Row],[Requested]]=Proc[[#This Row],[CurrentParent]]</f>
        <v>1</v>
      </c>
      <c r="K4016" s="140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46">
        <v>45909</v>
      </c>
      <c r="N4016" s="148"/>
      <c r="O4016" s="148"/>
      <c r="P4016" s="14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62</v>
      </c>
      <c r="R4016" s="146" t="s">
        <v>5709</v>
      </c>
      <c r="S4016" s="140"/>
    </row>
    <row r="4017" spans="1:19" hidden="1">
      <c r="A4017" t="s">
        <v>6270</v>
      </c>
      <c r="B4017" s="149" t="str">
        <f>IFERROR(VLOOKUP(Proc[[#This Row],[App]],Table2[],3,0),"open")</f>
        <v>ok</v>
      </c>
      <c r="C4017" s="144" t="s">
        <v>369</v>
      </c>
      <c r="D4017" t="s">
        <v>6254</v>
      </c>
      <c r="E4017" t="s">
        <v>6263</v>
      </c>
      <c r="F4017" s="150" t="s">
        <v>6263</v>
      </c>
      <c r="G4017" t="s">
        <v>400</v>
      </c>
      <c r="H4017" s="140" t="str">
        <f>IF(Proc[[#This Row],[type]]="LFF (MDG-F)",MID(Proc[[#This Row],[Obj]],13,10),"")</f>
        <v/>
      </c>
      <c r="J4017" s="140" t="b">
        <f>Proc[[#This Row],[Requested]]=Proc[[#This Row],[CurrentParent]]</f>
        <v>1</v>
      </c>
      <c r="K4017" s="140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46">
        <v>45912</v>
      </c>
      <c r="N4017" s="148"/>
      <c r="O4017" s="148"/>
      <c r="P4017" s="14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59</v>
      </c>
      <c r="R4017" s="146" t="s">
        <v>780</v>
      </c>
      <c r="S4017" s="140"/>
    </row>
    <row r="4018" spans="1:19" hidden="1">
      <c r="A4018" s="144" t="s">
        <v>6270</v>
      </c>
      <c r="B4018" s="149" t="str">
        <f>IFERROR(VLOOKUP(Proc[[#This Row],[App]],Table2[],3,0),"open")</f>
        <v>ok</v>
      </c>
      <c r="C4018" s="149" t="s">
        <v>369</v>
      </c>
      <c r="D4018" t="s">
        <v>6255</v>
      </c>
      <c r="E4018" t="s">
        <v>6264</v>
      </c>
      <c r="F4018" s="150" t="s">
        <v>6264</v>
      </c>
      <c r="G4018" t="s">
        <v>406</v>
      </c>
      <c r="H4018" s="140" t="str">
        <f>IF(Proc[[#This Row],[type]]="LFF (MDG-F)",MID(Proc[[#This Row],[Obj]],13,10),"")</f>
        <v>TW91PD1010</v>
      </c>
      <c r="I4018" s="144"/>
      <c r="J4018" s="140" t="b">
        <f>Proc[[#This Row],[Requested]]=Proc[[#This Row],[CurrentParent]]</f>
        <v>1</v>
      </c>
      <c r="K4018" s="140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46">
        <v>45912</v>
      </c>
      <c r="N4018" s="148"/>
      <c r="O4018" s="148"/>
      <c r="P4018" s="14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59</v>
      </c>
      <c r="R4018" s="146" t="s">
        <v>780</v>
      </c>
      <c r="S4018" s="140"/>
    </row>
    <row r="4019" spans="1:19" hidden="1">
      <c r="A4019" s="144" t="s">
        <v>6270</v>
      </c>
      <c r="B4019" s="149" t="str">
        <f>IFERROR(VLOOKUP(Proc[[#This Row],[App]],Table2[],3,0),"open")</f>
        <v>ok</v>
      </c>
      <c r="C4019" s="149" t="s">
        <v>369</v>
      </c>
      <c r="D4019" t="s">
        <v>6256</v>
      </c>
      <c r="E4019" t="s">
        <v>6265</v>
      </c>
      <c r="F4019" s="150" t="s">
        <v>6265</v>
      </c>
      <c r="G4019" s="144" t="s">
        <v>406</v>
      </c>
      <c r="H4019" s="140" t="str">
        <f>IF(Proc[[#This Row],[type]]="LFF (MDG-F)",MID(Proc[[#This Row],[Obj]],13,10),"")</f>
        <v>US10C05025</v>
      </c>
      <c r="I4019" s="144"/>
      <c r="J4019" s="140" t="b">
        <f>Proc[[#This Row],[Requested]]=Proc[[#This Row],[CurrentParent]]</f>
        <v>1</v>
      </c>
      <c r="K4019" s="140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46">
        <v>45912</v>
      </c>
      <c r="N4019" s="148"/>
      <c r="O4019" s="148"/>
      <c r="P4019" s="14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59</v>
      </c>
      <c r="R4019" s="146" t="s">
        <v>780</v>
      </c>
      <c r="S4019" s="140"/>
    </row>
    <row r="4020" spans="1:19" hidden="1">
      <c r="A4020" s="144" t="s">
        <v>6270</v>
      </c>
      <c r="B4020" s="149" t="str">
        <f>IFERROR(VLOOKUP(Proc[[#This Row],[App]],Table2[],3,0),"open")</f>
        <v>ok</v>
      </c>
      <c r="C4020" s="149" t="s">
        <v>369</v>
      </c>
      <c r="D4020" t="s">
        <v>6257</v>
      </c>
      <c r="E4020" t="s">
        <v>6266</v>
      </c>
      <c r="F4020" s="150" t="s">
        <v>6266</v>
      </c>
      <c r="G4020" s="144" t="s">
        <v>406</v>
      </c>
      <c r="H4020" s="140" t="str">
        <f>IF(Proc[[#This Row],[type]]="LFF (MDG-F)",MID(Proc[[#This Row],[Obj]],13,10),"")</f>
        <v>KR15C01027</v>
      </c>
      <c r="I4020" s="144"/>
      <c r="J4020" s="140" t="b">
        <f>Proc[[#This Row],[Requested]]=Proc[[#This Row],[CurrentParent]]</f>
        <v>1</v>
      </c>
      <c r="K4020" s="140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46">
        <v>45912</v>
      </c>
      <c r="N4020" s="148"/>
      <c r="O4020" s="148"/>
      <c r="P4020" s="14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59</v>
      </c>
      <c r="R4020" s="146" t="s">
        <v>780</v>
      </c>
      <c r="S4020" s="140"/>
    </row>
    <row r="4021" spans="1:19" hidden="1">
      <c r="A4021" s="144" t="s">
        <v>6270</v>
      </c>
      <c r="B4021" s="149" t="str">
        <f>IFERROR(VLOOKUP(Proc[[#This Row],[App]],Table2[],3,0),"open")</f>
        <v>ok</v>
      </c>
      <c r="C4021" s="149" t="s">
        <v>369</v>
      </c>
      <c r="D4021" t="s">
        <v>6258</v>
      </c>
      <c r="E4021" t="s">
        <v>6266</v>
      </c>
      <c r="F4021" s="150" t="s">
        <v>6266</v>
      </c>
      <c r="G4021" s="144" t="s">
        <v>406</v>
      </c>
      <c r="H4021" s="140" t="str">
        <f>IF(Proc[[#This Row],[type]]="LFF (MDG-F)",MID(Proc[[#This Row],[Obj]],13,10),"")</f>
        <v>KR16C01027</v>
      </c>
      <c r="I4021" s="144"/>
      <c r="J4021" s="140" t="b">
        <f>Proc[[#This Row],[Requested]]=Proc[[#This Row],[CurrentParent]]</f>
        <v>1</v>
      </c>
      <c r="K4021" s="140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46">
        <v>45912</v>
      </c>
      <c r="N4021" s="148"/>
      <c r="O4021" s="148"/>
      <c r="P4021" s="14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59</v>
      </c>
      <c r="R4021" s="146" t="s">
        <v>780</v>
      </c>
      <c r="S4021" s="140"/>
    </row>
    <row r="4022" spans="1:19" hidden="1">
      <c r="A4022" s="144" t="s">
        <v>6270</v>
      </c>
      <c r="B4022" s="149" t="str">
        <f>IFERROR(VLOOKUP(Proc[[#This Row],[App]],Table2[],3,0),"open")</f>
        <v>ok</v>
      </c>
      <c r="C4022" s="149" t="s">
        <v>369</v>
      </c>
      <c r="D4022" t="s">
        <v>6259</v>
      </c>
      <c r="E4022" t="s">
        <v>6267</v>
      </c>
      <c r="F4022" s="150" t="s">
        <v>6267</v>
      </c>
      <c r="G4022" s="144" t="s">
        <v>406</v>
      </c>
      <c r="H4022" s="140" t="str">
        <f>IF(Proc[[#This Row],[type]]="LFF (MDG-F)",MID(Proc[[#This Row],[Obj]],13,10),"")</f>
        <v>CN09C05003</v>
      </c>
      <c r="I4022" s="144"/>
      <c r="J4022" s="140" t="b">
        <f>Proc[[#This Row],[Requested]]=Proc[[#This Row],[CurrentParent]]</f>
        <v>1</v>
      </c>
      <c r="K4022" s="140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46">
        <v>45912</v>
      </c>
      <c r="N4022" s="148"/>
      <c r="O4022" s="148"/>
      <c r="P4022" s="14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59</v>
      </c>
      <c r="R4022" s="146" t="s">
        <v>780</v>
      </c>
      <c r="S4022" s="140"/>
    </row>
    <row r="4023" spans="1:19" hidden="1">
      <c r="A4023" s="144" t="s">
        <v>6270</v>
      </c>
      <c r="B4023" s="149" t="str">
        <f>IFERROR(VLOOKUP(Proc[[#This Row],[App]],Table2[],3,0),"open")</f>
        <v>ok</v>
      </c>
      <c r="C4023" s="149" t="s">
        <v>369</v>
      </c>
      <c r="D4023" t="s">
        <v>6260</v>
      </c>
      <c r="E4023" t="s">
        <v>6267</v>
      </c>
      <c r="F4023" s="150" t="s">
        <v>6267</v>
      </c>
      <c r="G4023" s="144" t="s">
        <v>406</v>
      </c>
      <c r="H4023" s="140" t="str">
        <f>IF(Proc[[#This Row],[type]]="LFF (MDG-F)",MID(Proc[[#This Row],[Obj]],13,10),"")</f>
        <v>NL10C05001</v>
      </c>
      <c r="I4023" s="144"/>
      <c r="J4023" s="140" t="b">
        <f>Proc[[#This Row],[Requested]]=Proc[[#This Row],[CurrentParent]]</f>
        <v>1</v>
      </c>
      <c r="K4023" s="140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46">
        <v>45912</v>
      </c>
      <c r="N4023" s="148"/>
      <c r="O4023" s="148"/>
      <c r="P4023" s="14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59</v>
      </c>
      <c r="R4023" s="146" t="s">
        <v>780</v>
      </c>
      <c r="S4023" s="140"/>
    </row>
    <row r="4024" spans="1:19" hidden="1">
      <c r="A4024" s="144" t="s">
        <v>6270</v>
      </c>
      <c r="B4024" s="149" t="str">
        <f>IFERROR(VLOOKUP(Proc[[#This Row],[App]],Table2[],3,0),"open")</f>
        <v>ok</v>
      </c>
      <c r="C4024" s="149" t="s">
        <v>369</v>
      </c>
      <c r="D4024" t="s">
        <v>6261</v>
      </c>
      <c r="E4024" t="s">
        <v>6268</v>
      </c>
      <c r="F4024" s="150" t="s">
        <v>6268</v>
      </c>
      <c r="G4024" s="144" t="s">
        <v>406</v>
      </c>
      <c r="H4024" s="140" t="str">
        <f>IF(Proc[[#This Row],[type]]="LFF (MDG-F)",MID(Proc[[#This Row],[Obj]],13,10),"")</f>
        <v>MY10C05000</v>
      </c>
      <c r="I4024" s="144"/>
      <c r="J4024" s="140" t="b">
        <f>Proc[[#This Row],[Requested]]=Proc[[#This Row],[CurrentParent]]</f>
        <v>1</v>
      </c>
      <c r="K4024" s="140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46">
        <v>45912</v>
      </c>
      <c r="N4024" s="148"/>
      <c r="O4024" s="148"/>
      <c r="P4024" s="14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59</v>
      </c>
      <c r="R4024" s="146" t="s">
        <v>780</v>
      </c>
      <c r="S4024" s="140"/>
    </row>
    <row r="4025" spans="1:19" hidden="1">
      <c r="A4025" s="144" t="s">
        <v>6270</v>
      </c>
      <c r="B4025" s="149" t="str">
        <f>IFERROR(VLOOKUP(Proc[[#This Row],[App]],Table2[],3,0),"open")</f>
        <v>ok</v>
      </c>
      <c r="C4025" s="149" t="s">
        <v>369</v>
      </c>
      <c r="D4025" t="s">
        <v>6262</v>
      </c>
      <c r="E4025" t="s">
        <v>6269</v>
      </c>
      <c r="F4025" s="150" t="s">
        <v>6269</v>
      </c>
      <c r="G4025" s="144" t="s">
        <v>406</v>
      </c>
      <c r="H4025" s="140" t="str">
        <f>IF(Proc[[#This Row],[type]]="LFF (MDG-F)",MID(Proc[[#This Row],[Obj]],13,10),"")</f>
        <v>TW02C00311</v>
      </c>
      <c r="I4025" s="144"/>
      <c r="J4025" s="140" t="b">
        <f>Proc[[#This Row],[Requested]]=Proc[[#This Row],[CurrentParent]]</f>
        <v>1</v>
      </c>
      <c r="K4025" s="140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46">
        <v>45912</v>
      </c>
      <c r="N4025" s="148"/>
      <c r="O4025" s="148"/>
      <c r="P4025" s="14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59</v>
      </c>
      <c r="R4025" s="146" t="s">
        <v>780</v>
      </c>
      <c r="S4025" s="140"/>
    </row>
    <row r="4026" spans="1:19" hidden="1">
      <c r="A4026" t="s">
        <v>6274</v>
      </c>
      <c r="B4026" s="149" t="str">
        <f>IFERROR(VLOOKUP(Proc[[#This Row],[App]],Table2[],3,0),"open")</f>
        <v>ok</v>
      </c>
      <c r="C4026" s="149" t="s">
        <v>369</v>
      </c>
      <c r="D4026" t="s">
        <v>6271</v>
      </c>
      <c r="E4026" s="149" t="s">
        <v>6272</v>
      </c>
      <c r="F4026" s="150" t="s">
        <v>6272</v>
      </c>
      <c r="G4026" t="s">
        <v>406</v>
      </c>
      <c r="H4026" s="140" t="str">
        <f>IF(Proc[[#This Row],[type]]="LFF (MDG-F)",MID(Proc[[#This Row],[Obj]],13,10),"")</f>
        <v>CN60TANA01</v>
      </c>
      <c r="J4026" s="140" t="b">
        <f>Proc[[#This Row],[Requested]]=Proc[[#This Row],[CurrentParent]]</f>
        <v>1</v>
      </c>
      <c r="K4026" s="140" t="str">
        <f>IF(Proc[[#This Row],[Author]]="Marcela Urrego",VLOOKUP(LEFT(Proc[[#This Row],[Requested]],1),Table3[#All],2,0),VLOOKUP(Proc[[#This Row],[Author]],Table4[],2,0))</f>
        <v>HC</v>
      </c>
      <c r="L4026" s="150" t="s">
        <v>4894</v>
      </c>
      <c r="M4026" s="146">
        <v>45915</v>
      </c>
      <c r="N4026" s="148"/>
      <c r="O4026" s="148"/>
      <c r="P4026" s="14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58</v>
      </c>
      <c r="R4026" s="146" t="s">
        <v>6273</v>
      </c>
      <c r="S4026" s="140"/>
    </row>
    <row r="4027" spans="1:19" hidden="1">
      <c r="A4027" t="s">
        <v>6287</v>
      </c>
      <c r="B4027" s="150" t="str">
        <f>IFERROR(VLOOKUP(Proc[[#This Row],[App]],Table2[],3,0),"open")</f>
        <v>ok</v>
      </c>
      <c r="C4027" t="s">
        <v>369</v>
      </c>
      <c r="D4027" t="s">
        <v>6277</v>
      </c>
      <c r="E4027" t="s">
        <v>417</v>
      </c>
      <c r="F4027" s="150" t="s">
        <v>417</v>
      </c>
      <c r="G4027" t="s">
        <v>400</v>
      </c>
      <c r="H4027" s="150" t="str">
        <f>IF(Proc[[#This Row],[type]]="LFF (MDG-F)",MID(Proc[[#This Row],[Obj]],13,10),"")</f>
        <v/>
      </c>
      <c r="I4027" t="s">
        <v>6285</v>
      </c>
      <c r="J4027" s="150" t="b">
        <f>Proc[[#This Row],[Requested]]=Proc[[#This Row],[CurrentParent]]</f>
        <v>1</v>
      </c>
      <c r="K4027" s="150" t="str">
        <f>IF(Proc[[#This Row],[Author]]="Marcela Urrego",VLOOKUP(LEFT(Proc[[#This Row],[Requested]],1),Table3[#All],2,0),VLOOKUP(Proc[[#This Row],[Author]],Table4[],2,0))</f>
        <v>LS</v>
      </c>
      <c r="L4027" s="150" t="s">
        <v>4894</v>
      </c>
      <c r="M4027" s="146">
        <v>45916</v>
      </c>
      <c r="N4027" s="148"/>
      <c r="O4027" s="148"/>
      <c r="P4027" s="14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57</v>
      </c>
      <c r="R4027" s="146" t="s">
        <v>489</v>
      </c>
      <c r="S4027" s="150"/>
    </row>
    <row r="4028" spans="1:19" hidden="1">
      <c r="A4028" s="149" t="s">
        <v>6287</v>
      </c>
      <c r="B4028" s="150" t="str">
        <f>IFERROR(VLOOKUP(Proc[[#This Row],[App]],Table2[],3,0),"open")</f>
        <v>ok</v>
      </c>
      <c r="C4028" s="149" t="s">
        <v>369</v>
      </c>
      <c r="D4028" t="s">
        <v>6278</v>
      </c>
      <c r="E4028" t="s">
        <v>417</v>
      </c>
      <c r="F4028" s="150" t="s">
        <v>417</v>
      </c>
      <c r="G4028" s="149" t="s">
        <v>400</v>
      </c>
      <c r="H4028" s="150" t="str">
        <f>IF(Proc[[#This Row],[type]]="LFF (MDG-F)",MID(Proc[[#This Row],[Obj]],13,10),"")</f>
        <v/>
      </c>
      <c r="I4028" t="s">
        <v>6286</v>
      </c>
      <c r="J4028" s="150" t="b">
        <f>Proc[[#This Row],[Requested]]=Proc[[#This Row],[CurrentParent]]</f>
        <v>1</v>
      </c>
      <c r="K4028" s="150" t="str">
        <f>IF(Proc[[#This Row],[Author]]="Marcela Urrego",VLOOKUP(LEFT(Proc[[#This Row],[Requested]],1),Table3[#All],2,0),VLOOKUP(Proc[[#This Row],[Author]],Table4[],2,0))</f>
        <v>LS</v>
      </c>
      <c r="L4028" s="150" t="s">
        <v>4894</v>
      </c>
      <c r="M4028" s="146">
        <v>45916</v>
      </c>
      <c r="N4028" s="148"/>
      <c r="O4028" s="148"/>
      <c r="P4028" s="14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57</v>
      </c>
      <c r="R4028" s="146" t="s">
        <v>489</v>
      </c>
      <c r="S4028" s="150"/>
    </row>
    <row r="4029" spans="1:19" hidden="1">
      <c r="A4029" s="149" t="s">
        <v>6287</v>
      </c>
      <c r="B4029" s="150" t="str">
        <f>IFERROR(VLOOKUP(Proc[[#This Row],[App]],Table2[],3,0),"open")</f>
        <v>ok</v>
      </c>
      <c r="C4029" s="149" t="s">
        <v>369</v>
      </c>
      <c r="D4029" t="s">
        <v>6279</v>
      </c>
      <c r="E4029" t="s">
        <v>6283</v>
      </c>
      <c r="F4029" s="150" t="s">
        <v>6283</v>
      </c>
      <c r="G4029" s="149" t="s">
        <v>400</v>
      </c>
      <c r="H4029" s="150" t="str">
        <f>IF(Proc[[#This Row],[type]]="LFF (MDG-F)",MID(Proc[[#This Row],[Obj]],13,10),"")</f>
        <v/>
      </c>
      <c r="J4029" s="150" t="b">
        <f>Proc[[#This Row],[Requested]]=Proc[[#This Row],[CurrentParent]]</f>
        <v>1</v>
      </c>
      <c r="K4029" s="150" t="str">
        <f>IF(Proc[[#This Row],[Author]]="Marcela Urrego",VLOOKUP(LEFT(Proc[[#This Row],[Requested]],1),Table3[#All],2,0),VLOOKUP(Proc[[#This Row],[Author]],Table4[],2,0))</f>
        <v>LS</v>
      </c>
      <c r="L4029" s="150" t="s">
        <v>4894</v>
      </c>
      <c r="M4029" s="146">
        <v>45916</v>
      </c>
      <c r="N4029" s="148"/>
      <c r="O4029" s="148"/>
      <c r="P4029" s="14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57</v>
      </c>
      <c r="R4029" s="146" t="s">
        <v>489</v>
      </c>
      <c r="S4029" s="150"/>
    </row>
    <row r="4030" spans="1:19" hidden="1">
      <c r="A4030" s="149" t="s">
        <v>6287</v>
      </c>
      <c r="B4030" s="150" t="str">
        <f>IFERROR(VLOOKUP(Proc[[#This Row],[App]],Table2[],3,0),"open")</f>
        <v>ok</v>
      </c>
      <c r="C4030" s="149" t="s">
        <v>369</v>
      </c>
      <c r="D4030" t="s">
        <v>6280</v>
      </c>
      <c r="E4030" t="s">
        <v>2678</v>
      </c>
      <c r="F4030" s="150" t="s">
        <v>2678</v>
      </c>
      <c r="G4030" s="149" t="s">
        <v>400</v>
      </c>
      <c r="H4030" s="150" t="str">
        <f>IF(Proc[[#This Row],[type]]="LFF (MDG-F)",MID(Proc[[#This Row],[Obj]],13,10),"")</f>
        <v/>
      </c>
      <c r="J4030" s="150" t="b">
        <f>Proc[[#This Row],[Requested]]=Proc[[#This Row],[CurrentParent]]</f>
        <v>1</v>
      </c>
      <c r="K4030" s="150" t="str">
        <f>IF(Proc[[#This Row],[Author]]="Marcela Urrego",VLOOKUP(LEFT(Proc[[#This Row],[Requested]],1),Table3[#All],2,0),VLOOKUP(Proc[[#This Row],[Author]],Table4[],2,0))</f>
        <v>LS</v>
      </c>
      <c r="L4030" s="150" t="s">
        <v>4894</v>
      </c>
      <c r="M4030" s="146">
        <v>45916</v>
      </c>
      <c r="N4030" s="148"/>
      <c r="O4030" s="148"/>
      <c r="P4030" s="14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57</v>
      </c>
      <c r="R4030" s="146" t="s">
        <v>489</v>
      </c>
      <c r="S4030" s="150"/>
    </row>
    <row r="4031" spans="1:19" hidden="1">
      <c r="A4031" s="149" t="s">
        <v>6287</v>
      </c>
      <c r="B4031" s="150" t="str">
        <f>IFERROR(VLOOKUP(Proc[[#This Row],[App]],Table2[],3,0),"open")</f>
        <v>ok</v>
      </c>
      <c r="C4031" s="149" t="s">
        <v>369</v>
      </c>
      <c r="D4031" t="s">
        <v>6281</v>
      </c>
      <c r="E4031" t="s">
        <v>2592</v>
      </c>
      <c r="F4031" s="150" t="s">
        <v>2592</v>
      </c>
      <c r="G4031" s="149" t="s">
        <v>400</v>
      </c>
      <c r="H4031" s="150" t="str">
        <f>IF(Proc[[#This Row],[type]]="LFF (MDG-F)",MID(Proc[[#This Row],[Obj]],13,10),"")</f>
        <v/>
      </c>
      <c r="I4031" t="s">
        <v>6288</v>
      </c>
      <c r="J4031" s="150" t="b">
        <f>Proc[[#This Row],[Requested]]=Proc[[#This Row],[CurrentParent]]</f>
        <v>1</v>
      </c>
      <c r="K4031" s="150" t="str">
        <f>IF(Proc[[#This Row],[Author]]="Marcela Urrego",VLOOKUP(LEFT(Proc[[#This Row],[Requested]],1),Table3[#All],2,0),VLOOKUP(Proc[[#This Row],[Author]],Table4[],2,0))</f>
        <v>LS</v>
      </c>
      <c r="L4031" s="150" t="s">
        <v>4894</v>
      </c>
      <c r="M4031" s="146">
        <v>45916</v>
      </c>
      <c r="N4031" s="148"/>
      <c r="O4031" s="148"/>
      <c r="P4031" s="14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57</v>
      </c>
      <c r="R4031" s="146" t="s">
        <v>489</v>
      </c>
      <c r="S4031" s="150"/>
    </row>
    <row r="4032" spans="1:19" hidden="1">
      <c r="A4032" s="149" t="s">
        <v>6287</v>
      </c>
      <c r="B4032" s="150" t="str">
        <f>IFERROR(VLOOKUP(Proc[[#This Row],[App]],Table2[],3,0),"open")</f>
        <v>ok</v>
      </c>
      <c r="C4032" s="149" t="s">
        <v>369</v>
      </c>
      <c r="D4032" t="s">
        <v>6282</v>
      </c>
      <c r="E4032" t="s">
        <v>6284</v>
      </c>
      <c r="F4032" s="150" t="s">
        <v>6284</v>
      </c>
      <c r="G4032" s="149" t="s">
        <v>400</v>
      </c>
      <c r="H4032" s="150" t="str">
        <f>IF(Proc[[#This Row],[type]]="LFF (MDG-F)",MID(Proc[[#This Row],[Obj]],13,10),"")</f>
        <v/>
      </c>
      <c r="J4032" s="150" t="b">
        <f>Proc[[#This Row],[Requested]]=Proc[[#This Row],[CurrentParent]]</f>
        <v>1</v>
      </c>
      <c r="K4032" s="150" t="str">
        <f>IF(Proc[[#This Row],[Author]]="Marcela Urrego",VLOOKUP(LEFT(Proc[[#This Row],[Requested]],1),Table3[#All],2,0),VLOOKUP(Proc[[#This Row],[Author]],Table4[],2,0))</f>
        <v>LS</v>
      </c>
      <c r="L4032" s="150" t="s">
        <v>4894</v>
      </c>
      <c r="M4032" s="146">
        <v>45916</v>
      </c>
      <c r="N4032" s="148"/>
      <c r="O4032" s="148"/>
      <c r="P4032" s="14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57</v>
      </c>
      <c r="R4032" s="146" t="s">
        <v>489</v>
      </c>
      <c r="S4032" s="150"/>
    </row>
    <row r="4033" spans="1:19" hidden="1">
      <c r="A4033" t="s">
        <v>6303</v>
      </c>
      <c r="B4033" s="150" t="str">
        <f>IFERROR(VLOOKUP(Proc[[#This Row],[App]],Table2[],3,0),"open")</f>
        <v>ok</v>
      </c>
      <c r="C4033" t="s">
        <v>369</v>
      </c>
      <c r="D4033" t="s">
        <v>6289</v>
      </c>
      <c r="E4033" t="s">
        <v>4173</v>
      </c>
      <c r="F4033" s="150" t="s">
        <v>4173</v>
      </c>
      <c r="G4033" t="s">
        <v>400</v>
      </c>
      <c r="H4033" s="150" t="str">
        <f>IF(Proc[[#This Row],[type]]="LFF (MDG-F)",MID(Proc[[#This Row],[Obj]],13,10),"")</f>
        <v/>
      </c>
      <c r="I4033" s="149" t="s">
        <v>6306</v>
      </c>
      <c r="J4033" s="150" t="b">
        <f>Proc[[#This Row],[Requested]]=Proc[[#This Row],[CurrentParent]]</f>
        <v>1</v>
      </c>
      <c r="K4033" s="150" t="str">
        <f>IF(Proc[[#This Row],[Author]]="Marcela Urrego",VLOOKUP(LEFT(Proc[[#This Row],[Requested]],1),Table3[#All],2,0),VLOOKUP(Proc[[#This Row],[Author]],Table4[],2,0))</f>
        <v>HC</v>
      </c>
      <c r="L4033" s="150" t="s">
        <v>4894</v>
      </c>
      <c r="M4033" s="146">
        <v>45917</v>
      </c>
      <c r="N4033" s="148"/>
      <c r="O4033" s="148"/>
      <c r="P4033" s="14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56</v>
      </c>
      <c r="R4033" s="146" t="s">
        <v>410</v>
      </c>
      <c r="S4033" s="150"/>
    </row>
    <row r="4034" spans="1:19" hidden="1">
      <c r="A4034" s="149" t="s">
        <v>6303</v>
      </c>
      <c r="B4034" s="150" t="str">
        <f>IFERROR(VLOOKUP(Proc[[#This Row],[App]],Table2[],3,0),"open")</f>
        <v>ok</v>
      </c>
      <c r="C4034" s="149" t="s">
        <v>369</v>
      </c>
      <c r="D4034" t="s">
        <v>6290</v>
      </c>
      <c r="E4034" t="s">
        <v>4173</v>
      </c>
      <c r="F4034" s="150" t="s">
        <v>4173</v>
      </c>
      <c r="G4034" s="149" t="s">
        <v>400</v>
      </c>
      <c r="H4034" s="150" t="str">
        <f>IF(Proc[[#This Row],[type]]="LFF (MDG-F)",MID(Proc[[#This Row],[Obj]],13,10),"")</f>
        <v/>
      </c>
      <c r="I4034" s="149" t="s">
        <v>6306</v>
      </c>
      <c r="J4034" s="150" t="b">
        <f>Proc[[#This Row],[Requested]]=Proc[[#This Row],[CurrentParent]]</f>
        <v>1</v>
      </c>
      <c r="K4034" s="150" t="str">
        <f>IF(Proc[[#This Row],[Author]]="Marcela Urrego",VLOOKUP(LEFT(Proc[[#This Row],[Requested]],1),Table3[#All],2,0),VLOOKUP(Proc[[#This Row],[Author]],Table4[],2,0))</f>
        <v>HC</v>
      </c>
      <c r="L4034" s="150" t="s">
        <v>4894</v>
      </c>
      <c r="M4034" s="146">
        <v>45917</v>
      </c>
      <c r="N4034" s="148"/>
      <c r="O4034" s="148"/>
      <c r="P4034" s="14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56</v>
      </c>
      <c r="R4034" s="146" t="s">
        <v>410</v>
      </c>
      <c r="S4034" s="150"/>
    </row>
    <row r="4035" spans="1:19" hidden="1">
      <c r="A4035" s="149" t="s">
        <v>6303</v>
      </c>
      <c r="B4035" s="150" t="str">
        <f>IFERROR(VLOOKUP(Proc[[#This Row],[App]],Table2[],3,0),"open")</f>
        <v>ok</v>
      </c>
      <c r="C4035" s="149" t="s">
        <v>369</v>
      </c>
      <c r="D4035" t="s">
        <v>6291</v>
      </c>
      <c r="E4035" t="s">
        <v>4173</v>
      </c>
      <c r="F4035" s="150" t="s">
        <v>4173</v>
      </c>
      <c r="G4035" s="149" t="s">
        <v>400</v>
      </c>
      <c r="H4035" s="150" t="str">
        <f>IF(Proc[[#This Row],[type]]="LFF (MDG-F)",MID(Proc[[#This Row],[Obj]],13,10),"")</f>
        <v/>
      </c>
      <c r="I4035" s="149" t="s">
        <v>6306</v>
      </c>
      <c r="J4035" s="150" t="b">
        <f>Proc[[#This Row],[Requested]]=Proc[[#This Row],[CurrentParent]]</f>
        <v>1</v>
      </c>
      <c r="K4035" s="150" t="str">
        <f>IF(Proc[[#This Row],[Author]]="Marcela Urrego",VLOOKUP(LEFT(Proc[[#This Row],[Requested]],1),Table3[#All],2,0),VLOOKUP(Proc[[#This Row],[Author]],Table4[],2,0))</f>
        <v>HC</v>
      </c>
      <c r="L4035" s="150" t="s">
        <v>4894</v>
      </c>
      <c r="M4035" s="146">
        <v>45917</v>
      </c>
      <c r="N4035" s="148"/>
      <c r="O4035" s="148"/>
      <c r="P4035" s="14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56</v>
      </c>
      <c r="R4035" s="146" t="s">
        <v>410</v>
      </c>
      <c r="S4035" s="150"/>
    </row>
    <row r="4036" spans="1:19" hidden="1">
      <c r="A4036" s="149" t="s">
        <v>6303</v>
      </c>
      <c r="B4036" s="150" t="str">
        <f>IFERROR(VLOOKUP(Proc[[#This Row],[App]],Table2[],3,0),"open")</f>
        <v>ok</v>
      </c>
      <c r="C4036" s="149" t="s">
        <v>369</v>
      </c>
      <c r="D4036" t="s">
        <v>6292</v>
      </c>
      <c r="E4036" t="s">
        <v>4173</v>
      </c>
      <c r="F4036" s="150" t="s">
        <v>4173</v>
      </c>
      <c r="G4036" s="149" t="s">
        <v>400</v>
      </c>
      <c r="H4036" s="150" t="str">
        <f>IF(Proc[[#This Row],[type]]="LFF (MDG-F)",MID(Proc[[#This Row],[Obj]],13,10),"")</f>
        <v/>
      </c>
      <c r="I4036" s="149" t="s">
        <v>6306</v>
      </c>
      <c r="J4036" s="150" t="b">
        <f>Proc[[#This Row],[Requested]]=Proc[[#This Row],[CurrentParent]]</f>
        <v>1</v>
      </c>
      <c r="K4036" s="150" t="str">
        <f>IF(Proc[[#This Row],[Author]]="Marcela Urrego",VLOOKUP(LEFT(Proc[[#This Row],[Requested]],1),Table3[#All],2,0),VLOOKUP(Proc[[#This Row],[Author]],Table4[],2,0))</f>
        <v>HC</v>
      </c>
      <c r="L4036" s="150" t="s">
        <v>4894</v>
      </c>
      <c r="M4036" s="146">
        <v>45917</v>
      </c>
      <c r="N4036" s="148"/>
      <c r="O4036" s="148"/>
      <c r="P4036" s="14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56</v>
      </c>
      <c r="R4036" s="146" t="s">
        <v>410</v>
      </c>
      <c r="S4036" s="150"/>
    </row>
    <row r="4037" spans="1:19" hidden="1">
      <c r="A4037" s="149" t="s">
        <v>6303</v>
      </c>
      <c r="B4037" s="150" t="str">
        <f>IFERROR(VLOOKUP(Proc[[#This Row],[App]],Table2[],3,0),"open")</f>
        <v>ok</v>
      </c>
      <c r="C4037" s="149" t="s">
        <v>369</v>
      </c>
      <c r="D4037" t="s">
        <v>6293</v>
      </c>
      <c r="E4037" t="s">
        <v>4173</v>
      </c>
      <c r="F4037" s="150" t="s">
        <v>4173</v>
      </c>
      <c r="G4037" s="149" t="s">
        <v>400</v>
      </c>
      <c r="H4037" s="150" t="str">
        <f>IF(Proc[[#This Row],[type]]="LFF (MDG-F)",MID(Proc[[#This Row],[Obj]],13,10),"")</f>
        <v/>
      </c>
      <c r="I4037" s="149" t="s">
        <v>6306</v>
      </c>
      <c r="J4037" s="150" t="b">
        <f>Proc[[#This Row],[Requested]]=Proc[[#This Row],[CurrentParent]]</f>
        <v>1</v>
      </c>
      <c r="K4037" s="150" t="str">
        <f>IF(Proc[[#This Row],[Author]]="Marcela Urrego",VLOOKUP(LEFT(Proc[[#This Row],[Requested]],1),Table3[#All],2,0),VLOOKUP(Proc[[#This Row],[Author]],Table4[],2,0))</f>
        <v>HC</v>
      </c>
      <c r="L4037" s="150" t="s">
        <v>4894</v>
      </c>
      <c r="M4037" s="146">
        <v>45917</v>
      </c>
      <c r="N4037" s="148"/>
      <c r="O4037" s="148"/>
      <c r="P4037" s="14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56</v>
      </c>
      <c r="R4037" s="146" t="s">
        <v>410</v>
      </c>
      <c r="S4037" s="150"/>
    </row>
    <row r="4038" spans="1:19" hidden="1">
      <c r="A4038" s="149" t="s">
        <v>6303</v>
      </c>
      <c r="B4038" s="150" t="str">
        <f>IFERROR(VLOOKUP(Proc[[#This Row],[App]],Table2[],3,0),"open")</f>
        <v>ok</v>
      </c>
      <c r="C4038" s="149" t="s">
        <v>369</v>
      </c>
      <c r="D4038" t="s">
        <v>6294</v>
      </c>
      <c r="E4038" t="s">
        <v>4174</v>
      </c>
      <c r="F4038" s="150" t="s">
        <v>4174</v>
      </c>
      <c r="G4038" s="149" t="s">
        <v>400</v>
      </c>
      <c r="H4038" s="150" t="str">
        <f>IF(Proc[[#This Row],[type]]="LFF (MDG-F)",MID(Proc[[#This Row],[Obj]],13,10),"")</f>
        <v/>
      </c>
      <c r="I4038" s="149" t="s">
        <v>6306</v>
      </c>
      <c r="J4038" s="150" t="b">
        <f>Proc[[#This Row],[Requested]]=Proc[[#This Row],[CurrentParent]]</f>
        <v>1</v>
      </c>
      <c r="K4038" s="150" t="str">
        <f>IF(Proc[[#This Row],[Author]]="Marcela Urrego",VLOOKUP(LEFT(Proc[[#This Row],[Requested]],1),Table3[#All],2,0),VLOOKUP(Proc[[#This Row],[Author]],Table4[],2,0))</f>
        <v>HC</v>
      </c>
      <c r="L4038" s="150" t="s">
        <v>4894</v>
      </c>
      <c r="M4038" s="146">
        <v>45917</v>
      </c>
      <c r="N4038" s="148"/>
      <c r="O4038" s="148"/>
      <c r="P4038" s="14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56</v>
      </c>
      <c r="R4038" s="146" t="s">
        <v>410</v>
      </c>
      <c r="S4038" s="150"/>
    </row>
    <row r="4039" spans="1:19" hidden="1">
      <c r="A4039" s="149" t="s">
        <v>6303</v>
      </c>
      <c r="B4039" s="150" t="str">
        <f>IFERROR(VLOOKUP(Proc[[#This Row],[App]],Table2[],3,0),"open")</f>
        <v>ok</v>
      </c>
      <c r="C4039" s="149" t="s">
        <v>369</v>
      </c>
      <c r="D4039" t="s">
        <v>6295</v>
      </c>
      <c r="E4039" t="s">
        <v>4174</v>
      </c>
      <c r="F4039" s="150" t="s">
        <v>4174</v>
      </c>
      <c r="G4039" s="149" t="s">
        <v>400</v>
      </c>
      <c r="H4039" s="150" t="str">
        <f>IF(Proc[[#This Row],[type]]="LFF (MDG-F)",MID(Proc[[#This Row],[Obj]],13,10),"")</f>
        <v/>
      </c>
      <c r="I4039" s="149" t="s">
        <v>6306</v>
      </c>
      <c r="J4039" s="150" t="b">
        <f>Proc[[#This Row],[Requested]]=Proc[[#This Row],[CurrentParent]]</f>
        <v>1</v>
      </c>
      <c r="K4039" s="150" t="str">
        <f>IF(Proc[[#This Row],[Author]]="Marcela Urrego",VLOOKUP(LEFT(Proc[[#This Row],[Requested]],1),Table3[#All],2,0),VLOOKUP(Proc[[#This Row],[Author]],Table4[],2,0))</f>
        <v>HC</v>
      </c>
      <c r="L4039" s="150" t="s">
        <v>4894</v>
      </c>
      <c r="M4039" s="146">
        <v>45917</v>
      </c>
      <c r="N4039" s="148"/>
      <c r="O4039" s="148"/>
      <c r="P4039" s="14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56</v>
      </c>
      <c r="R4039" s="146" t="s">
        <v>410</v>
      </c>
      <c r="S4039" s="150"/>
    </row>
    <row r="4040" spans="1:19" hidden="1">
      <c r="A4040" s="149" t="s">
        <v>6303</v>
      </c>
      <c r="B4040" s="150" t="str">
        <f>IFERROR(VLOOKUP(Proc[[#This Row],[App]],Table2[],3,0),"open")</f>
        <v>ok</v>
      </c>
      <c r="C4040" s="149" t="s">
        <v>369</v>
      </c>
      <c r="D4040" t="s">
        <v>6296</v>
      </c>
      <c r="E4040" t="s">
        <v>4174</v>
      </c>
      <c r="F4040" s="150" t="s">
        <v>4174</v>
      </c>
      <c r="G4040" s="149" t="s">
        <v>400</v>
      </c>
      <c r="H4040" s="150" t="str">
        <f>IF(Proc[[#This Row],[type]]="LFF (MDG-F)",MID(Proc[[#This Row],[Obj]],13,10),"")</f>
        <v/>
      </c>
      <c r="I4040" s="149" t="s">
        <v>6306</v>
      </c>
      <c r="J4040" s="150" t="b">
        <f>Proc[[#This Row],[Requested]]=Proc[[#This Row],[CurrentParent]]</f>
        <v>1</v>
      </c>
      <c r="K4040" s="150" t="str">
        <f>IF(Proc[[#This Row],[Author]]="Marcela Urrego",VLOOKUP(LEFT(Proc[[#This Row],[Requested]],1),Table3[#All],2,0),VLOOKUP(Proc[[#This Row],[Author]],Table4[],2,0))</f>
        <v>HC</v>
      </c>
      <c r="L4040" s="150" t="s">
        <v>4894</v>
      </c>
      <c r="M4040" s="146">
        <v>45917</v>
      </c>
      <c r="N4040" s="148"/>
      <c r="O4040" s="148"/>
      <c r="P4040" s="14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56</v>
      </c>
      <c r="R4040" s="146" t="s">
        <v>410</v>
      </c>
      <c r="S4040" s="150"/>
    </row>
    <row r="4041" spans="1:19" hidden="1">
      <c r="A4041" s="149" t="s">
        <v>6303</v>
      </c>
      <c r="B4041" s="150" t="str">
        <f>IFERROR(VLOOKUP(Proc[[#This Row],[App]],Table2[],3,0),"open")</f>
        <v>ok</v>
      </c>
      <c r="C4041" s="149" t="s">
        <v>369</v>
      </c>
      <c r="D4041" t="s">
        <v>6297</v>
      </c>
      <c r="E4041" t="s">
        <v>4174</v>
      </c>
      <c r="F4041" s="150" t="s">
        <v>4174</v>
      </c>
      <c r="G4041" s="149" t="s">
        <v>400</v>
      </c>
      <c r="H4041" s="150" t="str">
        <f>IF(Proc[[#This Row],[type]]="LFF (MDG-F)",MID(Proc[[#This Row],[Obj]],13,10),"")</f>
        <v/>
      </c>
      <c r="I4041" s="149" t="s">
        <v>6306</v>
      </c>
      <c r="J4041" s="150" t="b">
        <f>Proc[[#This Row],[Requested]]=Proc[[#This Row],[CurrentParent]]</f>
        <v>1</v>
      </c>
      <c r="K4041" s="150" t="str">
        <f>IF(Proc[[#This Row],[Author]]="Marcela Urrego",VLOOKUP(LEFT(Proc[[#This Row],[Requested]],1),Table3[#All],2,0),VLOOKUP(Proc[[#This Row],[Author]],Table4[],2,0))</f>
        <v>HC</v>
      </c>
      <c r="L4041" s="150" t="s">
        <v>4894</v>
      </c>
      <c r="M4041" s="146">
        <v>45917</v>
      </c>
      <c r="N4041" s="148"/>
      <c r="O4041" s="148"/>
      <c r="P4041" s="14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56</v>
      </c>
      <c r="R4041" s="146" t="s">
        <v>410</v>
      </c>
      <c r="S4041" s="150"/>
    </row>
    <row r="4042" spans="1:19" hidden="1">
      <c r="A4042" s="149" t="s">
        <v>6303</v>
      </c>
      <c r="B4042" s="150" t="str">
        <f>IFERROR(VLOOKUP(Proc[[#This Row],[App]],Table2[],3,0),"open")</f>
        <v>ok</v>
      </c>
      <c r="C4042" s="149" t="s">
        <v>369</v>
      </c>
      <c r="D4042" t="s">
        <v>6298</v>
      </c>
      <c r="E4042" t="s">
        <v>4174</v>
      </c>
      <c r="F4042" s="150" t="s">
        <v>4174</v>
      </c>
      <c r="G4042" s="149" t="s">
        <v>400</v>
      </c>
      <c r="H4042" s="150" t="str">
        <f>IF(Proc[[#This Row],[type]]="LFF (MDG-F)",MID(Proc[[#This Row],[Obj]],13,10),"")</f>
        <v/>
      </c>
      <c r="I4042" s="149" t="s">
        <v>6306</v>
      </c>
      <c r="J4042" s="150" t="b">
        <f>Proc[[#This Row],[Requested]]=Proc[[#This Row],[CurrentParent]]</f>
        <v>1</v>
      </c>
      <c r="K4042" s="150" t="str">
        <f>IF(Proc[[#This Row],[Author]]="Marcela Urrego",VLOOKUP(LEFT(Proc[[#This Row],[Requested]],1),Table3[#All],2,0),VLOOKUP(Proc[[#This Row],[Author]],Table4[],2,0))</f>
        <v>HC</v>
      </c>
      <c r="L4042" s="150" t="s">
        <v>4894</v>
      </c>
      <c r="M4042" s="146">
        <v>45917</v>
      </c>
      <c r="N4042" s="148"/>
      <c r="O4042" s="148"/>
      <c r="P4042" s="14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56</v>
      </c>
      <c r="R4042" s="146" t="s">
        <v>410</v>
      </c>
      <c r="S4042" s="150"/>
    </row>
    <row r="4043" spans="1:19" hidden="1">
      <c r="A4043" s="149" t="s">
        <v>6303</v>
      </c>
      <c r="B4043" s="150" t="str">
        <f>IFERROR(VLOOKUP(Proc[[#This Row],[App]],Table2[],3,0),"open")</f>
        <v>ok</v>
      </c>
      <c r="C4043" s="149" t="s">
        <v>369</v>
      </c>
      <c r="D4043" t="s">
        <v>6308</v>
      </c>
      <c r="E4043" t="s">
        <v>4173</v>
      </c>
      <c r="F4043" s="150" t="s">
        <v>4173</v>
      </c>
      <c r="G4043" s="149" t="s">
        <v>406</v>
      </c>
      <c r="H4043" s="150" t="str">
        <f>IF(Proc[[#This Row],[type]]="LFF (MDG-F)",MID(Proc[[#This Row],[Obj]],13,10),"")</f>
        <v>CH50L95005</v>
      </c>
      <c r="I4043" s="149" t="s">
        <v>6307</v>
      </c>
      <c r="J4043" s="150" t="b">
        <f>Proc[[#This Row],[Requested]]=Proc[[#This Row],[CurrentParent]]</f>
        <v>1</v>
      </c>
      <c r="K4043" s="150" t="str">
        <f>IF(Proc[[#This Row],[Author]]="Marcela Urrego",VLOOKUP(LEFT(Proc[[#This Row],[Requested]],1),Table3[#All],2,0),VLOOKUP(Proc[[#This Row],[Author]],Table4[],2,0))</f>
        <v>HC</v>
      </c>
      <c r="L4043" s="150" t="s">
        <v>4894</v>
      </c>
      <c r="M4043" s="146">
        <v>45917</v>
      </c>
      <c r="N4043" s="148"/>
      <c r="O4043" s="148"/>
      <c r="P4043" s="14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56</v>
      </c>
      <c r="R4043" s="146" t="s">
        <v>410</v>
      </c>
      <c r="S4043" s="150"/>
    </row>
    <row r="4044" spans="1:19" hidden="1">
      <c r="A4044" s="149" t="s">
        <v>6303</v>
      </c>
      <c r="B4044" s="150" t="str">
        <f>IFERROR(VLOOKUP(Proc[[#This Row],[App]],Table2[],3,0),"open")</f>
        <v>ok</v>
      </c>
      <c r="C4044" s="149" t="s">
        <v>369</v>
      </c>
      <c r="D4044" t="s">
        <v>6309</v>
      </c>
      <c r="E4044" t="s">
        <v>4173</v>
      </c>
      <c r="F4044" s="150" t="s">
        <v>4173</v>
      </c>
      <c r="G4044" s="149" t="s">
        <v>406</v>
      </c>
      <c r="H4044" s="150" t="str">
        <f>IF(Proc[[#This Row],[type]]="LFF (MDG-F)",MID(Proc[[#This Row],[Obj]],13,10),"")</f>
        <v>CH50L95009</v>
      </c>
      <c r="I4044" s="149" t="s">
        <v>6307</v>
      </c>
      <c r="J4044" s="150" t="b">
        <f>Proc[[#This Row],[Requested]]=Proc[[#This Row],[CurrentParent]]</f>
        <v>1</v>
      </c>
      <c r="K4044" s="150" t="str">
        <f>IF(Proc[[#This Row],[Author]]="Marcela Urrego",VLOOKUP(LEFT(Proc[[#This Row],[Requested]],1),Table3[#All],2,0),VLOOKUP(Proc[[#This Row],[Author]],Table4[],2,0))</f>
        <v>HC</v>
      </c>
      <c r="L4044" s="150" t="s">
        <v>4894</v>
      </c>
      <c r="M4044" s="146">
        <v>45917</v>
      </c>
      <c r="N4044" s="148"/>
      <c r="O4044" s="148"/>
      <c r="P4044" s="14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56</v>
      </c>
      <c r="R4044" s="146" t="s">
        <v>410</v>
      </c>
      <c r="S4044" s="150"/>
    </row>
    <row r="4045" spans="1:19" hidden="1">
      <c r="A4045" s="149" t="s">
        <v>6303</v>
      </c>
      <c r="B4045" s="150" t="str">
        <f>IFERROR(VLOOKUP(Proc[[#This Row],[App]],Table2[],3,0),"open")</f>
        <v>ok</v>
      </c>
      <c r="C4045" s="149" t="s">
        <v>369</v>
      </c>
      <c r="D4045" t="s">
        <v>6299</v>
      </c>
      <c r="E4045" t="s">
        <v>4173</v>
      </c>
      <c r="F4045" s="150" t="s">
        <v>4173</v>
      </c>
      <c r="G4045" s="149" t="s">
        <v>400</v>
      </c>
      <c r="H4045" s="150" t="str">
        <f>IF(Proc[[#This Row],[type]]="LFF (MDG-F)",MID(Proc[[#This Row],[Obj]],13,10),"")</f>
        <v/>
      </c>
      <c r="I4045" s="149" t="s">
        <v>6306</v>
      </c>
      <c r="J4045" s="150" t="b">
        <f>Proc[[#This Row],[Requested]]=Proc[[#This Row],[CurrentParent]]</f>
        <v>1</v>
      </c>
      <c r="K4045" s="150" t="str">
        <f>IF(Proc[[#This Row],[Author]]="Marcela Urrego",VLOOKUP(LEFT(Proc[[#This Row],[Requested]],1),Table3[#All],2,0),VLOOKUP(Proc[[#This Row],[Author]],Table4[],2,0))</f>
        <v>HC</v>
      </c>
      <c r="L4045" s="150" t="s">
        <v>4894</v>
      </c>
      <c r="M4045" s="146">
        <v>45917</v>
      </c>
      <c r="N4045" s="148"/>
      <c r="O4045" s="148"/>
      <c r="P4045" s="14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56</v>
      </c>
      <c r="R4045" s="146" t="s">
        <v>410</v>
      </c>
      <c r="S4045" s="150"/>
    </row>
    <row r="4046" spans="1:19" hidden="1">
      <c r="A4046" s="149" t="s">
        <v>6303</v>
      </c>
      <c r="B4046" s="150" t="str">
        <f>IFERROR(VLOOKUP(Proc[[#This Row],[App]],Table2[],3,0),"open")</f>
        <v>ok</v>
      </c>
      <c r="C4046" s="149" t="s">
        <v>369</v>
      </c>
      <c r="D4046" t="s">
        <v>6310</v>
      </c>
      <c r="E4046" t="s">
        <v>4173</v>
      </c>
      <c r="F4046" s="150" t="s">
        <v>4173</v>
      </c>
      <c r="G4046" s="149" t="s">
        <v>406</v>
      </c>
      <c r="H4046" s="150" t="str">
        <f>IF(Proc[[#This Row],[type]]="LFF (MDG-F)",MID(Proc[[#This Row],[Obj]],13,10),"")</f>
        <v>DE50OF0124</v>
      </c>
      <c r="I4046" s="149" t="s">
        <v>6307</v>
      </c>
      <c r="J4046" s="150" t="b">
        <f>Proc[[#This Row],[Requested]]=Proc[[#This Row],[CurrentParent]]</f>
        <v>1</v>
      </c>
      <c r="K4046" s="150" t="str">
        <f>IF(Proc[[#This Row],[Author]]="Marcela Urrego",VLOOKUP(LEFT(Proc[[#This Row],[Requested]],1),Table3[#All],2,0),VLOOKUP(Proc[[#This Row],[Author]],Table4[],2,0))</f>
        <v>HC</v>
      </c>
      <c r="L4046" s="150" t="s">
        <v>4894</v>
      </c>
      <c r="M4046" s="146">
        <v>45917</v>
      </c>
      <c r="N4046" s="148"/>
      <c r="O4046" s="148"/>
      <c r="P4046" s="14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56</v>
      </c>
      <c r="R4046" s="146" t="s">
        <v>410</v>
      </c>
      <c r="S4046" s="150"/>
    </row>
    <row r="4047" spans="1:19" hidden="1">
      <c r="A4047" s="149" t="s">
        <v>6303</v>
      </c>
      <c r="B4047" s="150" t="str">
        <f>IFERROR(VLOOKUP(Proc[[#This Row],[App]],Table2[],3,0),"open")</f>
        <v>ok</v>
      </c>
      <c r="C4047" s="149" t="s">
        <v>369</v>
      </c>
      <c r="D4047" t="s">
        <v>6300</v>
      </c>
      <c r="E4047" t="s">
        <v>4174</v>
      </c>
      <c r="F4047" s="150" t="s">
        <v>4174</v>
      </c>
      <c r="G4047" s="149" t="s">
        <v>400</v>
      </c>
      <c r="H4047" s="150" t="str">
        <f>IF(Proc[[#This Row],[type]]="LFF (MDG-F)",MID(Proc[[#This Row],[Obj]],13,10),"")</f>
        <v/>
      </c>
      <c r="I4047" s="149" t="s">
        <v>6306</v>
      </c>
      <c r="J4047" s="150" t="b">
        <f>Proc[[#This Row],[Requested]]=Proc[[#This Row],[CurrentParent]]</f>
        <v>1</v>
      </c>
      <c r="K4047" s="150" t="str">
        <f>IF(Proc[[#This Row],[Author]]="Marcela Urrego",VLOOKUP(LEFT(Proc[[#This Row],[Requested]],1),Table3[#All],2,0),VLOOKUP(Proc[[#This Row],[Author]],Table4[],2,0))</f>
        <v>HC</v>
      </c>
      <c r="L4047" s="150" t="s">
        <v>4894</v>
      </c>
      <c r="M4047" s="146">
        <v>45917</v>
      </c>
      <c r="N4047" s="148"/>
      <c r="O4047" s="148"/>
      <c r="P4047" s="14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56</v>
      </c>
      <c r="R4047" s="146" t="s">
        <v>410</v>
      </c>
      <c r="S4047" s="150"/>
    </row>
    <row r="4048" spans="1:19" hidden="1">
      <c r="A4048" s="149" t="s">
        <v>6303</v>
      </c>
      <c r="B4048" s="150" t="str">
        <f>IFERROR(VLOOKUP(Proc[[#This Row],[App]],Table2[],3,0),"open")</f>
        <v>ok</v>
      </c>
      <c r="C4048" s="149" t="s">
        <v>369</v>
      </c>
      <c r="D4048" t="s">
        <v>6301</v>
      </c>
      <c r="E4048" t="s">
        <v>4174</v>
      </c>
      <c r="F4048" s="150" t="s">
        <v>4174</v>
      </c>
      <c r="G4048" s="149" t="s">
        <v>400</v>
      </c>
      <c r="H4048" s="150" t="str">
        <f>IF(Proc[[#This Row],[type]]="LFF (MDG-F)",MID(Proc[[#This Row],[Obj]],13,10),"")</f>
        <v/>
      </c>
      <c r="I4048" s="149" t="s">
        <v>6306</v>
      </c>
      <c r="J4048" s="150" t="b">
        <f>Proc[[#This Row],[Requested]]=Proc[[#This Row],[CurrentParent]]</f>
        <v>1</v>
      </c>
      <c r="K4048" s="150" t="str">
        <f>IF(Proc[[#This Row],[Author]]="Marcela Urrego",VLOOKUP(LEFT(Proc[[#This Row],[Requested]],1),Table3[#All],2,0),VLOOKUP(Proc[[#This Row],[Author]],Table4[],2,0))</f>
        <v>HC</v>
      </c>
      <c r="L4048" s="150" t="s">
        <v>4894</v>
      </c>
      <c r="M4048" s="146">
        <v>45917</v>
      </c>
      <c r="N4048" s="148"/>
      <c r="O4048" s="148"/>
      <c r="P4048" s="14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56</v>
      </c>
      <c r="R4048" s="146" t="s">
        <v>410</v>
      </c>
      <c r="S4048" s="150"/>
    </row>
    <row r="4049" spans="1:19" hidden="1">
      <c r="A4049" s="149" t="s">
        <v>6303</v>
      </c>
      <c r="B4049" s="150" t="str">
        <f>IFERROR(VLOOKUP(Proc[[#This Row],[App]],Table2[],3,0),"open")</f>
        <v>ok</v>
      </c>
      <c r="C4049" s="149" t="s">
        <v>369</v>
      </c>
      <c r="D4049" t="s">
        <v>6302</v>
      </c>
      <c r="E4049" t="s">
        <v>4174</v>
      </c>
      <c r="F4049" s="150" t="s">
        <v>4174</v>
      </c>
      <c r="G4049" s="149" t="s">
        <v>400</v>
      </c>
      <c r="H4049" s="150" t="str">
        <f>IF(Proc[[#This Row],[type]]="LFF (MDG-F)",MID(Proc[[#This Row],[Obj]],13,10),"")</f>
        <v/>
      </c>
      <c r="I4049" s="149" t="s">
        <v>6306</v>
      </c>
      <c r="J4049" s="150" t="b">
        <f>Proc[[#This Row],[Requested]]=Proc[[#This Row],[CurrentParent]]</f>
        <v>1</v>
      </c>
      <c r="K4049" s="150" t="str">
        <f>IF(Proc[[#This Row],[Author]]="Marcela Urrego",VLOOKUP(LEFT(Proc[[#This Row],[Requested]],1),Table3[#All],2,0),VLOOKUP(Proc[[#This Row],[Author]],Table4[],2,0))</f>
        <v>HC</v>
      </c>
      <c r="L4049" s="150" t="s">
        <v>4894</v>
      </c>
      <c r="M4049" s="146">
        <v>45917</v>
      </c>
      <c r="N4049" s="148"/>
      <c r="O4049" s="148"/>
      <c r="P4049" s="14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56</v>
      </c>
      <c r="R4049" s="146" t="s">
        <v>410</v>
      </c>
      <c r="S4049" s="150"/>
    </row>
    <row r="4050" spans="1:19" hidden="1">
      <c r="A4050" t="s">
        <v>6304</v>
      </c>
      <c r="B4050" s="150" t="str">
        <f>IFERROR(VLOOKUP(Proc[[#This Row],[App]],Table2[],3,0),"open")</f>
        <v>ok</v>
      </c>
      <c r="C4050" s="149" t="s">
        <v>369</v>
      </c>
      <c r="D4050" t="s">
        <v>5953</v>
      </c>
      <c r="E4050" t="s">
        <v>6103</v>
      </c>
      <c r="F4050" s="150" t="s">
        <v>6103</v>
      </c>
      <c r="G4050" s="149" t="s">
        <v>406</v>
      </c>
      <c r="H4050" s="150" t="str">
        <f>IF(Proc[[#This Row],[type]]="LFF (MDG-F)",MID(Proc[[#This Row],[Obj]],13,10),"")</f>
        <v>JP01C0M825</v>
      </c>
      <c r="I4050" s="149" t="s">
        <v>6307</v>
      </c>
      <c r="J4050" s="150" t="b">
        <f>Proc[[#This Row],[Requested]]=Proc[[#This Row],[CurrentParent]]</f>
        <v>1</v>
      </c>
      <c r="K4050" s="150" t="str">
        <f>IF(Proc[[#This Row],[Author]]="Marcela Urrego",VLOOKUP(LEFT(Proc[[#This Row],[Requested]],1),Table3[#All],2,0),VLOOKUP(Proc[[#This Row],[Author]],Table4[],2,0))</f>
        <v>MGF</v>
      </c>
      <c r="L4050" s="150" t="s">
        <v>4894</v>
      </c>
      <c r="M4050" s="146">
        <v>45917</v>
      </c>
      <c r="N4050" s="148"/>
      <c r="O4050" s="148"/>
      <c r="P4050" s="14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56</v>
      </c>
      <c r="R4050" s="146" t="s">
        <v>6305</v>
      </c>
      <c r="S4050" s="150"/>
    </row>
    <row r="4051" spans="1:19" hidden="1">
      <c r="A4051" s="149" t="s">
        <v>6304</v>
      </c>
      <c r="B4051" s="150" t="str">
        <f>IFERROR(VLOOKUP(Proc[[#This Row],[App]],Table2[],3,0),"open")</f>
        <v>ok</v>
      </c>
      <c r="C4051" s="149" t="s">
        <v>369</v>
      </c>
      <c r="D4051" t="s">
        <v>5960</v>
      </c>
      <c r="E4051" t="s">
        <v>1842</v>
      </c>
      <c r="F4051" s="150" t="s">
        <v>1842</v>
      </c>
      <c r="G4051" s="149" t="s">
        <v>406</v>
      </c>
      <c r="H4051" s="150" t="str">
        <f>IF(Proc[[#This Row],[type]]="LFF (MDG-F)",MID(Proc[[#This Row],[Obj]],13,10),"")</f>
        <v>JP01GBT305</v>
      </c>
      <c r="I4051" s="149" t="s">
        <v>6307</v>
      </c>
      <c r="J4051" s="150" t="b">
        <f>Proc[[#This Row],[Requested]]=Proc[[#This Row],[CurrentParent]]</f>
        <v>1</v>
      </c>
      <c r="K4051" s="150" t="str">
        <f>IF(Proc[[#This Row],[Author]]="Marcela Urrego",VLOOKUP(LEFT(Proc[[#This Row],[Requested]],1),Table3[#All],2,0),VLOOKUP(Proc[[#This Row],[Author]],Table4[],2,0))</f>
        <v>MGF</v>
      </c>
      <c r="L4051" s="150" t="s">
        <v>4894</v>
      </c>
      <c r="M4051" s="146">
        <v>45917</v>
      </c>
      <c r="N4051" s="148"/>
      <c r="O4051" s="148"/>
      <c r="P4051" s="14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56</v>
      </c>
      <c r="R4051" s="146" t="s">
        <v>6305</v>
      </c>
      <c r="S4051" s="150"/>
    </row>
    <row r="4052" spans="1:19" hidden="1">
      <c r="A4052" s="149" t="s">
        <v>6304</v>
      </c>
      <c r="B4052" s="150" t="str">
        <f>IFERROR(VLOOKUP(Proc[[#This Row],[App]],Table2[],3,0),"open")</f>
        <v>ok</v>
      </c>
      <c r="C4052" s="149" t="s">
        <v>369</v>
      </c>
      <c r="D4052" t="s">
        <v>5965</v>
      </c>
      <c r="E4052" t="s">
        <v>2552</v>
      </c>
      <c r="F4052" s="150" t="s">
        <v>2552</v>
      </c>
      <c r="G4052" s="149" t="s">
        <v>406</v>
      </c>
      <c r="H4052" s="150" t="str">
        <f>IF(Proc[[#This Row],[type]]="LFF (MDG-F)",MID(Proc[[#This Row],[Obj]],13,10),"")</f>
        <v>JP01GHR301</v>
      </c>
      <c r="I4052" s="149" t="s">
        <v>6307</v>
      </c>
      <c r="J4052" s="150" t="b">
        <f>Proc[[#This Row],[Requested]]=Proc[[#This Row],[CurrentParent]]</f>
        <v>1</v>
      </c>
      <c r="K4052" s="150" t="str">
        <f>IF(Proc[[#This Row],[Author]]="Marcela Urrego",VLOOKUP(LEFT(Proc[[#This Row],[Requested]],1),Table3[#All],2,0),VLOOKUP(Proc[[#This Row],[Author]],Table4[],2,0))</f>
        <v>MGF</v>
      </c>
      <c r="L4052" s="150" t="s">
        <v>4894</v>
      </c>
      <c r="M4052" s="146">
        <v>45917</v>
      </c>
      <c r="N4052" s="148"/>
      <c r="O4052" s="148"/>
      <c r="P4052" s="14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56</v>
      </c>
      <c r="R4052" s="146" t="s">
        <v>6305</v>
      </c>
      <c r="S4052" s="150"/>
    </row>
    <row r="4053" spans="1:19" hidden="1">
      <c r="A4053" t="s">
        <v>6311</v>
      </c>
      <c r="B4053" s="150" t="str">
        <f>IFERROR(VLOOKUP(Proc[[#This Row],[App]],Table2[],3,0),"open")</f>
        <v>ok</v>
      </c>
      <c r="C4053" s="149" t="s">
        <v>369</v>
      </c>
      <c r="D4053" t="s">
        <v>2472</v>
      </c>
      <c r="E4053" t="s">
        <v>6323</v>
      </c>
      <c r="F4053" s="150" t="s">
        <v>6323</v>
      </c>
      <c r="G4053" t="s">
        <v>400</v>
      </c>
      <c r="H4053" s="150" t="str">
        <f>IF(Proc[[#This Row],[type]]="LFF (MDG-F)",MID(Proc[[#This Row],[Obj]],13,10),"")</f>
        <v/>
      </c>
      <c r="J4053" s="150" t="b">
        <f>Proc[[#This Row],[Requested]]=Proc[[#This Row],[CurrentParent]]</f>
        <v>1</v>
      </c>
      <c r="K4053" s="150" t="str">
        <f>IF(Proc[[#This Row],[Author]]="Marcela Urrego",VLOOKUP(LEFT(Proc[[#This Row],[Requested]],1),Table3[#All],2,0),VLOOKUP(Proc[[#This Row],[Author]],Table4[],2,0))</f>
        <v>EL</v>
      </c>
      <c r="L4053" s="150" t="s">
        <v>4894</v>
      </c>
      <c r="M4053" s="146">
        <v>45918</v>
      </c>
      <c r="N4053" s="148"/>
      <c r="O4053" s="148"/>
      <c r="P4053" s="14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55</v>
      </c>
      <c r="R4053" s="146" t="s">
        <v>780</v>
      </c>
      <c r="S4053" s="150"/>
    </row>
    <row r="4054" spans="1:19" hidden="1">
      <c r="A4054" s="149" t="s">
        <v>6311</v>
      </c>
      <c r="B4054" s="150" t="str">
        <f>IFERROR(VLOOKUP(Proc[[#This Row],[App]],Table2[],3,0),"open")</f>
        <v>ok</v>
      </c>
      <c r="C4054" s="149" t="s">
        <v>369</v>
      </c>
      <c r="D4054" t="s">
        <v>6312</v>
      </c>
      <c r="E4054" t="s">
        <v>6323</v>
      </c>
      <c r="F4054" s="150" t="s">
        <v>6323</v>
      </c>
      <c r="G4054" t="s">
        <v>406</v>
      </c>
      <c r="H4054" s="150" t="str">
        <f>IF(Proc[[#This Row],[type]]="LFF (MDG-F)",MID(Proc[[#This Row],[Obj]],13,10),"")</f>
        <v>DE10O05003</v>
      </c>
      <c r="J4054" s="150" t="b">
        <f>Proc[[#This Row],[Requested]]=Proc[[#This Row],[CurrentParent]]</f>
        <v>1</v>
      </c>
      <c r="K4054" s="150" t="str">
        <f>IF(Proc[[#This Row],[Author]]="Marcela Urrego",VLOOKUP(LEFT(Proc[[#This Row],[Requested]],1),Table3[#All],2,0),VLOOKUP(Proc[[#This Row],[Author]],Table4[],2,0))</f>
        <v>EL</v>
      </c>
      <c r="L4054" s="150" t="s">
        <v>4894</v>
      </c>
      <c r="M4054" s="146">
        <v>45918</v>
      </c>
      <c r="N4054" s="148"/>
      <c r="O4054" s="148"/>
      <c r="P4054" s="14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55</v>
      </c>
      <c r="R4054" s="146" t="s">
        <v>780</v>
      </c>
      <c r="S4054" s="150"/>
    </row>
    <row r="4055" spans="1:19" hidden="1">
      <c r="A4055" s="149" t="s">
        <v>6311</v>
      </c>
      <c r="B4055" s="150" t="str">
        <f>IFERROR(VLOOKUP(Proc[[#This Row],[App]],Table2[],3,0),"open")</f>
        <v>ok</v>
      </c>
      <c r="C4055" s="149" t="s">
        <v>369</v>
      </c>
      <c r="D4055" t="s">
        <v>6313</v>
      </c>
      <c r="E4055" t="s">
        <v>6323</v>
      </c>
      <c r="F4055" s="150" t="s">
        <v>6323</v>
      </c>
      <c r="G4055" s="149" t="s">
        <v>400</v>
      </c>
      <c r="H4055" s="150" t="str">
        <f>IF(Proc[[#This Row],[type]]="LFF (MDG-F)",MID(Proc[[#This Row],[Obj]],13,10),"")</f>
        <v/>
      </c>
      <c r="J4055" s="150" t="b">
        <f>Proc[[#This Row],[Requested]]=Proc[[#This Row],[CurrentParent]]</f>
        <v>1</v>
      </c>
      <c r="K4055" s="150" t="str">
        <f>IF(Proc[[#This Row],[Author]]="Marcela Urrego",VLOOKUP(LEFT(Proc[[#This Row],[Requested]],1),Table3[#All],2,0),VLOOKUP(Proc[[#This Row],[Author]],Table4[],2,0))</f>
        <v>EL</v>
      </c>
      <c r="L4055" s="150" t="s">
        <v>4894</v>
      </c>
      <c r="M4055" s="146">
        <v>45918</v>
      </c>
      <c r="N4055" s="148"/>
      <c r="O4055" s="148"/>
      <c r="P4055" s="14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55</v>
      </c>
      <c r="R4055" s="146" t="s">
        <v>780</v>
      </c>
      <c r="S4055" s="150"/>
    </row>
    <row r="4056" spans="1:19" hidden="1">
      <c r="A4056" s="149" t="s">
        <v>6311</v>
      </c>
      <c r="B4056" s="150" t="str">
        <f>IFERROR(VLOOKUP(Proc[[#This Row],[App]],Table2[],3,0),"open")</f>
        <v>ok</v>
      </c>
      <c r="C4056" s="149" t="s">
        <v>369</v>
      </c>
      <c r="D4056" t="s">
        <v>6314</v>
      </c>
      <c r="E4056" t="s">
        <v>6323</v>
      </c>
      <c r="F4056" s="150" t="s">
        <v>6323</v>
      </c>
      <c r="G4056" s="149" t="s">
        <v>400</v>
      </c>
      <c r="H4056" s="150" t="str">
        <f>IF(Proc[[#This Row],[type]]="LFF (MDG-F)",MID(Proc[[#This Row],[Obj]],13,10),"")</f>
        <v/>
      </c>
      <c r="J4056" s="150" t="b">
        <f>Proc[[#This Row],[Requested]]=Proc[[#This Row],[CurrentParent]]</f>
        <v>1</v>
      </c>
      <c r="K4056" s="150" t="str">
        <f>IF(Proc[[#This Row],[Author]]="Marcela Urrego",VLOOKUP(LEFT(Proc[[#This Row],[Requested]],1),Table3[#All],2,0),VLOOKUP(Proc[[#This Row],[Author]],Table4[],2,0))</f>
        <v>EL</v>
      </c>
      <c r="L4056" s="150" t="s">
        <v>4894</v>
      </c>
      <c r="M4056" s="146">
        <v>45918</v>
      </c>
      <c r="N4056" s="148"/>
      <c r="O4056" s="148"/>
      <c r="P4056" s="14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55</v>
      </c>
      <c r="R4056" s="146" t="s">
        <v>780</v>
      </c>
      <c r="S4056" s="150"/>
    </row>
    <row r="4057" spans="1:19" hidden="1">
      <c r="A4057" s="149" t="s">
        <v>6311</v>
      </c>
      <c r="B4057" s="150" t="str">
        <f>IFERROR(VLOOKUP(Proc[[#This Row],[App]],Table2[],3,0),"open")</f>
        <v>ok</v>
      </c>
      <c r="C4057" s="149" t="s">
        <v>369</v>
      </c>
      <c r="D4057" t="s">
        <v>6315</v>
      </c>
      <c r="E4057" t="s">
        <v>6248</v>
      </c>
      <c r="F4057" s="150" t="s">
        <v>6248</v>
      </c>
      <c r="G4057" s="149" t="s">
        <v>406</v>
      </c>
      <c r="H4057" s="150" t="str">
        <f>IF(Proc[[#This Row],[type]]="LFF (MDG-F)",MID(Proc[[#This Row],[Obj]],13,10),"")</f>
        <v>CN01O05001</v>
      </c>
      <c r="I4057" t="s">
        <v>6351</v>
      </c>
      <c r="J4057" s="150" t="b">
        <f>Proc[[#This Row],[Requested]]=Proc[[#This Row],[CurrentParent]]</f>
        <v>1</v>
      </c>
      <c r="K4057" s="150" t="str">
        <f>IF(Proc[[#This Row],[Author]]="Marcela Urrego",VLOOKUP(LEFT(Proc[[#This Row],[Requested]],1),Table3[#All],2,0),VLOOKUP(Proc[[#This Row],[Author]],Table4[],2,0))</f>
        <v>EL</v>
      </c>
      <c r="L4057" s="150" t="s">
        <v>4894</v>
      </c>
      <c r="M4057" s="146">
        <v>45918</v>
      </c>
      <c r="N4057" s="148"/>
      <c r="O4057" s="148"/>
      <c r="P4057" s="14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55</v>
      </c>
      <c r="R4057" s="146" t="s">
        <v>780</v>
      </c>
      <c r="S4057" s="150"/>
    </row>
    <row r="4058" spans="1:19" hidden="1">
      <c r="A4058" s="149" t="s">
        <v>6311</v>
      </c>
      <c r="B4058" s="150" t="str">
        <f>IFERROR(VLOOKUP(Proc[[#This Row],[App]],Table2[],3,0),"open")</f>
        <v>ok</v>
      </c>
      <c r="C4058" s="149" t="s">
        <v>369</v>
      </c>
      <c r="D4058" t="s">
        <v>6316</v>
      </c>
      <c r="E4058" t="s">
        <v>6324</v>
      </c>
      <c r="F4058" s="150" t="s">
        <v>6324</v>
      </c>
      <c r="G4058" s="149" t="s">
        <v>400</v>
      </c>
      <c r="H4058" s="150" t="str">
        <f>IF(Proc[[#This Row],[type]]="LFF (MDG-F)",MID(Proc[[#This Row],[Obj]],13,10),"")</f>
        <v/>
      </c>
      <c r="J4058" s="150" t="b">
        <f>Proc[[#This Row],[Requested]]=Proc[[#This Row],[CurrentParent]]</f>
        <v>1</v>
      </c>
      <c r="K4058" s="150" t="str">
        <f>IF(Proc[[#This Row],[Author]]="Marcela Urrego",VLOOKUP(LEFT(Proc[[#This Row],[Requested]],1),Table3[#All],2,0),VLOOKUP(Proc[[#This Row],[Author]],Table4[],2,0))</f>
        <v>EL</v>
      </c>
      <c r="L4058" s="150" t="s">
        <v>4894</v>
      </c>
      <c r="M4058" s="146">
        <v>45918</v>
      </c>
      <c r="N4058" s="148"/>
      <c r="O4058" s="148"/>
      <c r="P4058" s="14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55</v>
      </c>
      <c r="R4058" s="146" t="s">
        <v>780</v>
      </c>
      <c r="S4058" s="150"/>
    </row>
    <row r="4059" spans="1:19" hidden="1">
      <c r="A4059" s="149" t="s">
        <v>6311</v>
      </c>
      <c r="B4059" s="150" t="str">
        <f>IFERROR(VLOOKUP(Proc[[#This Row],[App]],Table2[],3,0),"open")</f>
        <v>ok</v>
      </c>
      <c r="C4059" s="149" t="s">
        <v>369</v>
      </c>
      <c r="D4059" t="s">
        <v>6317</v>
      </c>
      <c r="E4059" t="s">
        <v>6325</v>
      </c>
      <c r="F4059" s="150" t="s">
        <v>6325</v>
      </c>
      <c r="G4059" s="149" t="s">
        <v>400</v>
      </c>
      <c r="H4059" s="150" t="str">
        <f>IF(Proc[[#This Row],[type]]="LFF (MDG-F)",MID(Proc[[#This Row],[Obj]],13,10),"")</f>
        <v/>
      </c>
      <c r="J4059" s="150" t="b">
        <f>Proc[[#This Row],[Requested]]=Proc[[#This Row],[CurrentParent]]</f>
        <v>1</v>
      </c>
      <c r="K4059" s="150" t="str">
        <f>IF(Proc[[#This Row],[Author]]="Marcela Urrego",VLOOKUP(LEFT(Proc[[#This Row],[Requested]],1),Table3[#All],2,0),VLOOKUP(Proc[[#This Row],[Author]],Table4[],2,0))</f>
        <v>EL</v>
      </c>
      <c r="L4059" s="150" t="s">
        <v>4894</v>
      </c>
      <c r="M4059" s="146">
        <v>45918</v>
      </c>
      <c r="N4059" s="148"/>
      <c r="O4059" s="148"/>
      <c r="P4059" s="14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55</v>
      </c>
      <c r="R4059" s="146" t="s">
        <v>780</v>
      </c>
      <c r="S4059" s="150"/>
    </row>
    <row r="4060" spans="1:19" hidden="1">
      <c r="A4060" s="149" t="s">
        <v>6311</v>
      </c>
      <c r="B4060" s="150" t="str">
        <f>IFERROR(VLOOKUP(Proc[[#This Row],[App]],Table2[],3,0),"open")</f>
        <v>ok</v>
      </c>
      <c r="C4060" s="149" t="s">
        <v>369</v>
      </c>
      <c r="D4060" s="149" t="s">
        <v>6330</v>
      </c>
      <c r="E4060" t="s">
        <v>6326</v>
      </c>
      <c r="F4060" s="150" t="s">
        <v>6326</v>
      </c>
      <c r="G4060" s="149" t="s">
        <v>400</v>
      </c>
      <c r="H4060" s="150" t="str">
        <f>IF(Proc[[#This Row],[type]]="LFF (MDG-F)",MID(Proc[[#This Row],[Obj]],13,10),"")</f>
        <v/>
      </c>
      <c r="I4060" s="149" t="s">
        <v>6318</v>
      </c>
      <c r="J4060" s="150" t="b">
        <f>Proc[[#This Row],[Requested]]=Proc[[#This Row],[CurrentParent]]</f>
        <v>1</v>
      </c>
      <c r="K4060" s="150" t="str">
        <f>IF(Proc[[#This Row],[Author]]="Marcela Urrego",VLOOKUP(LEFT(Proc[[#This Row],[Requested]],1),Table3[#All],2,0),VLOOKUP(Proc[[#This Row],[Author]],Table4[],2,0))</f>
        <v>EL</v>
      </c>
      <c r="L4060" s="150" t="s">
        <v>4894</v>
      </c>
      <c r="M4060" s="146">
        <v>45918</v>
      </c>
      <c r="N4060" s="148"/>
      <c r="O4060" s="148"/>
      <c r="P4060" s="14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55</v>
      </c>
      <c r="R4060" s="146" t="s">
        <v>780</v>
      </c>
      <c r="S4060" s="150"/>
    </row>
    <row r="4061" spans="1:19" hidden="1">
      <c r="A4061" s="149" t="s">
        <v>6311</v>
      </c>
      <c r="B4061" s="150" t="str">
        <f>IFERROR(VLOOKUP(Proc[[#This Row],[App]],Table2[],3,0),"open")</f>
        <v>ok</v>
      </c>
      <c r="C4061" s="149" t="s">
        <v>369</v>
      </c>
      <c r="D4061" s="149" t="s">
        <v>6331</v>
      </c>
      <c r="E4061" t="s">
        <v>6327</v>
      </c>
      <c r="F4061" s="150" t="s">
        <v>6327</v>
      </c>
      <c r="G4061" s="149" t="s">
        <v>400</v>
      </c>
      <c r="H4061" s="150" t="str">
        <f>IF(Proc[[#This Row],[type]]="LFF (MDG-F)",MID(Proc[[#This Row],[Obj]],13,10),"")</f>
        <v/>
      </c>
      <c r="I4061" s="149" t="s">
        <v>6319</v>
      </c>
      <c r="J4061" s="150" t="b">
        <f>Proc[[#This Row],[Requested]]=Proc[[#This Row],[CurrentParent]]</f>
        <v>1</v>
      </c>
      <c r="K4061" s="150" t="str">
        <f>IF(Proc[[#This Row],[Author]]="Marcela Urrego",VLOOKUP(LEFT(Proc[[#This Row],[Requested]],1),Table3[#All],2,0),VLOOKUP(Proc[[#This Row],[Author]],Table4[],2,0))</f>
        <v>EL</v>
      </c>
      <c r="L4061" s="150" t="s">
        <v>4894</v>
      </c>
      <c r="M4061" s="146">
        <v>45918</v>
      </c>
      <c r="N4061" s="148"/>
      <c r="O4061" s="148"/>
      <c r="P4061" s="14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55</v>
      </c>
      <c r="R4061" s="146" t="s">
        <v>780</v>
      </c>
      <c r="S4061" s="150"/>
    </row>
    <row r="4062" spans="1:19" hidden="1">
      <c r="A4062" s="149" t="s">
        <v>6311</v>
      </c>
      <c r="B4062" s="150" t="str">
        <f>IFERROR(VLOOKUP(Proc[[#This Row],[App]],Table2[],3,0),"open")</f>
        <v>ok</v>
      </c>
      <c r="C4062" s="149" t="s">
        <v>369</v>
      </c>
      <c r="D4062" s="149" t="s">
        <v>6332</v>
      </c>
      <c r="E4062" t="s">
        <v>6328</v>
      </c>
      <c r="F4062" s="150" t="s">
        <v>6328</v>
      </c>
      <c r="G4062" s="149" t="s">
        <v>400</v>
      </c>
      <c r="H4062" s="150" t="str">
        <f>IF(Proc[[#This Row],[type]]="LFF (MDG-F)",MID(Proc[[#This Row],[Obj]],13,10),"")</f>
        <v/>
      </c>
      <c r="I4062" s="149" t="s">
        <v>6320</v>
      </c>
      <c r="J4062" s="150" t="b">
        <f>Proc[[#This Row],[Requested]]=Proc[[#This Row],[CurrentParent]]</f>
        <v>1</v>
      </c>
      <c r="K4062" s="150" t="str">
        <f>IF(Proc[[#This Row],[Author]]="Marcela Urrego",VLOOKUP(LEFT(Proc[[#This Row],[Requested]],1),Table3[#All],2,0),VLOOKUP(Proc[[#This Row],[Author]],Table4[],2,0))</f>
        <v>EL</v>
      </c>
      <c r="L4062" s="150" t="s">
        <v>4894</v>
      </c>
      <c r="M4062" s="146">
        <v>45918</v>
      </c>
      <c r="N4062" s="148"/>
      <c r="O4062" s="148"/>
      <c r="P4062" s="14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55</v>
      </c>
      <c r="R4062" s="146" t="s">
        <v>780</v>
      </c>
      <c r="S4062" s="150"/>
    </row>
    <row r="4063" spans="1:19" hidden="1">
      <c r="A4063" s="149" t="s">
        <v>6311</v>
      </c>
      <c r="B4063" s="150" t="str">
        <f>IFERROR(VLOOKUP(Proc[[#This Row],[App]],Table2[],3,0),"open")</f>
        <v>ok</v>
      </c>
      <c r="C4063" s="149" t="s">
        <v>369</v>
      </c>
      <c r="D4063" t="s">
        <v>6321</v>
      </c>
      <c r="E4063" t="s">
        <v>6329</v>
      </c>
      <c r="F4063" s="150" t="s">
        <v>6329</v>
      </c>
      <c r="G4063" s="149" t="s">
        <v>400</v>
      </c>
      <c r="H4063" s="150" t="str">
        <f>IF(Proc[[#This Row],[type]]="LFF (MDG-F)",MID(Proc[[#This Row],[Obj]],13,10),"")</f>
        <v/>
      </c>
      <c r="J4063" s="150" t="b">
        <f>Proc[[#This Row],[Requested]]=Proc[[#This Row],[CurrentParent]]</f>
        <v>1</v>
      </c>
      <c r="K4063" s="150" t="str">
        <f>IF(Proc[[#This Row],[Author]]="Marcela Urrego",VLOOKUP(LEFT(Proc[[#This Row],[Requested]],1),Table3[#All],2,0),VLOOKUP(Proc[[#This Row],[Author]],Table4[],2,0))</f>
        <v>EL</v>
      </c>
      <c r="L4063" s="150" t="s">
        <v>4894</v>
      </c>
      <c r="M4063" s="146">
        <v>45918</v>
      </c>
      <c r="N4063" s="148"/>
      <c r="O4063" s="148"/>
      <c r="P4063" s="14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55</v>
      </c>
      <c r="R4063" s="146" t="s">
        <v>780</v>
      </c>
      <c r="S4063" s="150"/>
    </row>
    <row r="4064" spans="1:19" hidden="1">
      <c r="A4064" s="149" t="s">
        <v>6311</v>
      </c>
      <c r="B4064" s="150" t="str">
        <f>IFERROR(VLOOKUP(Proc[[#This Row],[App]],Table2[],3,0),"open")</f>
        <v>ok</v>
      </c>
      <c r="C4064" s="149" t="s">
        <v>369</v>
      </c>
      <c r="D4064" t="s">
        <v>6322</v>
      </c>
      <c r="E4064" t="s">
        <v>6329</v>
      </c>
      <c r="F4064" s="150" t="s">
        <v>6329</v>
      </c>
      <c r="G4064" s="149" t="s">
        <v>400</v>
      </c>
      <c r="H4064" s="150" t="str">
        <f>IF(Proc[[#This Row],[type]]="LFF (MDG-F)",MID(Proc[[#This Row],[Obj]],13,10),"")</f>
        <v/>
      </c>
      <c r="J4064" s="150" t="b">
        <f>Proc[[#This Row],[Requested]]=Proc[[#This Row],[CurrentParent]]</f>
        <v>1</v>
      </c>
      <c r="K4064" s="150" t="str">
        <f>IF(Proc[[#This Row],[Author]]="Marcela Urrego",VLOOKUP(LEFT(Proc[[#This Row],[Requested]],1),Table3[#All],2,0),VLOOKUP(Proc[[#This Row],[Author]],Table4[],2,0))</f>
        <v>EL</v>
      </c>
      <c r="L4064" s="150" t="s">
        <v>4894</v>
      </c>
      <c r="M4064" s="146">
        <v>45918</v>
      </c>
      <c r="N4064" s="148"/>
      <c r="O4064" s="148"/>
      <c r="P4064" s="14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55</v>
      </c>
      <c r="R4064" s="146" t="s">
        <v>780</v>
      </c>
      <c r="S4064" s="150"/>
    </row>
    <row r="4065" spans="1:19" hidden="1">
      <c r="A4065" t="s">
        <v>6344</v>
      </c>
      <c r="B4065" s="150" t="str">
        <f>IFERROR(VLOOKUP(Proc[[#This Row],[App]],Table2[],3,0),"open")</f>
        <v>ok</v>
      </c>
      <c r="C4065" s="149" t="s">
        <v>369</v>
      </c>
      <c r="D4065" t="s">
        <v>6333</v>
      </c>
      <c r="E4065" t="s">
        <v>6345</v>
      </c>
      <c r="F4065" s="150" t="s">
        <v>6345</v>
      </c>
      <c r="G4065" s="149" t="s">
        <v>406</v>
      </c>
      <c r="H4065" s="150" t="str">
        <f>IF(Proc[[#This Row],[type]]="LFF (MDG-F)",MID(Proc[[#This Row],[Obj]],13,10),"")</f>
        <v>DE10Z01000</v>
      </c>
      <c r="J4065" s="150" t="b">
        <f>Proc[[#This Row],[Requested]]=Proc[[#This Row],[CurrentParent]]</f>
        <v>1</v>
      </c>
      <c r="K4065" s="150" t="str">
        <f>IF(Proc[[#This Row],[Author]]="Marcela Urrego",VLOOKUP(LEFT(Proc[[#This Row],[Requested]],1),Table3[#All],2,0),VLOOKUP(Proc[[#This Row],[Author]],Table4[],2,0))</f>
        <v>EL</v>
      </c>
      <c r="L4065" s="150" t="s">
        <v>4894</v>
      </c>
      <c r="M4065" s="146">
        <v>45919</v>
      </c>
      <c r="N4065" s="148"/>
      <c r="O4065" s="148"/>
      <c r="P4065" s="14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54</v>
      </c>
      <c r="R4065" s="146" t="s">
        <v>780</v>
      </c>
      <c r="S4065" s="150"/>
    </row>
    <row r="4066" spans="1:19" hidden="1">
      <c r="A4066" s="149" t="s">
        <v>6344</v>
      </c>
      <c r="B4066" s="150" t="str">
        <f>IFERROR(VLOOKUP(Proc[[#This Row],[App]],Table2[],3,0),"open")</f>
        <v>ok</v>
      </c>
      <c r="C4066" s="149" t="s">
        <v>369</v>
      </c>
      <c r="D4066" t="s">
        <v>6334</v>
      </c>
      <c r="E4066" t="s">
        <v>6346</v>
      </c>
      <c r="F4066" s="150" t="s">
        <v>6346</v>
      </c>
      <c r="G4066" s="149" t="s">
        <v>406</v>
      </c>
      <c r="H4066" s="150" t="str">
        <f>IF(Proc[[#This Row],[type]]="LFF (MDG-F)",MID(Proc[[#This Row],[Obj]],13,10),"")</f>
        <v>CN90Z01000</v>
      </c>
      <c r="I4066" s="149"/>
      <c r="J4066" s="150" t="b">
        <f>Proc[[#This Row],[Requested]]=Proc[[#This Row],[CurrentParent]]</f>
        <v>1</v>
      </c>
      <c r="K4066" s="150" t="str">
        <f>IF(Proc[[#This Row],[Author]]="Marcela Urrego",VLOOKUP(LEFT(Proc[[#This Row],[Requested]],1),Table3[#All],2,0),VLOOKUP(Proc[[#This Row],[Author]],Table4[],2,0))</f>
        <v>EL</v>
      </c>
      <c r="L4066" s="150" t="s">
        <v>4894</v>
      </c>
      <c r="M4066" s="146">
        <v>45919</v>
      </c>
      <c r="N4066" s="148"/>
      <c r="O4066" s="148"/>
      <c r="P4066" s="14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54</v>
      </c>
      <c r="R4066" s="146" t="s">
        <v>780</v>
      </c>
      <c r="S4066" s="150"/>
    </row>
    <row r="4067" spans="1:19" hidden="1">
      <c r="A4067" s="149" t="s">
        <v>6344</v>
      </c>
      <c r="B4067" s="150" t="str">
        <f>IFERROR(VLOOKUP(Proc[[#This Row],[App]],Table2[],3,0),"open")</f>
        <v>ok</v>
      </c>
      <c r="C4067" s="149" t="s">
        <v>369</v>
      </c>
      <c r="D4067" t="s">
        <v>6335</v>
      </c>
      <c r="E4067" t="s">
        <v>6347</v>
      </c>
      <c r="F4067" s="150" t="s">
        <v>6347</v>
      </c>
      <c r="G4067" s="149" t="s">
        <v>406</v>
      </c>
      <c r="H4067" s="150" t="str">
        <f>IF(Proc[[#This Row],[type]]="LFF (MDG-F)",MID(Proc[[#This Row],[Obj]],13,10),"")</f>
        <v>ES50Z01000</v>
      </c>
      <c r="I4067" s="149"/>
      <c r="J4067" s="150" t="b">
        <f>Proc[[#This Row],[Requested]]=Proc[[#This Row],[CurrentParent]]</f>
        <v>1</v>
      </c>
      <c r="K4067" s="150" t="str">
        <f>IF(Proc[[#This Row],[Author]]="Marcela Urrego",VLOOKUP(LEFT(Proc[[#This Row],[Requested]],1),Table3[#All],2,0),VLOOKUP(Proc[[#This Row],[Author]],Table4[],2,0))</f>
        <v>EL</v>
      </c>
      <c r="L4067" s="150" t="s">
        <v>4894</v>
      </c>
      <c r="M4067" s="146">
        <v>45919</v>
      </c>
      <c r="N4067" s="148"/>
      <c r="O4067" s="148"/>
      <c r="P4067" s="14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54</v>
      </c>
      <c r="R4067" s="146" t="s">
        <v>780</v>
      </c>
      <c r="S4067" s="150"/>
    </row>
    <row r="4068" spans="1:19" hidden="1">
      <c r="A4068" s="149" t="s">
        <v>6344</v>
      </c>
      <c r="B4068" s="150" t="str">
        <f>IFERROR(VLOOKUP(Proc[[#This Row],[App]],Table2[],3,0),"open")</f>
        <v>ok</v>
      </c>
      <c r="C4068" s="149" t="s">
        <v>369</v>
      </c>
      <c r="D4068" t="s">
        <v>6336</v>
      </c>
      <c r="E4068" t="s">
        <v>6177</v>
      </c>
      <c r="F4068" s="150" t="s">
        <v>6177</v>
      </c>
      <c r="G4068" s="149" t="s">
        <v>406</v>
      </c>
      <c r="H4068" s="150" t="str">
        <f>IF(Proc[[#This Row],[type]]="LFF (MDG-F)",MID(Proc[[#This Row],[Obj]],13,10),"")</f>
        <v>CN03Z01000</v>
      </c>
      <c r="I4068" s="149"/>
      <c r="J4068" s="150" t="b">
        <f>Proc[[#This Row],[Requested]]=Proc[[#This Row],[CurrentParent]]</f>
        <v>1</v>
      </c>
      <c r="K4068" s="150" t="str">
        <f>IF(Proc[[#This Row],[Author]]="Marcela Urrego",VLOOKUP(LEFT(Proc[[#This Row],[Requested]],1),Table3[#All],2,0),VLOOKUP(Proc[[#This Row],[Author]],Table4[],2,0))</f>
        <v>EL</v>
      </c>
      <c r="L4068" s="150" t="s">
        <v>4894</v>
      </c>
      <c r="M4068" s="146">
        <v>45919</v>
      </c>
      <c r="N4068" s="148"/>
      <c r="O4068" s="148"/>
      <c r="P4068" s="14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54</v>
      </c>
      <c r="R4068" s="146" t="s">
        <v>780</v>
      </c>
      <c r="S4068" s="150"/>
    </row>
    <row r="4069" spans="1:19" hidden="1">
      <c r="A4069" s="149" t="s">
        <v>6344</v>
      </c>
      <c r="B4069" s="150" t="str">
        <f>IFERROR(VLOOKUP(Proc[[#This Row],[App]],Table2[],3,0),"open")</f>
        <v>ok</v>
      </c>
      <c r="C4069" s="149" t="s">
        <v>369</v>
      </c>
      <c r="D4069" t="s">
        <v>6337</v>
      </c>
      <c r="E4069" t="s">
        <v>6177</v>
      </c>
      <c r="F4069" s="150" t="s">
        <v>6177</v>
      </c>
      <c r="G4069" s="149" t="s">
        <v>406</v>
      </c>
      <c r="H4069" s="150" t="str">
        <f>IF(Proc[[#This Row],[type]]="LFF (MDG-F)",MID(Proc[[#This Row],[Obj]],13,10),"")</f>
        <v>IN01Z01000</v>
      </c>
      <c r="I4069" s="149"/>
      <c r="J4069" s="150" t="b">
        <f>Proc[[#This Row],[Requested]]=Proc[[#This Row],[CurrentParent]]</f>
        <v>1</v>
      </c>
      <c r="K4069" s="150" t="str">
        <f>IF(Proc[[#This Row],[Author]]="Marcela Urrego",VLOOKUP(LEFT(Proc[[#This Row],[Requested]],1),Table3[#All],2,0),VLOOKUP(Proc[[#This Row],[Author]],Table4[],2,0))</f>
        <v>EL</v>
      </c>
      <c r="L4069" s="150" t="s">
        <v>4894</v>
      </c>
      <c r="M4069" s="146">
        <v>45919</v>
      </c>
      <c r="N4069" s="148"/>
      <c r="O4069" s="148"/>
      <c r="P4069" s="14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54</v>
      </c>
      <c r="R4069" s="146" t="s">
        <v>780</v>
      </c>
      <c r="S4069" s="150"/>
    </row>
    <row r="4070" spans="1:19" hidden="1">
      <c r="A4070" s="149" t="s">
        <v>6344</v>
      </c>
      <c r="B4070" s="150" t="str">
        <f>IFERROR(VLOOKUP(Proc[[#This Row],[App]],Table2[],3,0),"open")</f>
        <v>ok</v>
      </c>
      <c r="C4070" s="149" t="s">
        <v>369</v>
      </c>
      <c r="D4070" t="s">
        <v>6338</v>
      </c>
      <c r="E4070" t="s">
        <v>6177</v>
      </c>
      <c r="F4070" s="150" t="s">
        <v>6177</v>
      </c>
      <c r="G4070" s="149" t="s">
        <v>406</v>
      </c>
      <c r="H4070" s="150" t="str">
        <f>IF(Proc[[#This Row],[type]]="LFF (MDG-F)",MID(Proc[[#This Row],[Obj]],13,10),"")</f>
        <v>SG09Z01000</v>
      </c>
      <c r="I4070" s="149"/>
      <c r="J4070" s="150" t="b">
        <f>Proc[[#This Row],[Requested]]=Proc[[#This Row],[CurrentParent]]</f>
        <v>1</v>
      </c>
      <c r="K4070" s="150" t="str">
        <f>IF(Proc[[#This Row],[Author]]="Marcela Urrego",VLOOKUP(LEFT(Proc[[#This Row],[Requested]],1),Table3[#All],2,0),VLOOKUP(Proc[[#This Row],[Author]],Table4[],2,0))</f>
        <v>EL</v>
      </c>
      <c r="L4070" s="150" t="s">
        <v>4894</v>
      </c>
      <c r="M4070" s="146">
        <v>45919</v>
      </c>
      <c r="N4070" s="148"/>
      <c r="O4070" s="148"/>
      <c r="P4070" s="14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54</v>
      </c>
      <c r="R4070" s="146" t="s">
        <v>780</v>
      </c>
      <c r="S4070" s="150"/>
    </row>
    <row r="4071" spans="1:19" hidden="1">
      <c r="A4071" s="149" t="s">
        <v>6344</v>
      </c>
      <c r="B4071" s="150" t="str">
        <f>IFERROR(VLOOKUP(Proc[[#This Row],[App]],Table2[],3,0),"open")</f>
        <v>ok</v>
      </c>
      <c r="C4071" s="149" t="s">
        <v>369</v>
      </c>
      <c r="D4071" t="s">
        <v>6350</v>
      </c>
      <c r="E4071" t="s">
        <v>6348</v>
      </c>
      <c r="F4071" s="150" t="s">
        <v>6348</v>
      </c>
      <c r="G4071" t="s">
        <v>400</v>
      </c>
      <c r="H4071" s="150" t="str">
        <f>IF(Proc[[#This Row],[type]]="LFF (MDG-F)",MID(Proc[[#This Row],[Obj]],13,10),"")</f>
        <v/>
      </c>
      <c r="I4071" s="149"/>
      <c r="J4071" s="150" t="b">
        <f>Proc[[#This Row],[Requested]]=Proc[[#This Row],[CurrentParent]]</f>
        <v>1</v>
      </c>
      <c r="K4071" s="150" t="str">
        <f>IF(Proc[[#This Row],[Author]]="Marcela Urrego",VLOOKUP(LEFT(Proc[[#This Row],[Requested]],1),Table3[#All],2,0),VLOOKUP(Proc[[#This Row],[Author]],Table4[],2,0))</f>
        <v>EL</v>
      </c>
      <c r="L4071" s="150" t="s">
        <v>4894</v>
      </c>
      <c r="M4071" s="146">
        <v>45919</v>
      </c>
      <c r="N4071" s="148"/>
      <c r="O4071" s="148"/>
      <c r="P4071" s="14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54</v>
      </c>
      <c r="R4071" s="146" t="s">
        <v>780</v>
      </c>
      <c r="S4071" s="150"/>
    </row>
    <row r="4072" spans="1:19" hidden="1">
      <c r="A4072" s="149" t="s">
        <v>6344</v>
      </c>
      <c r="B4072" s="150" t="str">
        <f>IFERROR(VLOOKUP(Proc[[#This Row],[App]],Table2[],3,0),"open")</f>
        <v>ok</v>
      </c>
      <c r="C4072" s="149" t="s">
        <v>369</v>
      </c>
      <c r="D4072" t="s">
        <v>6339</v>
      </c>
      <c r="E4072" t="s">
        <v>735</v>
      </c>
      <c r="F4072" s="150" t="s">
        <v>735</v>
      </c>
      <c r="G4072" s="149" t="s">
        <v>406</v>
      </c>
      <c r="H4072" s="150" t="str">
        <f>IF(Proc[[#This Row],[type]]="LFF (MDG-F)",MID(Proc[[#This Row],[Obj]],13,10),"")</f>
        <v>CN01Z01000</v>
      </c>
      <c r="I4072" s="149"/>
      <c r="J4072" s="150" t="b">
        <f>Proc[[#This Row],[Requested]]=Proc[[#This Row],[CurrentParent]]</f>
        <v>1</v>
      </c>
      <c r="K4072" s="150" t="str">
        <f>IF(Proc[[#This Row],[Author]]="Marcela Urrego",VLOOKUP(LEFT(Proc[[#This Row],[Requested]],1),Table3[#All],2,0),VLOOKUP(Proc[[#This Row],[Author]],Table4[],2,0))</f>
        <v>EL</v>
      </c>
      <c r="L4072" s="150" t="s">
        <v>4894</v>
      </c>
      <c r="M4072" s="146">
        <v>45919</v>
      </c>
      <c r="N4072" s="148"/>
      <c r="O4072" s="148"/>
      <c r="P4072" s="14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54</v>
      </c>
      <c r="R4072" s="146" t="s">
        <v>780</v>
      </c>
      <c r="S4072" s="150"/>
    </row>
    <row r="4073" spans="1:19" hidden="1">
      <c r="A4073" s="149" t="s">
        <v>6344</v>
      </c>
      <c r="B4073" s="150" t="str">
        <f>IFERROR(VLOOKUP(Proc[[#This Row],[App]],Table2[],3,0),"open")</f>
        <v>ok</v>
      </c>
      <c r="C4073" s="149" t="s">
        <v>369</v>
      </c>
      <c r="D4073" t="s">
        <v>6340</v>
      </c>
      <c r="E4073" t="s">
        <v>735</v>
      </c>
      <c r="F4073" s="150" t="s">
        <v>735</v>
      </c>
      <c r="G4073" s="149" t="s">
        <v>406</v>
      </c>
      <c r="H4073" s="150" t="str">
        <f>IF(Proc[[#This Row],[type]]="LFF (MDG-F)",MID(Proc[[#This Row],[Obj]],13,10),"")</f>
        <v>DE04Z01000</v>
      </c>
      <c r="I4073" s="149"/>
      <c r="J4073" s="150" t="b">
        <f>Proc[[#This Row],[Requested]]=Proc[[#This Row],[CurrentParent]]</f>
        <v>1</v>
      </c>
      <c r="K4073" s="150" t="str">
        <f>IF(Proc[[#This Row],[Author]]="Marcela Urrego",VLOOKUP(LEFT(Proc[[#This Row],[Requested]],1),Table3[#All],2,0),VLOOKUP(Proc[[#This Row],[Author]],Table4[],2,0))</f>
        <v>EL</v>
      </c>
      <c r="L4073" s="150" t="s">
        <v>4894</v>
      </c>
      <c r="M4073" s="146">
        <v>45919</v>
      </c>
      <c r="N4073" s="148"/>
      <c r="O4073" s="148"/>
      <c r="P4073" s="14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54</v>
      </c>
      <c r="R4073" s="146" t="s">
        <v>780</v>
      </c>
      <c r="S4073" s="150"/>
    </row>
    <row r="4074" spans="1:19" hidden="1">
      <c r="A4074" s="149" t="s">
        <v>6344</v>
      </c>
      <c r="B4074" s="150" t="str">
        <f>IFERROR(VLOOKUP(Proc[[#This Row],[App]],Table2[],3,0),"open")</f>
        <v>ok</v>
      </c>
      <c r="C4074" s="149" t="s">
        <v>369</v>
      </c>
      <c r="D4074" t="s">
        <v>6341</v>
      </c>
      <c r="E4074" t="s">
        <v>735</v>
      </c>
      <c r="F4074" s="150" t="s">
        <v>735</v>
      </c>
      <c r="G4074" s="149" t="s">
        <v>406</v>
      </c>
      <c r="H4074" s="150" t="str">
        <f>IF(Proc[[#This Row],[type]]="LFF (MDG-F)",MID(Proc[[#This Row],[Obj]],13,10),"")</f>
        <v>KR03Z01000</v>
      </c>
      <c r="I4074" s="149" t="s">
        <v>6349</v>
      </c>
      <c r="J4074" s="150" t="b">
        <f>Proc[[#This Row],[Requested]]=Proc[[#This Row],[CurrentParent]]</f>
        <v>1</v>
      </c>
      <c r="K4074" s="150" t="str">
        <f>IF(Proc[[#This Row],[Author]]="Marcela Urrego",VLOOKUP(LEFT(Proc[[#This Row],[Requested]],1),Table3[#All],2,0),VLOOKUP(Proc[[#This Row],[Author]],Table4[],2,0))</f>
        <v>EL</v>
      </c>
      <c r="L4074" s="150" t="s">
        <v>4894</v>
      </c>
      <c r="M4074" s="146">
        <v>45919</v>
      </c>
      <c r="N4074" s="148"/>
      <c r="O4074" s="148"/>
      <c r="P4074" s="14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54</v>
      </c>
      <c r="R4074" s="146" t="s">
        <v>780</v>
      </c>
      <c r="S4074" s="150"/>
    </row>
    <row r="4075" spans="1:19" hidden="1">
      <c r="A4075" s="149" t="s">
        <v>6344</v>
      </c>
      <c r="B4075" s="150" t="str">
        <f>IFERROR(VLOOKUP(Proc[[#This Row],[App]],Table2[],3,0),"open")</f>
        <v>ok</v>
      </c>
      <c r="C4075" s="149" t="s">
        <v>369</v>
      </c>
      <c r="D4075" t="s">
        <v>6342</v>
      </c>
      <c r="E4075" s="149" t="s">
        <v>735</v>
      </c>
      <c r="F4075" s="150" t="s">
        <v>735</v>
      </c>
      <c r="G4075" s="149" t="s">
        <v>406</v>
      </c>
      <c r="H4075" s="150" t="str">
        <f>IF(Proc[[#This Row],[type]]="LFF (MDG-F)",MID(Proc[[#This Row],[Obj]],13,10),"")</f>
        <v>US01Z01000</v>
      </c>
      <c r="I4075" s="149"/>
      <c r="J4075" s="150" t="b">
        <f>Proc[[#This Row],[Requested]]=Proc[[#This Row],[CurrentParent]]</f>
        <v>1</v>
      </c>
      <c r="K4075" s="150" t="str">
        <f>IF(Proc[[#This Row],[Author]]="Marcela Urrego",VLOOKUP(LEFT(Proc[[#This Row],[Requested]],1),Table3[#All],2,0),VLOOKUP(Proc[[#This Row],[Author]],Table4[],2,0))</f>
        <v>EL</v>
      </c>
      <c r="L4075" s="150" t="s">
        <v>4894</v>
      </c>
      <c r="M4075" s="146">
        <v>45919</v>
      </c>
      <c r="N4075" s="148"/>
      <c r="O4075" s="148"/>
      <c r="P4075" s="14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54</v>
      </c>
      <c r="R4075" s="146" t="s">
        <v>780</v>
      </c>
      <c r="S4075" s="150"/>
    </row>
    <row r="4076" spans="1:19" hidden="1">
      <c r="A4076" s="149" t="s">
        <v>6344</v>
      </c>
      <c r="B4076" s="150" t="str">
        <f>IFERROR(VLOOKUP(Proc[[#This Row],[App]],Table2[],3,0),"open")</f>
        <v>ok</v>
      </c>
      <c r="C4076" s="149" t="s">
        <v>369</v>
      </c>
      <c r="D4076" t="s">
        <v>6343</v>
      </c>
      <c r="E4076" t="s">
        <v>6501</v>
      </c>
      <c r="F4076" s="150" t="s">
        <v>6268</v>
      </c>
      <c r="G4076" s="149" t="s">
        <v>406</v>
      </c>
      <c r="H4076" s="150" t="str">
        <f>IF(Proc[[#This Row],[type]]="LFF (MDG-F)",MID(Proc[[#This Row],[Obj]],13,10),"")</f>
        <v>TW02Z01000</v>
      </c>
      <c r="I4076" s="149"/>
      <c r="J4076" s="150" t="b">
        <f>Proc[[#This Row],[Requested]]=Proc[[#This Row],[CurrentParent]]</f>
        <v>0</v>
      </c>
      <c r="K4076" s="150" t="str">
        <f>IF(Proc[[#This Row],[Author]]="Marcela Urrego",VLOOKUP(LEFT(Proc[[#This Row],[Requested]],1),Table3[#All],2,0),VLOOKUP(Proc[[#This Row],[Author]],Table4[],2,0))</f>
        <v>EL</v>
      </c>
      <c r="L4076" s="150" t="s">
        <v>4894</v>
      </c>
      <c r="M4076" s="146">
        <v>45919</v>
      </c>
      <c r="N4076" s="148"/>
      <c r="O4076" s="148"/>
      <c r="P4076" s="14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54</v>
      </c>
      <c r="R4076" s="146" t="s">
        <v>780</v>
      </c>
      <c r="S4076" s="150"/>
    </row>
    <row r="4077" spans="1:19" hidden="1">
      <c r="A4077" t="s">
        <v>6352</v>
      </c>
      <c r="B4077" s="150" t="str">
        <f>IFERROR(VLOOKUP(Proc[[#This Row],[App]],Table2[],3,0),"open")</f>
        <v>ok</v>
      </c>
      <c r="C4077" s="149" t="s">
        <v>369</v>
      </c>
      <c r="D4077" t="s">
        <v>6353</v>
      </c>
      <c r="E4077" t="s">
        <v>6354</v>
      </c>
      <c r="F4077" s="150" t="s">
        <v>6354</v>
      </c>
      <c r="G4077" s="149" t="s">
        <v>400</v>
      </c>
      <c r="H4077" s="150" t="str">
        <f>IF(Proc[[#This Row],[type]]="LFF (MDG-F)",MID(Proc[[#This Row],[Obj]],13,10),"")</f>
        <v/>
      </c>
      <c r="J4077" s="150" t="b">
        <f>Proc[[#This Row],[Requested]]=Proc[[#This Row],[CurrentParent]]</f>
        <v>1</v>
      </c>
      <c r="K4077" s="150" t="str">
        <f>IF(Proc[[#This Row],[Author]]="Marcela Urrego",VLOOKUP(LEFT(Proc[[#This Row],[Requested]],1),Table3[#All],2,0),VLOOKUP(Proc[[#This Row],[Author]],Table4[],2,0))</f>
        <v>LS</v>
      </c>
      <c r="L4077" s="150" t="s">
        <v>4894</v>
      </c>
      <c r="M4077" s="148">
        <v>45924</v>
      </c>
      <c r="N4077" s="151"/>
      <c r="O4077" s="151"/>
      <c r="P4077" s="148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51</v>
      </c>
      <c r="R4077" s="148" t="s">
        <v>489</v>
      </c>
      <c r="S4077" s="150"/>
    </row>
    <row r="4078" spans="1:19" hidden="1">
      <c r="A4078" t="s">
        <v>6356</v>
      </c>
      <c r="B4078" s="150" t="str">
        <f>IFERROR(VLOOKUP(Proc[[#This Row],[App]],Table2[],3,0),"open")</f>
        <v>ok</v>
      </c>
      <c r="C4078" s="149" t="s">
        <v>369</v>
      </c>
      <c r="D4078" t="s">
        <v>6355</v>
      </c>
      <c r="E4078" t="s">
        <v>2815</v>
      </c>
      <c r="F4078" s="150" t="s">
        <v>2815</v>
      </c>
      <c r="G4078" s="149" t="s">
        <v>400</v>
      </c>
      <c r="H4078" s="150" t="str">
        <f>IF(Proc[[#This Row],[type]]="LFF (MDG-F)",MID(Proc[[#This Row],[Obj]],13,10),"")</f>
        <v/>
      </c>
      <c r="J4078" s="150" t="b">
        <f>Proc[[#This Row],[Requested]]=Proc[[#This Row],[CurrentParent]]</f>
        <v>1</v>
      </c>
      <c r="K4078" s="150" t="str">
        <f>IF(Proc[[#This Row],[Author]]="Marcela Urrego",VLOOKUP(LEFT(Proc[[#This Row],[Requested]],1),Table3[#All],2,0),VLOOKUP(Proc[[#This Row],[Author]],Table4[],2,0))</f>
        <v>LS</v>
      </c>
      <c r="L4078" s="150" t="s">
        <v>4894</v>
      </c>
      <c r="M4078" s="151">
        <v>45924</v>
      </c>
      <c r="N4078" s="151"/>
      <c r="O4078" s="151"/>
      <c r="P4078" s="148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51</v>
      </c>
      <c r="R4078" s="148" t="s">
        <v>489</v>
      </c>
      <c r="S4078" s="150"/>
    </row>
    <row r="4079" spans="1:19" hidden="1">
      <c r="A4079" t="s">
        <v>6402</v>
      </c>
      <c r="B4079" s="150" t="str">
        <f>IFERROR(VLOOKUP(Proc[[#This Row],[App]],Table2[],3,0),"open")</f>
        <v>ok</v>
      </c>
      <c r="C4079" s="149" t="s">
        <v>369</v>
      </c>
      <c r="D4079" t="s">
        <v>6357</v>
      </c>
      <c r="E4079" t="s">
        <v>6403</v>
      </c>
      <c r="F4079" s="150" t="s">
        <v>6403</v>
      </c>
      <c r="G4079" t="s">
        <v>400</v>
      </c>
      <c r="H4079" s="150" t="str">
        <f>IF(Proc[[#This Row],[type]]="LFF (MDG-F)",MID(Proc[[#This Row],[Obj]],13,10),"")</f>
        <v/>
      </c>
      <c r="J4079" s="150" t="b">
        <f>Proc[[#This Row],[Requested]]=Proc[[#This Row],[CurrentParent]]</f>
        <v>1</v>
      </c>
      <c r="K4079" s="150" t="str">
        <f>IF(Proc[[#This Row],[Author]]="Marcela Urrego",VLOOKUP(LEFT(Proc[[#This Row],[Requested]],1),Table3[#All],2,0),VLOOKUP(Proc[[#This Row],[Author]],Table4[],2,0))</f>
        <v>HC</v>
      </c>
      <c r="L4079" s="150" t="s">
        <v>4894</v>
      </c>
      <c r="M4079" s="151">
        <v>45924</v>
      </c>
      <c r="N4079" s="151"/>
      <c r="O4079" s="151"/>
      <c r="P4079" s="152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51</v>
      </c>
      <c r="R4079" s="152" t="s">
        <v>410</v>
      </c>
      <c r="S4079" s="150"/>
    </row>
    <row r="4080" spans="1:19" hidden="1">
      <c r="A4080" s="149" t="s">
        <v>6402</v>
      </c>
      <c r="B4080" s="150" t="str">
        <f>IFERROR(VLOOKUP(Proc[[#This Row],[App]],Table2[],3,0),"open")</f>
        <v>ok</v>
      </c>
      <c r="C4080" s="149" t="s">
        <v>369</v>
      </c>
      <c r="D4080" t="s">
        <v>6358</v>
      </c>
      <c r="E4080" t="s">
        <v>6403</v>
      </c>
      <c r="F4080" s="150" t="s">
        <v>6403</v>
      </c>
      <c r="G4080" t="s">
        <v>406</v>
      </c>
      <c r="H4080" s="150" t="str">
        <f>IF(Proc[[#This Row],[type]]="LFF (MDG-F)",MID(Proc[[#This Row],[Obj]],13,10),"")</f>
        <v>BE50C00901</v>
      </c>
      <c r="J4080" s="150" t="b">
        <f>Proc[[#This Row],[Requested]]=Proc[[#This Row],[CurrentParent]]</f>
        <v>1</v>
      </c>
      <c r="K4080" s="150" t="str">
        <f>IF(Proc[[#This Row],[Author]]="Marcela Urrego",VLOOKUP(LEFT(Proc[[#This Row],[Requested]],1),Table3[#All],2,0),VLOOKUP(Proc[[#This Row],[Author]],Table4[],2,0))</f>
        <v>HC</v>
      </c>
      <c r="L4080" s="150" t="s">
        <v>4894</v>
      </c>
      <c r="M4080" s="151">
        <v>45924</v>
      </c>
      <c r="N4080" s="151"/>
      <c r="O4080" s="151"/>
      <c r="P4080" s="152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51</v>
      </c>
      <c r="R4080" s="152" t="s">
        <v>410</v>
      </c>
      <c r="S4080" s="150"/>
    </row>
    <row r="4081" spans="1:19" hidden="1">
      <c r="A4081" s="149" t="s">
        <v>6402</v>
      </c>
      <c r="B4081" s="150" t="str">
        <f>IFERROR(VLOOKUP(Proc[[#This Row],[App]],Table2[],3,0),"open")</f>
        <v>ok</v>
      </c>
      <c r="C4081" s="149" t="s">
        <v>369</v>
      </c>
      <c r="D4081" t="s">
        <v>6359</v>
      </c>
      <c r="E4081" t="s">
        <v>6404</v>
      </c>
      <c r="F4081" s="150" t="s">
        <v>6404</v>
      </c>
      <c r="G4081" s="149" t="s">
        <v>406</v>
      </c>
      <c r="H4081" s="150" t="str">
        <f>IF(Proc[[#This Row],[type]]="LFF (MDG-F)",MID(Proc[[#This Row],[Obj]],13,10),"")</f>
        <v>BE50C00912</v>
      </c>
      <c r="J4081" s="150" t="b">
        <f>Proc[[#This Row],[Requested]]=Proc[[#This Row],[CurrentParent]]</f>
        <v>1</v>
      </c>
      <c r="K4081" s="150" t="str">
        <f>IF(Proc[[#This Row],[Author]]="Marcela Urrego",VLOOKUP(LEFT(Proc[[#This Row],[Requested]],1),Table3[#All],2,0),VLOOKUP(Proc[[#This Row],[Author]],Table4[],2,0))</f>
        <v>HC</v>
      </c>
      <c r="L4081" s="150" t="s">
        <v>4894</v>
      </c>
      <c r="M4081" s="151">
        <v>45924</v>
      </c>
      <c r="N4081" s="151"/>
      <c r="O4081" s="151"/>
      <c r="P4081" s="152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51</v>
      </c>
      <c r="R4081" s="152" t="s">
        <v>410</v>
      </c>
      <c r="S4081" s="150"/>
    </row>
    <row r="4082" spans="1:19" hidden="1">
      <c r="A4082" s="149" t="s">
        <v>6402</v>
      </c>
      <c r="B4082" s="150" t="str">
        <f>IFERROR(VLOOKUP(Proc[[#This Row],[App]],Table2[],3,0),"open")</f>
        <v>ok</v>
      </c>
      <c r="C4082" s="149" t="s">
        <v>369</v>
      </c>
      <c r="D4082" t="s">
        <v>6360</v>
      </c>
      <c r="E4082" t="s">
        <v>6403</v>
      </c>
      <c r="F4082" s="150" t="s">
        <v>6403</v>
      </c>
      <c r="G4082" s="149" t="s">
        <v>406</v>
      </c>
      <c r="H4082" s="150" t="str">
        <f>IF(Proc[[#This Row],[type]]="LFF (MDG-F)",MID(Proc[[#This Row],[Obj]],13,10),"")</f>
        <v>BE50C00921</v>
      </c>
      <c r="J4082" s="150" t="b">
        <f>Proc[[#This Row],[Requested]]=Proc[[#This Row],[CurrentParent]]</f>
        <v>1</v>
      </c>
      <c r="K4082" s="150" t="str">
        <f>IF(Proc[[#This Row],[Author]]="Marcela Urrego",VLOOKUP(LEFT(Proc[[#This Row],[Requested]],1),Table3[#All],2,0),VLOOKUP(Proc[[#This Row],[Author]],Table4[],2,0))</f>
        <v>HC</v>
      </c>
      <c r="L4082" s="150" t="s">
        <v>4894</v>
      </c>
      <c r="M4082" s="151">
        <v>45924</v>
      </c>
      <c r="N4082" s="151"/>
      <c r="O4082" s="151"/>
      <c r="P4082" s="152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51</v>
      </c>
      <c r="R4082" s="152" t="s">
        <v>410</v>
      </c>
      <c r="S4082" s="150"/>
    </row>
    <row r="4083" spans="1:19" hidden="1">
      <c r="A4083" s="149" t="s">
        <v>6402</v>
      </c>
      <c r="B4083" s="150" t="str">
        <f>IFERROR(VLOOKUP(Proc[[#This Row],[App]],Table2[],3,0),"open")</f>
        <v>ok</v>
      </c>
      <c r="C4083" s="149" t="s">
        <v>369</v>
      </c>
      <c r="D4083" t="s">
        <v>6361</v>
      </c>
      <c r="E4083" t="s">
        <v>6403</v>
      </c>
      <c r="F4083" s="150" t="s">
        <v>6403</v>
      </c>
      <c r="G4083" s="149" t="s">
        <v>406</v>
      </c>
      <c r="H4083" s="150" t="str">
        <f>IF(Proc[[#This Row],[type]]="LFF (MDG-F)",MID(Proc[[#This Row],[Obj]],13,10),"")</f>
        <v>CN50GCA002</v>
      </c>
      <c r="J4083" s="150" t="b">
        <f>Proc[[#This Row],[Requested]]=Proc[[#This Row],[CurrentParent]]</f>
        <v>1</v>
      </c>
      <c r="K4083" s="150" t="str">
        <f>IF(Proc[[#This Row],[Author]]="Marcela Urrego",VLOOKUP(LEFT(Proc[[#This Row],[Requested]],1),Table3[#All],2,0),VLOOKUP(Proc[[#This Row],[Author]],Table4[],2,0))</f>
        <v>HC</v>
      </c>
      <c r="L4083" s="150" t="s">
        <v>4894</v>
      </c>
      <c r="M4083" s="151">
        <v>45924</v>
      </c>
      <c r="N4083" s="151"/>
      <c r="O4083" s="151"/>
      <c r="P4083" s="152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51</v>
      </c>
      <c r="R4083" s="152" t="s">
        <v>410</v>
      </c>
      <c r="S4083" s="150"/>
    </row>
    <row r="4084" spans="1:19" hidden="1">
      <c r="A4084" s="149" t="s">
        <v>6402</v>
      </c>
      <c r="B4084" s="150" t="str">
        <f>IFERROR(VLOOKUP(Proc[[#This Row],[App]],Table2[],3,0),"open")</f>
        <v>ok</v>
      </c>
      <c r="C4084" s="149" t="s">
        <v>369</v>
      </c>
      <c r="D4084" t="s">
        <v>6362</v>
      </c>
      <c r="E4084" t="s">
        <v>6404</v>
      </c>
      <c r="F4084" s="150" t="s">
        <v>6404</v>
      </c>
      <c r="G4084" s="149" t="s">
        <v>406</v>
      </c>
      <c r="H4084" s="150" t="str">
        <f>IF(Proc[[#This Row],[type]]="LFF (MDG-F)",MID(Proc[[#This Row],[Obj]],13,10),"")</f>
        <v>CN50GCA004</v>
      </c>
      <c r="J4084" s="150" t="b">
        <f>Proc[[#This Row],[Requested]]=Proc[[#This Row],[CurrentParent]]</f>
        <v>1</v>
      </c>
      <c r="K4084" s="150" t="str">
        <f>IF(Proc[[#This Row],[Author]]="Marcela Urrego",VLOOKUP(LEFT(Proc[[#This Row],[Requested]],1),Table3[#All],2,0),VLOOKUP(Proc[[#This Row],[Author]],Table4[],2,0))</f>
        <v>HC</v>
      </c>
      <c r="L4084" s="150" t="s">
        <v>4894</v>
      </c>
      <c r="M4084" s="151">
        <v>45924</v>
      </c>
      <c r="N4084" s="151"/>
      <c r="O4084" s="151"/>
      <c r="P4084" s="152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51</v>
      </c>
      <c r="R4084" s="152" t="s">
        <v>410</v>
      </c>
      <c r="S4084" s="150"/>
    </row>
    <row r="4085" spans="1:19" hidden="1">
      <c r="A4085" s="149" t="s">
        <v>6402</v>
      </c>
      <c r="B4085" s="150" t="str">
        <f>IFERROR(VLOOKUP(Proc[[#This Row],[App]],Table2[],3,0),"open")</f>
        <v>ok</v>
      </c>
      <c r="C4085" s="149" t="s">
        <v>369</v>
      </c>
      <c r="D4085" t="s">
        <v>6363</v>
      </c>
      <c r="E4085" t="s">
        <v>6404</v>
      </c>
      <c r="F4085" s="150" t="s">
        <v>6404</v>
      </c>
      <c r="G4085" s="149" t="s">
        <v>406</v>
      </c>
      <c r="H4085" s="150" t="str">
        <f>IF(Proc[[#This Row],[type]]="LFF (MDG-F)",MID(Proc[[#This Row],[Obj]],13,10),"")</f>
        <v>CN50GCA005</v>
      </c>
      <c r="J4085" s="150" t="b">
        <f>Proc[[#This Row],[Requested]]=Proc[[#This Row],[CurrentParent]]</f>
        <v>1</v>
      </c>
      <c r="K4085" s="150" t="str">
        <f>IF(Proc[[#This Row],[Author]]="Marcela Urrego",VLOOKUP(LEFT(Proc[[#This Row],[Requested]],1),Table3[#All],2,0),VLOOKUP(Proc[[#This Row],[Author]],Table4[],2,0))</f>
        <v>HC</v>
      </c>
      <c r="L4085" s="150" t="s">
        <v>4894</v>
      </c>
      <c r="M4085" s="151">
        <v>45924</v>
      </c>
      <c r="N4085" s="151"/>
      <c r="O4085" s="151"/>
      <c r="P4085" s="152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51</v>
      </c>
      <c r="R4085" s="152" t="s">
        <v>410</v>
      </c>
      <c r="S4085" s="150"/>
    </row>
    <row r="4086" spans="1:19" hidden="1">
      <c r="A4086" s="149" t="s">
        <v>6402</v>
      </c>
      <c r="B4086" s="150" t="str">
        <f>IFERROR(VLOOKUP(Proc[[#This Row],[App]],Table2[],3,0),"open")</f>
        <v>ok</v>
      </c>
      <c r="C4086" s="149" t="s">
        <v>369</v>
      </c>
      <c r="D4086" t="s">
        <v>6364</v>
      </c>
      <c r="E4086" t="s">
        <v>6404</v>
      </c>
      <c r="F4086" s="150" t="s">
        <v>6404</v>
      </c>
      <c r="G4086" s="149" t="s">
        <v>406</v>
      </c>
      <c r="H4086" s="150" t="str">
        <f>IF(Proc[[#This Row],[type]]="LFF (MDG-F)",MID(Proc[[#This Row],[Obj]],13,10),"")</f>
        <v>CN50GCA012</v>
      </c>
      <c r="J4086" s="150" t="b">
        <f>Proc[[#This Row],[Requested]]=Proc[[#This Row],[CurrentParent]]</f>
        <v>1</v>
      </c>
      <c r="K4086" s="150" t="str">
        <f>IF(Proc[[#This Row],[Author]]="Marcela Urrego",VLOOKUP(LEFT(Proc[[#This Row],[Requested]],1),Table3[#All],2,0),VLOOKUP(Proc[[#This Row],[Author]],Table4[],2,0))</f>
        <v>HC</v>
      </c>
      <c r="L4086" s="150" t="s">
        <v>4894</v>
      </c>
      <c r="M4086" s="151">
        <v>45924</v>
      </c>
      <c r="N4086" s="151"/>
      <c r="O4086" s="151"/>
      <c r="P4086" s="152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51</v>
      </c>
      <c r="R4086" s="152" t="s">
        <v>410</v>
      </c>
      <c r="S4086" s="150"/>
    </row>
    <row r="4087" spans="1:19" hidden="1">
      <c r="A4087" s="149" t="s">
        <v>6402</v>
      </c>
      <c r="B4087" s="150" t="str">
        <f>IFERROR(VLOOKUP(Proc[[#This Row],[App]],Table2[],3,0),"open")</f>
        <v>ok</v>
      </c>
      <c r="C4087" s="149" t="s">
        <v>369</v>
      </c>
      <c r="D4087" t="s">
        <v>6365</v>
      </c>
      <c r="E4087" t="s">
        <v>6403</v>
      </c>
      <c r="F4087" s="150" t="s">
        <v>6403</v>
      </c>
      <c r="G4087" s="149" t="s">
        <v>406</v>
      </c>
      <c r="H4087" s="150" t="str">
        <f>IF(Proc[[#This Row],[type]]="LFF (MDG-F)",MID(Proc[[#This Row],[Obj]],13,10),"")</f>
        <v>CN90GCA002</v>
      </c>
      <c r="J4087" s="150" t="b">
        <f>Proc[[#This Row],[Requested]]=Proc[[#This Row],[CurrentParent]]</f>
        <v>1</v>
      </c>
      <c r="K4087" s="150" t="str">
        <f>IF(Proc[[#This Row],[Author]]="Marcela Urrego",VLOOKUP(LEFT(Proc[[#This Row],[Requested]],1),Table3[#All],2,0),VLOOKUP(Proc[[#This Row],[Author]],Table4[],2,0))</f>
        <v>HC</v>
      </c>
      <c r="L4087" s="150" t="s">
        <v>4894</v>
      </c>
      <c r="M4087" s="151">
        <v>45924</v>
      </c>
      <c r="N4087" s="151"/>
      <c r="O4087" s="151"/>
      <c r="P4087" s="152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51</v>
      </c>
      <c r="R4087" s="152" t="s">
        <v>410</v>
      </c>
      <c r="S4087" s="150"/>
    </row>
    <row r="4088" spans="1:19" hidden="1">
      <c r="A4088" s="149" t="s">
        <v>6402</v>
      </c>
      <c r="B4088" s="150" t="str">
        <f>IFERROR(VLOOKUP(Proc[[#This Row],[App]],Table2[],3,0),"open")</f>
        <v>ok</v>
      </c>
      <c r="C4088" s="149" t="s">
        <v>369</v>
      </c>
      <c r="D4088" t="s">
        <v>6366</v>
      </c>
      <c r="E4088" t="s">
        <v>6404</v>
      </c>
      <c r="F4088" s="150" t="s">
        <v>6404</v>
      </c>
      <c r="G4088" s="149" t="s">
        <v>406</v>
      </c>
      <c r="H4088" s="150" t="str">
        <f>IF(Proc[[#This Row],[type]]="LFF (MDG-F)",MID(Proc[[#This Row],[Obj]],13,10),"")</f>
        <v>CN90GCA004</v>
      </c>
      <c r="J4088" s="150" t="b">
        <f>Proc[[#This Row],[Requested]]=Proc[[#This Row],[CurrentParent]]</f>
        <v>1</v>
      </c>
      <c r="K4088" s="150" t="str">
        <f>IF(Proc[[#This Row],[Author]]="Marcela Urrego",VLOOKUP(LEFT(Proc[[#This Row],[Requested]],1),Table3[#All],2,0),VLOOKUP(Proc[[#This Row],[Author]],Table4[],2,0))</f>
        <v>HC</v>
      </c>
      <c r="L4088" s="150" t="s">
        <v>4894</v>
      </c>
      <c r="M4088" s="151">
        <v>45924</v>
      </c>
      <c r="N4088" s="151"/>
      <c r="O4088" s="151"/>
      <c r="P4088" s="152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51</v>
      </c>
      <c r="R4088" s="152" t="s">
        <v>410</v>
      </c>
      <c r="S4088" s="150"/>
    </row>
    <row r="4089" spans="1:19" hidden="1">
      <c r="A4089" s="149" t="s">
        <v>6402</v>
      </c>
      <c r="B4089" s="150" t="str">
        <f>IFERROR(VLOOKUP(Proc[[#This Row],[App]],Table2[],3,0),"open")</f>
        <v>ok</v>
      </c>
      <c r="C4089" s="149" t="s">
        <v>369</v>
      </c>
      <c r="D4089" t="s">
        <v>6367</v>
      </c>
      <c r="E4089" t="s">
        <v>6404</v>
      </c>
      <c r="F4089" s="150" t="s">
        <v>6404</v>
      </c>
      <c r="G4089" s="149" t="s">
        <v>406</v>
      </c>
      <c r="H4089" s="150" t="str">
        <f>IF(Proc[[#This Row],[type]]="LFF (MDG-F)",MID(Proc[[#This Row],[Obj]],13,10),"")</f>
        <v>CN90GCA005</v>
      </c>
      <c r="J4089" s="150" t="b">
        <f>Proc[[#This Row],[Requested]]=Proc[[#This Row],[CurrentParent]]</f>
        <v>1</v>
      </c>
      <c r="K4089" s="150" t="str">
        <f>IF(Proc[[#This Row],[Author]]="Marcela Urrego",VLOOKUP(LEFT(Proc[[#This Row],[Requested]],1),Table3[#All],2,0),VLOOKUP(Proc[[#This Row],[Author]],Table4[],2,0))</f>
        <v>HC</v>
      </c>
      <c r="L4089" s="150" t="s">
        <v>4894</v>
      </c>
      <c r="M4089" s="151">
        <v>45924</v>
      </c>
      <c r="N4089" s="151"/>
      <c r="O4089" s="151"/>
      <c r="P4089" s="152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51</v>
      </c>
      <c r="R4089" s="152" t="s">
        <v>410</v>
      </c>
      <c r="S4089" s="150"/>
    </row>
    <row r="4090" spans="1:19" hidden="1">
      <c r="A4090" s="149" t="s">
        <v>6402</v>
      </c>
      <c r="B4090" s="150" t="str">
        <f>IFERROR(VLOOKUP(Proc[[#This Row],[App]],Table2[],3,0),"open")</f>
        <v>ok</v>
      </c>
      <c r="C4090" s="149" t="s">
        <v>369</v>
      </c>
      <c r="D4090" t="s">
        <v>6368</v>
      </c>
      <c r="E4090" t="s">
        <v>6404</v>
      </c>
      <c r="F4090" s="150" t="s">
        <v>6404</v>
      </c>
      <c r="G4090" s="149" t="s">
        <v>406</v>
      </c>
      <c r="H4090" s="150" t="str">
        <f>IF(Proc[[#This Row],[type]]="LFF (MDG-F)",MID(Proc[[#This Row],[Obj]],13,10),"")</f>
        <v>CN90GCA012</v>
      </c>
      <c r="J4090" s="150" t="b">
        <f>Proc[[#This Row],[Requested]]=Proc[[#This Row],[CurrentParent]]</f>
        <v>1</v>
      </c>
      <c r="K4090" s="150" t="str">
        <f>IF(Proc[[#This Row],[Author]]="Marcela Urrego",VLOOKUP(LEFT(Proc[[#This Row],[Requested]],1),Table3[#All],2,0),VLOOKUP(Proc[[#This Row],[Author]],Table4[],2,0))</f>
        <v>HC</v>
      </c>
      <c r="L4090" s="150" t="s">
        <v>4894</v>
      </c>
      <c r="M4090" s="151">
        <v>45924</v>
      </c>
      <c r="N4090" s="151"/>
      <c r="O4090" s="151"/>
      <c r="P4090" s="152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51</v>
      </c>
      <c r="R4090" s="152" t="s">
        <v>410</v>
      </c>
      <c r="S4090" s="150"/>
    </row>
    <row r="4091" spans="1:19" hidden="1">
      <c r="A4091" s="149" t="s">
        <v>6402</v>
      </c>
      <c r="B4091" s="150" t="str">
        <f>IFERROR(VLOOKUP(Proc[[#This Row],[App]],Table2[],3,0),"open")</f>
        <v>ok</v>
      </c>
      <c r="C4091" s="149" t="s">
        <v>369</v>
      </c>
      <c r="D4091" t="s">
        <v>6369</v>
      </c>
      <c r="E4091" t="s">
        <v>6404</v>
      </c>
      <c r="F4091" s="150" t="s">
        <v>6404</v>
      </c>
      <c r="G4091" s="149" t="s">
        <v>406</v>
      </c>
      <c r="H4091" s="150" t="str">
        <f>IF(Proc[[#This Row],[type]]="LFF (MDG-F)",MID(Proc[[#This Row],[Obj]],13,10),"")</f>
        <v>CN90GCA022</v>
      </c>
      <c r="J4091" s="150" t="b">
        <f>Proc[[#This Row],[Requested]]=Proc[[#This Row],[CurrentParent]]</f>
        <v>1</v>
      </c>
      <c r="K4091" s="150" t="str">
        <f>IF(Proc[[#This Row],[Author]]="Marcela Urrego",VLOOKUP(LEFT(Proc[[#This Row],[Requested]],1),Table3[#All],2,0),VLOOKUP(Proc[[#This Row],[Author]],Table4[],2,0))</f>
        <v>HC</v>
      </c>
      <c r="L4091" s="150" t="s">
        <v>4894</v>
      </c>
      <c r="M4091" s="151">
        <v>45924</v>
      </c>
      <c r="N4091" s="151"/>
      <c r="O4091" s="151"/>
      <c r="P4091" s="152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51</v>
      </c>
      <c r="R4091" s="152" t="s">
        <v>410</v>
      </c>
      <c r="S4091" s="150"/>
    </row>
    <row r="4092" spans="1:19" hidden="1">
      <c r="A4092" s="149" t="s">
        <v>6402</v>
      </c>
      <c r="B4092" s="150" t="str">
        <f>IFERROR(VLOOKUP(Proc[[#This Row],[App]],Table2[],3,0),"open")</f>
        <v>ok</v>
      </c>
      <c r="C4092" s="149" t="s">
        <v>369</v>
      </c>
      <c r="D4092" t="s">
        <v>6370</v>
      </c>
      <c r="E4092" t="s">
        <v>6404</v>
      </c>
      <c r="F4092" s="150" t="s">
        <v>6404</v>
      </c>
      <c r="G4092" s="149" t="s">
        <v>406</v>
      </c>
      <c r="H4092" s="150" t="str">
        <f>IF(Proc[[#This Row],[type]]="LFF (MDG-F)",MID(Proc[[#This Row],[Obj]],13,10),"")</f>
        <v>CN90GCA032</v>
      </c>
      <c r="J4092" s="150" t="b">
        <f>Proc[[#This Row],[Requested]]=Proc[[#This Row],[CurrentParent]]</f>
        <v>1</v>
      </c>
      <c r="K4092" s="150" t="str">
        <f>IF(Proc[[#This Row],[Author]]="Marcela Urrego",VLOOKUP(LEFT(Proc[[#This Row],[Requested]],1),Table3[#All],2,0),VLOOKUP(Proc[[#This Row],[Author]],Table4[],2,0))</f>
        <v>HC</v>
      </c>
      <c r="L4092" s="150" t="s">
        <v>4894</v>
      </c>
      <c r="M4092" s="151">
        <v>45924</v>
      </c>
      <c r="N4092" s="151"/>
      <c r="O4092" s="151"/>
      <c r="P4092" s="152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51</v>
      </c>
      <c r="R4092" s="152" t="s">
        <v>410</v>
      </c>
      <c r="S4092" s="150"/>
    </row>
    <row r="4093" spans="1:19" hidden="1">
      <c r="A4093" s="149" t="s">
        <v>6402</v>
      </c>
      <c r="B4093" s="150" t="str">
        <f>IFERROR(VLOOKUP(Proc[[#This Row],[App]],Table2[],3,0),"open")</f>
        <v>ok</v>
      </c>
      <c r="C4093" s="149" t="s">
        <v>369</v>
      </c>
      <c r="D4093" t="s">
        <v>6371</v>
      </c>
      <c r="E4093" t="s">
        <v>6403</v>
      </c>
      <c r="F4093" s="150" t="s">
        <v>6403</v>
      </c>
      <c r="G4093" s="149" t="s">
        <v>406</v>
      </c>
      <c r="H4093" s="150" t="str">
        <f>IF(Proc[[#This Row],[type]]="LFF (MDG-F)",MID(Proc[[#This Row],[Obj]],13,10),"")</f>
        <v>DE10694000</v>
      </c>
      <c r="J4093" s="150" t="b">
        <f>Proc[[#This Row],[Requested]]=Proc[[#This Row],[CurrentParent]]</f>
        <v>1</v>
      </c>
      <c r="K4093" s="150" t="str">
        <f>IF(Proc[[#This Row],[Author]]="Marcela Urrego",VLOOKUP(LEFT(Proc[[#This Row],[Requested]],1),Table3[#All],2,0),VLOOKUP(Proc[[#This Row],[Author]],Table4[],2,0))</f>
        <v>HC</v>
      </c>
      <c r="L4093" s="150" t="s">
        <v>4894</v>
      </c>
      <c r="M4093" s="151">
        <v>45924</v>
      </c>
      <c r="N4093" s="151"/>
      <c r="O4093" s="151"/>
      <c r="P4093" s="152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51</v>
      </c>
      <c r="R4093" s="152" t="s">
        <v>410</v>
      </c>
      <c r="S4093" s="150"/>
    </row>
    <row r="4094" spans="1:19" hidden="1">
      <c r="A4094" s="149" t="s">
        <v>6402</v>
      </c>
      <c r="B4094" s="150" t="str">
        <f>IFERROR(VLOOKUP(Proc[[#This Row],[App]],Table2[],3,0),"open")</f>
        <v>ok</v>
      </c>
      <c r="C4094" s="149" t="s">
        <v>369</v>
      </c>
      <c r="D4094" t="s">
        <v>6372</v>
      </c>
      <c r="E4094" t="s">
        <v>6403</v>
      </c>
      <c r="F4094" s="150" t="s">
        <v>6403</v>
      </c>
      <c r="G4094" s="149" t="s">
        <v>406</v>
      </c>
      <c r="H4094" s="150" t="str">
        <f>IF(Proc[[#This Row],[type]]="LFF (MDG-F)",MID(Proc[[#This Row],[Obj]],13,10),"")</f>
        <v>DE50C00011</v>
      </c>
      <c r="J4094" s="150" t="b">
        <f>Proc[[#This Row],[Requested]]=Proc[[#This Row],[CurrentParent]]</f>
        <v>1</v>
      </c>
      <c r="K4094" s="150" t="str">
        <f>IF(Proc[[#This Row],[Author]]="Marcela Urrego",VLOOKUP(LEFT(Proc[[#This Row],[Requested]],1),Table3[#All],2,0),VLOOKUP(Proc[[#This Row],[Author]],Table4[],2,0))</f>
        <v>HC</v>
      </c>
      <c r="L4094" s="150" t="s">
        <v>4894</v>
      </c>
      <c r="M4094" s="151">
        <v>45924</v>
      </c>
      <c r="N4094" s="151"/>
      <c r="O4094" s="151"/>
      <c r="P4094" s="152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51</v>
      </c>
      <c r="R4094" s="152" t="s">
        <v>410</v>
      </c>
      <c r="S4094" s="150"/>
    </row>
    <row r="4095" spans="1:19" hidden="1">
      <c r="A4095" s="149" t="s">
        <v>6402</v>
      </c>
      <c r="B4095" s="150" t="str">
        <f>IFERROR(VLOOKUP(Proc[[#This Row],[App]],Table2[],3,0),"open")</f>
        <v>ok</v>
      </c>
      <c r="C4095" s="149" t="s">
        <v>369</v>
      </c>
      <c r="D4095" t="s">
        <v>6373</v>
      </c>
      <c r="E4095" t="s">
        <v>6403</v>
      </c>
      <c r="F4095" s="150" t="s">
        <v>6403</v>
      </c>
      <c r="G4095" s="149" t="s">
        <v>406</v>
      </c>
      <c r="H4095" s="150" t="str">
        <f>IF(Proc[[#This Row],[type]]="LFF (MDG-F)",MID(Proc[[#This Row],[Obj]],13,10),"")</f>
        <v>DE50C06595</v>
      </c>
      <c r="J4095" s="150" t="b">
        <f>Proc[[#This Row],[Requested]]=Proc[[#This Row],[CurrentParent]]</f>
        <v>1</v>
      </c>
      <c r="K4095" s="150" t="str">
        <f>IF(Proc[[#This Row],[Author]]="Marcela Urrego",VLOOKUP(LEFT(Proc[[#This Row],[Requested]],1),Table3[#All],2,0),VLOOKUP(Proc[[#This Row],[Author]],Table4[],2,0))</f>
        <v>HC</v>
      </c>
      <c r="L4095" s="150" t="s">
        <v>4894</v>
      </c>
      <c r="M4095" s="151">
        <v>45924</v>
      </c>
      <c r="N4095" s="151"/>
      <c r="O4095" s="151"/>
      <c r="P4095" s="152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51</v>
      </c>
      <c r="R4095" s="152" t="s">
        <v>410</v>
      </c>
      <c r="S4095" s="150"/>
    </row>
    <row r="4096" spans="1:19" hidden="1">
      <c r="A4096" s="149" t="s">
        <v>6402</v>
      </c>
      <c r="B4096" s="150" t="str">
        <f>IFERROR(VLOOKUP(Proc[[#This Row],[App]],Table2[],3,0),"open")</f>
        <v>ok</v>
      </c>
      <c r="C4096" s="149" t="s">
        <v>369</v>
      </c>
      <c r="D4096" t="s">
        <v>6374</v>
      </c>
      <c r="E4096" t="s">
        <v>6403</v>
      </c>
      <c r="F4096" s="150" t="s">
        <v>6403</v>
      </c>
      <c r="G4096" s="149" t="s">
        <v>406</v>
      </c>
      <c r="H4096" s="150" t="str">
        <f>IF(Proc[[#This Row],[type]]="LFF (MDG-F)",MID(Proc[[#This Row],[Obj]],13,10),"")</f>
        <v>DE50C06886</v>
      </c>
      <c r="J4096" s="150" t="b">
        <f>Proc[[#This Row],[Requested]]=Proc[[#This Row],[CurrentParent]]</f>
        <v>1</v>
      </c>
      <c r="K4096" s="150" t="str">
        <f>IF(Proc[[#This Row],[Author]]="Marcela Urrego",VLOOKUP(LEFT(Proc[[#This Row],[Requested]],1),Table3[#All],2,0),VLOOKUP(Proc[[#This Row],[Author]],Table4[],2,0))</f>
        <v>HC</v>
      </c>
      <c r="L4096" s="150" t="s">
        <v>4894</v>
      </c>
      <c r="M4096" s="151">
        <v>45924</v>
      </c>
      <c r="N4096" s="151"/>
      <c r="O4096" s="151"/>
      <c r="P4096" s="152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51</v>
      </c>
      <c r="R4096" s="152" t="s">
        <v>410</v>
      </c>
      <c r="S4096" s="150"/>
    </row>
    <row r="4097" spans="1:19" hidden="1">
      <c r="A4097" s="149" t="s">
        <v>6402</v>
      </c>
      <c r="B4097" s="150" t="str">
        <f>IFERROR(VLOOKUP(Proc[[#This Row],[App]],Table2[],3,0),"open")</f>
        <v>ok</v>
      </c>
      <c r="C4097" s="149" t="s">
        <v>369</v>
      </c>
      <c r="D4097" t="s">
        <v>6375</v>
      </c>
      <c r="E4097" t="s">
        <v>6403</v>
      </c>
      <c r="F4097" s="150" t="s">
        <v>6403</v>
      </c>
      <c r="G4097" s="149" t="s">
        <v>406</v>
      </c>
      <c r="H4097" s="150" t="str">
        <f>IF(Proc[[#This Row],[type]]="LFF (MDG-F)",MID(Proc[[#This Row],[Obj]],13,10),"")</f>
        <v>ES50L40182</v>
      </c>
      <c r="J4097" s="150" t="b">
        <f>Proc[[#This Row],[Requested]]=Proc[[#This Row],[CurrentParent]]</f>
        <v>1</v>
      </c>
      <c r="K4097" s="150" t="str">
        <f>IF(Proc[[#This Row],[Author]]="Marcela Urrego",VLOOKUP(LEFT(Proc[[#This Row],[Requested]],1),Table3[#All],2,0),VLOOKUP(Proc[[#This Row],[Author]],Table4[],2,0))</f>
        <v>HC</v>
      </c>
      <c r="L4097" s="150" t="s">
        <v>4894</v>
      </c>
      <c r="M4097" s="151">
        <v>45924</v>
      </c>
      <c r="N4097" s="151"/>
      <c r="O4097" s="151"/>
      <c r="P4097" s="152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51</v>
      </c>
      <c r="R4097" s="152" t="s">
        <v>410</v>
      </c>
      <c r="S4097" s="150"/>
    </row>
    <row r="4098" spans="1:19" hidden="1">
      <c r="A4098" s="149" t="s">
        <v>6402</v>
      </c>
      <c r="B4098" s="150" t="str">
        <f>IFERROR(VLOOKUP(Proc[[#This Row],[App]],Table2[],3,0),"open")</f>
        <v>ok</v>
      </c>
      <c r="C4098" s="149" t="s">
        <v>369</v>
      </c>
      <c r="D4098" t="s">
        <v>6376</v>
      </c>
      <c r="E4098" t="s">
        <v>6404</v>
      </c>
      <c r="F4098" s="150" t="s">
        <v>6404</v>
      </c>
      <c r="G4098" s="149" t="s">
        <v>406</v>
      </c>
      <c r="H4098" s="150" t="str">
        <f>IF(Proc[[#This Row],[type]]="LFF (MDG-F)",MID(Proc[[#This Row],[Obj]],13,10),"")</f>
        <v>VN50C00024</v>
      </c>
      <c r="J4098" s="150" t="b">
        <f>Proc[[#This Row],[Requested]]=Proc[[#This Row],[CurrentParent]]</f>
        <v>1</v>
      </c>
      <c r="K4098" s="150" t="str">
        <f>IF(Proc[[#This Row],[Author]]="Marcela Urrego",VLOOKUP(LEFT(Proc[[#This Row],[Requested]],1),Table3[#All],2,0),VLOOKUP(Proc[[#This Row],[Author]],Table4[],2,0))</f>
        <v>HC</v>
      </c>
      <c r="L4098" s="150" t="s">
        <v>4894</v>
      </c>
      <c r="M4098" s="151">
        <v>45924</v>
      </c>
      <c r="N4098" s="151"/>
      <c r="O4098" s="151"/>
      <c r="P4098" s="152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51</v>
      </c>
      <c r="R4098" s="152" t="s">
        <v>410</v>
      </c>
      <c r="S4098" s="150"/>
    </row>
    <row r="4099" spans="1:19" hidden="1">
      <c r="A4099" s="149" t="s">
        <v>6402</v>
      </c>
      <c r="B4099" s="150" t="str">
        <f>IFERROR(VLOOKUP(Proc[[#This Row],[App]],Table2[],3,0),"open")</f>
        <v>ok</v>
      </c>
      <c r="C4099" s="149" t="s">
        <v>369</v>
      </c>
      <c r="D4099" t="s">
        <v>6377</v>
      </c>
      <c r="E4099" t="s">
        <v>6404</v>
      </c>
      <c r="F4099" s="150" t="s">
        <v>6404</v>
      </c>
      <c r="G4099" t="s">
        <v>400</v>
      </c>
      <c r="H4099" s="150" t="str">
        <f>IF(Proc[[#This Row],[type]]="LFF (MDG-F)",MID(Proc[[#This Row],[Obj]],13,10),"")</f>
        <v/>
      </c>
      <c r="J4099" s="150" t="b">
        <f>Proc[[#This Row],[Requested]]=Proc[[#This Row],[CurrentParent]]</f>
        <v>1</v>
      </c>
      <c r="K4099" s="150" t="str">
        <f>IF(Proc[[#This Row],[Author]]="Marcela Urrego",VLOOKUP(LEFT(Proc[[#This Row],[Requested]],1),Table3[#All],2,0),VLOOKUP(Proc[[#This Row],[Author]],Table4[],2,0))</f>
        <v>HC</v>
      </c>
      <c r="L4099" s="150" t="s">
        <v>4894</v>
      </c>
      <c r="M4099" s="151">
        <v>45924</v>
      </c>
      <c r="N4099" s="151"/>
      <c r="O4099" s="151"/>
      <c r="P4099" s="152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51</v>
      </c>
      <c r="R4099" s="152" t="s">
        <v>410</v>
      </c>
      <c r="S4099" s="150"/>
    </row>
    <row r="4100" spans="1:19" hidden="1">
      <c r="A4100" s="149" t="s">
        <v>6402</v>
      </c>
      <c r="B4100" s="150" t="str">
        <f>IFERROR(VLOOKUP(Proc[[#This Row],[App]],Table2[],3,0),"open")</f>
        <v>ok</v>
      </c>
      <c r="C4100" s="149" t="s">
        <v>369</v>
      </c>
      <c r="D4100" t="s">
        <v>6378</v>
      </c>
      <c r="E4100" t="s">
        <v>6404</v>
      </c>
      <c r="F4100" s="150" t="s">
        <v>6404</v>
      </c>
      <c r="G4100" s="149" t="s">
        <v>400</v>
      </c>
      <c r="H4100" s="150" t="str">
        <f>IF(Proc[[#This Row],[type]]="LFF (MDG-F)",MID(Proc[[#This Row],[Obj]],13,10),"")</f>
        <v/>
      </c>
      <c r="J4100" s="150" t="b">
        <f>Proc[[#This Row],[Requested]]=Proc[[#This Row],[CurrentParent]]</f>
        <v>1</v>
      </c>
      <c r="K4100" s="150" t="str">
        <f>IF(Proc[[#This Row],[Author]]="Marcela Urrego",VLOOKUP(LEFT(Proc[[#This Row],[Requested]],1),Table3[#All],2,0),VLOOKUP(Proc[[#This Row],[Author]],Table4[],2,0))</f>
        <v>HC</v>
      </c>
      <c r="L4100" s="150" t="s">
        <v>4894</v>
      </c>
      <c r="M4100" s="151">
        <v>45924</v>
      </c>
      <c r="N4100" s="151"/>
      <c r="O4100" s="151"/>
      <c r="P4100" s="152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51</v>
      </c>
      <c r="R4100" s="152" t="s">
        <v>410</v>
      </c>
      <c r="S4100" s="150"/>
    </row>
    <row r="4101" spans="1:19" hidden="1">
      <c r="A4101" s="149" t="s">
        <v>6402</v>
      </c>
      <c r="B4101" s="150" t="str">
        <f>IFERROR(VLOOKUP(Proc[[#This Row],[App]],Table2[],3,0),"open")</f>
        <v>ok</v>
      </c>
      <c r="C4101" s="149" t="s">
        <v>369</v>
      </c>
      <c r="D4101" t="s">
        <v>6379</v>
      </c>
      <c r="E4101" t="s">
        <v>6404</v>
      </c>
      <c r="F4101" s="150" t="s">
        <v>6404</v>
      </c>
      <c r="G4101" s="149" t="s">
        <v>400</v>
      </c>
      <c r="H4101" s="150" t="str">
        <f>IF(Proc[[#This Row],[type]]="LFF (MDG-F)",MID(Proc[[#This Row],[Obj]],13,10),"")</f>
        <v/>
      </c>
      <c r="J4101" s="150" t="b">
        <f>Proc[[#This Row],[Requested]]=Proc[[#This Row],[CurrentParent]]</f>
        <v>1</v>
      </c>
      <c r="K4101" s="150" t="str">
        <f>IF(Proc[[#This Row],[Author]]="Marcela Urrego",VLOOKUP(LEFT(Proc[[#This Row],[Requested]],1),Table3[#All],2,0),VLOOKUP(Proc[[#This Row],[Author]],Table4[],2,0))</f>
        <v>HC</v>
      </c>
      <c r="L4101" s="150" t="s">
        <v>4894</v>
      </c>
      <c r="M4101" s="151">
        <v>45924</v>
      </c>
      <c r="N4101" s="151"/>
      <c r="O4101" s="151"/>
      <c r="P4101" s="152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51</v>
      </c>
      <c r="R4101" s="152" t="s">
        <v>410</v>
      </c>
      <c r="S4101" s="150"/>
    </row>
    <row r="4102" spans="1:19" hidden="1">
      <c r="A4102" s="149" t="s">
        <v>6402</v>
      </c>
      <c r="B4102" s="150" t="str">
        <f>IFERROR(VLOOKUP(Proc[[#This Row],[App]],Table2[],3,0),"open")</f>
        <v>ok</v>
      </c>
      <c r="C4102" s="149" t="s">
        <v>369</v>
      </c>
      <c r="D4102" t="s">
        <v>6380</v>
      </c>
      <c r="E4102" t="s">
        <v>6403</v>
      </c>
      <c r="F4102" s="150" t="s">
        <v>6403</v>
      </c>
      <c r="G4102" s="149" t="s">
        <v>400</v>
      </c>
      <c r="H4102" s="150" t="str">
        <f>IF(Proc[[#This Row],[type]]="LFF (MDG-F)",MID(Proc[[#This Row],[Obj]],13,10),"")</f>
        <v/>
      </c>
      <c r="J4102" s="150" t="b">
        <f>Proc[[#This Row],[Requested]]=Proc[[#This Row],[CurrentParent]]</f>
        <v>1</v>
      </c>
      <c r="K4102" s="150" t="str">
        <f>IF(Proc[[#This Row],[Author]]="Marcela Urrego",VLOOKUP(LEFT(Proc[[#This Row],[Requested]],1),Table3[#All],2,0),VLOOKUP(Proc[[#This Row],[Author]],Table4[],2,0))</f>
        <v>HC</v>
      </c>
      <c r="L4102" s="150" t="s">
        <v>4894</v>
      </c>
      <c r="M4102" s="151">
        <v>45924</v>
      </c>
      <c r="N4102" s="151"/>
      <c r="O4102" s="151"/>
      <c r="P4102" s="152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51</v>
      </c>
      <c r="R4102" s="152" t="s">
        <v>410</v>
      </c>
      <c r="S4102" s="150"/>
    </row>
    <row r="4103" spans="1:19" hidden="1">
      <c r="A4103" s="149" t="s">
        <v>6402</v>
      </c>
      <c r="B4103" s="150" t="str">
        <f>IFERROR(VLOOKUP(Proc[[#This Row],[App]],Table2[],3,0),"open")</f>
        <v>ok</v>
      </c>
      <c r="C4103" s="149" t="s">
        <v>369</v>
      </c>
      <c r="D4103" t="s">
        <v>6381</v>
      </c>
      <c r="E4103" t="s">
        <v>6403</v>
      </c>
      <c r="F4103" s="150" t="s">
        <v>6403</v>
      </c>
      <c r="G4103" s="149" t="s">
        <v>400</v>
      </c>
      <c r="H4103" s="150" t="str">
        <f>IF(Proc[[#This Row],[type]]="LFF (MDG-F)",MID(Proc[[#This Row],[Obj]],13,10),"")</f>
        <v/>
      </c>
      <c r="J4103" s="150" t="b">
        <f>Proc[[#This Row],[Requested]]=Proc[[#This Row],[CurrentParent]]</f>
        <v>1</v>
      </c>
      <c r="K4103" s="150" t="str">
        <f>IF(Proc[[#This Row],[Author]]="Marcela Urrego",VLOOKUP(LEFT(Proc[[#This Row],[Requested]],1),Table3[#All],2,0),VLOOKUP(Proc[[#This Row],[Author]],Table4[],2,0))</f>
        <v>HC</v>
      </c>
      <c r="L4103" s="150" t="s">
        <v>4894</v>
      </c>
      <c r="M4103" s="151">
        <v>45924</v>
      </c>
      <c r="N4103" s="151"/>
      <c r="O4103" s="151"/>
      <c r="P4103" s="152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51</v>
      </c>
      <c r="R4103" s="152" t="s">
        <v>410</v>
      </c>
      <c r="S4103" s="150"/>
    </row>
    <row r="4104" spans="1:19" hidden="1">
      <c r="A4104" s="149" t="s">
        <v>6402</v>
      </c>
      <c r="B4104" s="150" t="str">
        <f>IFERROR(VLOOKUP(Proc[[#This Row],[App]],Table2[],3,0),"open")</f>
        <v>ok</v>
      </c>
      <c r="C4104" s="149" t="s">
        <v>369</v>
      </c>
      <c r="D4104" t="s">
        <v>6382</v>
      </c>
      <c r="E4104" t="s">
        <v>6403</v>
      </c>
      <c r="F4104" s="150" t="s">
        <v>6403</v>
      </c>
      <c r="G4104" s="149" t="s">
        <v>400</v>
      </c>
      <c r="H4104" s="150" t="str">
        <f>IF(Proc[[#This Row],[type]]="LFF (MDG-F)",MID(Proc[[#This Row],[Obj]],13,10),"")</f>
        <v/>
      </c>
      <c r="J4104" s="150" t="b">
        <f>Proc[[#This Row],[Requested]]=Proc[[#This Row],[CurrentParent]]</f>
        <v>1</v>
      </c>
      <c r="K4104" s="150" t="str">
        <f>IF(Proc[[#This Row],[Author]]="Marcela Urrego",VLOOKUP(LEFT(Proc[[#This Row],[Requested]],1),Table3[#All],2,0),VLOOKUP(Proc[[#This Row],[Author]],Table4[],2,0))</f>
        <v>HC</v>
      </c>
      <c r="L4104" s="150" t="s">
        <v>4894</v>
      </c>
      <c r="M4104" s="151">
        <v>45924</v>
      </c>
      <c r="N4104" s="151"/>
      <c r="O4104" s="151"/>
      <c r="P4104" s="152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51</v>
      </c>
      <c r="R4104" s="152" t="s">
        <v>410</v>
      </c>
      <c r="S4104" s="150"/>
    </row>
    <row r="4105" spans="1:19" hidden="1">
      <c r="A4105" s="149" t="s">
        <v>6402</v>
      </c>
      <c r="B4105" s="150" t="str">
        <f>IFERROR(VLOOKUP(Proc[[#This Row],[App]],Table2[],3,0),"open")</f>
        <v>ok</v>
      </c>
      <c r="C4105" s="149" t="s">
        <v>369</v>
      </c>
      <c r="D4105" t="s">
        <v>6383</v>
      </c>
      <c r="E4105" t="s">
        <v>6405</v>
      </c>
      <c r="F4105" s="150" t="s">
        <v>6405</v>
      </c>
      <c r="G4105" s="149" t="s">
        <v>400</v>
      </c>
      <c r="H4105" s="150" t="str">
        <f>IF(Proc[[#This Row],[type]]="LFF (MDG-F)",MID(Proc[[#This Row],[Obj]],13,10),"")</f>
        <v/>
      </c>
      <c r="J4105" s="150" t="b">
        <f>Proc[[#This Row],[Requested]]=Proc[[#This Row],[CurrentParent]]</f>
        <v>1</v>
      </c>
      <c r="K4105" s="150" t="str">
        <f>IF(Proc[[#This Row],[Author]]="Marcela Urrego",VLOOKUP(LEFT(Proc[[#This Row],[Requested]],1),Table3[#All],2,0),VLOOKUP(Proc[[#This Row],[Author]],Table4[],2,0))</f>
        <v>HC</v>
      </c>
      <c r="L4105" s="150" t="s">
        <v>4894</v>
      </c>
      <c r="M4105" s="151">
        <v>45924</v>
      </c>
      <c r="N4105" s="151"/>
      <c r="O4105" s="151"/>
      <c r="P4105" s="152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51</v>
      </c>
      <c r="R4105" s="152" t="s">
        <v>410</v>
      </c>
      <c r="S4105" s="150"/>
    </row>
    <row r="4106" spans="1:19" hidden="1">
      <c r="A4106" s="149" t="s">
        <v>6402</v>
      </c>
      <c r="B4106" s="150" t="str">
        <f>IFERROR(VLOOKUP(Proc[[#This Row],[App]],Table2[],3,0),"open")</f>
        <v>ok</v>
      </c>
      <c r="C4106" s="149" t="s">
        <v>369</v>
      </c>
      <c r="D4106" t="s">
        <v>6384</v>
      </c>
      <c r="E4106" t="s">
        <v>6405</v>
      </c>
      <c r="F4106" s="150" t="s">
        <v>6405</v>
      </c>
      <c r="G4106" s="149" t="s">
        <v>400</v>
      </c>
      <c r="H4106" s="150" t="str">
        <f>IF(Proc[[#This Row],[type]]="LFF (MDG-F)",MID(Proc[[#This Row],[Obj]],13,10),"")</f>
        <v/>
      </c>
      <c r="J4106" s="150" t="b">
        <f>Proc[[#This Row],[Requested]]=Proc[[#This Row],[CurrentParent]]</f>
        <v>1</v>
      </c>
      <c r="K4106" s="150" t="str">
        <f>IF(Proc[[#This Row],[Author]]="Marcela Urrego",VLOOKUP(LEFT(Proc[[#This Row],[Requested]],1),Table3[#All],2,0),VLOOKUP(Proc[[#This Row],[Author]],Table4[],2,0))</f>
        <v>HC</v>
      </c>
      <c r="L4106" s="150" t="s">
        <v>4894</v>
      </c>
      <c r="M4106" s="151">
        <v>45924</v>
      </c>
      <c r="N4106" s="151"/>
      <c r="O4106" s="151"/>
      <c r="P4106" s="152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51</v>
      </c>
      <c r="R4106" s="152" t="s">
        <v>410</v>
      </c>
      <c r="S4106" s="150"/>
    </row>
    <row r="4107" spans="1:19" hidden="1">
      <c r="A4107" s="149" t="s">
        <v>6402</v>
      </c>
      <c r="B4107" s="150" t="str">
        <f>IFERROR(VLOOKUP(Proc[[#This Row],[App]],Table2[],3,0),"open")</f>
        <v>ok</v>
      </c>
      <c r="C4107" s="149" t="s">
        <v>369</v>
      </c>
      <c r="D4107" t="s">
        <v>6385</v>
      </c>
      <c r="E4107" t="s">
        <v>6405</v>
      </c>
      <c r="F4107" s="150" t="s">
        <v>6405</v>
      </c>
      <c r="G4107" s="149" t="s">
        <v>400</v>
      </c>
      <c r="H4107" s="150" t="str">
        <f>IF(Proc[[#This Row],[type]]="LFF (MDG-F)",MID(Proc[[#This Row],[Obj]],13,10),"")</f>
        <v/>
      </c>
      <c r="J4107" s="150" t="b">
        <f>Proc[[#This Row],[Requested]]=Proc[[#This Row],[CurrentParent]]</f>
        <v>1</v>
      </c>
      <c r="K4107" s="150" t="str">
        <f>IF(Proc[[#This Row],[Author]]="Marcela Urrego",VLOOKUP(LEFT(Proc[[#This Row],[Requested]],1),Table3[#All],2,0),VLOOKUP(Proc[[#This Row],[Author]],Table4[],2,0))</f>
        <v>HC</v>
      </c>
      <c r="L4107" s="150" t="s">
        <v>4894</v>
      </c>
      <c r="M4107" s="151">
        <v>45924</v>
      </c>
      <c r="N4107" s="151"/>
      <c r="O4107" s="151"/>
      <c r="P4107" s="152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51</v>
      </c>
      <c r="R4107" s="152" t="s">
        <v>410</v>
      </c>
      <c r="S4107" s="150"/>
    </row>
    <row r="4108" spans="1:19" hidden="1">
      <c r="A4108" s="149" t="s">
        <v>6402</v>
      </c>
      <c r="B4108" s="150" t="str">
        <f>IFERROR(VLOOKUP(Proc[[#This Row],[App]],Table2[],3,0),"open")</f>
        <v>ok</v>
      </c>
      <c r="C4108" s="149" t="s">
        <v>369</v>
      </c>
      <c r="D4108" t="s">
        <v>6386</v>
      </c>
      <c r="E4108" t="s">
        <v>6405</v>
      </c>
      <c r="F4108" s="150" t="s">
        <v>6405</v>
      </c>
      <c r="G4108" s="149" t="s">
        <v>400</v>
      </c>
      <c r="H4108" s="150" t="str">
        <f>IF(Proc[[#This Row],[type]]="LFF (MDG-F)",MID(Proc[[#This Row],[Obj]],13,10),"")</f>
        <v/>
      </c>
      <c r="J4108" s="150" t="b">
        <f>Proc[[#This Row],[Requested]]=Proc[[#This Row],[CurrentParent]]</f>
        <v>1</v>
      </c>
      <c r="K4108" s="150" t="str">
        <f>IF(Proc[[#This Row],[Author]]="Marcela Urrego",VLOOKUP(LEFT(Proc[[#This Row],[Requested]],1),Table3[#All],2,0),VLOOKUP(Proc[[#This Row],[Author]],Table4[],2,0))</f>
        <v>HC</v>
      </c>
      <c r="L4108" s="150" t="s">
        <v>4894</v>
      </c>
      <c r="M4108" s="151">
        <v>45924</v>
      </c>
      <c r="N4108" s="151"/>
      <c r="O4108" s="151"/>
      <c r="P4108" s="152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51</v>
      </c>
      <c r="R4108" s="152" t="s">
        <v>410</v>
      </c>
      <c r="S4108" s="150"/>
    </row>
    <row r="4109" spans="1:19" hidden="1">
      <c r="A4109" s="149" t="s">
        <v>6402</v>
      </c>
      <c r="B4109" s="150" t="str">
        <f>IFERROR(VLOOKUP(Proc[[#This Row],[App]],Table2[],3,0),"open")</f>
        <v>ok</v>
      </c>
      <c r="C4109" s="149" t="s">
        <v>369</v>
      </c>
      <c r="D4109" t="s">
        <v>6387</v>
      </c>
      <c r="E4109" t="s">
        <v>6404</v>
      </c>
      <c r="F4109" s="150" t="s">
        <v>6404</v>
      </c>
      <c r="G4109" s="149" t="s">
        <v>400</v>
      </c>
      <c r="H4109" s="150" t="str">
        <f>IF(Proc[[#This Row],[type]]="LFF (MDG-F)",MID(Proc[[#This Row],[Obj]],13,10),"")</f>
        <v/>
      </c>
      <c r="J4109" s="150" t="b">
        <f>Proc[[#This Row],[Requested]]=Proc[[#This Row],[CurrentParent]]</f>
        <v>1</v>
      </c>
      <c r="K4109" s="150" t="str">
        <f>IF(Proc[[#This Row],[Author]]="Marcela Urrego",VLOOKUP(LEFT(Proc[[#This Row],[Requested]],1),Table3[#All],2,0),VLOOKUP(Proc[[#This Row],[Author]],Table4[],2,0))</f>
        <v>HC</v>
      </c>
      <c r="L4109" s="150" t="s">
        <v>4894</v>
      </c>
      <c r="M4109" s="151">
        <v>45924</v>
      </c>
      <c r="N4109" s="151"/>
      <c r="O4109" s="151"/>
      <c r="P4109" s="152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51</v>
      </c>
      <c r="R4109" s="152" t="s">
        <v>410</v>
      </c>
      <c r="S4109" s="150"/>
    </row>
    <row r="4110" spans="1:19" hidden="1">
      <c r="A4110" s="149" t="s">
        <v>6402</v>
      </c>
      <c r="B4110" s="150" t="str">
        <f>IFERROR(VLOOKUP(Proc[[#This Row],[App]],Table2[],3,0),"open")</f>
        <v>ok</v>
      </c>
      <c r="C4110" s="149" t="s">
        <v>377</v>
      </c>
      <c r="D4110" t="s">
        <v>6388</v>
      </c>
      <c r="E4110" t="s">
        <v>6404</v>
      </c>
      <c r="F4110" s="150" t="s">
        <v>5494</v>
      </c>
      <c r="G4110" s="149" t="s">
        <v>400</v>
      </c>
      <c r="H4110" s="150" t="str">
        <f>IF(Proc[[#This Row],[type]]="LFF (MDG-F)",MID(Proc[[#This Row],[Obj]],13,10),"")</f>
        <v/>
      </c>
      <c r="J4110" s="150" t="b">
        <f>Proc[[#This Row],[Requested]]=Proc[[#This Row],[CurrentParent]]</f>
        <v>0</v>
      </c>
      <c r="K4110" s="150" t="str">
        <f>IF(Proc[[#This Row],[Author]]="Marcela Urrego",VLOOKUP(LEFT(Proc[[#This Row],[Requested]],1),Table3[#All],2,0),VLOOKUP(Proc[[#This Row],[Author]],Table4[],2,0))</f>
        <v>HC</v>
      </c>
      <c r="L4110" s="150" t="s">
        <v>4894</v>
      </c>
      <c r="M4110" s="151">
        <v>45924</v>
      </c>
      <c r="N4110" s="151"/>
      <c r="O4110" s="151"/>
      <c r="P4110" s="152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51</v>
      </c>
      <c r="R4110" s="152" t="s">
        <v>410</v>
      </c>
      <c r="S4110" s="150"/>
    </row>
    <row r="4111" spans="1:19" hidden="1">
      <c r="A4111" s="149" t="s">
        <v>6402</v>
      </c>
      <c r="B4111" s="150" t="str">
        <f>IFERROR(VLOOKUP(Proc[[#This Row],[App]],Table2[],3,0),"open")</f>
        <v>ok</v>
      </c>
      <c r="C4111" s="149" t="s">
        <v>369</v>
      </c>
      <c r="D4111" t="s">
        <v>6389</v>
      </c>
      <c r="E4111" t="s">
        <v>6404</v>
      </c>
      <c r="F4111" s="150" t="s">
        <v>6404</v>
      </c>
      <c r="G4111" s="149" t="s">
        <v>400</v>
      </c>
      <c r="H4111" s="150" t="str">
        <f>IF(Proc[[#This Row],[type]]="LFF (MDG-F)",MID(Proc[[#This Row],[Obj]],13,10),"")</f>
        <v/>
      </c>
      <c r="J4111" s="150" t="b">
        <f>Proc[[#This Row],[Requested]]=Proc[[#This Row],[CurrentParent]]</f>
        <v>1</v>
      </c>
      <c r="K4111" s="150" t="str">
        <f>IF(Proc[[#This Row],[Author]]="Marcela Urrego",VLOOKUP(LEFT(Proc[[#This Row],[Requested]],1),Table3[#All],2,0),VLOOKUP(Proc[[#This Row],[Author]],Table4[],2,0))</f>
        <v>HC</v>
      </c>
      <c r="L4111" s="150" t="s">
        <v>4894</v>
      </c>
      <c r="M4111" s="151">
        <v>45924</v>
      </c>
      <c r="N4111" s="151"/>
      <c r="O4111" s="151"/>
      <c r="P4111" s="152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51</v>
      </c>
      <c r="R4111" s="152" t="s">
        <v>410</v>
      </c>
      <c r="S4111" s="150"/>
    </row>
    <row r="4112" spans="1:19" hidden="1">
      <c r="A4112" s="149" t="s">
        <v>6402</v>
      </c>
      <c r="B4112" s="150" t="str">
        <f>IFERROR(VLOOKUP(Proc[[#This Row],[App]],Table2[],3,0),"open")</f>
        <v>ok</v>
      </c>
      <c r="C4112" s="149" t="s">
        <v>377</v>
      </c>
      <c r="D4112" t="s">
        <v>6390</v>
      </c>
      <c r="E4112" t="s">
        <v>6404</v>
      </c>
      <c r="F4112" s="150" t="s">
        <v>5494</v>
      </c>
      <c r="G4112" s="149" t="s">
        <v>400</v>
      </c>
      <c r="H4112" s="150" t="str">
        <f>IF(Proc[[#This Row],[type]]="LFF (MDG-F)",MID(Proc[[#This Row],[Obj]],13,10),"")</f>
        <v/>
      </c>
      <c r="J4112" s="150" t="b">
        <f>Proc[[#This Row],[Requested]]=Proc[[#This Row],[CurrentParent]]</f>
        <v>0</v>
      </c>
      <c r="K4112" s="150" t="str">
        <f>IF(Proc[[#This Row],[Author]]="Marcela Urrego",VLOOKUP(LEFT(Proc[[#This Row],[Requested]],1),Table3[#All],2,0),VLOOKUP(Proc[[#This Row],[Author]],Table4[],2,0))</f>
        <v>HC</v>
      </c>
      <c r="L4112" s="150" t="s">
        <v>4894</v>
      </c>
      <c r="M4112" s="151">
        <v>45924</v>
      </c>
      <c r="N4112" s="151"/>
      <c r="O4112" s="151"/>
      <c r="P4112" s="152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51</v>
      </c>
      <c r="R4112" s="152" t="s">
        <v>410</v>
      </c>
      <c r="S4112" s="150"/>
    </row>
    <row r="4113" spans="1:19" hidden="1">
      <c r="A4113" s="149" t="s">
        <v>6402</v>
      </c>
      <c r="B4113" s="150" t="str">
        <f>IFERROR(VLOOKUP(Proc[[#This Row],[App]],Table2[],3,0),"open")</f>
        <v>ok</v>
      </c>
      <c r="C4113" s="149" t="s">
        <v>377</v>
      </c>
      <c r="D4113" t="s">
        <v>6391</v>
      </c>
      <c r="E4113" t="s">
        <v>6404</v>
      </c>
      <c r="F4113" s="150" t="s">
        <v>5494</v>
      </c>
      <c r="G4113" s="149" t="s">
        <v>400</v>
      </c>
      <c r="H4113" s="150" t="str">
        <f>IF(Proc[[#This Row],[type]]="LFF (MDG-F)",MID(Proc[[#This Row],[Obj]],13,10),"")</f>
        <v/>
      </c>
      <c r="J4113" s="150" t="b">
        <f>Proc[[#This Row],[Requested]]=Proc[[#This Row],[CurrentParent]]</f>
        <v>0</v>
      </c>
      <c r="K4113" s="150" t="str">
        <f>IF(Proc[[#This Row],[Author]]="Marcela Urrego",VLOOKUP(LEFT(Proc[[#This Row],[Requested]],1),Table3[#All],2,0),VLOOKUP(Proc[[#This Row],[Author]],Table4[],2,0))</f>
        <v>HC</v>
      </c>
      <c r="L4113" s="150" t="s">
        <v>4894</v>
      </c>
      <c r="M4113" s="151">
        <v>45924</v>
      </c>
      <c r="N4113" s="151"/>
      <c r="O4113" s="151"/>
      <c r="P4113" s="152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51</v>
      </c>
      <c r="R4113" s="152" t="s">
        <v>410</v>
      </c>
      <c r="S4113" s="150"/>
    </row>
    <row r="4114" spans="1:19" hidden="1">
      <c r="A4114" s="149" t="s">
        <v>6402</v>
      </c>
      <c r="B4114" s="150" t="str">
        <f>IFERROR(VLOOKUP(Proc[[#This Row],[App]],Table2[],3,0),"open")</f>
        <v>ok</v>
      </c>
      <c r="C4114" s="149" t="s">
        <v>369</v>
      </c>
      <c r="D4114" t="s">
        <v>6392</v>
      </c>
      <c r="E4114" t="s">
        <v>6405</v>
      </c>
      <c r="F4114" s="150" t="s">
        <v>6405</v>
      </c>
      <c r="G4114" s="149" t="s">
        <v>400</v>
      </c>
      <c r="H4114" s="150" t="str">
        <f>IF(Proc[[#This Row],[type]]="LFF (MDG-F)",MID(Proc[[#This Row],[Obj]],13,10),"")</f>
        <v/>
      </c>
      <c r="J4114" s="150" t="b">
        <f>Proc[[#This Row],[Requested]]=Proc[[#This Row],[CurrentParent]]</f>
        <v>1</v>
      </c>
      <c r="K4114" s="150" t="str">
        <f>IF(Proc[[#This Row],[Author]]="Marcela Urrego",VLOOKUP(LEFT(Proc[[#This Row],[Requested]],1),Table3[#All],2,0),VLOOKUP(Proc[[#This Row],[Author]],Table4[],2,0))</f>
        <v>HC</v>
      </c>
      <c r="L4114" s="150" t="s">
        <v>4894</v>
      </c>
      <c r="M4114" s="151">
        <v>45924</v>
      </c>
      <c r="N4114" s="151"/>
      <c r="O4114" s="151"/>
      <c r="P4114" s="152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51</v>
      </c>
      <c r="R4114" s="152" t="s">
        <v>410</v>
      </c>
      <c r="S4114" s="150"/>
    </row>
    <row r="4115" spans="1:19" hidden="1">
      <c r="A4115" s="149" t="s">
        <v>6402</v>
      </c>
      <c r="B4115" s="150" t="str">
        <f>IFERROR(VLOOKUP(Proc[[#This Row],[App]],Table2[],3,0),"open")</f>
        <v>ok</v>
      </c>
      <c r="C4115" s="149" t="s">
        <v>369</v>
      </c>
      <c r="D4115" t="s">
        <v>6393</v>
      </c>
      <c r="E4115" t="s">
        <v>6404</v>
      </c>
      <c r="F4115" s="150" t="s">
        <v>6404</v>
      </c>
      <c r="G4115" s="149" t="s">
        <v>400</v>
      </c>
      <c r="H4115" s="150" t="str">
        <f>IF(Proc[[#This Row],[type]]="LFF (MDG-F)",MID(Proc[[#This Row],[Obj]],13,10),"")</f>
        <v/>
      </c>
      <c r="J4115" s="150" t="b">
        <f>Proc[[#This Row],[Requested]]=Proc[[#This Row],[CurrentParent]]</f>
        <v>1</v>
      </c>
      <c r="K4115" s="150" t="str">
        <f>IF(Proc[[#This Row],[Author]]="Marcela Urrego",VLOOKUP(LEFT(Proc[[#This Row],[Requested]],1),Table3[#All],2,0),VLOOKUP(Proc[[#This Row],[Author]],Table4[],2,0))</f>
        <v>HC</v>
      </c>
      <c r="L4115" s="150" t="s">
        <v>4894</v>
      </c>
      <c r="M4115" s="151">
        <v>45924</v>
      </c>
      <c r="N4115" s="151"/>
      <c r="O4115" s="151"/>
      <c r="P4115" s="152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51</v>
      </c>
      <c r="R4115" s="152" t="s">
        <v>410</v>
      </c>
      <c r="S4115" s="150"/>
    </row>
    <row r="4116" spans="1:19" hidden="1">
      <c r="A4116" s="149" t="s">
        <v>6402</v>
      </c>
      <c r="B4116" s="150" t="str">
        <f>IFERROR(VLOOKUP(Proc[[#This Row],[App]],Table2[],3,0),"open")</f>
        <v>ok</v>
      </c>
      <c r="C4116" s="149" t="s">
        <v>369</v>
      </c>
      <c r="D4116" t="s">
        <v>5480</v>
      </c>
      <c r="E4116" t="s">
        <v>6404</v>
      </c>
      <c r="F4116" s="150" t="s">
        <v>6404</v>
      </c>
      <c r="G4116" s="149" t="s">
        <v>400</v>
      </c>
      <c r="H4116" s="150" t="str">
        <f>IF(Proc[[#This Row],[type]]="LFF (MDG-F)",MID(Proc[[#This Row],[Obj]],13,10),"")</f>
        <v/>
      </c>
      <c r="J4116" s="150" t="b">
        <f>Proc[[#This Row],[Requested]]=Proc[[#This Row],[CurrentParent]]</f>
        <v>1</v>
      </c>
      <c r="K4116" s="150" t="str">
        <f>IF(Proc[[#This Row],[Author]]="Marcela Urrego",VLOOKUP(LEFT(Proc[[#This Row],[Requested]],1),Table3[#All],2,0),VLOOKUP(Proc[[#This Row],[Author]],Table4[],2,0))</f>
        <v>HC</v>
      </c>
      <c r="L4116" s="150" t="s">
        <v>4894</v>
      </c>
      <c r="M4116" s="151">
        <v>45924</v>
      </c>
      <c r="N4116" s="151"/>
      <c r="O4116" s="151"/>
      <c r="P4116" s="152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51</v>
      </c>
      <c r="R4116" s="152" t="s">
        <v>410</v>
      </c>
      <c r="S4116" s="150"/>
    </row>
    <row r="4117" spans="1:19" hidden="1">
      <c r="A4117" s="149" t="s">
        <v>6402</v>
      </c>
      <c r="B4117" s="150" t="str">
        <f>IFERROR(VLOOKUP(Proc[[#This Row],[App]],Table2[],3,0),"open")</f>
        <v>ok</v>
      </c>
      <c r="C4117" s="149" t="s">
        <v>369</v>
      </c>
      <c r="D4117" t="s">
        <v>6394</v>
      </c>
      <c r="E4117" t="s">
        <v>6404</v>
      </c>
      <c r="F4117" s="150" t="s">
        <v>6404</v>
      </c>
      <c r="G4117" s="149" t="s">
        <v>400</v>
      </c>
      <c r="H4117" s="150" t="str">
        <f>IF(Proc[[#This Row],[type]]="LFF (MDG-F)",MID(Proc[[#This Row],[Obj]],13,10),"")</f>
        <v/>
      </c>
      <c r="J4117" s="150" t="b">
        <f>Proc[[#This Row],[Requested]]=Proc[[#This Row],[CurrentParent]]</f>
        <v>1</v>
      </c>
      <c r="K4117" s="150" t="str">
        <f>IF(Proc[[#This Row],[Author]]="Marcela Urrego",VLOOKUP(LEFT(Proc[[#This Row],[Requested]],1),Table3[#All],2,0),VLOOKUP(Proc[[#This Row],[Author]],Table4[],2,0))</f>
        <v>HC</v>
      </c>
      <c r="L4117" s="150" t="s">
        <v>4894</v>
      </c>
      <c r="M4117" s="151">
        <v>45924</v>
      </c>
      <c r="N4117" s="151"/>
      <c r="O4117" s="151"/>
      <c r="P4117" s="152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51</v>
      </c>
      <c r="R4117" s="152" t="s">
        <v>410</v>
      </c>
      <c r="S4117" s="150"/>
    </row>
    <row r="4118" spans="1:19" hidden="1">
      <c r="A4118" s="149" t="s">
        <v>6402</v>
      </c>
      <c r="B4118" s="150" t="str">
        <f>IFERROR(VLOOKUP(Proc[[#This Row],[App]],Table2[],3,0),"open")</f>
        <v>ok</v>
      </c>
      <c r="C4118" s="149" t="s">
        <v>369</v>
      </c>
      <c r="D4118" t="s">
        <v>6395</v>
      </c>
      <c r="E4118" t="s">
        <v>6405</v>
      </c>
      <c r="F4118" s="150" t="s">
        <v>6405</v>
      </c>
      <c r="G4118" s="149" t="s">
        <v>400</v>
      </c>
      <c r="H4118" s="150" t="str">
        <f>IF(Proc[[#This Row],[type]]="LFF (MDG-F)",MID(Proc[[#This Row],[Obj]],13,10),"")</f>
        <v/>
      </c>
      <c r="J4118" s="150" t="b">
        <f>Proc[[#This Row],[Requested]]=Proc[[#This Row],[CurrentParent]]</f>
        <v>1</v>
      </c>
      <c r="K4118" s="150" t="str">
        <f>IF(Proc[[#This Row],[Author]]="Marcela Urrego",VLOOKUP(LEFT(Proc[[#This Row],[Requested]],1),Table3[#All],2,0),VLOOKUP(Proc[[#This Row],[Author]],Table4[],2,0))</f>
        <v>HC</v>
      </c>
      <c r="L4118" s="150" t="s">
        <v>4894</v>
      </c>
      <c r="M4118" s="151">
        <v>45924</v>
      </c>
      <c r="N4118" s="151"/>
      <c r="O4118" s="151"/>
      <c r="P4118" s="152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51</v>
      </c>
      <c r="R4118" s="152" t="s">
        <v>410</v>
      </c>
      <c r="S4118" s="150"/>
    </row>
    <row r="4119" spans="1:19" hidden="1">
      <c r="A4119" s="149" t="s">
        <v>6402</v>
      </c>
      <c r="B4119" s="150" t="str">
        <f>IFERROR(VLOOKUP(Proc[[#This Row],[App]],Table2[],3,0),"open")</f>
        <v>ok</v>
      </c>
      <c r="C4119" s="149" t="s">
        <v>369</v>
      </c>
      <c r="D4119" t="s">
        <v>5485</v>
      </c>
      <c r="E4119" t="s">
        <v>6404</v>
      </c>
      <c r="F4119" s="150" t="s">
        <v>6404</v>
      </c>
      <c r="G4119" s="149" t="s">
        <v>400</v>
      </c>
      <c r="H4119" s="150" t="str">
        <f>IF(Proc[[#This Row],[type]]="LFF (MDG-F)",MID(Proc[[#This Row],[Obj]],13,10),"")</f>
        <v/>
      </c>
      <c r="J4119" s="150" t="b">
        <f>Proc[[#This Row],[Requested]]=Proc[[#This Row],[CurrentParent]]</f>
        <v>1</v>
      </c>
      <c r="K4119" s="150" t="str">
        <f>IF(Proc[[#This Row],[Author]]="Marcela Urrego",VLOOKUP(LEFT(Proc[[#This Row],[Requested]],1),Table3[#All],2,0),VLOOKUP(Proc[[#This Row],[Author]],Table4[],2,0))</f>
        <v>HC</v>
      </c>
      <c r="L4119" s="150" t="s">
        <v>4894</v>
      </c>
      <c r="M4119" s="151">
        <v>45924</v>
      </c>
      <c r="N4119" s="151"/>
      <c r="O4119" s="151"/>
      <c r="P4119" s="152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51</v>
      </c>
      <c r="R4119" s="152" t="s">
        <v>410</v>
      </c>
      <c r="S4119" s="150"/>
    </row>
    <row r="4120" spans="1:19" hidden="1">
      <c r="A4120" s="149" t="s">
        <v>6402</v>
      </c>
      <c r="B4120" s="150" t="str">
        <f>IFERROR(VLOOKUP(Proc[[#This Row],[App]],Table2[],3,0),"open")</f>
        <v>ok</v>
      </c>
      <c r="C4120" s="149" t="s">
        <v>369</v>
      </c>
      <c r="D4120" t="s">
        <v>6396</v>
      </c>
      <c r="E4120" t="s">
        <v>6404</v>
      </c>
      <c r="F4120" s="150" t="s">
        <v>6404</v>
      </c>
      <c r="G4120" s="149" t="s">
        <v>400</v>
      </c>
      <c r="H4120" s="150" t="str">
        <f>IF(Proc[[#This Row],[type]]="LFF (MDG-F)",MID(Proc[[#This Row],[Obj]],13,10),"")</f>
        <v/>
      </c>
      <c r="J4120" s="150" t="b">
        <f>Proc[[#This Row],[Requested]]=Proc[[#This Row],[CurrentParent]]</f>
        <v>1</v>
      </c>
      <c r="K4120" s="150" t="str">
        <f>IF(Proc[[#This Row],[Author]]="Marcela Urrego",VLOOKUP(LEFT(Proc[[#This Row],[Requested]],1),Table3[#All],2,0),VLOOKUP(Proc[[#This Row],[Author]],Table4[],2,0))</f>
        <v>HC</v>
      </c>
      <c r="L4120" s="150" t="s">
        <v>4894</v>
      </c>
      <c r="M4120" s="151">
        <v>45924</v>
      </c>
      <c r="N4120" s="151"/>
      <c r="O4120" s="151"/>
      <c r="P4120" s="152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51</v>
      </c>
      <c r="R4120" s="152" t="s">
        <v>410</v>
      </c>
      <c r="S4120" s="150"/>
    </row>
    <row r="4121" spans="1:19" hidden="1">
      <c r="A4121" s="149" t="s">
        <v>6402</v>
      </c>
      <c r="B4121" s="150" t="str">
        <f>IFERROR(VLOOKUP(Proc[[#This Row],[App]],Table2[],3,0),"open")</f>
        <v>ok</v>
      </c>
      <c r="C4121" s="149" t="s">
        <v>369</v>
      </c>
      <c r="D4121" t="s">
        <v>6397</v>
      </c>
      <c r="E4121" t="s">
        <v>6405</v>
      </c>
      <c r="F4121" s="150" t="s">
        <v>6405</v>
      </c>
      <c r="G4121" s="149" t="s">
        <v>400</v>
      </c>
      <c r="H4121" s="150" t="str">
        <f>IF(Proc[[#This Row],[type]]="LFF (MDG-F)",MID(Proc[[#This Row],[Obj]],13,10),"")</f>
        <v/>
      </c>
      <c r="J4121" s="150" t="b">
        <f>Proc[[#This Row],[Requested]]=Proc[[#This Row],[CurrentParent]]</f>
        <v>1</v>
      </c>
      <c r="K4121" s="150" t="str">
        <f>IF(Proc[[#This Row],[Author]]="Marcela Urrego",VLOOKUP(LEFT(Proc[[#This Row],[Requested]],1),Table3[#All],2,0),VLOOKUP(Proc[[#This Row],[Author]],Table4[],2,0))</f>
        <v>HC</v>
      </c>
      <c r="L4121" s="150" t="s">
        <v>4894</v>
      </c>
      <c r="M4121" s="151">
        <v>45924</v>
      </c>
      <c r="N4121" s="151"/>
      <c r="O4121" s="151"/>
      <c r="P4121" s="152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51</v>
      </c>
      <c r="R4121" s="152" t="s">
        <v>410</v>
      </c>
      <c r="S4121" s="150"/>
    </row>
    <row r="4122" spans="1:19" hidden="1">
      <c r="A4122" s="149" t="s">
        <v>6402</v>
      </c>
      <c r="B4122" s="150" t="str">
        <f>IFERROR(VLOOKUP(Proc[[#This Row],[App]],Table2[],3,0),"open")</f>
        <v>ok</v>
      </c>
      <c r="C4122" s="149" t="s">
        <v>369</v>
      </c>
      <c r="D4122" t="s">
        <v>6398</v>
      </c>
      <c r="E4122" t="s">
        <v>6405</v>
      </c>
      <c r="F4122" s="150" t="s">
        <v>6405</v>
      </c>
      <c r="G4122" s="149" t="s">
        <v>400</v>
      </c>
      <c r="H4122" s="150" t="str">
        <f>IF(Proc[[#This Row],[type]]="LFF (MDG-F)",MID(Proc[[#This Row],[Obj]],13,10),"")</f>
        <v/>
      </c>
      <c r="J4122" s="150" t="b">
        <f>Proc[[#This Row],[Requested]]=Proc[[#This Row],[CurrentParent]]</f>
        <v>1</v>
      </c>
      <c r="K4122" s="150" t="str">
        <f>IF(Proc[[#This Row],[Author]]="Marcela Urrego",VLOOKUP(LEFT(Proc[[#This Row],[Requested]],1),Table3[#All],2,0),VLOOKUP(Proc[[#This Row],[Author]],Table4[],2,0))</f>
        <v>HC</v>
      </c>
      <c r="L4122" s="150" t="s">
        <v>4894</v>
      </c>
      <c r="M4122" s="151">
        <v>45924</v>
      </c>
      <c r="N4122" s="151"/>
      <c r="O4122" s="151"/>
      <c r="P4122" s="152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51</v>
      </c>
      <c r="R4122" s="152" t="s">
        <v>410</v>
      </c>
      <c r="S4122" s="150"/>
    </row>
    <row r="4123" spans="1:19" hidden="1">
      <c r="A4123" s="149" t="s">
        <v>6402</v>
      </c>
      <c r="B4123" s="150" t="str">
        <f>IFERROR(VLOOKUP(Proc[[#This Row],[App]],Table2[],3,0),"open")</f>
        <v>ok</v>
      </c>
      <c r="C4123" s="149" t="s">
        <v>369</v>
      </c>
      <c r="D4123" t="s">
        <v>6399</v>
      </c>
      <c r="E4123" t="s">
        <v>6405</v>
      </c>
      <c r="F4123" s="150" t="s">
        <v>6405</v>
      </c>
      <c r="G4123" s="149" t="s">
        <v>400</v>
      </c>
      <c r="H4123" s="150" t="str">
        <f>IF(Proc[[#This Row],[type]]="LFF (MDG-F)",MID(Proc[[#This Row],[Obj]],13,10),"")</f>
        <v/>
      </c>
      <c r="J4123" s="150" t="b">
        <f>Proc[[#This Row],[Requested]]=Proc[[#This Row],[CurrentParent]]</f>
        <v>1</v>
      </c>
      <c r="K4123" s="150" t="str">
        <f>IF(Proc[[#This Row],[Author]]="Marcela Urrego",VLOOKUP(LEFT(Proc[[#This Row],[Requested]],1),Table3[#All],2,0),VLOOKUP(Proc[[#This Row],[Author]],Table4[],2,0))</f>
        <v>HC</v>
      </c>
      <c r="L4123" s="150" t="s">
        <v>4894</v>
      </c>
      <c r="M4123" s="151">
        <v>45924</v>
      </c>
      <c r="N4123" s="151"/>
      <c r="O4123" s="151"/>
      <c r="P4123" s="152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51</v>
      </c>
      <c r="R4123" s="152" t="s">
        <v>410</v>
      </c>
      <c r="S4123" s="150"/>
    </row>
    <row r="4124" spans="1:19" hidden="1">
      <c r="A4124" s="149" t="s">
        <v>6402</v>
      </c>
      <c r="B4124" s="150" t="str">
        <f>IFERROR(VLOOKUP(Proc[[#This Row],[App]],Table2[],3,0),"open")</f>
        <v>ok</v>
      </c>
      <c r="C4124" s="149" t="s">
        <v>369</v>
      </c>
      <c r="D4124" t="s">
        <v>6400</v>
      </c>
      <c r="E4124" t="s">
        <v>6405</v>
      </c>
      <c r="F4124" s="150" t="s">
        <v>6405</v>
      </c>
      <c r="G4124" s="149" t="s">
        <v>400</v>
      </c>
      <c r="H4124" s="150" t="str">
        <f>IF(Proc[[#This Row],[type]]="LFF (MDG-F)",MID(Proc[[#This Row],[Obj]],13,10),"")</f>
        <v/>
      </c>
      <c r="J4124" s="150" t="b">
        <f>Proc[[#This Row],[Requested]]=Proc[[#This Row],[CurrentParent]]</f>
        <v>1</v>
      </c>
      <c r="K4124" s="150" t="str">
        <f>IF(Proc[[#This Row],[Author]]="Marcela Urrego",VLOOKUP(LEFT(Proc[[#This Row],[Requested]],1),Table3[#All],2,0),VLOOKUP(Proc[[#This Row],[Author]],Table4[],2,0))</f>
        <v>HC</v>
      </c>
      <c r="L4124" s="150" t="s">
        <v>4894</v>
      </c>
      <c r="M4124" s="151">
        <v>45924</v>
      </c>
      <c r="N4124" s="151"/>
      <c r="O4124" s="151"/>
      <c r="P4124" s="152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51</v>
      </c>
      <c r="R4124" s="152" t="s">
        <v>410</v>
      </c>
      <c r="S4124" s="150"/>
    </row>
    <row r="4125" spans="1:19" hidden="1">
      <c r="A4125" s="149" t="s">
        <v>6402</v>
      </c>
      <c r="B4125" s="150" t="str">
        <f>IFERROR(VLOOKUP(Proc[[#This Row],[App]],Table2[],3,0),"open")</f>
        <v>ok</v>
      </c>
      <c r="C4125" s="149" t="s">
        <v>369</v>
      </c>
      <c r="D4125" t="s">
        <v>6406</v>
      </c>
      <c r="E4125" t="s">
        <v>6405</v>
      </c>
      <c r="F4125" s="150" t="s">
        <v>6405</v>
      </c>
      <c r="G4125" s="149" t="s">
        <v>400</v>
      </c>
      <c r="H4125" s="150" t="str">
        <f>IF(Proc[[#This Row],[type]]="LFF (MDG-F)",MID(Proc[[#This Row],[Obj]],13,10),"")</f>
        <v/>
      </c>
      <c r="J4125" s="150" t="b">
        <f>Proc[[#This Row],[Requested]]=Proc[[#This Row],[CurrentParent]]</f>
        <v>1</v>
      </c>
      <c r="K4125" s="150" t="str">
        <f>IF(Proc[[#This Row],[Author]]="Marcela Urrego",VLOOKUP(LEFT(Proc[[#This Row],[Requested]],1),Table3[#All],2,0),VLOOKUP(Proc[[#This Row],[Author]],Table4[],2,0))</f>
        <v>HC</v>
      </c>
      <c r="L4125" s="150" t="s">
        <v>4894</v>
      </c>
      <c r="M4125" s="151">
        <v>45924</v>
      </c>
      <c r="N4125" s="151"/>
      <c r="O4125" s="151"/>
      <c r="P4125" s="152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51</v>
      </c>
      <c r="R4125" s="152" t="s">
        <v>410</v>
      </c>
      <c r="S4125" s="150"/>
    </row>
    <row r="4126" spans="1:19" hidden="1">
      <c r="A4126" s="149" t="s">
        <v>6402</v>
      </c>
      <c r="B4126" s="150" t="str">
        <f>IFERROR(VLOOKUP(Proc[[#This Row],[App]],Table2[],3,0),"open")</f>
        <v>ok</v>
      </c>
      <c r="C4126" s="149" t="s">
        <v>369</v>
      </c>
      <c r="D4126" t="s">
        <v>6401</v>
      </c>
      <c r="E4126" t="s">
        <v>6404</v>
      </c>
      <c r="F4126" s="150" t="s">
        <v>6404</v>
      </c>
      <c r="G4126" s="149" t="s">
        <v>400</v>
      </c>
      <c r="H4126" s="150" t="str">
        <f>IF(Proc[[#This Row],[type]]="LFF (MDG-F)",MID(Proc[[#This Row],[Obj]],13,10),"")</f>
        <v/>
      </c>
      <c r="J4126" s="150" t="b">
        <f>Proc[[#This Row],[Requested]]=Proc[[#This Row],[CurrentParent]]</f>
        <v>1</v>
      </c>
      <c r="K4126" s="150" t="str">
        <f>IF(Proc[[#This Row],[Author]]="Marcela Urrego",VLOOKUP(LEFT(Proc[[#This Row],[Requested]],1),Table3[#All],2,0),VLOOKUP(Proc[[#This Row],[Author]],Table4[],2,0))</f>
        <v>HC</v>
      </c>
      <c r="L4126" s="150" t="s">
        <v>4894</v>
      </c>
      <c r="M4126" s="151">
        <v>45924</v>
      </c>
      <c r="N4126" s="151"/>
      <c r="O4126" s="151"/>
      <c r="P4126" s="152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51</v>
      </c>
      <c r="R4126" s="152" t="s">
        <v>410</v>
      </c>
      <c r="S4126" s="150"/>
    </row>
    <row r="4127" spans="1:19" hidden="1">
      <c r="A4127" t="s">
        <v>6409</v>
      </c>
      <c r="B4127" s="150" t="str">
        <f>IFERROR(VLOOKUP(Proc[[#This Row],[App]],Table2[],3,0),"open")</f>
        <v>ok</v>
      </c>
      <c r="C4127" s="149" t="s">
        <v>369</v>
      </c>
      <c r="D4127" t="s">
        <v>6407</v>
      </c>
      <c r="E4127" t="s">
        <v>6410</v>
      </c>
      <c r="F4127" s="150" t="s">
        <v>6410</v>
      </c>
      <c r="G4127" t="s">
        <v>400</v>
      </c>
      <c r="H4127" s="150" t="str">
        <f>IF(Proc[[#This Row],[type]]="LFF (MDG-F)",MID(Proc[[#This Row],[Obj]],13,10),"")</f>
        <v/>
      </c>
      <c r="J4127" s="150" t="b">
        <f>Proc[[#This Row],[Requested]]=Proc[[#This Row],[CurrentParent]]</f>
        <v>1</v>
      </c>
      <c r="K4127" s="150" t="str">
        <f>IF(Proc[[#This Row],[Author]]="Marcela Urrego",VLOOKUP(LEFT(Proc[[#This Row],[Requested]],1),Table3[#All],2,0),VLOOKUP(Proc[[#This Row],[Author]],Table4[],2,0))</f>
        <v>LS</v>
      </c>
      <c r="L4127" s="150" t="s">
        <v>4894</v>
      </c>
      <c r="M4127" s="152">
        <v>45925</v>
      </c>
      <c r="N4127" s="152"/>
      <c r="O4127" s="152"/>
      <c r="P4127" s="153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50</v>
      </c>
      <c r="R4127" s="153" t="s">
        <v>489</v>
      </c>
      <c r="S4127" s="150"/>
    </row>
    <row r="4128" spans="1:19" hidden="1">
      <c r="A4128" t="s">
        <v>6409</v>
      </c>
      <c r="B4128" s="150" t="str">
        <f>IFERROR(VLOOKUP(Proc[[#This Row],[App]],Table2[],3,0),"open")</f>
        <v>ok</v>
      </c>
      <c r="C4128" s="149" t="s">
        <v>369</v>
      </c>
      <c r="D4128" t="s">
        <v>6408</v>
      </c>
      <c r="E4128" t="s">
        <v>6411</v>
      </c>
      <c r="F4128" s="150" t="s">
        <v>6411</v>
      </c>
      <c r="G4128" t="s">
        <v>400</v>
      </c>
      <c r="H4128" s="150" t="str">
        <f>IF(Proc[[#This Row],[type]]="LFF (MDG-F)",MID(Proc[[#This Row],[Obj]],13,10),"")</f>
        <v/>
      </c>
      <c r="J4128" s="150" t="b">
        <f>Proc[[#This Row],[Requested]]=Proc[[#This Row],[CurrentParent]]</f>
        <v>1</v>
      </c>
      <c r="K4128" s="150" t="str">
        <f>IF(Proc[[#This Row],[Author]]="Marcela Urrego",VLOOKUP(LEFT(Proc[[#This Row],[Requested]],1),Table3[#All],2,0),VLOOKUP(Proc[[#This Row],[Author]],Table4[],2,0))</f>
        <v>LS</v>
      </c>
      <c r="L4128" s="150" t="s">
        <v>4894</v>
      </c>
      <c r="M4128" s="152">
        <v>45925</v>
      </c>
      <c r="N4128" s="152"/>
      <c r="O4128" s="152"/>
      <c r="P4128" s="153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50</v>
      </c>
      <c r="R4128" s="153" t="s">
        <v>489</v>
      </c>
      <c r="S4128" s="150"/>
    </row>
    <row r="4129" spans="1:19" hidden="1">
      <c r="A4129" t="s">
        <v>6426</v>
      </c>
      <c r="B4129" s="150" t="str">
        <f>IFERROR(VLOOKUP(Proc[[#This Row],[App]],Table2[],3,0),"open")</f>
        <v>ok</v>
      </c>
      <c r="C4129" s="149" t="s">
        <v>369</v>
      </c>
      <c r="D4129" t="s">
        <v>6412</v>
      </c>
      <c r="E4129" s="149" t="s">
        <v>2430</v>
      </c>
      <c r="F4129" s="150" t="s">
        <v>2430</v>
      </c>
      <c r="G4129" t="s">
        <v>400</v>
      </c>
      <c r="H4129" s="150" t="str">
        <f>IF(Proc[[#This Row],[type]]="LFF (MDG-F)",MID(Proc[[#This Row],[Obj]],13,10),"")</f>
        <v/>
      </c>
      <c r="I4129" t="e">
        <v>#REF!</v>
      </c>
      <c r="J4129" s="150" t="b">
        <f>Proc[[#This Row],[Requested]]=Proc[[#This Row],[CurrentParent]]</f>
        <v>1</v>
      </c>
      <c r="K4129" s="150" t="str">
        <f>IF(Proc[[#This Row],[Author]]="Marcela Urrego",VLOOKUP(LEFT(Proc[[#This Row],[Requested]],1),Table3[#All],2,0),VLOOKUP(Proc[[#This Row],[Author]],Table4[],2,0))</f>
        <v>EL</v>
      </c>
      <c r="L4129" s="150" t="s">
        <v>4894</v>
      </c>
      <c r="M4129" s="152">
        <v>45925</v>
      </c>
      <c r="N4129" s="152"/>
      <c r="O4129" s="152"/>
      <c r="P4129" s="153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50</v>
      </c>
      <c r="R4129" s="153" t="s">
        <v>780</v>
      </c>
      <c r="S4129" s="150"/>
    </row>
    <row r="4130" spans="1:19" hidden="1">
      <c r="A4130" s="149" t="s">
        <v>6426</v>
      </c>
      <c r="B4130" s="150" t="str">
        <f>IFERROR(VLOOKUP(Proc[[#This Row],[App]],Table2[],3,0),"open")</f>
        <v>ok</v>
      </c>
      <c r="C4130" s="149" t="s">
        <v>369</v>
      </c>
      <c r="D4130" t="s">
        <v>6413</v>
      </c>
      <c r="E4130" s="149" t="s">
        <v>2430</v>
      </c>
      <c r="F4130" s="150" t="s">
        <v>2430</v>
      </c>
      <c r="G4130" s="149" t="s">
        <v>400</v>
      </c>
      <c r="H4130" s="150" t="str">
        <f>IF(Proc[[#This Row],[type]]="LFF (MDG-F)",MID(Proc[[#This Row],[Obj]],13,10),"")</f>
        <v/>
      </c>
      <c r="I4130" s="149" t="e">
        <v>#REF!</v>
      </c>
      <c r="J4130" s="150" t="b">
        <f>Proc[[#This Row],[Requested]]=Proc[[#This Row],[CurrentParent]]</f>
        <v>1</v>
      </c>
      <c r="K4130" s="150" t="str">
        <f>IF(Proc[[#This Row],[Author]]="Marcela Urrego",VLOOKUP(LEFT(Proc[[#This Row],[Requested]],1),Table3[#All],2,0),VLOOKUP(Proc[[#This Row],[Author]],Table4[],2,0))</f>
        <v>EL</v>
      </c>
      <c r="L4130" s="150" t="s">
        <v>4894</v>
      </c>
      <c r="M4130" s="152">
        <v>45925</v>
      </c>
      <c r="N4130" s="152"/>
      <c r="O4130" s="152"/>
      <c r="P4130" s="153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50</v>
      </c>
      <c r="R4130" s="153" t="s">
        <v>780</v>
      </c>
      <c r="S4130" s="150"/>
    </row>
    <row r="4131" spans="1:19" hidden="1">
      <c r="A4131" s="149" t="s">
        <v>6426</v>
      </c>
      <c r="B4131" s="150" t="str">
        <f>IFERROR(VLOOKUP(Proc[[#This Row],[App]],Table2[],3,0),"open")</f>
        <v>ok</v>
      </c>
      <c r="C4131" s="149" t="s">
        <v>369</v>
      </c>
      <c r="D4131" t="s">
        <v>6414</v>
      </c>
      <c r="E4131" t="s">
        <v>2430</v>
      </c>
      <c r="F4131" s="150" t="s">
        <v>2430</v>
      </c>
      <c r="G4131" s="149" t="s">
        <v>400</v>
      </c>
      <c r="H4131" s="150" t="str">
        <f>IF(Proc[[#This Row],[type]]="LFF (MDG-F)",MID(Proc[[#This Row],[Obj]],13,10),"")</f>
        <v/>
      </c>
      <c r="I4131" s="149" t="e">
        <v>#REF!</v>
      </c>
      <c r="J4131" s="150" t="b">
        <f>Proc[[#This Row],[Requested]]=Proc[[#This Row],[CurrentParent]]</f>
        <v>1</v>
      </c>
      <c r="K4131" s="150" t="str">
        <f>IF(Proc[[#This Row],[Author]]="Marcela Urrego",VLOOKUP(LEFT(Proc[[#This Row],[Requested]],1),Table3[#All],2,0),VLOOKUP(Proc[[#This Row],[Author]],Table4[],2,0))</f>
        <v>EL</v>
      </c>
      <c r="L4131" s="150" t="s">
        <v>4894</v>
      </c>
      <c r="M4131" s="152">
        <v>45925</v>
      </c>
      <c r="N4131" s="152"/>
      <c r="O4131" s="152"/>
      <c r="P4131" s="153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50</v>
      </c>
      <c r="R4131" s="153" t="s">
        <v>780</v>
      </c>
      <c r="S4131" s="150"/>
    </row>
    <row r="4132" spans="1:19" hidden="1">
      <c r="A4132" s="149" t="s">
        <v>6426</v>
      </c>
      <c r="B4132" s="150" t="str">
        <f>IFERROR(VLOOKUP(Proc[[#This Row],[App]],Table2[],3,0),"open")</f>
        <v>ok</v>
      </c>
      <c r="C4132" s="149" t="s">
        <v>369</v>
      </c>
      <c r="D4132" t="s">
        <v>6415</v>
      </c>
      <c r="E4132" t="s">
        <v>2430</v>
      </c>
      <c r="F4132" s="150" t="s">
        <v>2430</v>
      </c>
      <c r="G4132" s="149" t="s">
        <v>400</v>
      </c>
      <c r="H4132" s="150" t="str">
        <f>IF(Proc[[#This Row],[type]]="LFF (MDG-F)",MID(Proc[[#This Row],[Obj]],13,10),"")</f>
        <v/>
      </c>
      <c r="J4132" s="150" t="b">
        <f>Proc[[#This Row],[Requested]]=Proc[[#This Row],[CurrentParent]]</f>
        <v>1</v>
      </c>
      <c r="K4132" s="150" t="str">
        <f>IF(Proc[[#This Row],[Author]]="Marcela Urrego",VLOOKUP(LEFT(Proc[[#This Row],[Requested]],1),Table3[#All],2,0),VLOOKUP(Proc[[#This Row],[Author]],Table4[],2,0))</f>
        <v>EL</v>
      </c>
      <c r="L4132" s="150" t="s">
        <v>4894</v>
      </c>
      <c r="M4132" s="152">
        <v>45925</v>
      </c>
      <c r="N4132" s="152"/>
      <c r="O4132" s="152"/>
      <c r="P4132" s="153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50</v>
      </c>
      <c r="R4132" s="153" t="s">
        <v>780</v>
      </c>
      <c r="S4132" s="150"/>
    </row>
    <row r="4133" spans="1:19" hidden="1">
      <c r="A4133" s="149" t="s">
        <v>6426</v>
      </c>
      <c r="B4133" s="150" t="str">
        <f>IFERROR(VLOOKUP(Proc[[#This Row],[App]],Table2[],3,0),"open")</f>
        <v>ok</v>
      </c>
      <c r="C4133" s="149" t="s">
        <v>369</v>
      </c>
      <c r="D4133" t="s">
        <v>6416</v>
      </c>
      <c r="E4133" t="s">
        <v>2430</v>
      </c>
      <c r="F4133" s="150" t="s">
        <v>2430</v>
      </c>
      <c r="G4133" s="149" t="s">
        <v>400</v>
      </c>
      <c r="H4133" s="150" t="str">
        <f>IF(Proc[[#This Row],[type]]="LFF (MDG-F)",MID(Proc[[#This Row],[Obj]],13,10),"")</f>
        <v/>
      </c>
      <c r="J4133" s="150" t="b">
        <f>Proc[[#This Row],[Requested]]=Proc[[#This Row],[CurrentParent]]</f>
        <v>1</v>
      </c>
      <c r="K4133" s="150" t="str">
        <f>IF(Proc[[#This Row],[Author]]="Marcela Urrego",VLOOKUP(LEFT(Proc[[#This Row],[Requested]],1),Table3[#All],2,0),VLOOKUP(Proc[[#This Row],[Author]],Table4[],2,0))</f>
        <v>EL</v>
      </c>
      <c r="L4133" s="150" t="s">
        <v>4894</v>
      </c>
      <c r="M4133" s="152">
        <v>45925</v>
      </c>
      <c r="N4133" s="152"/>
      <c r="O4133" s="152"/>
      <c r="P4133" s="153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50</v>
      </c>
      <c r="R4133" s="153" t="s">
        <v>780</v>
      </c>
      <c r="S4133" s="150"/>
    </row>
    <row r="4134" spans="1:19" hidden="1">
      <c r="A4134" s="149" t="s">
        <v>6426</v>
      </c>
      <c r="B4134" s="150" t="str">
        <f>IFERROR(VLOOKUP(Proc[[#This Row],[App]],Table2[],3,0),"open")</f>
        <v>ok</v>
      </c>
      <c r="C4134" s="149" t="s">
        <v>369</v>
      </c>
      <c r="D4134" t="s">
        <v>6417</v>
      </c>
      <c r="E4134" t="s">
        <v>2430</v>
      </c>
      <c r="F4134" s="150" t="s">
        <v>2430</v>
      </c>
      <c r="G4134" s="149" t="s">
        <v>400</v>
      </c>
      <c r="H4134" s="150" t="str">
        <f>IF(Proc[[#This Row],[type]]="LFF (MDG-F)",MID(Proc[[#This Row],[Obj]],13,10),"")</f>
        <v/>
      </c>
      <c r="J4134" s="150" t="b">
        <f>Proc[[#This Row],[Requested]]=Proc[[#This Row],[CurrentParent]]</f>
        <v>1</v>
      </c>
      <c r="K4134" s="150" t="str">
        <f>IF(Proc[[#This Row],[Author]]="Marcela Urrego",VLOOKUP(LEFT(Proc[[#This Row],[Requested]],1),Table3[#All],2,0),VLOOKUP(Proc[[#This Row],[Author]],Table4[],2,0))</f>
        <v>EL</v>
      </c>
      <c r="L4134" s="150" t="s">
        <v>4894</v>
      </c>
      <c r="M4134" s="152">
        <v>45925</v>
      </c>
      <c r="N4134" s="152"/>
      <c r="O4134" s="152"/>
      <c r="P4134" s="153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50</v>
      </c>
      <c r="R4134" s="153" t="s">
        <v>780</v>
      </c>
      <c r="S4134" s="150"/>
    </row>
    <row r="4135" spans="1:19" hidden="1">
      <c r="A4135" s="149" t="s">
        <v>6426</v>
      </c>
      <c r="B4135" s="150" t="str">
        <f>IFERROR(VLOOKUP(Proc[[#This Row],[App]],Table2[],3,0),"open")</f>
        <v>ok</v>
      </c>
      <c r="C4135" s="149" t="s">
        <v>369</v>
      </c>
      <c r="D4135" t="s">
        <v>6418</v>
      </c>
      <c r="E4135" t="s">
        <v>2430</v>
      </c>
      <c r="F4135" s="150" t="s">
        <v>2430</v>
      </c>
      <c r="G4135" s="149" t="s">
        <v>400</v>
      </c>
      <c r="H4135" s="150" t="str">
        <f>IF(Proc[[#This Row],[type]]="LFF (MDG-F)",MID(Proc[[#This Row],[Obj]],13,10),"")</f>
        <v/>
      </c>
      <c r="J4135" s="150" t="b">
        <f>Proc[[#This Row],[Requested]]=Proc[[#This Row],[CurrentParent]]</f>
        <v>1</v>
      </c>
      <c r="K4135" s="150" t="str">
        <f>IF(Proc[[#This Row],[Author]]="Marcela Urrego",VLOOKUP(LEFT(Proc[[#This Row],[Requested]],1),Table3[#All],2,0),VLOOKUP(Proc[[#This Row],[Author]],Table4[],2,0))</f>
        <v>EL</v>
      </c>
      <c r="L4135" s="150" t="s">
        <v>4894</v>
      </c>
      <c r="M4135" s="152">
        <v>45925</v>
      </c>
      <c r="N4135" s="152"/>
      <c r="O4135" s="152"/>
      <c r="P4135" s="153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50</v>
      </c>
      <c r="R4135" s="153" t="s">
        <v>780</v>
      </c>
      <c r="S4135" s="150"/>
    </row>
    <row r="4136" spans="1:19" hidden="1">
      <c r="A4136" s="149" t="s">
        <v>6426</v>
      </c>
      <c r="B4136" s="150" t="str">
        <f>IFERROR(VLOOKUP(Proc[[#This Row],[App]],Table2[],3,0),"open")</f>
        <v>ok</v>
      </c>
      <c r="C4136" s="149" t="s">
        <v>369</v>
      </c>
      <c r="D4136" t="s">
        <v>6419</v>
      </c>
      <c r="E4136" s="149" t="s">
        <v>419</v>
      </c>
      <c r="F4136" s="150" t="s">
        <v>419</v>
      </c>
      <c r="G4136" s="149" t="s">
        <v>400</v>
      </c>
      <c r="H4136" s="150" t="str">
        <f>IF(Proc[[#This Row],[type]]="LFF (MDG-F)",MID(Proc[[#This Row],[Obj]],13,10),"")</f>
        <v/>
      </c>
      <c r="I4136" s="149" t="e">
        <v>#REF!</v>
      </c>
      <c r="J4136" s="150" t="b">
        <f>Proc[[#This Row],[Requested]]=Proc[[#This Row],[CurrentParent]]</f>
        <v>1</v>
      </c>
      <c r="K4136" s="150" t="str">
        <f>IF(Proc[[#This Row],[Author]]="Marcela Urrego",VLOOKUP(LEFT(Proc[[#This Row],[Requested]],1),Table3[#All],2,0),VLOOKUP(Proc[[#This Row],[Author]],Table4[],2,0))</f>
        <v>EL</v>
      </c>
      <c r="L4136" s="150" t="s">
        <v>4894</v>
      </c>
      <c r="M4136" s="152">
        <v>45925</v>
      </c>
      <c r="N4136" s="152"/>
      <c r="O4136" s="152"/>
      <c r="P4136" s="153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50</v>
      </c>
      <c r="R4136" s="153" t="s">
        <v>780</v>
      </c>
      <c r="S4136" s="150"/>
    </row>
    <row r="4137" spans="1:19" hidden="1">
      <c r="A4137" s="149" t="s">
        <v>6426</v>
      </c>
      <c r="B4137" s="150" t="str">
        <f>IFERROR(VLOOKUP(Proc[[#This Row],[App]],Table2[],3,0),"open")</f>
        <v>ok</v>
      </c>
      <c r="C4137" s="149" t="s">
        <v>369</v>
      </c>
      <c r="D4137" t="s">
        <v>6420</v>
      </c>
      <c r="E4137" s="149" t="s">
        <v>419</v>
      </c>
      <c r="F4137" s="150" t="s">
        <v>419</v>
      </c>
      <c r="G4137" s="149" t="s">
        <v>400</v>
      </c>
      <c r="H4137" s="150" t="str">
        <f>IF(Proc[[#This Row],[type]]="LFF (MDG-F)",MID(Proc[[#This Row],[Obj]],13,10),"")</f>
        <v/>
      </c>
      <c r="I4137" s="149" t="e">
        <v>#REF!</v>
      </c>
      <c r="J4137" s="150" t="b">
        <f>Proc[[#This Row],[Requested]]=Proc[[#This Row],[CurrentParent]]</f>
        <v>1</v>
      </c>
      <c r="K4137" s="150" t="str">
        <f>IF(Proc[[#This Row],[Author]]="Marcela Urrego",VLOOKUP(LEFT(Proc[[#This Row],[Requested]],1),Table3[#All],2,0),VLOOKUP(Proc[[#This Row],[Author]],Table4[],2,0))</f>
        <v>EL</v>
      </c>
      <c r="L4137" s="150" t="s">
        <v>4894</v>
      </c>
      <c r="M4137" s="152">
        <v>45925</v>
      </c>
      <c r="N4137" s="152"/>
      <c r="O4137" s="152"/>
      <c r="P4137" s="153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50</v>
      </c>
      <c r="R4137" s="153" t="s">
        <v>780</v>
      </c>
      <c r="S4137" s="150"/>
    </row>
    <row r="4138" spans="1:19" hidden="1">
      <c r="A4138" s="149" t="s">
        <v>6426</v>
      </c>
      <c r="B4138" s="150" t="str">
        <f>IFERROR(VLOOKUP(Proc[[#This Row],[App]],Table2[],3,0),"open")</f>
        <v>ok</v>
      </c>
      <c r="C4138" s="149" t="s">
        <v>369</v>
      </c>
      <c r="D4138" t="s">
        <v>6421</v>
      </c>
      <c r="E4138" s="149" t="s">
        <v>419</v>
      </c>
      <c r="F4138" s="150" t="s">
        <v>419</v>
      </c>
      <c r="G4138" s="149" t="s">
        <v>400</v>
      </c>
      <c r="H4138" s="150" t="str">
        <f>IF(Proc[[#This Row],[type]]="LFF (MDG-F)",MID(Proc[[#This Row],[Obj]],13,10),"")</f>
        <v/>
      </c>
      <c r="I4138" s="149" t="e">
        <v>#REF!</v>
      </c>
      <c r="J4138" s="150" t="b">
        <f>Proc[[#This Row],[Requested]]=Proc[[#This Row],[CurrentParent]]</f>
        <v>1</v>
      </c>
      <c r="K4138" s="150" t="str">
        <f>IF(Proc[[#This Row],[Author]]="Marcela Urrego",VLOOKUP(LEFT(Proc[[#This Row],[Requested]],1),Table3[#All],2,0),VLOOKUP(Proc[[#This Row],[Author]],Table4[],2,0))</f>
        <v>EL</v>
      </c>
      <c r="L4138" s="150" t="s">
        <v>4894</v>
      </c>
      <c r="M4138" s="152">
        <v>45925</v>
      </c>
      <c r="N4138" s="152"/>
      <c r="O4138" s="152"/>
      <c r="P4138" s="153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50</v>
      </c>
      <c r="R4138" s="153" t="s">
        <v>780</v>
      </c>
      <c r="S4138" s="150"/>
    </row>
    <row r="4139" spans="1:19" hidden="1">
      <c r="A4139" s="149" t="s">
        <v>6426</v>
      </c>
      <c r="B4139" s="150" t="str">
        <f>IFERROR(VLOOKUP(Proc[[#This Row],[App]],Table2[],3,0),"open")</f>
        <v>ok</v>
      </c>
      <c r="C4139" s="149" t="s">
        <v>369</v>
      </c>
      <c r="D4139" t="s">
        <v>6422</v>
      </c>
      <c r="E4139" s="149" t="s">
        <v>419</v>
      </c>
      <c r="F4139" s="150" t="s">
        <v>419</v>
      </c>
      <c r="G4139" s="149" t="s">
        <v>400</v>
      </c>
      <c r="H4139" s="150" t="str">
        <f>IF(Proc[[#This Row],[type]]="LFF (MDG-F)",MID(Proc[[#This Row],[Obj]],13,10),"")</f>
        <v/>
      </c>
      <c r="I4139" s="149" t="e">
        <v>#REF!</v>
      </c>
      <c r="J4139" s="150" t="b">
        <f>Proc[[#This Row],[Requested]]=Proc[[#This Row],[CurrentParent]]</f>
        <v>1</v>
      </c>
      <c r="K4139" s="150" t="str">
        <f>IF(Proc[[#This Row],[Author]]="Marcela Urrego",VLOOKUP(LEFT(Proc[[#This Row],[Requested]],1),Table3[#All],2,0),VLOOKUP(Proc[[#This Row],[Author]],Table4[],2,0))</f>
        <v>EL</v>
      </c>
      <c r="L4139" s="150" t="s">
        <v>4894</v>
      </c>
      <c r="M4139" s="152">
        <v>45925</v>
      </c>
      <c r="N4139" s="152"/>
      <c r="O4139" s="152"/>
      <c r="P4139" s="153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50</v>
      </c>
      <c r="R4139" s="153" t="s">
        <v>780</v>
      </c>
      <c r="S4139" s="150"/>
    </row>
    <row r="4140" spans="1:19" hidden="1">
      <c r="A4140" s="149" t="s">
        <v>6426</v>
      </c>
      <c r="B4140" s="150" t="str">
        <f>IFERROR(VLOOKUP(Proc[[#This Row],[App]],Table2[],3,0),"open")</f>
        <v>ok</v>
      </c>
      <c r="C4140" s="149" t="s">
        <v>369</v>
      </c>
      <c r="D4140" t="s">
        <v>6423</v>
      </c>
      <c r="E4140" s="149" t="s">
        <v>419</v>
      </c>
      <c r="F4140" s="150" t="s">
        <v>419</v>
      </c>
      <c r="G4140" s="149" t="s">
        <v>400</v>
      </c>
      <c r="H4140" s="150" t="str">
        <f>IF(Proc[[#This Row],[type]]="LFF (MDG-F)",MID(Proc[[#This Row],[Obj]],13,10),"")</f>
        <v/>
      </c>
      <c r="I4140" s="149" t="e">
        <v>#REF!</v>
      </c>
      <c r="J4140" s="150" t="b">
        <f>Proc[[#This Row],[Requested]]=Proc[[#This Row],[CurrentParent]]</f>
        <v>1</v>
      </c>
      <c r="K4140" s="150" t="str">
        <f>IF(Proc[[#This Row],[Author]]="Marcela Urrego",VLOOKUP(LEFT(Proc[[#This Row],[Requested]],1),Table3[#All],2,0),VLOOKUP(Proc[[#This Row],[Author]],Table4[],2,0))</f>
        <v>EL</v>
      </c>
      <c r="L4140" s="150" t="s">
        <v>4894</v>
      </c>
      <c r="M4140" s="152">
        <v>45925</v>
      </c>
      <c r="N4140" s="152"/>
      <c r="O4140" s="152"/>
      <c r="P4140" s="153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50</v>
      </c>
      <c r="R4140" s="153" t="s">
        <v>780</v>
      </c>
      <c r="S4140" s="150"/>
    </row>
    <row r="4141" spans="1:19" hidden="1">
      <c r="A4141" s="149" t="s">
        <v>6426</v>
      </c>
      <c r="B4141" s="150" t="str">
        <f>IFERROR(VLOOKUP(Proc[[#This Row],[App]],Table2[],3,0),"open")</f>
        <v>ok</v>
      </c>
      <c r="C4141" s="149" t="s">
        <v>369</v>
      </c>
      <c r="D4141" t="s">
        <v>6424</v>
      </c>
      <c r="E4141" s="149" t="s">
        <v>419</v>
      </c>
      <c r="F4141" s="150" t="s">
        <v>419</v>
      </c>
      <c r="G4141" s="149" t="s">
        <v>400</v>
      </c>
      <c r="H4141" s="150" t="str">
        <f>IF(Proc[[#This Row],[type]]="LFF (MDG-F)",MID(Proc[[#This Row],[Obj]],13,10),"")</f>
        <v/>
      </c>
      <c r="I4141" s="149" t="e">
        <v>#REF!</v>
      </c>
      <c r="J4141" s="150" t="b">
        <f>Proc[[#This Row],[Requested]]=Proc[[#This Row],[CurrentParent]]</f>
        <v>1</v>
      </c>
      <c r="K4141" s="150" t="str">
        <f>IF(Proc[[#This Row],[Author]]="Marcela Urrego",VLOOKUP(LEFT(Proc[[#This Row],[Requested]],1),Table3[#All],2,0),VLOOKUP(Proc[[#This Row],[Author]],Table4[],2,0))</f>
        <v>EL</v>
      </c>
      <c r="L4141" s="150" t="s">
        <v>4894</v>
      </c>
      <c r="M4141" s="152">
        <v>45925</v>
      </c>
      <c r="N4141" s="152"/>
      <c r="O4141" s="152"/>
      <c r="P4141" s="153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50</v>
      </c>
      <c r="R4141" s="153" t="s">
        <v>780</v>
      </c>
      <c r="S4141" s="150"/>
    </row>
    <row r="4142" spans="1:19" hidden="1">
      <c r="A4142" s="149" t="s">
        <v>6426</v>
      </c>
      <c r="B4142" s="150" t="str">
        <f>IFERROR(VLOOKUP(Proc[[#This Row],[App]],Table2[],3,0),"open")</f>
        <v>ok</v>
      </c>
      <c r="C4142" s="149" t="s">
        <v>369</v>
      </c>
      <c r="D4142" t="s">
        <v>6425</v>
      </c>
      <c r="E4142" t="s">
        <v>419</v>
      </c>
      <c r="F4142" s="150" t="s">
        <v>419</v>
      </c>
      <c r="G4142" s="149" t="s">
        <v>400</v>
      </c>
      <c r="H4142" s="150" t="str">
        <f>IF(Proc[[#This Row],[type]]="LFF (MDG-F)",MID(Proc[[#This Row],[Obj]],13,10),"")</f>
        <v/>
      </c>
      <c r="I4142" s="149" t="e">
        <v>#REF!</v>
      </c>
      <c r="J4142" s="150" t="b">
        <f>Proc[[#This Row],[Requested]]=Proc[[#This Row],[CurrentParent]]</f>
        <v>1</v>
      </c>
      <c r="K4142" s="150" t="str">
        <f>IF(Proc[[#This Row],[Author]]="Marcela Urrego",VLOOKUP(LEFT(Proc[[#This Row],[Requested]],1),Table3[#All],2,0),VLOOKUP(Proc[[#This Row],[Author]],Table4[],2,0))</f>
        <v>EL</v>
      </c>
      <c r="L4142" s="150" t="s">
        <v>4894</v>
      </c>
      <c r="M4142" s="152">
        <v>45925</v>
      </c>
      <c r="N4142" s="152"/>
      <c r="O4142" s="152"/>
      <c r="P4142" s="153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50</v>
      </c>
      <c r="R4142" s="153" t="s">
        <v>780</v>
      </c>
      <c r="S4142" s="150"/>
    </row>
    <row r="4143" spans="1:19" s="149" customFormat="1" hidden="1">
      <c r="A4143" s="149" t="s">
        <v>6427</v>
      </c>
      <c r="B4143" s="150" t="str">
        <f>IFERROR(VLOOKUP(Proc[[#This Row],[App]],Table2[],3,0),"open")</f>
        <v>ok</v>
      </c>
      <c r="C4143" s="149" t="s">
        <v>369</v>
      </c>
      <c r="D4143" s="149" t="s">
        <v>6428</v>
      </c>
      <c r="E4143" s="149" t="s">
        <v>6429</v>
      </c>
      <c r="F4143" s="150" t="s">
        <v>6429</v>
      </c>
      <c r="G4143" s="149" t="s">
        <v>400</v>
      </c>
      <c r="H4143" s="150" t="str">
        <f>IF(Proc[[#This Row],[type]]="LFF (MDG-F)",MID(Proc[[#This Row],[Obj]],13,10),"")</f>
        <v/>
      </c>
      <c r="J4143" s="150" t="b">
        <f>Proc[[#This Row],[Requested]]=Proc[[#This Row],[CurrentParent]]</f>
        <v>1</v>
      </c>
      <c r="K4143" s="150" t="str">
        <f>IF(Proc[[#This Row],[Author]]="Marcela Urrego",VLOOKUP(LEFT(Proc[[#This Row],[Requested]],1),Table3[#All],2,0),VLOOKUP(Proc[[#This Row],[Author]],Table4[],2,0))</f>
        <v>MGF</v>
      </c>
      <c r="L4143" s="150" t="s">
        <v>4894</v>
      </c>
      <c r="M4143" s="153">
        <v>45930</v>
      </c>
      <c r="N4143" s="153"/>
      <c r="O4143" s="153"/>
      <c r="P4143" s="154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47</v>
      </c>
      <c r="R4143" s="154" t="s">
        <v>515</v>
      </c>
      <c r="S4143" s="150"/>
    </row>
    <row r="4144" spans="1:19" s="149" customFormat="1" hidden="1">
      <c r="A4144" s="149" t="s">
        <v>6430</v>
      </c>
      <c r="B4144" s="150" t="str">
        <f>IFERROR(VLOOKUP(Proc[[#This Row],[App]],Table2[],3,0),"open")</f>
        <v>ok</v>
      </c>
      <c r="C4144" s="149" t="s">
        <v>369</v>
      </c>
      <c r="D4144" s="149" t="s">
        <v>6251</v>
      </c>
      <c r="E4144" s="149" t="s">
        <v>6248</v>
      </c>
      <c r="F4144" s="150" t="s">
        <v>6248</v>
      </c>
      <c r="G4144" s="149" t="s">
        <v>406</v>
      </c>
      <c r="H4144" s="150" t="str">
        <f>IF(Proc[[#This Row],[type]]="LFF (MDG-F)",MID(Proc[[#This Row],[Obj]],13,10),"")</f>
        <v>US10O05003</v>
      </c>
      <c r="J4144" s="150" t="b">
        <f>Proc[[#This Row],[Requested]]=Proc[[#This Row],[CurrentParent]]</f>
        <v>1</v>
      </c>
      <c r="K4144" s="150" t="str">
        <f>IF(Proc[[#This Row],[Author]]="Marcela Urrego",VLOOKUP(LEFT(Proc[[#This Row],[Requested]],1),Table3[#All],2,0),VLOOKUP(Proc[[#This Row],[Author]],Table4[],2,0))</f>
        <v>EL</v>
      </c>
      <c r="L4144" s="150" t="s">
        <v>6435</v>
      </c>
      <c r="M4144" s="153">
        <v>45931</v>
      </c>
      <c r="N4144" s="153"/>
      <c r="O4144" s="153"/>
      <c r="P4144" s="154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46</v>
      </c>
      <c r="R4144" s="154" t="s">
        <v>780</v>
      </c>
      <c r="S4144" s="150"/>
    </row>
    <row r="4145" spans="1:19" s="149" customFormat="1" hidden="1">
      <c r="A4145" s="149" t="s">
        <v>6430</v>
      </c>
      <c r="B4145" s="150" t="str">
        <f>IFERROR(VLOOKUP(Proc[[#This Row],[App]],Table2[],3,0),"open")</f>
        <v>ok</v>
      </c>
      <c r="C4145" s="149" t="s">
        <v>369</v>
      </c>
      <c r="D4145" s="149" t="s">
        <v>6431</v>
      </c>
      <c r="E4145" s="149" t="s">
        <v>6249</v>
      </c>
      <c r="F4145" s="150" t="s">
        <v>6249</v>
      </c>
      <c r="G4145" s="149" t="s">
        <v>406</v>
      </c>
      <c r="H4145" s="150" t="str">
        <f>IF(Proc[[#This Row],[type]]="LFF (MDG-F)",MID(Proc[[#This Row],[Obj]],13,10),"")</f>
        <v>KR07O05003</v>
      </c>
      <c r="J4145" s="150" t="b">
        <f>Proc[[#This Row],[Requested]]=Proc[[#This Row],[CurrentParent]]</f>
        <v>1</v>
      </c>
      <c r="K4145" s="150" t="str">
        <f>IF(Proc[[#This Row],[Author]]="Marcela Urrego",VLOOKUP(LEFT(Proc[[#This Row],[Requested]],1),Table3[#All],2,0),VLOOKUP(Proc[[#This Row],[Author]],Table4[],2,0))</f>
        <v>EL</v>
      </c>
      <c r="L4145" s="150" t="s">
        <v>6435</v>
      </c>
      <c r="M4145" s="153">
        <v>45931</v>
      </c>
      <c r="N4145" s="153"/>
      <c r="O4145" s="153"/>
      <c r="P4145" s="154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46</v>
      </c>
      <c r="R4145" s="154" t="s">
        <v>780</v>
      </c>
      <c r="S4145" s="150"/>
    </row>
    <row r="4146" spans="1:19" s="149" customFormat="1" hidden="1">
      <c r="A4146" s="149" t="s">
        <v>6430</v>
      </c>
      <c r="B4146" s="150" t="str">
        <f>IFERROR(VLOOKUP(Proc[[#This Row],[App]],Table2[],3,0),"open")</f>
        <v>ok</v>
      </c>
      <c r="C4146" s="149" t="s">
        <v>369</v>
      </c>
      <c r="D4146" s="149" t="s">
        <v>6432</v>
      </c>
      <c r="E4146" s="149" t="s">
        <v>6249</v>
      </c>
      <c r="F4146" s="150" t="s">
        <v>6249</v>
      </c>
      <c r="G4146" s="149" t="s">
        <v>406</v>
      </c>
      <c r="H4146" s="150" t="str">
        <f>IF(Proc[[#This Row],[type]]="LFF (MDG-F)",MID(Proc[[#This Row],[Obj]],13,10),"")</f>
        <v>CN10O05003</v>
      </c>
      <c r="J4146" s="150" t="b">
        <f>Proc[[#This Row],[Requested]]=Proc[[#This Row],[CurrentParent]]</f>
        <v>1</v>
      </c>
      <c r="K4146" s="150" t="str">
        <f>IF(Proc[[#This Row],[Author]]="Marcela Urrego",VLOOKUP(LEFT(Proc[[#This Row],[Requested]],1),Table3[#All],2,0),VLOOKUP(Proc[[#This Row],[Author]],Table4[],2,0))</f>
        <v>EL</v>
      </c>
      <c r="L4146" s="150" t="s">
        <v>6435</v>
      </c>
      <c r="M4146" s="153">
        <v>45931</v>
      </c>
      <c r="N4146" s="153"/>
      <c r="O4146" s="153"/>
      <c r="P4146" s="154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46</v>
      </c>
      <c r="R4146" s="154" t="s">
        <v>780</v>
      </c>
      <c r="S4146" s="150"/>
    </row>
    <row r="4147" spans="1:19" s="149" customFormat="1" hidden="1">
      <c r="A4147" s="149" t="s">
        <v>6430</v>
      </c>
      <c r="B4147" s="150" t="str">
        <f>IFERROR(VLOOKUP(Proc[[#This Row],[App]],Table2[],3,0),"open")</f>
        <v>ok</v>
      </c>
      <c r="C4147" s="149" t="s">
        <v>369</v>
      </c>
      <c r="D4147" s="149" t="s">
        <v>6433</v>
      </c>
      <c r="E4147" s="149" t="s">
        <v>6477</v>
      </c>
      <c r="F4147" s="150" t="s">
        <v>6477</v>
      </c>
      <c r="G4147" s="149" t="s">
        <v>400</v>
      </c>
      <c r="H4147" s="150" t="str">
        <f>IF(Proc[[#This Row],[type]]="LFF (MDG-F)",MID(Proc[[#This Row],[Obj]],13,10),"")</f>
        <v/>
      </c>
      <c r="J4147" s="150" t="b">
        <f>Proc[[#This Row],[Requested]]=Proc[[#This Row],[CurrentParent]]</f>
        <v>1</v>
      </c>
      <c r="K4147" s="150" t="str">
        <f>IF(Proc[[#This Row],[Author]]="Marcela Urrego",VLOOKUP(LEFT(Proc[[#This Row],[Requested]],1),Table3[#All],2,0),VLOOKUP(Proc[[#This Row],[Author]],Table4[],2,0))</f>
        <v>EL</v>
      </c>
      <c r="L4147" s="150" t="s">
        <v>6435</v>
      </c>
      <c r="M4147" s="153">
        <v>45931</v>
      </c>
      <c r="N4147" s="153"/>
      <c r="O4147" s="153"/>
      <c r="P4147" s="154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46</v>
      </c>
      <c r="R4147" s="154" t="s">
        <v>780</v>
      </c>
      <c r="S4147" s="150"/>
    </row>
    <row r="4148" spans="1:19" hidden="1">
      <c r="A4148" t="s">
        <v>6434</v>
      </c>
      <c r="B4148" s="150" t="str">
        <f>IFERROR(VLOOKUP(Proc[[#This Row],[App]],Table2[],3,0),"open")</f>
        <v>ok</v>
      </c>
      <c r="C4148" s="149" t="s">
        <v>369</v>
      </c>
      <c r="D4148" t="s">
        <v>6360</v>
      </c>
      <c r="E4148" t="s">
        <v>6403</v>
      </c>
      <c r="F4148" s="150" t="s">
        <v>6403</v>
      </c>
      <c r="G4148" t="s">
        <v>406</v>
      </c>
      <c r="H4148" s="150" t="str">
        <f>IF(Proc[[#This Row],[type]]="LFF (MDG-F)",MID(Proc[[#This Row],[Obj]],13,10),"")</f>
        <v>BE50C00921</v>
      </c>
      <c r="J4148" s="150" t="b">
        <f>Proc[[#This Row],[Requested]]=Proc[[#This Row],[CurrentParent]]</f>
        <v>1</v>
      </c>
      <c r="K4148" s="150" t="str">
        <f>IF(Proc[[#This Row],[Author]]="Marcela Urrego",VLOOKUP(LEFT(Proc[[#This Row],[Requested]],1),Table3[#All],2,0),VLOOKUP(Proc[[#This Row],[Author]],Table4[],2,0))</f>
        <v>HC</v>
      </c>
      <c r="L4148" s="150" t="s">
        <v>6435</v>
      </c>
      <c r="M4148" s="153">
        <v>45931</v>
      </c>
      <c r="N4148" s="153"/>
      <c r="O4148" s="153"/>
      <c r="P4148" s="154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46</v>
      </c>
      <c r="R4148" s="154" t="s">
        <v>410</v>
      </c>
      <c r="S4148" s="150"/>
    </row>
    <row r="4149" spans="1:19" hidden="1">
      <c r="A4149" t="s">
        <v>6434</v>
      </c>
      <c r="B4149" s="150" t="str">
        <f>IFERROR(VLOOKUP(Proc[[#This Row],[App]],Table2[],3,0),"open")</f>
        <v>ok</v>
      </c>
      <c r="C4149" s="149" t="s">
        <v>369</v>
      </c>
      <c r="D4149" t="s">
        <v>6372</v>
      </c>
      <c r="E4149" t="s">
        <v>6403</v>
      </c>
      <c r="F4149" s="150" t="s">
        <v>6403</v>
      </c>
      <c r="G4149" t="s">
        <v>406</v>
      </c>
      <c r="H4149" s="150" t="str">
        <f>IF(Proc[[#This Row],[type]]="LFF (MDG-F)",MID(Proc[[#This Row],[Obj]],13,10),"")</f>
        <v>DE50C00011</v>
      </c>
      <c r="J4149" s="150" t="b">
        <f>Proc[[#This Row],[Requested]]=Proc[[#This Row],[CurrentParent]]</f>
        <v>1</v>
      </c>
      <c r="K4149" s="150" t="str">
        <f>IF(Proc[[#This Row],[Author]]="Marcela Urrego",VLOOKUP(LEFT(Proc[[#This Row],[Requested]],1),Table3[#All],2,0),VLOOKUP(Proc[[#This Row],[Author]],Table4[],2,0))</f>
        <v>HC</v>
      </c>
      <c r="L4149" s="150" t="s">
        <v>6435</v>
      </c>
      <c r="M4149" s="153">
        <v>45931</v>
      </c>
      <c r="N4149" s="153"/>
      <c r="O4149" s="153"/>
      <c r="P4149" s="154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46</v>
      </c>
      <c r="R4149" s="154" t="s">
        <v>410</v>
      </c>
      <c r="S4149" s="150"/>
    </row>
    <row r="4150" spans="1:19" hidden="1">
      <c r="A4150" t="s">
        <v>6436</v>
      </c>
      <c r="B4150" s="150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9" t="s">
        <v>400</v>
      </c>
      <c r="H4150" s="150" t="str">
        <f>IF(Proc[[#This Row],[type]]="LFF (MDG-F)",MID(Proc[[#This Row],[Obj]],13,10),"")</f>
        <v/>
      </c>
      <c r="J4150" s="150" t="b">
        <f>Proc[[#This Row],[Requested]]=Proc[[#This Row],[CurrentParent]]</f>
        <v>1</v>
      </c>
      <c r="K4150" s="150" t="str">
        <f>IF(Proc[[#This Row],[Author]]="Marcela Urrego",VLOOKUP(LEFT(Proc[[#This Row],[Requested]],1),Table3[#All],2,0),VLOOKUP(Proc[[#This Row],[Author]],Table4[],2,0))</f>
        <v>MGF</v>
      </c>
      <c r="L4150" s="150" t="s">
        <v>6435</v>
      </c>
      <c r="M4150" s="154">
        <v>45933</v>
      </c>
      <c r="N4150" s="155"/>
      <c r="O4150" s="155"/>
      <c r="P4150" s="154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44</v>
      </c>
      <c r="R4150" s="154" t="s">
        <v>1459</v>
      </c>
      <c r="S4150" s="150"/>
    </row>
    <row r="4151" spans="1:19" hidden="1">
      <c r="A4151" s="149" t="s">
        <v>6436</v>
      </c>
      <c r="B4151" s="150" t="str">
        <f>IFERROR(VLOOKUP(Proc[[#This Row],[App]],Table2[],3,0),"open")</f>
        <v>ok</v>
      </c>
      <c r="C4151" s="149" t="s">
        <v>369</v>
      </c>
      <c r="D4151" t="s">
        <v>2330</v>
      </c>
      <c r="E4151" t="s">
        <v>424</v>
      </c>
      <c r="F4151" s="150" t="s">
        <v>424</v>
      </c>
      <c r="G4151" s="149" t="s">
        <v>400</v>
      </c>
      <c r="H4151" s="150" t="str">
        <f>IF(Proc[[#This Row],[type]]="LFF (MDG-F)",MID(Proc[[#This Row],[Obj]],13,10),"")</f>
        <v/>
      </c>
      <c r="J4151" s="150" t="b">
        <f>Proc[[#This Row],[Requested]]=Proc[[#This Row],[CurrentParent]]</f>
        <v>1</v>
      </c>
      <c r="K4151" s="150" t="str">
        <f>IF(Proc[[#This Row],[Author]]="Marcela Urrego",VLOOKUP(LEFT(Proc[[#This Row],[Requested]],1),Table3[#All],2,0),VLOOKUP(Proc[[#This Row],[Author]],Table4[],2,0))</f>
        <v>MGF</v>
      </c>
      <c r="L4151" s="150" t="s">
        <v>6435</v>
      </c>
      <c r="M4151" s="154">
        <v>45933</v>
      </c>
      <c r="N4151" s="155"/>
      <c r="O4151" s="155"/>
      <c r="P4151" s="154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44</v>
      </c>
      <c r="R4151" s="154" t="s">
        <v>1459</v>
      </c>
      <c r="S4151" s="150"/>
    </row>
    <row r="4152" spans="1:19" hidden="1">
      <c r="A4152" s="149" t="s">
        <v>6436</v>
      </c>
      <c r="B4152" s="150" t="str">
        <f>IFERROR(VLOOKUP(Proc[[#This Row],[App]],Table2[],3,0),"open")</f>
        <v>ok</v>
      </c>
      <c r="C4152" s="149" t="s">
        <v>369</v>
      </c>
      <c r="D4152" t="s">
        <v>4407</v>
      </c>
      <c r="E4152" t="s">
        <v>4411</v>
      </c>
      <c r="F4152" s="150" t="s">
        <v>4411</v>
      </c>
      <c r="G4152" s="149" t="s">
        <v>400</v>
      </c>
      <c r="H4152" s="150" t="str">
        <f>IF(Proc[[#This Row],[type]]="LFF (MDG-F)",MID(Proc[[#This Row],[Obj]],13,10),"")</f>
        <v/>
      </c>
      <c r="J4152" s="150" t="b">
        <f>Proc[[#This Row],[Requested]]=Proc[[#This Row],[CurrentParent]]</f>
        <v>1</v>
      </c>
      <c r="K4152" s="150" t="str">
        <f>IF(Proc[[#This Row],[Author]]="Marcela Urrego",VLOOKUP(LEFT(Proc[[#This Row],[Requested]],1),Table3[#All],2,0),VLOOKUP(Proc[[#This Row],[Author]],Table4[],2,0))</f>
        <v>MGF</v>
      </c>
      <c r="L4152" s="150" t="s">
        <v>6435</v>
      </c>
      <c r="M4152" s="154">
        <v>45933</v>
      </c>
      <c r="N4152" s="155"/>
      <c r="O4152" s="155"/>
      <c r="P4152" s="154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44</v>
      </c>
      <c r="R4152" s="154" t="s">
        <v>1459</v>
      </c>
      <c r="S4152" s="150"/>
    </row>
    <row r="4153" spans="1:19" hidden="1">
      <c r="A4153" s="149" t="s">
        <v>6436</v>
      </c>
      <c r="B4153" s="150" t="str">
        <f>IFERROR(VLOOKUP(Proc[[#This Row],[App]],Table2[],3,0),"open")</f>
        <v>ok</v>
      </c>
      <c r="C4153" s="149" t="s">
        <v>369</v>
      </c>
      <c r="D4153" t="s">
        <v>6437</v>
      </c>
      <c r="E4153" t="s">
        <v>424</v>
      </c>
      <c r="F4153" s="150" t="s">
        <v>424</v>
      </c>
      <c r="G4153" s="149" t="s">
        <v>400</v>
      </c>
      <c r="H4153" s="150" t="str">
        <f>IF(Proc[[#This Row],[type]]="LFF (MDG-F)",MID(Proc[[#This Row],[Obj]],13,10),"")</f>
        <v/>
      </c>
      <c r="J4153" s="150" t="b">
        <f>Proc[[#This Row],[Requested]]=Proc[[#This Row],[CurrentParent]]</f>
        <v>1</v>
      </c>
      <c r="K4153" s="150" t="str">
        <f>IF(Proc[[#This Row],[Author]]="Marcela Urrego",VLOOKUP(LEFT(Proc[[#This Row],[Requested]],1),Table3[#All],2,0),VLOOKUP(Proc[[#This Row],[Author]],Table4[],2,0))</f>
        <v>MGF</v>
      </c>
      <c r="L4153" s="150" t="s">
        <v>6435</v>
      </c>
      <c r="M4153" s="154">
        <v>45933</v>
      </c>
      <c r="N4153" s="155"/>
      <c r="O4153" s="155"/>
      <c r="P4153" s="154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44</v>
      </c>
      <c r="R4153" s="154" t="s">
        <v>1459</v>
      </c>
      <c r="S4153" s="150"/>
    </row>
    <row r="4154" spans="1:19" hidden="1">
      <c r="A4154" s="149" t="s">
        <v>6436</v>
      </c>
      <c r="B4154" s="150" t="str">
        <f>IFERROR(VLOOKUP(Proc[[#This Row],[App]],Table2[],3,0),"open")</f>
        <v>ok</v>
      </c>
      <c r="C4154" s="149" t="s">
        <v>369</v>
      </c>
      <c r="D4154" t="s">
        <v>5441</v>
      </c>
      <c r="E4154" t="s">
        <v>6445</v>
      </c>
      <c r="F4154" s="150" t="s">
        <v>6445</v>
      </c>
      <c r="G4154" s="149" t="s">
        <v>400</v>
      </c>
      <c r="H4154" s="150" t="str">
        <f>IF(Proc[[#This Row],[type]]="LFF (MDG-F)",MID(Proc[[#This Row],[Obj]],13,10),"")</f>
        <v/>
      </c>
      <c r="J4154" s="150" t="b">
        <f>Proc[[#This Row],[Requested]]=Proc[[#This Row],[CurrentParent]]</f>
        <v>1</v>
      </c>
      <c r="K4154" s="150" t="str">
        <f>IF(Proc[[#This Row],[Author]]="Marcela Urrego",VLOOKUP(LEFT(Proc[[#This Row],[Requested]],1),Table3[#All],2,0),VLOOKUP(Proc[[#This Row],[Author]],Table4[],2,0))</f>
        <v>MGF</v>
      </c>
      <c r="L4154" s="150" t="s">
        <v>6435</v>
      </c>
      <c r="M4154" s="154">
        <v>45933</v>
      </c>
      <c r="N4154" s="155"/>
      <c r="O4154" s="155"/>
      <c r="P4154" s="154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44</v>
      </c>
      <c r="R4154" s="154" t="s">
        <v>1459</v>
      </c>
      <c r="S4154" s="150"/>
    </row>
    <row r="4155" spans="1:19" hidden="1">
      <c r="A4155" s="149" t="s">
        <v>6436</v>
      </c>
      <c r="B4155" s="150" t="str">
        <f>IFERROR(VLOOKUP(Proc[[#This Row],[App]],Table2[],3,0),"open")</f>
        <v>ok</v>
      </c>
      <c r="C4155" s="149" t="s">
        <v>369</v>
      </c>
      <c r="D4155" t="s">
        <v>5439</v>
      </c>
      <c r="E4155" t="s">
        <v>6445</v>
      </c>
      <c r="F4155" s="150" t="s">
        <v>6445</v>
      </c>
      <c r="G4155" s="149" t="s">
        <v>400</v>
      </c>
      <c r="H4155" s="150" t="str">
        <f>IF(Proc[[#This Row],[type]]="LFF (MDG-F)",MID(Proc[[#This Row],[Obj]],13,10),"")</f>
        <v/>
      </c>
      <c r="J4155" s="150" t="b">
        <f>Proc[[#This Row],[Requested]]=Proc[[#This Row],[CurrentParent]]</f>
        <v>1</v>
      </c>
      <c r="K4155" s="150" t="str">
        <f>IF(Proc[[#This Row],[Author]]="Marcela Urrego",VLOOKUP(LEFT(Proc[[#This Row],[Requested]],1),Table3[#All],2,0),VLOOKUP(Proc[[#This Row],[Author]],Table4[],2,0))</f>
        <v>MGF</v>
      </c>
      <c r="L4155" s="150" t="s">
        <v>6435</v>
      </c>
      <c r="M4155" s="154">
        <v>45933</v>
      </c>
      <c r="N4155" s="155"/>
      <c r="O4155" s="155"/>
      <c r="P4155" s="154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44</v>
      </c>
      <c r="R4155" s="154" t="s">
        <v>1459</v>
      </c>
      <c r="S4155" s="150"/>
    </row>
    <row r="4156" spans="1:19" hidden="1">
      <c r="A4156" s="149" t="s">
        <v>6436</v>
      </c>
      <c r="B4156" s="150" t="str">
        <f>IFERROR(VLOOKUP(Proc[[#This Row],[App]],Table2[],3,0),"open")</f>
        <v>ok</v>
      </c>
      <c r="C4156" s="149" t="s">
        <v>369</v>
      </c>
      <c r="D4156" t="s">
        <v>5304</v>
      </c>
      <c r="E4156" t="s">
        <v>6446</v>
      </c>
      <c r="F4156" s="150" t="s">
        <v>6446</v>
      </c>
      <c r="G4156" s="149" t="s">
        <v>400</v>
      </c>
      <c r="H4156" s="150" t="str">
        <f>IF(Proc[[#This Row],[type]]="LFF (MDG-F)",MID(Proc[[#This Row],[Obj]],13,10),"")</f>
        <v/>
      </c>
      <c r="J4156" s="150" t="b">
        <f>Proc[[#This Row],[Requested]]=Proc[[#This Row],[CurrentParent]]</f>
        <v>1</v>
      </c>
      <c r="K4156" s="150" t="str">
        <f>IF(Proc[[#This Row],[Author]]="Marcela Urrego",VLOOKUP(LEFT(Proc[[#This Row],[Requested]],1),Table3[#All],2,0),VLOOKUP(Proc[[#This Row],[Author]],Table4[],2,0))</f>
        <v>MGF</v>
      </c>
      <c r="L4156" s="150" t="s">
        <v>6435</v>
      </c>
      <c r="M4156" s="154">
        <v>45933</v>
      </c>
      <c r="N4156" s="155"/>
      <c r="O4156" s="155"/>
      <c r="P4156" s="154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44</v>
      </c>
      <c r="R4156" s="154" t="s">
        <v>1459</v>
      </c>
      <c r="S4156" s="150"/>
    </row>
    <row r="4157" spans="1:19" hidden="1">
      <c r="A4157" s="149" t="s">
        <v>6436</v>
      </c>
      <c r="B4157" s="150" t="str">
        <f>IFERROR(VLOOKUP(Proc[[#This Row],[App]],Table2[],3,0),"open")</f>
        <v>ok</v>
      </c>
      <c r="C4157" s="149" t="s">
        <v>369</v>
      </c>
      <c r="D4157" t="s">
        <v>5440</v>
      </c>
      <c r="E4157" t="s">
        <v>6447</v>
      </c>
      <c r="F4157" s="150" t="s">
        <v>6447</v>
      </c>
      <c r="G4157" s="149" t="s">
        <v>400</v>
      </c>
      <c r="H4157" s="150" t="str">
        <f>IF(Proc[[#This Row],[type]]="LFF (MDG-F)",MID(Proc[[#This Row],[Obj]],13,10),"")</f>
        <v/>
      </c>
      <c r="J4157" s="150" t="b">
        <f>Proc[[#This Row],[Requested]]=Proc[[#This Row],[CurrentParent]]</f>
        <v>1</v>
      </c>
      <c r="K4157" s="150" t="str">
        <f>IF(Proc[[#This Row],[Author]]="Marcela Urrego",VLOOKUP(LEFT(Proc[[#This Row],[Requested]],1),Table3[#All],2,0),VLOOKUP(Proc[[#This Row],[Author]],Table4[],2,0))</f>
        <v>MGF</v>
      </c>
      <c r="L4157" s="150" t="s">
        <v>6435</v>
      </c>
      <c r="M4157" s="154">
        <v>45933</v>
      </c>
      <c r="N4157" s="155"/>
      <c r="O4157" s="155"/>
      <c r="P4157" s="154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44</v>
      </c>
      <c r="R4157" s="154" t="s">
        <v>1459</v>
      </c>
      <c r="S4157" s="150"/>
    </row>
    <row r="4158" spans="1:19" hidden="1">
      <c r="A4158" s="149" t="s">
        <v>6436</v>
      </c>
      <c r="B4158" s="150" t="str">
        <f>IFERROR(VLOOKUP(Proc[[#This Row],[App]],Table2[],3,0),"open")</f>
        <v>ok</v>
      </c>
      <c r="C4158" s="149" t="s">
        <v>377</v>
      </c>
      <c r="D4158" t="s">
        <v>2319</v>
      </c>
      <c r="E4158" t="s">
        <v>430</v>
      </c>
      <c r="F4158" s="150" t="s">
        <v>5569</v>
      </c>
      <c r="G4158" t="s">
        <v>406</v>
      </c>
      <c r="H4158" s="150" t="str">
        <f>IF(Proc[[#This Row],[type]]="LFF (MDG-F)",MID(Proc[[#This Row],[Obj]],13,10),"")</f>
        <v>DE65GIT032</v>
      </c>
      <c r="I4158" s="149" t="s">
        <v>4832</v>
      </c>
      <c r="J4158" s="150" t="b">
        <f>Proc[[#This Row],[Requested]]=Proc[[#This Row],[CurrentParent]]</f>
        <v>0</v>
      </c>
      <c r="K4158" s="150" t="str">
        <f>IF(Proc[[#This Row],[Author]]="Marcela Urrego",VLOOKUP(LEFT(Proc[[#This Row],[Requested]],1),Table3[#All],2,0),VLOOKUP(Proc[[#This Row],[Author]],Table4[],2,0))</f>
        <v>MGF</v>
      </c>
      <c r="L4158" s="150" t="s">
        <v>6435</v>
      </c>
      <c r="M4158" s="154">
        <v>45933</v>
      </c>
      <c r="N4158" s="155"/>
      <c r="O4158" s="155"/>
      <c r="P4158" s="154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44</v>
      </c>
      <c r="R4158" s="154" t="s">
        <v>1459</v>
      </c>
      <c r="S4158" s="150"/>
    </row>
    <row r="4159" spans="1:19" hidden="1">
      <c r="A4159" s="149" t="s">
        <v>6436</v>
      </c>
      <c r="B4159" s="150" t="str">
        <f>IFERROR(VLOOKUP(Proc[[#This Row],[App]],Table2[],3,0),"open")</f>
        <v>ok</v>
      </c>
      <c r="C4159" s="149" t="s">
        <v>369</v>
      </c>
      <c r="D4159" t="s">
        <v>6438</v>
      </c>
      <c r="E4159" t="s">
        <v>6158</v>
      </c>
      <c r="F4159" s="150" t="s">
        <v>6158</v>
      </c>
      <c r="G4159" s="149" t="s">
        <v>406</v>
      </c>
      <c r="H4159" s="150" t="str">
        <f>IF(Proc[[#This Row],[type]]="LFF (MDG-F)",MID(Proc[[#This Row],[Obj]],13,10),"")</f>
        <v>DE10695300</v>
      </c>
      <c r="J4159" s="150" t="b">
        <f>Proc[[#This Row],[Requested]]=Proc[[#This Row],[CurrentParent]]</f>
        <v>1</v>
      </c>
      <c r="K4159" s="150" t="str">
        <f>IF(Proc[[#This Row],[Author]]="Marcela Urrego",VLOOKUP(LEFT(Proc[[#This Row],[Requested]],1),Table3[#All],2,0),VLOOKUP(Proc[[#This Row],[Author]],Table4[],2,0))</f>
        <v>MGF</v>
      </c>
      <c r="L4159" s="150" t="s">
        <v>6435</v>
      </c>
      <c r="M4159" s="154">
        <v>45933</v>
      </c>
      <c r="N4159" s="155"/>
      <c r="O4159" s="155"/>
      <c r="P4159" s="154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44</v>
      </c>
      <c r="R4159" s="154" t="s">
        <v>1459</v>
      </c>
      <c r="S4159" s="150"/>
    </row>
    <row r="4160" spans="1:19" hidden="1">
      <c r="A4160" s="149" t="s">
        <v>6436</v>
      </c>
      <c r="B4160" s="150" t="str">
        <f>IFERROR(VLOOKUP(Proc[[#This Row],[App]],Table2[],3,0),"open")</f>
        <v>ok</v>
      </c>
      <c r="C4160" s="149" t="s">
        <v>369</v>
      </c>
      <c r="D4160" t="s">
        <v>5438</v>
      </c>
      <c r="E4160" t="s">
        <v>6447</v>
      </c>
      <c r="F4160" s="150" t="s">
        <v>6447</v>
      </c>
      <c r="G4160" s="149" t="s">
        <v>406</v>
      </c>
      <c r="H4160" s="150" t="str">
        <f>IF(Proc[[#This Row],[type]]="LFF (MDG-F)",MID(Proc[[#This Row],[Obj]],13,10),"")</f>
        <v>DE10GMS070</v>
      </c>
      <c r="J4160" s="150" t="b">
        <f>Proc[[#This Row],[Requested]]=Proc[[#This Row],[CurrentParent]]</f>
        <v>1</v>
      </c>
      <c r="K4160" s="150" t="str">
        <f>IF(Proc[[#This Row],[Author]]="Marcela Urrego",VLOOKUP(LEFT(Proc[[#This Row],[Requested]],1),Table3[#All],2,0),VLOOKUP(Proc[[#This Row],[Author]],Table4[],2,0))</f>
        <v>MGF</v>
      </c>
      <c r="L4160" s="150" t="s">
        <v>6435</v>
      </c>
      <c r="M4160" s="154">
        <v>45933</v>
      </c>
      <c r="N4160" s="155"/>
      <c r="O4160" s="155"/>
      <c r="P4160" s="154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44</v>
      </c>
      <c r="R4160" s="154" t="s">
        <v>1459</v>
      </c>
      <c r="S4160" s="150"/>
    </row>
    <row r="4161" spans="1:19" hidden="1">
      <c r="A4161" s="149" t="s">
        <v>6436</v>
      </c>
      <c r="B4161" s="150" t="str">
        <f>IFERROR(VLOOKUP(Proc[[#This Row],[App]],Table2[],3,0),"open")</f>
        <v>ok</v>
      </c>
      <c r="C4161" s="149" t="s">
        <v>369</v>
      </c>
      <c r="D4161" t="s">
        <v>5436</v>
      </c>
      <c r="E4161" t="s">
        <v>6445</v>
      </c>
      <c r="F4161" s="150" t="s">
        <v>6445</v>
      </c>
      <c r="G4161" s="149" t="s">
        <v>406</v>
      </c>
      <c r="H4161" s="150" t="str">
        <f>IF(Proc[[#This Row],[type]]="LFF (MDG-F)",MID(Proc[[#This Row],[Obj]],13,10),"")</f>
        <v>DE10669638</v>
      </c>
      <c r="J4161" s="150" t="b">
        <f>Proc[[#This Row],[Requested]]=Proc[[#This Row],[CurrentParent]]</f>
        <v>1</v>
      </c>
      <c r="K4161" s="150" t="str">
        <f>IF(Proc[[#This Row],[Author]]="Marcela Urrego",VLOOKUP(LEFT(Proc[[#This Row],[Requested]],1),Table3[#All],2,0),VLOOKUP(Proc[[#This Row],[Author]],Table4[],2,0))</f>
        <v>MGF</v>
      </c>
      <c r="L4161" s="150" t="s">
        <v>6435</v>
      </c>
      <c r="M4161" s="154">
        <v>45933</v>
      </c>
      <c r="N4161" s="155"/>
      <c r="O4161" s="155"/>
      <c r="P4161" s="154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44</v>
      </c>
      <c r="R4161" s="154" t="s">
        <v>1459</v>
      </c>
      <c r="S4161" s="150"/>
    </row>
    <row r="4162" spans="1:19" hidden="1">
      <c r="A4162" s="149" t="s">
        <v>6436</v>
      </c>
      <c r="B4162" s="150" t="str">
        <f>IFERROR(VLOOKUP(Proc[[#This Row],[App]],Table2[],3,0),"open")</f>
        <v>ok</v>
      </c>
      <c r="C4162" s="149" t="s">
        <v>369</v>
      </c>
      <c r="D4162" t="s">
        <v>6439</v>
      </c>
      <c r="E4162" t="s">
        <v>6448</v>
      </c>
      <c r="F4162" s="150" t="s">
        <v>6448</v>
      </c>
      <c r="G4162" s="149" t="s">
        <v>406</v>
      </c>
      <c r="H4162" s="150" t="str">
        <f>IF(Proc[[#This Row],[type]]="LFF (MDG-F)",MID(Proc[[#This Row],[Obj]],13,10),"")</f>
        <v>1937OF0002</v>
      </c>
      <c r="J4162" s="150" t="b">
        <f>Proc[[#This Row],[Requested]]=Proc[[#This Row],[CurrentParent]]</f>
        <v>1</v>
      </c>
      <c r="K4162" s="150" t="str">
        <f>IF(Proc[[#This Row],[Author]]="Marcela Urrego",VLOOKUP(LEFT(Proc[[#This Row],[Requested]],1),Table3[#All],2,0),VLOOKUP(Proc[[#This Row],[Author]],Table4[],2,0))</f>
        <v>MGF</v>
      </c>
      <c r="L4162" s="150" t="s">
        <v>6435</v>
      </c>
      <c r="M4162" s="154">
        <v>45933</v>
      </c>
      <c r="N4162" s="155"/>
      <c r="O4162" s="155"/>
      <c r="P4162" s="154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44</v>
      </c>
      <c r="R4162" s="154" t="s">
        <v>1459</v>
      </c>
      <c r="S4162" s="150"/>
    </row>
    <row r="4163" spans="1:19" hidden="1">
      <c r="A4163" s="149" t="s">
        <v>6436</v>
      </c>
      <c r="B4163" s="150" t="str">
        <f>IFERROR(VLOOKUP(Proc[[#This Row],[App]],Table2[],3,0),"open")</f>
        <v>ok</v>
      </c>
      <c r="C4163" s="149" t="s">
        <v>369</v>
      </c>
      <c r="D4163" t="s">
        <v>6440</v>
      </c>
      <c r="E4163" t="s">
        <v>661</v>
      </c>
      <c r="F4163" s="150" t="s">
        <v>661</v>
      </c>
      <c r="G4163" s="149" t="s">
        <v>400</v>
      </c>
      <c r="H4163" s="150" t="str">
        <f>IF(Proc[[#This Row],[type]]="LFF (MDG-F)",MID(Proc[[#This Row],[Obj]],13,10),"")</f>
        <v/>
      </c>
      <c r="J4163" s="150" t="b">
        <f>Proc[[#This Row],[Requested]]=Proc[[#This Row],[CurrentParent]]</f>
        <v>1</v>
      </c>
      <c r="K4163" s="150" t="str">
        <f>IF(Proc[[#This Row],[Author]]="Marcela Urrego",VLOOKUP(LEFT(Proc[[#This Row],[Requested]],1),Table3[#All],2,0),VLOOKUP(Proc[[#This Row],[Author]],Table4[],2,0))</f>
        <v>MGF</v>
      </c>
      <c r="L4163" s="150" t="s">
        <v>6435</v>
      </c>
      <c r="M4163" s="154">
        <v>45933</v>
      </c>
      <c r="N4163" s="155"/>
      <c r="O4163" s="155"/>
      <c r="P4163" s="154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44</v>
      </c>
      <c r="R4163" s="154" t="s">
        <v>1459</v>
      </c>
      <c r="S4163" s="150"/>
    </row>
    <row r="4164" spans="1:19" hidden="1">
      <c r="A4164" s="149" t="s">
        <v>6436</v>
      </c>
      <c r="B4164" s="150" t="str">
        <f>IFERROR(VLOOKUP(Proc[[#This Row],[App]],Table2[],3,0),"open")</f>
        <v>ok</v>
      </c>
      <c r="C4164" s="149" t="s">
        <v>369</v>
      </c>
      <c r="D4164" t="s">
        <v>5443</v>
      </c>
      <c r="E4164" t="s">
        <v>6449</v>
      </c>
      <c r="F4164" s="150" t="s">
        <v>6449</v>
      </c>
      <c r="G4164" s="149" t="s">
        <v>406</v>
      </c>
      <c r="H4164" s="150" t="str">
        <f>IF(Proc[[#This Row],[type]]="LFF (MDG-F)",MID(Proc[[#This Row],[Obj]],13,10),"")</f>
        <v>2123GMS080</v>
      </c>
      <c r="J4164" s="150" t="b">
        <f>Proc[[#This Row],[Requested]]=Proc[[#This Row],[CurrentParent]]</f>
        <v>1</v>
      </c>
      <c r="K4164" s="150" t="str">
        <f>IF(Proc[[#This Row],[Author]]="Marcela Urrego",VLOOKUP(LEFT(Proc[[#This Row],[Requested]],1),Table3[#All],2,0),VLOOKUP(Proc[[#This Row],[Author]],Table4[],2,0))</f>
        <v>MGF</v>
      </c>
      <c r="L4164" s="150" t="s">
        <v>6435</v>
      </c>
      <c r="M4164" s="154">
        <v>45933</v>
      </c>
      <c r="N4164" s="155"/>
      <c r="O4164" s="155"/>
      <c r="P4164" s="154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44</v>
      </c>
      <c r="R4164" s="154" t="s">
        <v>1459</v>
      </c>
      <c r="S4164" s="150"/>
    </row>
    <row r="4165" spans="1:19" hidden="1">
      <c r="A4165" s="149" t="s">
        <v>6436</v>
      </c>
      <c r="B4165" s="150" t="str">
        <f>IFERROR(VLOOKUP(Proc[[#This Row],[App]],Table2[],3,0),"open")</f>
        <v>ok</v>
      </c>
      <c r="C4165" s="149" t="s">
        <v>369</v>
      </c>
      <c r="D4165" t="s">
        <v>5442</v>
      </c>
      <c r="E4165" t="s">
        <v>6445</v>
      </c>
      <c r="F4165" s="150" t="s">
        <v>6445</v>
      </c>
      <c r="G4165" s="149" t="s">
        <v>406</v>
      </c>
      <c r="H4165" s="150" t="str">
        <f>IF(Proc[[#This Row],[type]]="LFF (MDG-F)",MID(Proc[[#This Row],[Obj]],13,10),"")</f>
        <v>2123GMS050</v>
      </c>
      <c r="J4165" s="150" t="b">
        <f>Proc[[#This Row],[Requested]]=Proc[[#This Row],[CurrentParent]]</f>
        <v>1</v>
      </c>
      <c r="K4165" s="150" t="str">
        <f>IF(Proc[[#This Row],[Author]]="Marcela Urrego",VLOOKUP(LEFT(Proc[[#This Row],[Requested]],1),Table3[#All],2,0),VLOOKUP(Proc[[#This Row],[Author]],Table4[],2,0))</f>
        <v>MGF</v>
      </c>
      <c r="L4165" s="150" t="s">
        <v>6435</v>
      </c>
      <c r="M4165" s="154">
        <v>45933</v>
      </c>
      <c r="N4165" s="155"/>
      <c r="O4165" s="155"/>
      <c r="P4165" s="154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44</v>
      </c>
      <c r="R4165" s="154" t="s">
        <v>1459</v>
      </c>
      <c r="S4165" s="150"/>
    </row>
    <row r="4166" spans="1:19" hidden="1">
      <c r="A4166" s="149" t="s">
        <v>6436</v>
      </c>
      <c r="B4166" s="150" t="str">
        <f>IFERROR(VLOOKUP(Proc[[#This Row],[App]],Table2[],3,0),"open")</f>
        <v>ok</v>
      </c>
      <c r="C4166" s="149" t="s">
        <v>369</v>
      </c>
      <c r="D4166" t="s">
        <v>5434</v>
      </c>
      <c r="E4166" t="s">
        <v>6450</v>
      </c>
      <c r="F4166" s="150" t="s">
        <v>6450</v>
      </c>
      <c r="G4166" s="149" t="s">
        <v>400</v>
      </c>
      <c r="H4166" s="150" t="str">
        <f>IF(Proc[[#This Row],[type]]="LFF (MDG-F)",MID(Proc[[#This Row],[Obj]],13,10),"")</f>
        <v/>
      </c>
      <c r="J4166" s="150" t="b">
        <f>Proc[[#This Row],[Requested]]=Proc[[#This Row],[CurrentParent]]</f>
        <v>1</v>
      </c>
      <c r="K4166" s="150" t="str">
        <f>IF(Proc[[#This Row],[Author]]="Marcela Urrego",VLOOKUP(LEFT(Proc[[#This Row],[Requested]],1),Table3[#All],2,0),VLOOKUP(Proc[[#This Row],[Author]],Table4[],2,0))</f>
        <v>MGF</v>
      </c>
      <c r="L4166" s="150" t="s">
        <v>6435</v>
      </c>
      <c r="M4166" s="154">
        <v>45933</v>
      </c>
      <c r="N4166" s="155"/>
      <c r="O4166" s="155"/>
      <c r="P4166" s="154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44</v>
      </c>
      <c r="R4166" s="154" t="s">
        <v>1459</v>
      </c>
      <c r="S4166" s="150"/>
    </row>
    <row r="4167" spans="1:19" hidden="1">
      <c r="A4167" s="149" t="s">
        <v>6436</v>
      </c>
      <c r="B4167" s="150" t="str">
        <f>IFERROR(VLOOKUP(Proc[[#This Row],[App]],Table2[],3,0),"open")</f>
        <v>ok</v>
      </c>
      <c r="C4167" s="149" t="s">
        <v>369</v>
      </c>
      <c r="D4167" t="s">
        <v>6441</v>
      </c>
      <c r="E4167" t="s">
        <v>4410</v>
      </c>
      <c r="F4167" s="150" t="s">
        <v>4410</v>
      </c>
      <c r="G4167" s="149" t="s">
        <v>406</v>
      </c>
      <c r="H4167" s="150" t="str">
        <f>IF(Proc[[#This Row],[type]]="LFF (MDG-F)",MID(Proc[[#This Row],[Obj]],13,10),"")</f>
        <v>US10GIT050</v>
      </c>
      <c r="J4167" s="150" t="b">
        <f>Proc[[#This Row],[Requested]]=Proc[[#This Row],[CurrentParent]]</f>
        <v>1</v>
      </c>
      <c r="K4167" s="150" t="str">
        <f>IF(Proc[[#This Row],[Author]]="Marcela Urrego",VLOOKUP(LEFT(Proc[[#This Row],[Requested]],1),Table3[#All],2,0),VLOOKUP(Proc[[#This Row],[Author]],Table4[],2,0))</f>
        <v>MGF</v>
      </c>
      <c r="L4167" s="150" t="s">
        <v>6435</v>
      </c>
      <c r="M4167" s="154">
        <v>45933</v>
      </c>
      <c r="N4167" s="155"/>
      <c r="O4167" s="155"/>
      <c r="P4167" s="154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44</v>
      </c>
      <c r="R4167" s="154" t="s">
        <v>1459</v>
      </c>
      <c r="S4167" s="150"/>
    </row>
    <row r="4168" spans="1:19" hidden="1">
      <c r="A4168" s="149" t="s">
        <v>6436</v>
      </c>
      <c r="B4168" s="150" t="str">
        <f>IFERROR(VLOOKUP(Proc[[#This Row],[App]],Table2[],3,0),"open")</f>
        <v>ok</v>
      </c>
      <c r="C4168" s="149" t="s">
        <v>369</v>
      </c>
      <c r="D4168" t="s">
        <v>6442</v>
      </c>
      <c r="E4168" t="s">
        <v>6448</v>
      </c>
      <c r="F4168" s="150" t="s">
        <v>6448</v>
      </c>
      <c r="G4168" s="149" t="s">
        <v>400</v>
      </c>
      <c r="H4168" s="150" t="str">
        <f>IF(Proc[[#This Row],[type]]="LFF (MDG-F)",MID(Proc[[#This Row],[Obj]],13,10),"")</f>
        <v/>
      </c>
      <c r="J4168" s="150" t="b">
        <f>Proc[[#This Row],[Requested]]=Proc[[#This Row],[CurrentParent]]</f>
        <v>1</v>
      </c>
      <c r="K4168" s="150" t="str">
        <f>IF(Proc[[#This Row],[Author]]="Marcela Urrego",VLOOKUP(LEFT(Proc[[#This Row],[Requested]],1),Table3[#All],2,0),VLOOKUP(Proc[[#This Row],[Author]],Table4[],2,0))</f>
        <v>MGF</v>
      </c>
      <c r="L4168" s="150" t="s">
        <v>6435</v>
      </c>
      <c r="M4168" s="154">
        <v>45933</v>
      </c>
      <c r="N4168" s="155"/>
      <c r="O4168" s="155"/>
      <c r="P4168" s="154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44</v>
      </c>
      <c r="R4168" s="154" t="s">
        <v>1459</v>
      </c>
      <c r="S4168" s="150"/>
    </row>
    <row r="4169" spans="1:19" hidden="1">
      <c r="A4169" s="149" t="s">
        <v>6436</v>
      </c>
      <c r="B4169" s="150" t="str">
        <f>IFERROR(VLOOKUP(Proc[[#This Row],[App]],Table2[],3,0),"open")</f>
        <v>ok</v>
      </c>
      <c r="C4169" s="149" t="s">
        <v>369</v>
      </c>
      <c r="D4169" t="s">
        <v>6443</v>
      </c>
      <c r="E4169" t="s">
        <v>6448</v>
      </c>
      <c r="F4169" s="150" t="s">
        <v>6448</v>
      </c>
      <c r="G4169" s="149" t="s">
        <v>400</v>
      </c>
      <c r="H4169" s="150" t="str">
        <f>IF(Proc[[#This Row],[type]]="LFF (MDG-F)",MID(Proc[[#This Row],[Obj]],13,10),"")</f>
        <v/>
      </c>
      <c r="J4169" s="150" t="b">
        <f>Proc[[#This Row],[Requested]]=Proc[[#This Row],[CurrentParent]]</f>
        <v>1</v>
      </c>
      <c r="K4169" s="150" t="str">
        <f>IF(Proc[[#This Row],[Author]]="Marcela Urrego",VLOOKUP(LEFT(Proc[[#This Row],[Requested]],1),Table3[#All],2,0),VLOOKUP(Proc[[#This Row],[Author]],Table4[],2,0))</f>
        <v>MGF</v>
      </c>
      <c r="L4169" s="150" t="s">
        <v>6435</v>
      </c>
      <c r="M4169" s="154">
        <v>45933</v>
      </c>
      <c r="N4169" s="155"/>
      <c r="O4169" s="155"/>
      <c r="P4169" s="154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44</v>
      </c>
      <c r="R4169" s="154" t="s">
        <v>1459</v>
      </c>
      <c r="S4169" s="150"/>
    </row>
    <row r="4170" spans="1:19" hidden="1">
      <c r="A4170" s="149" t="s">
        <v>6436</v>
      </c>
      <c r="B4170" s="150" t="str">
        <f>IFERROR(VLOOKUP(Proc[[#This Row],[App]],Table2[],3,0),"open")</f>
        <v>ok</v>
      </c>
      <c r="C4170" s="149" t="s">
        <v>369</v>
      </c>
      <c r="D4170" t="s">
        <v>6444</v>
      </c>
      <c r="E4170" t="s">
        <v>6448</v>
      </c>
      <c r="F4170" s="150" t="s">
        <v>6448</v>
      </c>
      <c r="G4170" t="s">
        <v>400</v>
      </c>
      <c r="H4170" s="150" t="str">
        <f>IF(Proc[[#This Row],[type]]="LFF (MDG-F)",MID(Proc[[#This Row],[Obj]],13,10),"")</f>
        <v/>
      </c>
      <c r="J4170" s="150" t="b">
        <f>Proc[[#This Row],[Requested]]=Proc[[#This Row],[CurrentParent]]</f>
        <v>1</v>
      </c>
      <c r="K4170" s="150" t="str">
        <f>IF(Proc[[#This Row],[Author]]="Marcela Urrego",VLOOKUP(LEFT(Proc[[#This Row],[Requested]],1),Table3[#All],2,0),VLOOKUP(Proc[[#This Row],[Author]],Table4[],2,0))</f>
        <v>MGF</v>
      </c>
      <c r="L4170" s="150" t="s">
        <v>6435</v>
      </c>
      <c r="M4170" s="154">
        <v>45933</v>
      </c>
      <c r="N4170" s="155"/>
      <c r="O4170" s="155"/>
      <c r="P4170" s="154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44</v>
      </c>
      <c r="R4170" s="154" t="s">
        <v>1459</v>
      </c>
      <c r="S4170" s="150"/>
    </row>
    <row r="4171" spans="1:19" hidden="1">
      <c r="A4171" t="s">
        <v>6451</v>
      </c>
      <c r="B4171" s="150" t="str">
        <f>IFERROR(VLOOKUP(Proc[[#This Row],[App]],Table2[],3,0),"open")</f>
        <v>ok</v>
      </c>
      <c r="C4171" s="149" t="s">
        <v>369</v>
      </c>
      <c r="D4171" t="s">
        <v>6452</v>
      </c>
      <c r="E4171" t="s">
        <v>6468</v>
      </c>
      <c r="F4171" s="150" t="s">
        <v>6468</v>
      </c>
      <c r="G4171" s="149" t="s">
        <v>400</v>
      </c>
      <c r="H4171" s="150" t="str">
        <f>IF(Proc[[#This Row],[type]]="LFF (MDG-F)",MID(Proc[[#This Row],[Obj]],13,10),"")</f>
        <v/>
      </c>
      <c r="J4171" s="150" t="b">
        <f>Proc[[#This Row],[Requested]]=Proc[[#This Row],[CurrentParent]]</f>
        <v>1</v>
      </c>
      <c r="K4171" s="150" t="str">
        <f>IF(Proc[[#This Row],[Author]]="Marcela Urrego",VLOOKUP(LEFT(Proc[[#This Row],[Requested]],1),Table3[#All],2,0),VLOOKUP(Proc[[#This Row],[Author]],Table4[],2,0))</f>
        <v>LS</v>
      </c>
      <c r="L4171" s="150" t="s">
        <v>6435</v>
      </c>
      <c r="M4171" s="154">
        <v>45933</v>
      </c>
      <c r="N4171" s="155"/>
      <c r="O4171" s="155"/>
      <c r="P4171" s="154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44</v>
      </c>
      <c r="R4171" s="154" t="s">
        <v>489</v>
      </c>
      <c r="S4171" s="150"/>
    </row>
    <row r="4172" spans="1:19" hidden="1">
      <c r="A4172" s="149" t="s">
        <v>6451</v>
      </c>
      <c r="B4172" s="150" t="str">
        <f>IFERROR(VLOOKUP(Proc[[#This Row],[App]],Table2[],3,0),"open")</f>
        <v>ok</v>
      </c>
      <c r="C4172" s="149" t="s">
        <v>369</v>
      </c>
      <c r="D4172" t="s">
        <v>6453</v>
      </c>
      <c r="E4172" t="s">
        <v>6469</v>
      </c>
      <c r="F4172" s="150" t="s">
        <v>6469</v>
      </c>
      <c r="G4172" s="149" t="s">
        <v>400</v>
      </c>
      <c r="H4172" s="150" t="str">
        <f>IF(Proc[[#This Row],[type]]="LFF (MDG-F)",MID(Proc[[#This Row],[Obj]],13,10),"")</f>
        <v/>
      </c>
      <c r="J4172" s="150" t="b">
        <f>Proc[[#This Row],[Requested]]=Proc[[#This Row],[CurrentParent]]</f>
        <v>1</v>
      </c>
      <c r="K4172" s="150" t="str">
        <f>IF(Proc[[#This Row],[Author]]="Marcela Urrego",VLOOKUP(LEFT(Proc[[#This Row],[Requested]],1),Table3[#All],2,0),VLOOKUP(Proc[[#This Row],[Author]],Table4[],2,0))</f>
        <v>LS</v>
      </c>
      <c r="L4172" s="150" t="s">
        <v>6435</v>
      </c>
      <c r="M4172" s="154">
        <v>45933</v>
      </c>
      <c r="N4172" s="155"/>
      <c r="O4172" s="155"/>
      <c r="P4172" s="154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44</v>
      </c>
      <c r="R4172" s="154" t="s">
        <v>489</v>
      </c>
      <c r="S4172" s="150"/>
    </row>
    <row r="4173" spans="1:19" hidden="1">
      <c r="A4173" s="149" t="s">
        <v>6451</v>
      </c>
      <c r="B4173" s="150" t="str">
        <f>IFERROR(VLOOKUP(Proc[[#This Row],[App]],Table2[],3,0),"open")</f>
        <v>ok</v>
      </c>
      <c r="C4173" s="149" t="s">
        <v>369</v>
      </c>
      <c r="D4173" t="s">
        <v>6454</v>
      </c>
      <c r="E4173" t="s">
        <v>6470</v>
      </c>
      <c r="F4173" s="150" t="s">
        <v>6470</v>
      </c>
      <c r="G4173" s="149" t="s">
        <v>406</v>
      </c>
      <c r="H4173" s="150" t="str">
        <f>IF(Proc[[#This Row],[type]]="LFF (MDG-F)",MID(Proc[[#This Row],[Obj]],13,10),"")</f>
        <v>2034L81000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6435</v>
      </c>
      <c r="M4173" s="154">
        <v>45933</v>
      </c>
      <c r="N4173" s="155"/>
      <c r="O4173" s="155"/>
      <c r="P4173" s="154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44</v>
      </c>
      <c r="R4173" s="154" t="s">
        <v>489</v>
      </c>
      <c r="S4173" s="150"/>
    </row>
    <row r="4174" spans="1:19" hidden="1">
      <c r="A4174" s="149" t="s">
        <v>6451</v>
      </c>
      <c r="B4174" s="150" t="str">
        <f>IFERROR(VLOOKUP(Proc[[#This Row],[App]],Table2[],3,0),"open")</f>
        <v>ok</v>
      </c>
      <c r="C4174" s="149" t="s">
        <v>369</v>
      </c>
      <c r="D4174" t="s">
        <v>6455</v>
      </c>
      <c r="E4174" t="s">
        <v>6468</v>
      </c>
      <c r="F4174" s="150" t="s">
        <v>6468</v>
      </c>
      <c r="G4174" s="149" t="s">
        <v>400</v>
      </c>
      <c r="H4174" s="150" t="str">
        <f>IF(Proc[[#This Row],[type]]="LFF (MDG-F)",MID(Proc[[#This Row],[Obj]],13,10),"")</f>
        <v/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6435</v>
      </c>
      <c r="M4174" s="154">
        <v>45933</v>
      </c>
      <c r="N4174" s="155"/>
      <c r="O4174" s="155"/>
      <c r="P4174" s="154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44</v>
      </c>
      <c r="R4174" s="154" t="s">
        <v>489</v>
      </c>
      <c r="S4174" s="150"/>
    </row>
    <row r="4175" spans="1:19" hidden="1">
      <c r="A4175" s="149" t="s">
        <v>6451</v>
      </c>
      <c r="B4175" s="150" t="str">
        <f>IFERROR(VLOOKUP(Proc[[#This Row],[App]],Table2[],3,0),"open")</f>
        <v>ok</v>
      </c>
      <c r="C4175" s="149" t="s">
        <v>369</v>
      </c>
      <c r="D4175" t="s">
        <v>3569</v>
      </c>
      <c r="E4175" t="s">
        <v>6471</v>
      </c>
      <c r="F4175" s="150" t="s">
        <v>6471</v>
      </c>
      <c r="G4175" s="149" t="s">
        <v>406</v>
      </c>
      <c r="H4175" s="150" t="str">
        <f>IF(Proc[[#This Row],[type]]="LFF (MDG-F)",MID(Proc[[#This Row],[Obj]],13,10),"")</f>
        <v>2102TMCZ91</v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6435</v>
      </c>
      <c r="M4175" s="154">
        <v>45933</v>
      </c>
      <c r="N4175" s="155"/>
      <c r="O4175" s="155"/>
      <c r="P4175" s="154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44</v>
      </c>
      <c r="R4175" s="154" t="s">
        <v>489</v>
      </c>
      <c r="S4175" s="150"/>
    </row>
    <row r="4176" spans="1:19" hidden="1">
      <c r="A4176" s="149" t="s">
        <v>6451</v>
      </c>
      <c r="B4176" s="150" t="str">
        <f>IFERROR(VLOOKUP(Proc[[#This Row],[App]],Table2[],3,0),"open")</f>
        <v>ok</v>
      </c>
      <c r="C4176" s="149" t="s">
        <v>369</v>
      </c>
      <c r="D4176" t="s">
        <v>6456</v>
      </c>
      <c r="E4176" t="s">
        <v>6472</v>
      </c>
      <c r="F4176" s="150" t="s">
        <v>6472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6435</v>
      </c>
      <c r="M4176" s="154">
        <v>45933</v>
      </c>
      <c r="N4176" s="155"/>
      <c r="O4176" s="155"/>
      <c r="P4176" s="154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44</v>
      </c>
      <c r="R4176" s="154" t="s">
        <v>489</v>
      </c>
      <c r="S4176" s="150"/>
    </row>
    <row r="4177" spans="1:19" hidden="1">
      <c r="A4177" s="149" t="s">
        <v>6451</v>
      </c>
      <c r="B4177" s="150" t="str">
        <f>IFERROR(VLOOKUP(Proc[[#This Row],[App]],Table2[],3,0),"open")</f>
        <v>ok</v>
      </c>
      <c r="C4177" s="149" t="s">
        <v>369</v>
      </c>
      <c r="D4177" t="s">
        <v>6457</v>
      </c>
      <c r="E4177" t="s">
        <v>6472</v>
      </c>
      <c r="F4177" s="150" t="s">
        <v>6472</v>
      </c>
      <c r="G4177" s="149" t="s">
        <v>400</v>
      </c>
      <c r="H4177" s="150" t="str">
        <f>IF(Proc[[#This Row],[type]]="LFF (MDG-F)",MID(Proc[[#This Row],[Obj]],13,10),"")</f>
        <v/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6435</v>
      </c>
      <c r="M4177" s="154">
        <v>45933</v>
      </c>
      <c r="N4177" s="155"/>
      <c r="O4177" s="155"/>
      <c r="P4177" s="154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44</v>
      </c>
      <c r="R4177" s="154" t="s">
        <v>489</v>
      </c>
      <c r="S4177" s="150"/>
    </row>
    <row r="4178" spans="1:19" hidden="1">
      <c r="A4178" s="149" t="s">
        <v>6451</v>
      </c>
      <c r="B4178" s="150" t="str">
        <f>IFERROR(VLOOKUP(Proc[[#This Row],[App]],Table2[],3,0),"open")</f>
        <v>ok</v>
      </c>
      <c r="C4178" s="149" t="s">
        <v>369</v>
      </c>
      <c r="D4178" t="s">
        <v>6458</v>
      </c>
      <c r="E4178" t="s">
        <v>6472</v>
      </c>
      <c r="F4178" s="150" t="s">
        <v>6472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6435</v>
      </c>
      <c r="M4178" s="154">
        <v>45933</v>
      </c>
      <c r="N4178" s="155"/>
      <c r="O4178" s="155"/>
      <c r="P4178" s="154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44</v>
      </c>
      <c r="R4178" s="154" t="s">
        <v>489</v>
      </c>
      <c r="S4178" s="150"/>
    </row>
    <row r="4179" spans="1:19" hidden="1">
      <c r="A4179" s="149" t="s">
        <v>6451</v>
      </c>
      <c r="B4179" s="150" t="str">
        <f>IFERROR(VLOOKUP(Proc[[#This Row],[App]],Table2[],3,0),"open")</f>
        <v>ok</v>
      </c>
      <c r="C4179" s="149" t="s">
        <v>369</v>
      </c>
      <c r="D4179" t="s">
        <v>6459</v>
      </c>
      <c r="E4179" t="s">
        <v>6472</v>
      </c>
      <c r="F4179" s="150" t="s">
        <v>6472</v>
      </c>
      <c r="G4179" s="149" t="s">
        <v>400</v>
      </c>
      <c r="H4179" s="150" t="str">
        <f>IF(Proc[[#This Row],[type]]="LFF (MDG-F)",MID(Proc[[#This Row],[Obj]],13,10),"")</f>
        <v/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LS</v>
      </c>
      <c r="L4179" s="150" t="s">
        <v>6435</v>
      </c>
      <c r="M4179" s="154">
        <v>45933</v>
      </c>
      <c r="N4179" s="155"/>
      <c r="O4179" s="155"/>
      <c r="P4179" s="154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44</v>
      </c>
      <c r="R4179" s="154" t="s">
        <v>489</v>
      </c>
      <c r="S4179" s="150"/>
    </row>
    <row r="4180" spans="1:19" hidden="1">
      <c r="A4180" s="149" t="s">
        <v>6451</v>
      </c>
      <c r="B4180" s="150" t="str">
        <f>IFERROR(VLOOKUP(Proc[[#This Row],[App]],Table2[],3,0),"open")</f>
        <v>ok</v>
      </c>
      <c r="C4180" s="149" t="s">
        <v>369</v>
      </c>
      <c r="D4180" t="s">
        <v>6460</v>
      </c>
      <c r="E4180" t="s">
        <v>6472</v>
      </c>
      <c r="F4180" s="150" t="s">
        <v>6472</v>
      </c>
      <c r="G4180" s="149" t="s">
        <v>406</v>
      </c>
      <c r="H4180" s="150" t="str">
        <f>IF(Proc[[#This Row],[type]]="LFF (MDG-F)",MID(Proc[[#This Row],[Obj]],13,10),"")</f>
        <v>DE10B04453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LS</v>
      </c>
      <c r="L4180" s="150" t="s">
        <v>6435</v>
      </c>
      <c r="M4180" s="154">
        <v>45933</v>
      </c>
      <c r="N4180" s="155"/>
      <c r="O4180" s="155"/>
      <c r="P4180" s="154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44</v>
      </c>
      <c r="R4180" s="154" t="s">
        <v>489</v>
      </c>
      <c r="S4180" s="150"/>
    </row>
    <row r="4181" spans="1:19" hidden="1">
      <c r="A4181" s="149" t="s">
        <v>6451</v>
      </c>
      <c r="B4181" s="150" t="str">
        <f>IFERROR(VLOOKUP(Proc[[#This Row],[App]],Table2[],3,0),"open")</f>
        <v>ok</v>
      </c>
      <c r="C4181" s="149" t="s">
        <v>369</v>
      </c>
      <c r="D4181" t="s">
        <v>6461</v>
      </c>
      <c r="E4181" t="s">
        <v>6472</v>
      </c>
      <c r="F4181" s="150" t="s">
        <v>6472</v>
      </c>
      <c r="G4181" s="149" t="s">
        <v>406</v>
      </c>
      <c r="H4181" s="150" t="str">
        <f>IF(Proc[[#This Row],[type]]="LFF (MDG-F)",MID(Proc[[#This Row],[Obj]],13,10),"")</f>
        <v>DE10B14453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LS</v>
      </c>
      <c r="L4181" s="150" t="s">
        <v>6435</v>
      </c>
      <c r="M4181" s="154">
        <v>45933</v>
      </c>
      <c r="N4181" s="155"/>
      <c r="O4181" s="155"/>
      <c r="P4181" s="154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44</v>
      </c>
      <c r="R4181" s="154" t="s">
        <v>489</v>
      </c>
      <c r="S4181" s="150"/>
    </row>
    <row r="4182" spans="1:19" hidden="1">
      <c r="A4182" s="149" t="s">
        <v>6451</v>
      </c>
      <c r="B4182" s="150" t="str">
        <f>IFERROR(VLOOKUP(Proc[[#This Row],[App]],Table2[],3,0),"open")</f>
        <v>ok</v>
      </c>
      <c r="C4182" s="149" t="s">
        <v>369</v>
      </c>
      <c r="D4182" t="s">
        <v>6462</v>
      </c>
      <c r="E4182" t="s">
        <v>6472</v>
      </c>
      <c r="F4182" s="150" t="s">
        <v>6472</v>
      </c>
      <c r="G4182" s="149" t="s">
        <v>400</v>
      </c>
      <c r="H4182" s="150" t="str">
        <f>IF(Proc[[#This Row],[type]]="LFF (MDG-F)",MID(Proc[[#This Row],[Obj]],13,10),"")</f>
        <v/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LS</v>
      </c>
      <c r="L4182" s="150" t="s">
        <v>6435</v>
      </c>
      <c r="M4182" s="154">
        <v>45933</v>
      </c>
      <c r="N4182" s="155"/>
      <c r="O4182" s="155"/>
      <c r="P4182" s="154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44</v>
      </c>
      <c r="R4182" s="154" t="s">
        <v>489</v>
      </c>
      <c r="S4182" s="150"/>
    </row>
    <row r="4183" spans="1:19" hidden="1">
      <c r="A4183" s="149" t="s">
        <v>6451</v>
      </c>
      <c r="B4183" s="150" t="str">
        <f>IFERROR(VLOOKUP(Proc[[#This Row],[App]],Table2[],3,0),"open")</f>
        <v>ok</v>
      </c>
      <c r="C4183" s="149" t="s">
        <v>369</v>
      </c>
      <c r="D4183" t="s">
        <v>6463</v>
      </c>
      <c r="E4183" t="s">
        <v>6472</v>
      </c>
      <c r="F4183" s="150" t="s">
        <v>6472</v>
      </c>
      <c r="G4183" s="149" t="s">
        <v>400</v>
      </c>
      <c r="H4183" s="150" t="str">
        <f>IF(Proc[[#This Row],[type]]="LFF (MDG-F)",MID(Proc[[#This Row],[Obj]],13,10),"")</f>
        <v/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LS</v>
      </c>
      <c r="L4183" s="150" t="s">
        <v>6435</v>
      </c>
      <c r="M4183" s="154">
        <v>45933</v>
      </c>
      <c r="N4183" s="155"/>
      <c r="O4183" s="155"/>
      <c r="P4183" s="154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44</v>
      </c>
      <c r="R4183" s="154" t="s">
        <v>489</v>
      </c>
      <c r="S4183" s="150"/>
    </row>
    <row r="4184" spans="1:19" hidden="1">
      <c r="A4184" s="149" t="s">
        <v>6451</v>
      </c>
      <c r="B4184" s="150" t="str">
        <f>IFERROR(VLOOKUP(Proc[[#This Row],[App]],Table2[],3,0),"open")</f>
        <v>ok</v>
      </c>
      <c r="C4184" s="149" t="s">
        <v>369</v>
      </c>
      <c r="D4184" t="s">
        <v>6458</v>
      </c>
      <c r="E4184" t="s">
        <v>6472</v>
      </c>
      <c r="F4184" s="150" t="s">
        <v>6472</v>
      </c>
      <c r="G4184" s="149" t="s">
        <v>400</v>
      </c>
      <c r="H4184" s="150" t="str">
        <f>IF(Proc[[#This Row],[type]]="LFF (MDG-F)",MID(Proc[[#This Row],[Obj]],13,10),"")</f>
        <v/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LS</v>
      </c>
      <c r="L4184" s="150" t="s">
        <v>6435</v>
      </c>
      <c r="M4184" s="154">
        <v>45933</v>
      </c>
      <c r="N4184" s="155"/>
      <c r="O4184" s="155"/>
      <c r="P4184" s="154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44</v>
      </c>
      <c r="R4184" s="154" t="s">
        <v>489</v>
      </c>
      <c r="S4184" s="150"/>
    </row>
    <row r="4185" spans="1:19" hidden="1">
      <c r="A4185" s="149" t="s">
        <v>6451</v>
      </c>
      <c r="B4185" s="150" t="str">
        <f>IFERROR(VLOOKUP(Proc[[#This Row],[App]],Table2[],3,0),"open")</f>
        <v>ok</v>
      </c>
      <c r="C4185" s="149" t="s">
        <v>369</v>
      </c>
      <c r="D4185" t="s">
        <v>3574</v>
      </c>
      <c r="E4185" t="s">
        <v>6472</v>
      </c>
      <c r="F4185" s="150" t="s">
        <v>6472</v>
      </c>
      <c r="G4185" s="149" t="s">
        <v>400</v>
      </c>
      <c r="H4185" s="150" t="str">
        <f>IF(Proc[[#This Row],[type]]="LFF (MDG-F)",MID(Proc[[#This Row],[Obj]],13,10),"")</f>
        <v/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LS</v>
      </c>
      <c r="L4185" s="150" t="s">
        <v>6435</v>
      </c>
      <c r="M4185" s="154">
        <v>45933</v>
      </c>
      <c r="N4185" s="155"/>
      <c r="O4185" s="155"/>
      <c r="P4185" s="154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44</v>
      </c>
      <c r="R4185" s="154" t="s">
        <v>489</v>
      </c>
      <c r="S4185" s="150"/>
    </row>
    <row r="4186" spans="1:19" hidden="1">
      <c r="A4186" s="149" t="s">
        <v>6451</v>
      </c>
      <c r="B4186" s="150" t="str">
        <f>IFERROR(VLOOKUP(Proc[[#This Row],[App]],Table2[],3,0),"open")</f>
        <v>ok</v>
      </c>
      <c r="C4186" s="149" t="s">
        <v>369</v>
      </c>
      <c r="D4186" t="s">
        <v>3572</v>
      </c>
      <c r="E4186" t="s">
        <v>6472</v>
      </c>
      <c r="F4186" s="150" t="s">
        <v>6472</v>
      </c>
      <c r="G4186" s="149" t="s">
        <v>400</v>
      </c>
      <c r="H4186" s="150" t="str">
        <f>IF(Proc[[#This Row],[type]]="LFF (MDG-F)",MID(Proc[[#This Row],[Obj]],13,10),"")</f>
        <v/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LS</v>
      </c>
      <c r="L4186" s="150" t="s">
        <v>6435</v>
      </c>
      <c r="M4186" s="154">
        <v>45933</v>
      </c>
      <c r="N4186" s="155"/>
      <c r="O4186" s="155"/>
      <c r="P4186" s="154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44</v>
      </c>
      <c r="R4186" s="154" t="s">
        <v>489</v>
      </c>
      <c r="S4186" s="150"/>
    </row>
    <row r="4187" spans="1:19" hidden="1">
      <c r="A4187" s="149" t="s">
        <v>6451</v>
      </c>
      <c r="B4187" s="150" t="str">
        <f>IFERROR(VLOOKUP(Proc[[#This Row],[App]],Table2[],3,0),"open")</f>
        <v>ok</v>
      </c>
      <c r="C4187" s="149" t="s">
        <v>369</v>
      </c>
      <c r="D4187" t="s">
        <v>6464</v>
      </c>
      <c r="E4187" t="s">
        <v>6473</v>
      </c>
      <c r="F4187" s="150" t="s">
        <v>6473</v>
      </c>
      <c r="G4187" s="149" t="s">
        <v>400</v>
      </c>
      <c r="H4187" s="150" t="str">
        <f>IF(Proc[[#This Row],[type]]="LFF (MDG-F)",MID(Proc[[#This Row],[Obj]],13,10),"")</f>
        <v/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LS</v>
      </c>
      <c r="L4187" s="150" t="s">
        <v>6435</v>
      </c>
      <c r="M4187" s="154">
        <v>45933</v>
      </c>
      <c r="N4187" s="155"/>
      <c r="O4187" s="155"/>
      <c r="P4187" s="154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44</v>
      </c>
      <c r="R4187" s="154" t="s">
        <v>489</v>
      </c>
      <c r="S4187" s="150"/>
    </row>
    <row r="4188" spans="1:19" hidden="1">
      <c r="A4188" s="149" t="s">
        <v>6451</v>
      </c>
      <c r="B4188" s="150" t="str">
        <f>IFERROR(VLOOKUP(Proc[[#This Row],[App]],Table2[],3,0),"open")</f>
        <v>ok</v>
      </c>
      <c r="C4188" s="149" t="s">
        <v>369</v>
      </c>
      <c r="D4188" t="s">
        <v>6465</v>
      </c>
      <c r="E4188" t="s">
        <v>6473</v>
      </c>
      <c r="F4188" s="150" t="s">
        <v>6473</v>
      </c>
      <c r="G4188" s="149" t="s">
        <v>400</v>
      </c>
      <c r="H4188" s="150" t="str">
        <f>IF(Proc[[#This Row],[type]]="LFF (MDG-F)",MID(Proc[[#This Row],[Obj]],13,10),"")</f>
        <v/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LS</v>
      </c>
      <c r="L4188" s="150" t="s">
        <v>6435</v>
      </c>
      <c r="M4188" s="154">
        <v>45933</v>
      </c>
      <c r="N4188" s="155"/>
      <c r="O4188" s="155"/>
      <c r="P4188" s="154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44</v>
      </c>
      <c r="R4188" s="154" t="s">
        <v>489</v>
      </c>
      <c r="S4188" s="150"/>
    </row>
    <row r="4189" spans="1:19" hidden="1">
      <c r="A4189" s="149" t="s">
        <v>6451</v>
      </c>
      <c r="B4189" s="150" t="str">
        <f>IFERROR(VLOOKUP(Proc[[#This Row],[App]],Table2[],3,0),"open")</f>
        <v>ok</v>
      </c>
      <c r="C4189" s="149" t="s">
        <v>369</v>
      </c>
      <c r="D4189" t="s">
        <v>6466</v>
      </c>
      <c r="E4189" t="s">
        <v>6473</v>
      </c>
      <c r="F4189" s="150" t="s">
        <v>6473</v>
      </c>
      <c r="G4189" s="149" t="s">
        <v>400</v>
      </c>
      <c r="H4189" s="150" t="str">
        <f>IF(Proc[[#This Row],[type]]="LFF (MDG-F)",MID(Proc[[#This Row],[Obj]],13,10),"")</f>
        <v/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LS</v>
      </c>
      <c r="L4189" s="150" t="s">
        <v>6435</v>
      </c>
      <c r="M4189" s="154">
        <v>45933</v>
      </c>
      <c r="N4189" s="155"/>
      <c r="O4189" s="155"/>
      <c r="P4189" s="154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44</v>
      </c>
      <c r="R4189" s="154" t="s">
        <v>489</v>
      </c>
      <c r="S4189" s="150"/>
    </row>
    <row r="4190" spans="1:19" hidden="1">
      <c r="A4190" s="149" t="s">
        <v>6451</v>
      </c>
      <c r="B4190" s="150" t="str">
        <f>IFERROR(VLOOKUP(Proc[[#This Row],[App]],Table2[],3,0),"open")</f>
        <v>ok</v>
      </c>
      <c r="C4190" s="149" t="s">
        <v>369</v>
      </c>
      <c r="D4190" t="s">
        <v>6467</v>
      </c>
      <c r="E4190" t="s">
        <v>6473</v>
      </c>
      <c r="F4190" s="150" t="s">
        <v>6473</v>
      </c>
      <c r="G4190" s="149" t="s">
        <v>406</v>
      </c>
      <c r="H4190" s="150" t="str">
        <f>IF(Proc[[#This Row],[type]]="LFF (MDG-F)",MID(Proc[[#This Row],[Obj]],13,10),"")</f>
        <v>2102TMCZ90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LS</v>
      </c>
      <c r="L4190" s="150" t="s">
        <v>6435</v>
      </c>
      <c r="M4190" s="154">
        <v>45933</v>
      </c>
      <c r="N4190" s="155"/>
      <c r="O4190" s="155"/>
      <c r="P4190" s="154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44</v>
      </c>
      <c r="R4190" s="154" t="s">
        <v>489</v>
      </c>
      <c r="S4190" s="150"/>
    </row>
    <row r="4191" spans="1:19" hidden="1">
      <c r="A4191" s="149" t="s">
        <v>6451</v>
      </c>
      <c r="B4191" s="150" t="str">
        <f>IFERROR(VLOOKUP(Proc[[#This Row],[App]],Table2[],3,0),"open")</f>
        <v>ok</v>
      </c>
      <c r="C4191" s="149" t="s">
        <v>369</v>
      </c>
      <c r="D4191" t="s">
        <v>3571</v>
      </c>
      <c r="E4191" t="s">
        <v>6473</v>
      </c>
      <c r="F4191" s="150" t="s">
        <v>6473</v>
      </c>
      <c r="G4191" s="149" t="s">
        <v>400</v>
      </c>
      <c r="H4191" s="150" t="str">
        <f>IF(Proc[[#This Row],[type]]="LFF (MDG-F)",MID(Proc[[#This Row],[Obj]],13,10),"")</f>
        <v/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LS</v>
      </c>
      <c r="L4191" s="150" t="s">
        <v>6435</v>
      </c>
      <c r="M4191" s="154">
        <v>45933</v>
      </c>
      <c r="N4191" s="155"/>
      <c r="O4191" s="155"/>
      <c r="P4191" s="154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44</v>
      </c>
      <c r="R4191" s="154" t="s">
        <v>489</v>
      </c>
      <c r="S4191" s="150"/>
    </row>
    <row r="4192" spans="1:19" hidden="1">
      <c r="A4192" s="149" t="s">
        <v>6451</v>
      </c>
      <c r="B4192" s="150" t="str">
        <f>IFERROR(VLOOKUP(Proc[[#This Row],[App]],Table2[],3,0),"open")</f>
        <v>ok</v>
      </c>
      <c r="C4192" s="149" t="s">
        <v>369</v>
      </c>
      <c r="D4192" t="s">
        <v>3573</v>
      </c>
      <c r="E4192" t="s">
        <v>6471</v>
      </c>
      <c r="F4192" s="150" t="s">
        <v>6471</v>
      </c>
      <c r="G4192" s="149" t="s">
        <v>400</v>
      </c>
      <c r="H4192" s="150" t="str">
        <f>IF(Proc[[#This Row],[type]]="LFF (MDG-F)",MID(Proc[[#This Row],[Obj]],13,10),"")</f>
        <v/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LS</v>
      </c>
      <c r="L4192" s="150" t="s">
        <v>6435</v>
      </c>
      <c r="M4192" s="154">
        <v>45933</v>
      </c>
      <c r="N4192" s="155"/>
      <c r="O4192" s="155"/>
      <c r="P4192" s="154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44</v>
      </c>
      <c r="R4192" s="154" t="s">
        <v>489</v>
      </c>
      <c r="S4192" s="150"/>
    </row>
    <row r="4193" spans="1:19" hidden="1">
      <c r="A4193" t="s">
        <v>6474</v>
      </c>
      <c r="B4193" s="150" t="str">
        <f>IFERROR(VLOOKUP(Proc[[#This Row],[App]],Table2[],3,0),"open")</f>
        <v>ok</v>
      </c>
      <c r="C4193" s="149" t="s">
        <v>369</v>
      </c>
      <c r="D4193" t="s">
        <v>6478</v>
      </c>
      <c r="E4193" t="s">
        <v>6476</v>
      </c>
      <c r="F4193" s="150" t="s">
        <v>6476</v>
      </c>
      <c r="G4193" s="149" t="s">
        <v>400</v>
      </c>
      <c r="H4193" s="150" t="str">
        <f>IF(Proc[[#This Row],[type]]="LFF (MDG-F)",MID(Proc[[#This Row],[Obj]],13,10),"")</f>
        <v/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LS</v>
      </c>
      <c r="L4193" s="150" t="s">
        <v>6435</v>
      </c>
      <c r="M4193" s="154">
        <v>45933</v>
      </c>
      <c r="N4193" s="155"/>
      <c r="O4193" s="155"/>
      <c r="P4193" s="154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44</v>
      </c>
      <c r="R4193" s="154" t="s">
        <v>489</v>
      </c>
      <c r="S4193" s="150"/>
    </row>
    <row r="4194" spans="1:19" hidden="1">
      <c r="A4194" s="149" t="s">
        <v>6474</v>
      </c>
      <c r="B4194" s="150" t="str">
        <f>IFERROR(VLOOKUP(Proc[[#This Row],[App]],Table2[],3,0),"open")</f>
        <v>ok</v>
      </c>
      <c r="C4194" s="149" t="s">
        <v>369</v>
      </c>
      <c r="D4194" t="s">
        <v>6475</v>
      </c>
      <c r="E4194" t="s">
        <v>6472</v>
      </c>
      <c r="F4194" s="150" t="s">
        <v>6472</v>
      </c>
      <c r="G4194" t="s">
        <v>406</v>
      </c>
      <c r="H4194" s="150" t="str">
        <f>IF(Proc[[#This Row],[type]]="LFF (MDG-F)",MID(Proc[[#This Row],[Obj]],13,10),"")</f>
        <v>1937TMCZ95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LS</v>
      </c>
      <c r="L4194" s="150" t="s">
        <v>6435</v>
      </c>
      <c r="M4194" s="154">
        <v>45933</v>
      </c>
      <c r="N4194" s="155"/>
      <c r="O4194" s="155"/>
      <c r="P4194" s="154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44</v>
      </c>
      <c r="R4194" s="154" t="s">
        <v>489</v>
      </c>
      <c r="S4194" s="150"/>
    </row>
    <row r="4195" spans="1:19" hidden="1">
      <c r="A4195" t="s">
        <v>6479</v>
      </c>
      <c r="B4195" s="150" t="str">
        <f>IFERROR(VLOOKUP(Proc[[#This Row],[App]],Table2[],3,0),"open")</f>
        <v>ok</v>
      </c>
      <c r="C4195" s="149" t="s">
        <v>369</v>
      </c>
      <c r="D4195" t="s">
        <v>6502</v>
      </c>
      <c r="E4195" t="s">
        <v>424</v>
      </c>
      <c r="F4195" s="150" t="s">
        <v>424</v>
      </c>
      <c r="G4195" t="s">
        <v>400</v>
      </c>
      <c r="H4195" s="150" t="str">
        <f>IF(Proc[[#This Row],[type]]="LFF (MDG-F)",MID(Proc[[#This Row],[Obj]],13,10),"")</f>
        <v/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MGF</v>
      </c>
      <c r="L4195" s="150" t="s">
        <v>6435</v>
      </c>
      <c r="M4195" s="155">
        <v>45933</v>
      </c>
      <c r="N4195" s="155"/>
      <c r="O4195" s="155"/>
      <c r="P4195" s="15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44</v>
      </c>
      <c r="R4195" s="156" t="s">
        <v>1459</v>
      </c>
      <c r="S4195" s="150"/>
    </row>
    <row r="4196" spans="1:19" hidden="1">
      <c r="A4196" t="s">
        <v>6479</v>
      </c>
      <c r="B4196" s="150" t="str">
        <f>IFERROR(VLOOKUP(Proc[[#This Row],[App]],Table2[],3,0),"open")</f>
        <v>ok</v>
      </c>
      <c r="C4196" s="149" t="s">
        <v>369</v>
      </c>
      <c r="D4196" t="s">
        <v>6503</v>
      </c>
      <c r="E4196" t="s">
        <v>425</v>
      </c>
      <c r="F4196" s="150" t="s">
        <v>425</v>
      </c>
      <c r="G4196" t="s">
        <v>400</v>
      </c>
      <c r="H4196" s="150" t="str">
        <f>IF(Proc[[#This Row],[type]]="LFF (MDG-F)",MID(Proc[[#This Row],[Obj]],13,10),"")</f>
        <v/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6435</v>
      </c>
      <c r="M4196" s="155">
        <v>45933</v>
      </c>
      <c r="N4196" s="155"/>
      <c r="O4196" s="155"/>
      <c r="P4196" s="15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44</v>
      </c>
      <c r="R4196" s="156" t="s">
        <v>1459</v>
      </c>
      <c r="S4196" s="150"/>
    </row>
    <row r="4197" spans="1:19" hidden="1">
      <c r="A4197" t="s">
        <v>6481</v>
      </c>
      <c r="B4197" s="150" t="str">
        <f>IFERROR(VLOOKUP(Proc[[#This Row],[App]],Table2[],3,0),"open")</f>
        <v>ok</v>
      </c>
      <c r="C4197" s="149" t="s">
        <v>369</v>
      </c>
      <c r="D4197" t="s">
        <v>6506</v>
      </c>
      <c r="E4197" t="s">
        <v>4764</v>
      </c>
      <c r="F4197" s="150" t="s">
        <v>4764</v>
      </c>
      <c r="G4197" t="s">
        <v>406</v>
      </c>
      <c r="H4197" s="150" t="str">
        <f>IF(Proc[[#This Row],[type]]="LFF (MDG-F)",MID(Proc[[#This Row],[Obj]],13,10),"")</f>
        <v>AE50R0GR12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HC</v>
      </c>
      <c r="L4197" s="150" t="s">
        <v>6435</v>
      </c>
      <c r="M4197" s="155">
        <v>45937</v>
      </c>
      <c r="N4197" s="155"/>
      <c r="O4197" s="155"/>
      <c r="P4197" s="15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42</v>
      </c>
      <c r="R4197" s="156" t="s">
        <v>410</v>
      </c>
      <c r="S4197" s="150"/>
    </row>
    <row r="4198" spans="1:19" hidden="1">
      <c r="A4198" s="149" t="s">
        <v>6481</v>
      </c>
      <c r="B4198" s="150" t="str">
        <f>IFERROR(VLOOKUP(Proc[[#This Row],[App]],Table2[],3,0),"open")</f>
        <v>ok</v>
      </c>
      <c r="C4198" s="149" t="s">
        <v>369</v>
      </c>
      <c r="D4198" t="s">
        <v>6480</v>
      </c>
      <c r="E4198" t="s">
        <v>4764</v>
      </c>
      <c r="F4198" s="150" t="s">
        <v>4764</v>
      </c>
      <c r="G4198" t="s">
        <v>400</v>
      </c>
      <c r="H4198" s="150" t="str">
        <f>IF(Proc[[#This Row],[type]]="LFF (MDG-F)",MID(Proc[[#This Row],[Obj]],13,10),"")</f>
        <v/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HC</v>
      </c>
      <c r="L4198" s="150" t="s">
        <v>6435</v>
      </c>
      <c r="M4198" s="155">
        <v>45937</v>
      </c>
      <c r="N4198" s="155"/>
      <c r="O4198" s="155"/>
      <c r="P4198" s="15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42</v>
      </c>
      <c r="R4198" s="156" t="s">
        <v>410</v>
      </c>
      <c r="S4198" s="150"/>
    </row>
    <row r="4199" spans="1:19" hidden="1">
      <c r="A4199" t="s">
        <v>6484</v>
      </c>
      <c r="B4199" s="150" t="str">
        <f>IFERROR(VLOOKUP(Proc[[#This Row],[App]],Table2[],3,0),"open")</f>
        <v>ok</v>
      </c>
      <c r="C4199" s="149" t="s">
        <v>369</v>
      </c>
      <c r="D4199" t="s">
        <v>6482</v>
      </c>
      <c r="E4199" t="s">
        <v>6473</v>
      </c>
      <c r="F4199" s="150" t="s">
        <v>6473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LS</v>
      </c>
      <c r="L4199" s="150" t="s">
        <v>6435</v>
      </c>
      <c r="M4199" s="155">
        <v>45937</v>
      </c>
      <c r="N4199" s="155"/>
      <c r="O4199" s="155"/>
      <c r="P4199" s="15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42</v>
      </c>
      <c r="R4199" s="156" t="s">
        <v>489</v>
      </c>
      <c r="S4199" s="150"/>
    </row>
    <row r="4200" spans="1:19" hidden="1">
      <c r="A4200" t="s">
        <v>6484</v>
      </c>
      <c r="B4200" s="150" t="str">
        <f>IFERROR(VLOOKUP(Proc[[#This Row],[App]],Table2[],3,0),"open")</f>
        <v>ok</v>
      </c>
      <c r="C4200" s="149" t="s">
        <v>369</v>
      </c>
      <c r="D4200" t="s">
        <v>6483</v>
      </c>
      <c r="E4200" t="s">
        <v>6473</v>
      </c>
      <c r="F4200" s="150" t="s">
        <v>6473</v>
      </c>
      <c r="G4200" t="s">
        <v>400</v>
      </c>
      <c r="H4200" s="150" t="str">
        <f>IF(Proc[[#This Row],[type]]="LFF (MDG-F)",MID(Proc[[#This Row],[Obj]],13,10),"")</f>
        <v/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LS</v>
      </c>
      <c r="L4200" s="150" t="s">
        <v>6435</v>
      </c>
      <c r="M4200" s="155">
        <v>45937</v>
      </c>
      <c r="N4200" s="155"/>
      <c r="O4200" s="155"/>
      <c r="P4200" s="15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42</v>
      </c>
      <c r="R4200" s="156" t="s">
        <v>489</v>
      </c>
      <c r="S4200" s="150"/>
    </row>
    <row r="4201" spans="1:19" hidden="1">
      <c r="A4201" t="s">
        <v>6485</v>
      </c>
      <c r="B4201" s="150" t="str">
        <f>IFERROR(VLOOKUP(Proc[[#This Row],[App]],Table2[],3,0),"open")</f>
        <v>ok</v>
      </c>
      <c r="C4201" s="149" t="s">
        <v>369</v>
      </c>
      <c r="D4201" t="s">
        <v>6486</v>
      </c>
      <c r="E4201" t="s">
        <v>6476</v>
      </c>
      <c r="F4201" s="150" t="s">
        <v>6476</v>
      </c>
      <c r="G4201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LS</v>
      </c>
      <c r="L4201" s="150" t="s">
        <v>6435</v>
      </c>
      <c r="M4201" s="155">
        <v>45937</v>
      </c>
      <c r="N4201" s="155"/>
      <c r="O4201" s="155"/>
      <c r="P4201" s="15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42</v>
      </c>
      <c r="R4201" s="156" t="s">
        <v>489</v>
      </c>
      <c r="S4201" s="150"/>
    </row>
    <row r="4202" spans="1:19" hidden="1">
      <c r="A4202" t="s">
        <v>6485</v>
      </c>
      <c r="B4202" s="150" t="str">
        <f>IFERROR(VLOOKUP(Proc[[#This Row],[App]],Table2[],3,0),"open")</f>
        <v>ok</v>
      </c>
      <c r="C4202" s="149" t="s">
        <v>369</v>
      </c>
      <c r="D4202" t="s">
        <v>6487</v>
      </c>
      <c r="E4202" t="s">
        <v>2367</v>
      </c>
      <c r="F4202" s="150" t="s">
        <v>2367</v>
      </c>
      <c r="G4202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LS</v>
      </c>
      <c r="L4202" s="150" t="s">
        <v>6435</v>
      </c>
      <c r="M4202" s="155">
        <v>45937</v>
      </c>
      <c r="N4202" s="155"/>
      <c r="O4202" s="155"/>
      <c r="P4202" s="15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42</v>
      </c>
      <c r="R4202" s="156" t="s">
        <v>489</v>
      </c>
      <c r="S4202" s="150"/>
    </row>
    <row r="4203" spans="1:19" hidden="1">
      <c r="A4203" s="149" t="s">
        <v>6485</v>
      </c>
      <c r="B4203" s="150" t="str">
        <f>IFERROR(VLOOKUP(Proc[[#This Row],[App]],Table2[],3,0),"open")</f>
        <v>ok</v>
      </c>
      <c r="C4203" s="149" t="s">
        <v>369</v>
      </c>
      <c r="D4203" t="s">
        <v>6488</v>
      </c>
      <c r="E4203" t="s">
        <v>2367</v>
      </c>
      <c r="F4203" s="150" t="s">
        <v>2367</v>
      </c>
      <c r="G4203" s="149" t="s">
        <v>400</v>
      </c>
      <c r="H4203" s="150" t="str">
        <f>IF(Proc[[#This Row],[type]]="LFF (MDG-F)",MID(Proc[[#This Row],[Obj]],13,10),"")</f>
        <v/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LS</v>
      </c>
      <c r="L4203" s="150" t="s">
        <v>6435</v>
      </c>
      <c r="M4203" s="155">
        <v>45937</v>
      </c>
      <c r="N4203" s="155"/>
      <c r="O4203" s="155"/>
      <c r="P4203" s="15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42</v>
      </c>
      <c r="R4203" s="156" t="s">
        <v>489</v>
      </c>
      <c r="S4203" s="150"/>
    </row>
    <row r="4204" spans="1:19" hidden="1">
      <c r="A4204" s="149" t="s">
        <v>6485</v>
      </c>
      <c r="B4204" s="150" t="str">
        <f>IFERROR(VLOOKUP(Proc[[#This Row],[App]],Table2[],3,0),"open")</f>
        <v>ok</v>
      </c>
      <c r="C4204" s="149" t="s">
        <v>369</v>
      </c>
      <c r="D4204" t="s">
        <v>6489</v>
      </c>
      <c r="E4204" t="s">
        <v>2367</v>
      </c>
      <c r="F4204" s="150" t="s">
        <v>2367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LS</v>
      </c>
      <c r="L4204" s="150" t="s">
        <v>6435</v>
      </c>
      <c r="M4204" s="155">
        <v>45937</v>
      </c>
      <c r="N4204" s="155"/>
      <c r="O4204" s="155"/>
      <c r="P4204" s="15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42</v>
      </c>
      <c r="R4204" s="156" t="s">
        <v>489</v>
      </c>
      <c r="S4204" s="150"/>
    </row>
    <row r="4205" spans="1:19" hidden="1">
      <c r="A4205" s="149" t="s">
        <v>6485</v>
      </c>
      <c r="B4205" s="150" t="str">
        <f>IFERROR(VLOOKUP(Proc[[#This Row],[App]],Table2[],3,0),"open")</f>
        <v>ok</v>
      </c>
      <c r="C4205" s="149" t="s">
        <v>369</v>
      </c>
      <c r="D4205" t="s">
        <v>6490</v>
      </c>
      <c r="E4205" t="s">
        <v>2367</v>
      </c>
      <c r="F4205" s="150" t="s">
        <v>2367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LS</v>
      </c>
      <c r="L4205" s="150" t="s">
        <v>6435</v>
      </c>
      <c r="M4205" s="155">
        <v>45937</v>
      </c>
      <c r="N4205" s="155"/>
      <c r="O4205" s="155"/>
      <c r="P4205" s="15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42</v>
      </c>
      <c r="R4205" s="156" t="s">
        <v>489</v>
      </c>
      <c r="S4205" s="150"/>
    </row>
    <row r="4206" spans="1:19" hidden="1">
      <c r="A4206" s="149" t="s">
        <v>6485</v>
      </c>
      <c r="B4206" s="150" t="str">
        <f>IFERROR(VLOOKUP(Proc[[#This Row],[App]],Table2[],3,0),"open")</f>
        <v>ok</v>
      </c>
      <c r="C4206" s="149" t="s">
        <v>369</v>
      </c>
      <c r="D4206" t="s">
        <v>6491</v>
      </c>
      <c r="E4206" t="s">
        <v>6498</v>
      </c>
      <c r="F4206" s="150" t="s">
        <v>6498</v>
      </c>
      <c r="G4206" s="149" t="s">
        <v>400</v>
      </c>
      <c r="H4206" s="150" t="str">
        <f>IF(Proc[[#This Row],[type]]="LFF (MDG-F)",MID(Proc[[#This Row],[Obj]],13,10),"")</f>
        <v/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LS</v>
      </c>
      <c r="L4206" s="150" t="s">
        <v>6435</v>
      </c>
      <c r="M4206" s="155">
        <v>45937</v>
      </c>
      <c r="N4206" s="155"/>
      <c r="O4206" s="155"/>
      <c r="P4206" s="15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42</v>
      </c>
      <c r="R4206" s="156" t="s">
        <v>489</v>
      </c>
      <c r="S4206" s="150"/>
    </row>
    <row r="4207" spans="1:19" hidden="1">
      <c r="A4207" s="149" t="s">
        <v>6485</v>
      </c>
      <c r="B4207" s="150" t="str">
        <f>IFERROR(VLOOKUP(Proc[[#This Row],[App]],Table2[],3,0),"open")</f>
        <v>ok</v>
      </c>
      <c r="C4207" s="149" t="s">
        <v>369</v>
      </c>
      <c r="D4207" t="s">
        <v>6492</v>
      </c>
      <c r="E4207" t="s">
        <v>2200</v>
      </c>
      <c r="F4207" s="150" t="s">
        <v>2200</v>
      </c>
      <c r="G4207" s="149" t="s">
        <v>400</v>
      </c>
      <c r="H4207" s="150" t="str">
        <f>IF(Proc[[#This Row],[type]]="LFF (MDG-F)",MID(Proc[[#This Row],[Obj]],13,10),"")</f>
        <v/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LS</v>
      </c>
      <c r="L4207" s="150" t="s">
        <v>6435</v>
      </c>
      <c r="M4207" s="155">
        <v>45937</v>
      </c>
      <c r="N4207" s="155"/>
      <c r="O4207" s="155"/>
      <c r="P4207" s="15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42</v>
      </c>
      <c r="R4207" s="156" t="s">
        <v>489</v>
      </c>
      <c r="S4207" s="150"/>
    </row>
    <row r="4208" spans="1:19" hidden="1">
      <c r="A4208" s="149" t="s">
        <v>6485</v>
      </c>
      <c r="B4208" s="150" t="str">
        <f>IFERROR(VLOOKUP(Proc[[#This Row],[App]],Table2[],3,0),"open")</f>
        <v>ok</v>
      </c>
      <c r="C4208" s="149" t="s">
        <v>369</v>
      </c>
      <c r="D4208" t="s">
        <v>6493</v>
      </c>
      <c r="E4208" t="s">
        <v>6499</v>
      </c>
      <c r="F4208" s="150" t="s">
        <v>6499</v>
      </c>
      <c r="G4208" s="149" t="s">
        <v>400</v>
      </c>
      <c r="H4208" s="150" t="str">
        <f>IF(Proc[[#This Row],[type]]="LFF (MDG-F)",MID(Proc[[#This Row],[Obj]],13,10),"")</f>
        <v/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LS</v>
      </c>
      <c r="L4208" s="150" t="s">
        <v>6435</v>
      </c>
      <c r="M4208" s="155">
        <v>45937</v>
      </c>
      <c r="N4208" s="155"/>
      <c r="O4208" s="155"/>
      <c r="P4208" s="15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42</v>
      </c>
      <c r="R4208" s="156" t="s">
        <v>489</v>
      </c>
      <c r="S4208" s="150"/>
    </row>
    <row r="4209" spans="1:19" hidden="1">
      <c r="A4209" s="149" t="s">
        <v>6485</v>
      </c>
      <c r="B4209" s="150" t="str">
        <f>IFERROR(VLOOKUP(Proc[[#This Row],[App]],Table2[],3,0),"open")</f>
        <v>ok</v>
      </c>
      <c r="C4209" s="149" t="s">
        <v>369</v>
      </c>
      <c r="D4209" t="s">
        <v>6494</v>
      </c>
      <c r="E4209" t="s">
        <v>3615</v>
      </c>
      <c r="F4209" s="150" t="s">
        <v>3615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LS</v>
      </c>
      <c r="L4209" s="150" t="s">
        <v>6435</v>
      </c>
      <c r="M4209" s="155">
        <v>45937</v>
      </c>
      <c r="N4209" s="155"/>
      <c r="O4209" s="155"/>
      <c r="P4209" s="15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42</v>
      </c>
      <c r="R4209" s="156" t="s">
        <v>489</v>
      </c>
      <c r="S4209" s="150"/>
    </row>
    <row r="4210" spans="1:19" hidden="1">
      <c r="A4210" s="149" t="s">
        <v>6485</v>
      </c>
      <c r="B4210" s="150" t="str">
        <f>IFERROR(VLOOKUP(Proc[[#This Row],[App]],Table2[],3,0),"open")</f>
        <v>ok</v>
      </c>
      <c r="C4210" s="149" t="s">
        <v>369</v>
      </c>
      <c r="D4210" t="s">
        <v>6495</v>
      </c>
      <c r="E4210" t="s">
        <v>4890</v>
      </c>
      <c r="F4210" s="150" t="s">
        <v>4890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LS</v>
      </c>
      <c r="L4210" s="150" t="s">
        <v>6435</v>
      </c>
      <c r="M4210" s="155">
        <v>45937</v>
      </c>
      <c r="N4210" s="155"/>
      <c r="O4210" s="155"/>
      <c r="P4210" s="15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42</v>
      </c>
      <c r="R4210" s="156" t="s">
        <v>489</v>
      </c>
      <c r="S4210" s="150"/>
    </row>
    <row r="4211" spans="1:19" hidden="1">
      <c r="A4211" s="149" t="s">
        <v>6485</v>
      </c>
      <c r="B4211" s="150" t="str">
        <f>IFERROR(VLOOKUP(Proc[[#This Row],[App]],Table2[],3,0),"open")</f>
        <v>ok</v>
      </c>
      <c r="C4211" s="149" t="s">
        <v>369</v>
      </c>
      <c r="D4211" t="s">
        <v>6496</v>
      </c>
      <c r="E4211" t="s">
        <v>6500</v>
      </c>
      <c r="F4211" s="150" t="s">
        <v>6500</v>
      </c>
      <c r="G4211" s="149" t="s">
        <v>400</v>
      </c>
      <c r="H4211" s="150" t="str">
        <f>IF(Proc[[#This Row],[type]]="LFF (MDG-F)",MID(Proc[[#This Row],[Obj]],13,10),"")</f>
        <v/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LS</v>
      </c>
      <c r="L4211" s="150" t="s">
        <v>6435</v>
      </c>
      <c r="M4211" s="155">
        <v>45937</v>
      </c>
      <c r="N4211" s="155"/>
      <c r="O4211" s="155"/>
      <c r="P4211" s="15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42</v>
      </c>
      <c r="R4211" s="157" t="s">
        <v>489</v>
      </c>
      <c r="S4211" s="150"/>
    </row>
    <row r="4212" spans="1:19" hidden="1">
      <c r="A4212" s="149" t="s">
        <v>6485</v>
      </c>
      <c r="B4212" s="150" t="str">
        <f>IFERROR(VLOOKUP(Proc[[#This Row],[App]],Table2[],3,0),"open")</f>
        <v>ok</v>
      </c>
      <c r="C4212" s="149" t="s">
        <v>369</v>
      </c>
      <c r="D4212" t="s">
        <v>6497</v>
      </c>
      <c r="E4212" t="s">
        <v>2178</v>
      </c>
      <c r="F4212" s="150" t="s">
        <v>2178</v>
      </c>
      <c r="G4212" s="149" t="s">
        <v>400</v>
      </c>
      <c r="H4212" s="150" t="str">
        <f>IF(Proc[[#This Row],[type]]="LFF (MDG-F)",MID(Proc[[#This Row],[Obj]],13,10),"")</f>
        <v/>
      </c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LS</v>
      </c>
      <c r="L4212" s="150" t="s">
        <v>6435</v>
      </c>
      <c r="M4212" s="155">
        <v>45937</v>
      </c>
      <c r="N4212" s="155"/>
      <c r="O4212" s="155"/>
      <c r="P4212" s="15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42</v>
      </c>
      <c r="R4212" s="157" t="s">
        <v>489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t="s">
        <v>369</v>
      </c>
      <c r="D4213" s="149" t="s">
        <v>6333</v>
      </c>
      <c r="E4213" s="149" t="s">
        <v>6501</v>
      </c>
      <c r="F4213" s="149" t="s">
        <v>6501</v>
      </c>
      <c r="G4213" s="149" t="s">
        <v>406</v>
      </c>
      <c r="H4213" s="150" t="str">
        <f>IF(Proc[[#This Row],[type]]="LFF (MDG-F)",MID(Proc[[#This Row],[Obj]],13,10),"")</f>
        <v>DE10Z01000</v>
      </c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56">
        <v>45937</v>
      </c>
      <c r="N4213" s="157"/>
      <c r="O4213" s="157"/>
      <c r="P4213" s="15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42</v>
      </c>
      <c r="R4213" s="15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s="149" t="s">
        <v>6334</v>
      </c>
      <c r="E4214" s="149" t="s">
        <v>6501</v>
      </c>
      <c r="F4214" s="149" t="s">
        <v>6501</v>
      </c>
      <c r="G4214" s="149" t="s">
        <v>406</v>
      </c>
      <c r="H4214" s="150" t="str">
        <f>IF(Proc[[#This Row],[type]]="LFF (MDG-F)",MID(Proc[[#This Row],[Obj]],13,10),"")</f>
        <v>CN90Z01000</v>
      </c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56">
        <v>45937</v>
      </c>
      <c r="N4214" s="157"/>
      <c r="O4214" s="157"/>
      <c r="P4214" s="15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42</v>
      </c>
      <c r="R4214" s="15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s="149" t="s">
        <v>6335</v>
      </c>
      <c r="E4215" s="149" t="s">
        <v>6501</v>
      </c>
      <c r="F4215" s="149" t="s">
        <v>6501</v>
      </c>
      <c r="G4215" s="149" t="s">
        <v>406</v>
      </c>
      <c r="H4215" s="150" t="str">
        <f>IF(Proc[[#This Row],[type]]="LFF (MDG-F)",MID(Proc[[#This Row],[Obj]],13,10),"")</f>
        <v>ES50Z01000</v>
      </c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56">
        <v>45937</v>
      </c>
      <c r="N4215" s="157"/>
      <c r="O4215" s="157"/>
      <c r="P4215" s="15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42</v>
      </c>
      <c r="R4215" s="15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s="149" t="s">
        <v>6336</v>
      </c>
      <c r="E4216" s="149" t="s">
        <v>6501</v>
      </c>
      <c r="F4216" s="149" t="s">
        <v>6501</v>
      </c>
      <c r="G4216" s="149" t="s">
        <v>406</v>
      </c>
      <c r="H4216" s="150" t="str">
        <f>IF(Proc[[#This Row],[type]]="LFF (MDG-F)",MID(Proc[[#This Row],[Obj]],13,10),"")</f>
        <v>CN03Z01000</v>
      </c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56">
        <v>45937</v>
      </c>
      <c r="N4216" s="157"/>
      <c r="O4216" s="157"/>
      <c r="P4216" s="15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42</v>
      </c>
      <c r="R4216" s="15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s="149" t="s">
        <v>6337</v>
      </c>
      <c r="E4217" s="149" t="s">
        <v>6501</v>
      </c>
      <c r="F4217" s="149" t="s">
        <v>6501</v>
      </c>
      <c r="G4217" s="149" t="s">
        <v>406</v>
      </c>
      <c r="H4217" s="150" t="str">
        <f>IF(Proc[[#This Row],[type]]="LFF (MDG-F)",MID(Proc[[#This Row],[Obj]],13,10),"")</f>
        <v>IN01Z01000</v>
      </c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56">
        <v>45937</v>
      </c>
      <c r="N4217" s="157"/>
      <c r="O4217" s="157"/>
      <c r="P4217" s="15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42</v>
      </c>
      <c r="R4217" s="15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s="149" t="s">
        <v>6338</v>
      </c>
      <c r="E4218" s="149" t="s">
        <v>6501</v>
      </c>
      <c r="F4218" s="149" t="s">
        <v>6501</v>
      </c>
      <c r="G4218" s="149" t="s">
        <v>406</v>
      </c>
      <c r="H4218" s="150" t="str">
        <f>IF(Proc[[#This Row],[type]]="LFF (MDG-F)",MID(Proc[[#This Row],[Obj]],13,10),"")</f>
        <v>SG09Z01000</v>
      </c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56">
        <v>45937</v>
      </c>
      <c r="N4218" s="157"/>
      <c r="O4218" s="157"/>
      <c r="P4218" s="15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42</v>
      </c>
      <c r="R4218" s="15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s="149" t="s">
        <v>6350</v>
      </c>
      <c r="E4219" s="149" t="s">
        <v>6501</v>
      </c>
      <c r="F4219" s="149" t="s">
        <v>6501</v>
      </c>
      <c r="G4219" s="149" t="s">
        <v>400</v>
      </c>
      <c r="H4219" s="150" t="str">
        <f>IF(Proc[[#This Row],[type]]="LFF (MDG-F)",MID(Proc[[#This Row],[Obj]],13,10),"")</f>
        <v/>
      </c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56">
        <v>45937</v>
      </c>
      <c r="N4219" s="157"/>
      <c r="O4219" s="157"/>
      <c r="P4219" s="15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42</v>
      </c>
      <c r="R4219" s="15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s="149" t="s">
        <v>6339</v>
      </c>
      <c r="E4220" s="149" t="s">
        <v>6501</v>
      </c>
      <c r="F4220" s="149" t="s">
        <v>6501</v>
      </c>
      <c r="G4220" s="149" t="s">
        <v>406</v>
      </c>
      <c r="H4220" s="150" t="str">
        <f>IF(Proc[[#This Row],[type]]="LFF (MDG-F)",MID(Proc[[#This Row],[Obj]],13,10),"")</f>
        <v>CN01Z01000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56">
        <v>45937</v>
      </c>
      <c r="N4220" s="157"/>
      <c r="O4220" s="157"/>
      <c r="P4220" s="15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42</v>
      </c>
      <c r="R4220" s="15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s="149" t="s">
        <v>6340</v>
      </c>
      <c r="E4221" s="149" t="s">
        <v>6501</v>
      </c>
      <c r="F4221" s="149" t="s">
        <v>6501</v>
      </c>
      <c r="G4221" s="149" t="s">
        <v>406</v>
      </c>
      <c r="H4221" s="150" t="str">
        <f>IF(Proc[[#This Row],[type]]="LFF (MDG-F)",MID(Proc[[#This Row],[Obj]],13,10),"")</f>
        <v>DE04Z01000</v>
      </c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56">
        <v>45937</v>
      </c>
      <c r="N4221" s="157"/>
      <c r="O4221" s="157"/>
      <c r="P4221" s="15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42</v>
      </c>
      <c r="R4221" s="15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s="149" t="s">
        <v>6341</v>
      </c>
      <c r="E4222" s="149" t="s">
        <v>6501</v>
      </c>
      <c r="F4222" s="149" t="s">
        <v>6501</v>
      </c>
      <c r="G4222" s="149" t="s">
        <v>406</v>
      </c>
      <c r="H4222" s="150" t="str">
        <f>IF(Proc[[#This Row],[type]]="LFF (MDG-F)",MID(Proc[[#This Row],[Obj]],13,10),"")</f>
        <v>KR03Z01000</v>
      </c>
      <c r="J4222" s="150" t="b">
        <f>Proc[[#This Row],[Requested]]=Proc[[#This Row],[CurrentParent]]</f>
        <v>1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56">
        <v>45937</v>
      </c>
      <c r="N4222" s="157"/>
      <c r="O4222" s="157"/>
      <c r="P4222" s="15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42</v>
      </c>
      <c r="R4222" s="156" t="s">
        <v>780</v>
      </c>
      <c r="S4222" s="150"/>
    </row>
    <row r="4223" spans="1:19" hidden="1">
      <c r="A4223" s="149" t="s">
        <v>6344</v>
      </c>
      <c r="B4223" s="150" t="str">
        <f>IFERROR(VLOOKUP(Proc[[#This Row],[App]],Table2[],3,0),"open")</f>
        <v>ok</v>
      </c>
      <c r="C4223" s="149" t="s">
        <v>369</v>
      </c>
      <c r="D4223" s="149" t="s">
        <v>6342</v>
      </c>
      <c r="E4223" s="149" t="s">
        <v>6501</v>
      </c>
      <c r="F4223" s="149" t="s">
        <v>6501</v>
      </c>
      <c r="G4223" s="149" t="s">
        <v>406</v>
      </c>
      <c r="H4223" s="150" t="str">
        <f>IF(Proc[[#This Row],[type]]="LFF (MDG-F)",MID(Proc[[#This Row],[Obj]],13,10),"")</f>
        <v>US01Z01000</v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EL</v>
      </c>
      <c r="L4223" s="150" t="s">
        <v>4894</v>
      </c>
      <c r="M4223" s="156">
        <v>45937</v>
      </c>
      <c r="N4223" s="157"/>
      <c r="O4223" s="157"/>
      <c r="P4223" s="156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42</v>
      </c>
      <c r="R4223" s="156" t="s">
        <v>780</v>
      </c>
      <c r="S4223" s="150"/>
    </row>
    <row r="4224" spans="1:19" hidden="1">
      <c r="A4224" s="149" t="s">
        <v>6344</v>
      </c>
      <c r="B4224" s="150" t="str">
        <f>IFERROR(VLOOKUP(Proc[[#This Row],[App]],Table2[],3,0),"open")</f>
        <v>ok</v>
      </c>
      <c r="C4224" s="149" t="s">
        <v>369</v>
      </c>
      <c r="D4224" s="149" t="s">
        <v>6343</v>
      </c>
      <c r="E4224" s="149" t="s">
        <v>6501</v>
      </c>
      <c r="F4224" s="149" t="s">
        <v>6501</v>
      </c>
      <c r="G4224" s="149" t="s">
        <v>406</v>
      </c>
      <c r="H4224" s="150" t="str">
        <f>IF(Proc[[#This Row],[type]]="LFF (MDG-F)",MID(Proc[[#This Row],[Obj]],13,10),"")</f>
        <v>TW02Z01000</v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EL</v>
      </c>
      <c r="L4224" s="150" t="s">
        <v>4894</v>
      </c>
      <c r="M4224" s="156">
        <v>45937</v>
      </c>
      <c r="N4224" s="157"/>
      <c r="O4224" s="157"/>
      <c r="P4224" s="156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42</v>
      </c>
      <c r="R4224" s="156" t="s">
        <v>780</v>
      </c>
      <c r="S4224" s="150"/>
    </row>
    <row r="4225" spans="1:19" s="149" customFormat="1" hidden="1">
      <c r="A4225" s="149" t="s">
        <v>6504</v>
      </c>
      <c r="B4225" s="150" t="str">
        <f>IFERROR(VLOOKUP(Proc[[#This Row],[App]],Table2[],3,0),"open")</f>
        <v>ok</v>
      </c>
      <c r="C4225" s="149" t="s">
        <v>369</v>
      </c>
      <c r="D4225" s="149" t="s">
        <v>5780</v>
      </c>
      <c r="E4225" s="149" t="s">
        <v>6505</v>
      </c>
      <c r="F4225" s="150" t="s">
        <v>6505</v>
      </c>
      <c r="G4225" s="149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LS</v>
      </c>
      <c r="L4225" s="150" t="s">
        <v>6435</v>
      </c>
      <c r="M4225" s="157">
        <v>45939</v>
      </c>
      <c r="N4225" s="157"/>
      <c r="O4225" s="157"/>
      <c r="P4225" s="158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40</v>
      </c>
      <c r="R4225" s="157" t="s">
        <v>489</v>
      </c>
      <c r="S4225" s="150"/>
    </row>
    <row r="4226" spans="1:19" s="149" customFormat="1" hidden="1">
      <c r="A4226" s="149" t="s">
        <v>6504</v>
      </c>
      <c r="B4226" s="150" t="str">
        <f>IFERROR(VLOOKUP(Proc[[#This Row],[App]],Table2[],3,0),"open")</f>
        <v>ok</v>
      </c>
      <c r="C4226" s="149" t="s">
        <v>369</v>
      </c>
      <c r="D4226" s="149" t="s">
        <v>5781</v>
      </c>
      <c r="E4226" s="149" t="s">
        <v>6505</v>
      </c>
      <c r="F4226" s="150" t="s">
        <v>6505</v>
      </c>
      <c r="G4226" s="149" t="s">
        <v>400</v>
      </c>
      <c r="H4226" s="150" t="str">
        <f>IF(Proc[[#This Row],[type]]="LFF (MDG-F)",MID(Proc[[#This Row],[Obj]],13,10),"")</f>
        <v/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LS</v>
      </c>
      <c r="L4226" s="150" t="s">
        <v>6435</v>
      </c>
      <c r="M4226" s="157">
        <v>45939</v>
      </c>
      <c r="N4226" s="157"/>
      <c r="O4226" s="157"/>
      <c r="P4226" s="158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40</v>
      </c>
      <c r="R4226" s="157" t="s">
        <v>489</v>
      </c>
      <c r="S4226" s="150"/>
    </row>
    <row r="4227" spans="1:19" s="149" customFormat="1" hidden="1">
      <c r="A4227" s="149" t="s">
        <v>6504</v>
      </c>
      <c r="B4227" s="150" t="str">
        <f>IFERROR(VLOOKUP(Proc[[#This Row],[App]],Table2[],3,0),"open")</f>
        <v>ok</v>
      </c>
      <c r="C4227" s="149" t="s">
        <v>369</v>
      </c>
      <c r="D4227" s="149" t="s">
        <v>5782</v>
      </c>
      <c r="E4227" s="149" t="s">
        <v>6505</v>
      </c>
      <c r="F4227" s="150" t="s">
        <v>6505</v>
      </c>
      <c r="G4227" s="149" t="s">
        <v>400</v>
      </c>
      <c r="H4227" s="150" t="str">
        <f>IF(Proc[[#This Row],[type]]="LFF (MDG-F)",MID(Proc[[#This Row],[Obj]],13,10),"")</f>
        <v/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LS</v>
      </c>
      <c r="L4227" s="150" t="s">
        <v>6435</v>
      </c>
      <c r="M4227" s="157">
        <v>45939</v>
      </c>
      <c r="N4227" s="157"/>
      <c r="O4227" s="157"/>
      <c r="P4227" s="158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40</v>
      </c>
      <c r="R4227" s="157" t="s">
        <v>489</v>
      </c>
      <c r="S4227" s="150"/>
    </row>
    <row r="4228" spans="1:19" s="149" customFormat="1" hidden="1">
      <c r="A4228" s="149" t="s">
        <v>6504</v>
      </c>
      <c r="B4228" s="150" t="str">
        <f>IFERROR(VLOOKUP(Proc[[#This Row],[App]],Table2[],3,0),"open")</f>
        <v>ok</v>
      </c>
      <c r="C4228" s="149" t="s">
        <v>369</v>
      </c>
      <c r="D4228" s="149" t="s">
        <v>5783</v>
      </c>
      <c r="E4228" s="149" t="s">
        <v>6505</v>
      </c>
      <c r="F4228" s="150" t="s">
        <v>6505</v>
      </c>
      <c r="G4228" s="149" t="s">
        <v>400</v>
      </c>
      <c r="H4228" s="150" t="str">
        <f>IF(Proc[[#This Row],[type]]="LFF (MDG-F)",MID(Proc[[#This Row],[Obj]],13,10),"")</f>
        <v/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LS</v>
      </c>
      <c r="L4228" s="150" t="s">
        <v>6435</v>
      </c>
      <c r="M4228" s="157">
        <v>45939</v>
      </c>
      <c r="N4228" s="157"/>
      <c r="O4228" s="157"/>
      <c r="P4228" s="158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40</v>
      </c>
      <c r="R4228" s="157" t="s">
        <v>489</v>
      </c>
      <c r="S4228" s="150"/>
    </row>
    <row r="4229" spans="1:19" hidden="1">
      <c r="A4229" t="s">
        <v>6509</v>
      </c>
      <c r="B4229" s="150" t="str">
        <f>IFERROR(VLOOKUP(Proc[[#This Row],[App]],Table2[],3,0),"open")</f>
        <v>ok</v>
      </c>
      <c r="C4229" t="s">
        <v>369</v>
      </c>
      <c r="D4229" t="s">
        <v>6507</v>
      </c>
      <c r="E4229" t="s">
        <v>6508</v>
      </c>
      <c r="F4229" s="150" t="s">
        <v>6508</v>
      </c>
      <c r="G4229" t="s">
        <v>400</v>
      </c>
      <c r="H4229" s="150" t="str">
        <f>IF(Proc[[#This Row],[type]]="LFF (MDG-F)",MID(Proc[[#This Row],[Obj]],13,10),"")</f>
        <v/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LS</v>
      </c>
      <c r="L4229" s="150" t="s">
        <v>6435</v>
      </c>
      <c r="M4229" s="158">
        <v>45946</v>
      </c>
      <c r="N4229" s="158"/>
      <c r="O4229" s="158"/>
      <c r="P4229" s="159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35</v>
      </c>
      <c r="R4229" s="158" t="s">
        <v>489</v>
      </c>
      <c r="S4229" s="150"/>
    </row>
    <row r="4230" spans="1:19" hidden="1">
      <c r="A4230" t="s">
        <v>6513</v>
      </c>
      <c r="B4230" s="150" t="str">
        <f>IFERROR(VLOOKUP(Proc[[#This Row],[App]],Table2[],3,0),"open")</f>
        <v>ok</v>
      </c>
      <c r="C4230" s="149" t="s">
        <v>369</v>
      </c>
      <c r="D4230" t="s">
        <v>6510</v>
      </c>
      <c r="E4230" t="s">
        <v>4914</v>
      </c>
      <c r="F4230" s="150" t="s">
        <v>4914</v>
      </c>
      <c r="G4230" t="s">
        <v>406</v>
      </c>
      <c r="H4230" s="150" t="str">
        <f>IF(Proc[[#This Row],[type]]="LFF (MDG-F)",MID(Proc[[#This Row],[Obj]],13,10),"")</f>
        <v>FI50R00004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6435</v>
      </c>
      <c r="M4230" s="158">
        <v>45946</v>
      </c>
      <c r="N4230" s="158"/>
      <c r="O4230" s="158"/>
      <c r="P4230" s="159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35</v>
      </c>
      <c r="R4230" s="159" t="s">
        <v>415</v>
      </c>
      <c r="S4230" s="150"/>
    </row>
    <row r="4231" spans="1:19" hidden="1">
      <c r="A4231" t="s">
        <v>6513</v>
      </c>
      <c r="B4231" s="150" t="str">
        <f>IFERROR(VLOOKUP(Proc[[#This Row],[App]],Table2[],3,0),"open")</f>
        <v>ok</v>
      </c>
      <c r="C4231" s="149" t="s">
        <v>369</v>
      </c>
      <c r="D4231" t="s">
        <v>6511</v>
      </c>
      <c r="E4231" t="s">
        <v>6512</v>
      </c>
      <c r="F4231" s="150" t="s">
        <v>6512</v>
      </c>
      <c r="G4231" t="s">
        <v>406</v>
      </c>
      <c r="H4231" s="150" t="str">
        <f>IF(Proc[[#This Row],[type]]="LFF (MDG-F)",MID(Proc[[#This Row],[Obj]],13,10),"")</f>
        <v>FI50R00009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6435</v>
      </c>
      <c r="M4231" s="158">
        <v>45946</v>
      </c>
      <c r="N4231" s="158"/>
      <c r="O4231" s="158"/>
      <c r="P4231" s="159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35</v>
      </c>
      <c r="R4231" s="159" t="s">
        <v>415</v>
      </c>
      <c r="S4231" s="150"/>
    </row>
    <row r="4232" spans="1:19" hidden="1">
      <c r="A4232" t="s">
        <v>6514</v>
      </c>
      <c r="B4232" s="150" t="str">
        <f>IFERROR(VLOOKUP(Proc[[#This Row],[App]],Table2[],3,0),"open")</f>
        <v>ok</v>
      </c>
      <c r="C4232" s="149" t="s">
        <v>369</v>
      </c>
      <c r="D4232" t="s">
        <v>6515</v>
      </c>
      <c r="E4232" t="s">
        <v>6531</v>
      </c>
      <c r="F4232" s="150" t="s">
        <v>6531</v>
      </c>
      <c r="G4232" t="s">
        <v>400</v>
      </c>
      <c r="H4232" s="150" t="str">
        <f>IF(Proc[[#This Row],[type]]="LFF (MDG-F)",MID(Proc[[#This Row],[Obj]],13,10),"")</f>
        <v/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MGF</v>
      </c>
      <c r="L4232" s="150" t="s">
        <v>6435</v>
      </c>
      <c r="M4232" s="158">
        <v>45946</v>
      </c>
      <c r="N4232" s="158"/>
      <c r="O4232" s="158"/>
      <c r="P4232" s="159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35</v>
      </c>
      <c r="R4232" s="159" t="s">
        <v>856</v>
      </c>
      <c r="S4232" s="150"/>
    </row>
    <row r="4233" spans="1:19" hidden="1">
      <c r="A4233" t="s">
        <v>6516</v>
      </c>
      <c r="B4233" s="150" t="str">
        <f>IFERROR(VLOOKUP(Proc[[#This Row],[App]],Table2[],3,0),"open")</f>
        <v>ok</v>
      </c>
      <c r="C4233" s="149" t="s">
        <v>369</v>
      </c>
      <c r="D4233" t="s">
        <v>6517</v>
      </c>
      <c r="E4233" t="s">
        <v>6531</v>
      </c>
      <c r="F4233" s="150" t="s">
        <v>6531</v>
      </c>
      <c r="G4233" t="s">
        <v>400</v>
      </c>
      <c r="H4233" s="150" t="str">
        <f>IF(Proc[[#This Row],[type]]="LFF (MDG-F)",MID(Proc[[#This Row],[Obj]],13,10),"")</f>
        <v/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MGF</v>
      </c>
      <c r="L4233" s="150" t="s">
        <v>6435</v>
      </c>
      <c r="M4233" s="158">
        <v>45946</v>
      </c>
      <c r="N4233" s="158"/>
      <c r="O4233" s="158"/>
      <c r="P4233" s="159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35</v>
      </c>
      <c r="R4233" s="159" t="s">
        <v>856</v>
      </c>
      <c r="S4233" s="150"/>
    </row>
    <row r="4234" spans="1:19" hidden="1">
      <c r="A4234" t="s">
        <v>6530</v>
      </c>
      <c r="B4234" s="150" t="str">
        <f>IFERROR(VLOOKUP(Proc[[#This Row],[App]],Table2[],3,0),"open")</f>
        <v>ok</v>
      </c>
      <c r="C4234" s="149" t="s">
        <v>369</v>
      </c>
      <c r="D4234" t="s">
        <v>6518</v>
      </c>
      <c r="E4234" t="s">
        <v>418</v>
      </c>
      <c r="F4234" s="150" t="s">
        <v>418</v>
      </c>
      <c r="G4234" t="s">
        <v>400</v>
      </c>
      <c r="H4234" s="150" t="str">
        <f>IF(Proc[[#This Row],[type]]="LFF (MDG-F)",MID(Proc[[#This Row],[Obj]],13,10),"")</f>
        <v/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EL</v>
      </c>
      <c r="L4234" s="150" t="s">
        <v>6435</v>
      </c>
      <c r="M4234" s="159">
        <v>45947</v>
      </c>
      <c r="N4234" s="160"/>
      <c r="O4234" s="160"/>
      <c r="P4234" s="159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34</v>
      </c>
      <c r="R4234" s="159" t="s">
        <v>5709</v>
      </c>
      <c r="S4234" s="150"/>
    </row>
    <row r="4235" spans="1:19" hidden="1">
      <c r="A4235" s="149" t="s">
        <v>6530</v>
      </c>
      <c r="B4235" s="150" t="str">
        <f>IFERROR(VLOOKUP(Proc[[#This Row],[App]],Table2[],3,0),"open")</f>
        <v>ok</v>
      </c>
      <c r="C4235" s="149" t="s">
        <v>369</v>
      </c>
      <c r="D4235" t="s">
        <v>6519</v>
      </c>
      <c r="E4235" s="149" t="s">
        <v>418</v>
      </c>
      <c r="F4235" s="150" t="s">
        <v>418</v>
      </c>
      <c r="G4235" s="149" t="s">
        <v>400</v>
      </c>
      <c r="H4235" s="150" t="str">
        <f>IF(Proc[[#This Row],[type]]="LFF (MDG-F)",MID(Proc[[#This Row],[Obj]],13,10),"")</f>
        <v/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EL</v>
      </c>
      <c r="L4235" s="150" t="s">
        <v>6435</v>
      </c>
      <c r="M4235" s="159">
        <v>45947</v>
      </c>
      <c r="N4235" s="160"/>
      <c r="O4235" s="160"/>
      <c r="P4235" s="159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34</v>
      </c>
      <c r="R4235" s="159" t="s">
        <v>5709</v>
      </c>
      <c r="S4235" s="150"/>
    </row>
    <row r="4236" spans="1:19" hidden="1">
      <c r="A4236" s="149" t="s">
        <v>6530</v>
      </c>
      <c r="B4236" s="150" t="str">
        <f>IFERROR(VLOOKUP(Proc[[#This Row],[App]],Table2[],3,0),"open")</f>
        <v>ok</v>
      </c>
      <c r="C4236" s="149" t="s">
        <v>369</v>
      </c>
      <c r="D4236" t="s">
        <v>6520</v>
      </c>
      <c r="E4236" t="s">
        <v>419</v>
      </c>
      <c r="F4236" s="150" t="s">
        <v>419</v>
      </c>
      <c r="G4236" s="149" t="s">
        <v>400</v>
      </c>
      <c r="H4236" s="150" t="str">
        <f>IF(Proc[[#This Row],[type]]="LFF (MDG-F)",MID(Proc[[#This Row],[Obj]],13,10),"")</f>
        <v/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EL</v>
      </c>
      <c r="L4236" s="150" t="s">
        <v>6435</v>
      </c>
      <c r="M4236" s="159">
        <v>45947</v>
      </c>
      <c r="N4236" s="160"/>
      <c r="O4236" s="160"/>
      <c r="P4236" s="159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34</v>
      </c>
      <c r="R4236" s="159" t="s">
        <v>5709</v>
      </c>
      <c r="S4236" s="150"/>
    </row>
    <row r="4237" spans="1:19" hidden="1">
      <c r="A4237" s="149" t="s">
        <v>6530</v>
      </c>
      <c r="B4237" s="150" t="str">
        <f>IFERROR(VLOOKUP(Proc[[#This Row],[App]],Table2[],3,0),"open")</f>
        <v>ok</v>
      </c>
      <c r="C4237" s="149" t="s">
        <v>369</v>
      </c>
      <c r="D4237" t="s">
        <v>6521</v>
      </c>
      <c r="E4237" s="149" t="s">
        <v>419</v>
      </c>
      <c r="F4237" s="150" t="s">
        <v>419</v>
      </c>
      <c r="G4237" s="149" t="s">
        <v>400</v>
      </c>
      <c r="H4237" s="150" t="str">
        <f>IF(Proc[[#This Row],[type]]="LFF (MDG-F)",MID(Proc[[#This Row],[Obj]],13,10),"")</f>
        <v/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EL</v>
      </c>
      <c r="L4237" s="150" t="s">
        <v>6435</v>
      </c>
      <c r="M4237" s="159">
        <v>45947</v>
      </c>
      <c r="N4237" s="160"/>
      <c r="O4237" s="160"/>
      <c r="P4237" s="159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34</v>
      </c>
      <c r="R4237" s="159" t="s">
        <v>5709</v>
      </c>
      <c r="S4237" s="150"/>
    </row>
    <row r="4238" spans="1:19" hidden="1">
      <c r="A4238" s="149" t="s">
        <v>6530</v>
      </c>
      <c r="B4238" s="150" t="str">
        <f>IFERROR(VLOOKUP(Proc[[#This Row],[App]],Table2[],3,0),"open")</f>
        <v>ok</v>
      </c>
      <c r="C4238" s="149" t="s">
        <v>369</v>
      </c>
      <c r="D4238" t="s">
        <v>6522</v>
      </c>
      <c r="E4238" s="149" t="s">
        <v>419</v>
      </c>
      <c r="F4238" s="150" t="s">
        <v>419</v>
      </c>
      <c r="G4238" s="149" t="s">
        <v>400</v>
      </c>
      <c r="H4238" s="150" t="str">
        <f>IF(Proc[[#This Row],[type]]="LFF (MDG-F)",MID(Proc[[#This Row],[Obj]],13,10),"")</f>
        <v/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EL</v>
      </c>
      <c r="L4238" s="150" t="s">
        <v>6435</v>
      </c>
      <c r="M4238" s="159">
        <v>45947</v>
      </c>
      <c r="N4238" s="160"/>
      <c r="O4238" s="160"/>
      <c r="P4238" s="159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34</v>
      </c>
      <c r="R4238" s="159" t="s">
        <v>5709</v>
      </c>
      <c r="S4238" s="150"/>
    </row>
    <row r="4239" spans="1:19" hidden="1">
      <c r="A4239" s="149" t="s">
        <v>6530</v>
      </c>
      <c r="B4239" s="150" t="str">
        <f>IFERROR(VLOOKUP(Proc[[#This Row],[App]],Table2[],3,0),"open")</f>
        <v>ok</v>
      </c>
      <c r="C4239" s="149" t="s">
        <v>369</v>
      </c>
      <c r="D4239" t="s">
        <v>6523</v>
      </c>
      <c r="E4239" t="s">
        <v>2430</v>
      </c>
      <c r="F4239" s="150" t="s">
        <v>2430</v>
      </c>
      <c r="G4239" s="149" t="s">
        <v>400</v>
      </c>
      <c r="H4239" s="150" t="str">
        <f>IF(Proc[[#This Row],[type]]="LFF (MDG-F)",MID(Proc[[#This Row],[Obj]],13,10),"")</f>
        <v/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EL</v>
      </c>
      <c r="L4239" s="150" t="s">
        <v>6435</v>
      </c>
      <c r="M4239" s="159">
        <v>45947</v>
      </c>
      <c r="N4239" s="160"/>
      <c r="O4239" s="160"/>
      <c r="P4239" s="159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34</v>
      </c>
      <c r="R4239" s="159" t="s">
        <v>5709</v>
      </c>
      <c r="S4239" s="150"/>
    </row>
    <row r="4240" spans="1:19" hidden="1">
      <c r="A4240" s="149" t="s">
        <v>6530</v>
      </c>
      <c r="B4240" s="150" t="str">
        <f>IFERROR(VLOOKUP(Proc[[#This Row],[App]],Table2[],3,0),"open")</f>
        <v>ok</v>
      </c>
      <c r="C4240" s="149" t="s">
        <v>369</v>
      </c>
      <c r="D4240" t="s">
        <v>6524</v>
      </c>
      <c r="E4240" s="149" t="s">
        <v>2430</v>
      </c>
      <c r="F4240" s="150" t="s">
        <v>2430</v>
      </c>
      <c r="G4240" s="149" t="s">
        <v>400</v>
      </c>
      <c r="H4240" s="150" t="str">
        <f>IF(Proc[[#This Row],[type]]="LFF (MDG-F)",MID(Proc[[#This Row],[Obj]],13,10),"")</f>
        <v/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EL</v>
      </c>
      <c r="L4240" s="150" t="s">
        <v>6435</v>
      </c>
      <c r="M4240" s="159">
        <v>45947</v>
      </c>
      <c r="N4240" s="160"/>
      <c r="O4240" s="160"/>
      <c r="P4240" s="159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34</v>
      </c>
      <c r="R4240" s="159" t="s">
        <v>5709</v>
      </c>
      <c r="S4240" s="150"/>
    </row>
    <row r="4241" spans="1:19" hidden="1">
      <c r="A4241" s="149" t="s">
        <v>6530</v>
      </c>
      <c r="B4241" s="150" t="str">
        <f>IFERROR(VLOOKUP(Proc[[#This Row],[App]],Table2[],3,0),"open")</f>
        <v>ok</v>
      </c>
      <c r="C4241" s="149" t="s">
        <v>369</v>
      </c>
      <c r="D4241" t="s">
        <v>6525</v>
      </c>
      <c r="E4241" s="149" t="s">
        <v>2430</v>
      </c>
      <c r="F4241" s="150" t="s">
        <v>2430</v>
      </c>
      <c r="G4241" s="149" t="s">
        <v>400</v>
      </c>
      <c r="H4241" s="150" t="str">
        <f>IF(Proc[[#This Row],[type]]="LFF (MDG-F)",MID(Proc[[#This Row],[Obj]],13,10),"")</f>
        <v/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EL</v>
      </c>
      <c r="L4241" s="150" t="s">
        <v>6435</v>
      </c>
      <c r="M4241" s="159">
        <v>45947</v>
      </c>
      <c r="N4241" s="160"/>
      <c r="O4241" s="160"/>
      <c r="P4241" s="159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34</v>
      </c>
      <c r="R4241" s="159" t="s">
        <v>5709</v>
      </c>
      <c r="S4241" s="150"/>
    </row>
    <row r="4242" spans="1:19" hidden="1">
      <c r="A4242" s="149" t="s">
        <v>6530</v>
      </c>
      <c r="B4242" s="150" t="str">
        <f>IFERROR(VLOOKUP(Proc[[#This Row],[App]],Table2[],3,0),"open")</f>
        <v>ok</v>
      </c>
      <c r="C4242" s="149" t="s">
        <v>369</v>
      </c>
      <c r="D4242" t="s">
        <v>6526</v>
      </c>
      <c r="E4242" s="149" t="s">
        <v>2430</v>
      </c>
      <c r="F4242" s="150" t="s">
        <v>2430</v>
      </c>
      <c r="G4242" s="149" t="s">
        <v>400</v>
      </c>
      <c r="H4242" s="150" t="str">
        <f>IF(Proc[[#This Row],[type]]="LFF (MDG-F)",MID(Proc[[#This Row],[Obj]],13,10),"")</f>
        <v/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EL</v>
      </c>
      <c r="L4242" s="150" t="s">
        <v>6435</v>
      </c>
      <c r="M4242" s="159">
        <v>45947</v>
      </c>
      <c r="N4242" s="160"/>
      <c r="O4242" s="160"/>
      <c r="P4242" s="159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34</v>
      </c>
      <c r="R4242" s="159" t="s">
        <v>5709</v>
      </c>
      <c r="S4242" s="150"/>
    </row>
    <row r="4243" spans="1:19" hidden="1">
      <c r="A4243" s="149" t="s">
        <v>6530</v>
      </c>
      <c r="B4243" s="150" t="str">
        <f>IFERROR(VLOOKUP(Proc[[#This Row],[App]],Table2[],3,0),"open")</f>
        <v>ok</v>
      </c>
      <c r="C4243" s="149" t="s">
        <v>369</v>
      </c>
      <c r="D4243" t="s">
        <v>6527</v>
      </c>
      <c r="E4243" s="149" t="s">
        <v>419</v>
      </c>
      <c r="F4243" s="150" t="s">
        <v>419</v>
      </c>
      <c r="G4243" s="149" t="s">
        <v>400</v>
      </c>
      <c r="H4243" s="150" t="str">
        <f>IF(Proc[[#This Row],[type]]="LFF (MDG-F)",MID(Proc[[#This Row],[Obj]],13,10),"")</f>
        <v/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EL</v>
      </c>
      <c r="L4243" s="150" t="s">
        <v>6435</v>
      </c>
      <c r="M4243" s="159">
        <v>45947</v>
      </c>
      <c r="N4243" s="160"/>
      <c r="O4243" s="160"/>
      <c r="P4243" s="159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34</v>
      </c>
      <c r="R4243" s="159" t="s">
        <v>5709</v>
      </c>
      <c r="S4243" s="150"/>
    </row>
    <row r="4244" spans="1:19" hidden="1">
      <c r="A4244" s="149" t="s">
        <v>6530</v>
      </c>
      <c r="B4244" s="150" t="str">
        <f>IFERROR(VLOOKUP(Proc[[#This Row],[App]],Table2[],3,0),"open")</f>
        <v>ok</v>
      </c>
      <c r="C4244" s="149" t="s">
        <v>369</v>
      </c>
      <c r="D4244" t="s">
        <v>6528</v>
      </c>
      <c r="E4244" s="149" t="s">
        <v>2430</v>
      </c>
      <c r="F4244" s="150" t="s">
        <v>2430</v>
      </c>
      <c r="G4244" s="149" t="s">
        <v>400</v>
      </c>
      <c r="H4244" s="150" t="str">
        <f>IF(Proc[[#This Row],[type]]="LFF (MDG-F)",MID(Proc[[#This Row],[Obj]],13,10),"")</f>
        <v/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EL</v>
      </c>
      <c r="L4244" s="150" t="s">
        <v>6435</v>
      </c>
      <c r="M4244" s="159">
        <v>45947</v>
      </c>
      <c r="N4244" s="160"/>
      <c r="O4244" s="160"/>
      <c r="P4244" s="159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34</v>
      </c>
      <c r="R4244" s="159" t="s">
        <v>5709</v>
      </c>
      <c r="S4244" s="150"/>
    </row>
    <row r="4245" spans="1:19" hidden="1">
      <c r="A4245" s="149" t="s">
        <v>6530</v>
      </c>
      <c r="B4245" s="150" t="str">
        <f>IFERROR(VLOOKUP(Proc[[#This Row],[App]],Table2[],3,0),"open")</f>
        <v>ok</v>
      </c>
      <c r="C4245" s="149" t="s">
        <v>369</v>
      </c>
      <c r="D4245" t="s">
        <v>6529</v>
      </c>
      <c r="E4245" s="149" t="s">
        <v>2430</v>
      </c>
      <c r="F4245" s="150" t="s">
        <v>2430</v>
      </c>
      <c r="G4245" s="149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EL</v>
      </c>
      <c r="L4245" s="150" t="s">
        <v>6435</v>
      </c>
      <c r="M4245" s="159">
        <v>45947</v>
      </c>
      <c r="N4245" s="160"/>
      <c r="O4245" s="160"/>
      <c r="P4245" s="159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34</v>
      </c>
      <c r="R4245" s="159" t="s">
        <v>5709</v>
      </c>
      <c r="S4245" s="150"/>
    </row>
    <row r="4246" spans="1:19" hidden="1">
      <c r="A4246" t="s">
        <v>6533</v>
      </c>
      <c r="B4246" s="150" t="str">
        <f>IFERROR(VLOOKUP(Proc[[#This Row],[App]],Table2[],3,0),"open")</f>
        <v>ok</v>
      </c>
      <c r="C4246" t="s">
        <v>369</v>
      </c>
      <c r="D4246" t="s">
        <v>6534</v>
      </c>
      <c r="E4246" t="s">
        <v>6538</v>
      </c>
      <c r="F4246" s="150" t="s">
        <v>6538</v>
      </c>
      <c r="G4246" s="149" t="s">
        <v>406</v>
      </c>
      <c r="H4246" s="150" t="str">
        <f>IF(Proc[[#This Row],[type]]="LFF (MDG-F)",MID(Proc[[#This Row],[Obj]],13,10),"")</f>
        <v>2053R00001</v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LS</v>
      </c>
      <c r="L4246" s="150" t="s">
        <v>6435</v>
      </c>
      <c r="M4246" s="159">
        <v>45952</v>
      </c>
      <c r="N4246" s="160"/>
      <c r="O4246" s="160"/>
      <c r="P4246" s="159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31</v>
      </c>
      <c r="R4246" s="159" t="s">
        <v>489</v>
      </c>
      <c r="S4246" s="150"/>
    </row>
    <row r="4247" spans="1:19" hidden="1">
      <c r="A4247" s="149" t="s">
        <v>6533</v>
      </c>
      <c r="B4247" s="150" t="str">
        <f>IFERROR(VLOOKUP(Proc[[#This Row],[App]],Table2[],3,0),"open")</f>
        <v>ok</v>
      </c>
      <c r="C4247" s="149" t="s">
        <v>369</v>
      </c>
      <c r="D4247" t="s">
        <v>6535</v>
      </c>
      <c r="E4247" t="s">
        <v>6538</v>
      </c>
      <c r="F4247" s="150" t="s">
        <v>6538</v>
      </c>
      <c r="G4247" s="149" t="s">
        <v>406</v>
      </c>
      <c r="H4247" s="150" t="str">
        <f>IF(Proc[[#This Row],[type]]="LFF (MDG-F)",MID(Proc[[#This Row],[Obj]],13,10),"")</f>
        <v>2123R00004</v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LS</v>
      </c>
      <c r="L4247" s="150" t="s">
        <v>6435</v>
      </c>
      <c r="M4247" s="159">
        <v>45952</v>
      </c>
      <c r="N4247" s="160"/>
      <c r="O4247" s="160"/>
      <c r="P4247" s="159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31</v>
      </c>
      <c r="R4247" s="159" t="s">
        <v>489</v>
      </c>
      <c r="S4247" s="150"/>
    </row>
    <row r="4248" spans="1:19" hidden="1">
      <c r="A4248" s="149" t="s">
        <v>6533</v>
      </c>
      <c r="B4248" s="150" t="str">
        <f>IFERROR(VLOOKUP(Proc[[#This Row],[App]],Table2[],3,0),"open")</f>
        <v>ok</v>
      </c>
      <c r="C4248" s="149" t="s">
        <v>369</v>
      </c>
      <c r="D4248" t="s">
        <v>6536</v>
      </c>
      <c r="E4248" t="s">
        <v>6538</v>
      </c>
      <c r="F4248" s="150" t="s">
        <v>6538</v>
      </c>
      <c r="G4248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LS</v>
      </c>
      <c r="L4248" s="150" t="s">
        <v>6435</v>
      </c>
      <c r="M4248" s="159">
        <v>45952</v>
      </c>
      <c r="N4248" s="160"/>
      <c r="O4248" s="160"/>
      <c r="P4248" s="159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31</v>
      </c>
      <c r="R4248" s="159" t="s">
        <v>489</v>
      </c>
      <c r="S4248" s="150"/>
    </row>
    <row r="4249" spans="1:19" hidden="1">
      <c r="A4249" s="149" t="s">
        <v>6533</v>
      </c>
      <c r="B4249" s="150" t="str">
        <f>IFERROR(VLOOKUP(Proc[[#This Row],[App]],Table2[],3,0),"open")</f>
        <v>ok</v>
      </c>
      <c r="C4249" s="149" t="s">
        <v>369</v>
      </c>
      <c r="D4249" t="s">
        <v>6537</v>
      </c>
      <c r="E4249" t="s">
        <v>6538</v>
      </c>
      <c r="F4249" s="150" t="s">
        <v>6538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LS</v>
      </c>
      <c r="L4249" s="150" t="s">
        <v>6435</v>
      </c>
      <c r="M4249" s="159">
        <v>45952</v>
      </c>
      <c r="N4249" s="160"/>
      <c r="O4249" s="160"/>
      <c r="P4249" s="159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31</v>
      </c>
      <c r="R4249" s="159" t="s">
        <v>489</v>
      </c>
      <c r="S4249" s="150"/>
    </row>
    <row r="4250" spans="1:19" hidden="1">
      <c r="A4250" t="s">
        <v>6539</v>
      </c>
      <c r="B4250" s="150" t="str">
        <f>IFERROR(VLOOKUP(Proc[[#This Row],[App]],Table2[],3,0),"open")</f>
        <v>ok</v>
      </c>
      <c r="C4250" s="149" t="s">
        <v>369</v>
      </c>
      <c r="D4250" t="s">
        <v>6540</v>
      </c>
      <c r="E4250" t="s">
        <v>6500</v>
      </c>
      <c r="F4250" s="150" t="s">
        <v>6500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LS</v>
      </c>
      <c r="L4250" s="150" t="s">
        <v>6435</v>
      </c>
      <c r="M4250" s="159">
        <v>45952</v>
      </c>
      <c r="N4250" s="160"/>
      <c r="O4250" s="160"/>
      <c r="P4250" s="159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31</v>
      </c>
      <c r="R4250" s="159" t="s">
        <v>489</v>
      </c>
      <c r="S4250" s="150"/>
    </row>
    <row r="4251" spans="1:19" hidden="1">
      <c r="A4251" s="149" t="s">
        <v>6539</v>
      </c>
      <c r="B4251" s="150" t="str">
        <f>IFERROR(VLOOKUP(Proc[[#This Row],[App]],Table2[],3,0),"open")</f>
        <v>ok</v>
      </c>
      <c r="C4251" s="149" t="s">
        <v>369</v>
      </c>
      <c r="D4251" t="s">
        <v>6507</v>
      </c>
      <c r="E4251" t="s">
        <v>6508</v>
      </c>
      <c r="F4251" s="150" t="s">
        <v>6508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LS</v>
      </c>
      <c r="L4251" s="150" t="s">
        <v>6435</v>
      </c>
      <c r="M4251" s="159">
        <v>45952</v>
      </c>
      <c r="N4251" s="160"/>
      <c r="O4251" s="160"/>
      <c r="P4251" s="159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31</v>
      </c>
      <c r="R4251" s="159" t="s">
        <v>489</v>
      </c>
      <c r="S4251" s="150"/>
    </row>
    <row r="4252" spans="1:19" hidden="1">
      <c r="A4252" t="s">
        <v>6541</v>
      </c>
      <c r="B4252" s="150" t="str">
        <f>IFERROR(VLOOKUP(Proc[[#This Row],[App]],Table2[],3,0),"open")</f>
        <v>ok</v>
      </c>
      <c r="C4252" s="149" t="s">
        <v>369</v>
      </c>
      <c r="D4252" t="s">
        <v>6543</v>
      </c>
      <c r="E4252" t="s">
        <v>6542</v>
      </c>
      <c r="F4252" s="150" t="s">
        <v>6542</v>
      </c>
      <c r="G4252" t="s">
        <v>406</v>
      </c>
      <c r="H4252" s="150" t="str">
        <f>IF(Proc[[#This Row],[type]]="LFF (MDG-F)",MID(Proc[[#This Row],[Obj]],13,10),"")</f>
        <v>DE01TAWA03</v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EL</v>
      </c>
      <c r="L4252" s="150" t="s">
        <v>6435</v>
      </c>
      <c r="M4252" s="159">
        <v>45952</v>
      </c>
      <c r="N4252" s="160"/>
      <c r="O4252" s="160"/>
      <c r="P4252" s="159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31</v>
      </c>
      <c r="R4252" s="159" t="s">
        <v>6563</v>
      </c>
      <c r="S4252" s="150"/>
    </row>
    <row r="4253" spans="1:19" hidden="1">
      <c r="A4253" s="149" t="s">
        <v>6541</v>
      </c>
      <c r="B4253" s="150" t="str">
        <f>IFERROR(VLOOKUP(Proc[[#This Row],[App]],Table2[],3,0),"open")</f>
        <v>ok</v>
      </c>
      <c r="C4253" s="149" t="s">
        <v>369</v>
      </c>
      <c r="D4253" t="s">
        <v>6544</v>
      </c>
      <c r="E4253" t="s">
        <v>6542</v>
      </c>
      <c r="F4253" s="150" t="s">
        <v>6542</v>
      </c>
      <c r="G4253" s="149" t="s">
        <v>406</v>
      </c>
      <c r="H4253" s="150" t="str">
        <f>IF(Proc[[#This Row],[type]]="LFF (MDG-F)",MID(Proc[[#This Row],[Obj]],13,10),"")</f>
        <v>DE01TAWA04</v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EL</v>
      </c>
      <c r="L4253" s="150" t="s">
        <v>6435</v>
      </c>
      <c r="M4253" s="159">
        <v>45952</v>
      </c>
      <c r="N4253" s="160"/>
      <c r="O4253" s="160"/>
      <c r="P4253" s="159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31</v>
      </c>
      <c r="R4253" s="159" t="s">
        <v>6563</v>
      </c>
      <c r="S4253" s="150"/>
    </row>
    <row r="4254" spans="1:19" hidden="1">
      <c r="A4254" s="149" t="s">
        <v>6541</v>
      </c>
      <c r="B4254" s="150" t="str">
        <f>IFERROR(VLOOKUP(Proc[[#This Row],[App]],Table2[],3,0),"open")</f>
        <v>ok</v>
      </c>
      <c r="C4254" s="149" t="s">
        <v>369</v>
      </c>
      <c r="D4254" t="s">
        <v>6545</v>
      </c>
      <c r="E4254" t="s">
        <v>6542</v>
      </c>
      <c r="F4254" s="150" t="s">
        <v>6542</v>
      </c>
      <c r="G4254" s="149" t="s">
        <v>406</v>
      </c>
      <c r="H4254" s="150" t="str">
        <f>IF(Proc[[#This Row],[type]]="LFF (MDG-F)",MID(Proc[[#This Row],[Obj]],13,10),"")</f>
        <v>DE01TAWA10</v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EL</v>
      </c>
      <c r="L4254" s="150" t="s">
        <v>6435</v>
      </c>
      <c r="M4254" s="159">
        <v>45952</v>
      </c>
      <c r="N4254" s="160"/>
      <c r="O4254" s="160"/>
      <c r="P4254" s="159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31</v>
      </c>
      <c r="R4254" s="159" t="s">
        <v>6563</v>
      </c>
      <c r="S4254" s="150"/>
    </row>
    <row r="4255" spans="1:19" hidden="1">
      <c r="A4255" s="149" t="s">
        <v>6541</v>
      </c>
      <c r="B4255" s="150" t="str">
        <f>IFERROR(VLOOKUP(Proc[[#This Row],[App]],Table2[],3,0),"open")</f>
        <v>ok</v>
      </c>
      <c r="C4255" s="149" t="s">
        <v>369</v>
      </c>
      <c r="D4255" t="s">
        <v>6546</v>
      </c>
      <c r="E4255" t="s">
        <v>6542</v>
      </c>
      <c r="F4255" s="150" t="s">
        <v>6542</v>
      </c>
      <c r="G4255" s="149" t="s">
        <v>406</v>
      </c>
      <c r="H4255" s="150" t="str">
        <f>IF(Proc[[#This Row],[type]]="LFF (MDG-F)",MID(Proc[[#This Row],[Obj]],13,10),"")</f>
        <v>DE01TAWA20</v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EL</v>
      </c>
      <c r="L4255" s="150" t="s">
        <v>6435</v>
      </c>
      <c r="M4255" s="159">
        <v>45952</v>
      </c>
      <c r="N4255" s="160"/>
      <c r="O4255" s="160"/>
      <c r="P4255" s="159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31</v>
      </c>
      <c r="R4255" s="159" t="s">
        <v>6563</v>
      </c>
      <c r="S4255" s="150"/>
    </row>
    <row r="4256" spans="1:19" hidden="1">
      <c r="A4256" s="149" t="s">
        <v>6541</v>
      </c>
      <c r="B4256" s="150" t="str">
        <f>IFERROR(VLOOKUP(Proc[[#This Row],[App]],Table2[],3,0),"open")</f>
        <v>ok</v>
      </c>
      <c r="C4256" s="149" t="s">
        <v>369</v>
      </c>
      <c r="D4256" t="s">
        <v>6547</v>
      </c>
      <c r="E4256" t="s">
        <v>6542</v>
      </c>
      <c r="F4256" s="150" t="s">
        <v>6542</v>
      </c>
      <c r="G4256" s="149" t="s">
        <v>406</v>
      </c>
      <c r="H4256" s="150" t="str">
        <f>IF(Proc[[#This Row],[type]]="LFF (MDG-F)",MID(Proc[[#This Row],[Obj]],13,10),"")</f>
        <v>DE01TAWA31</v>
      </c>
      <c r="J4256" s="150" t="b">
        <f>Proc[[#This Row],[Requested]]=Proc[[#This Row],[CurrentParent]]</f>
        <v>1</v>
      </c>
      <c r="K4256" s="150" t="str">
        <f>IF(Proc[[#This Row],[Author]]="Marcela Urrego",VLOOKUP(LEFT(Proc[[#This Row],[Requested]],1),Table3[#All],2,0),VLOOKUP(Proc[[#This Row],[Author]],Table4[],2,0))</f>
        <v>EL</v>
      </c>
      <c r="L4256" s="150" t="s">
        <v>6435</v>
      </c>
      <c r="M4256" s="159">
        <v>45952</v>
      </c>
      <c r="N4256" s="160"/>
      <c r="O4256" s="160"/>
      <c r="P4256" s="159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31</v>
      </c>
      <c r="R4256" s="159" t="s">
        <v>6563</v>
      </c>
      <c r="S4256" s="150"/>
    </row>
    <row r="4257" spans="1:19" hidden="1">
      <c r="A4257" s="149" t="s">
        <v>6541</v>
      </c>
      <c r="B4257" s="150" t="str">
        <f>IFERROR(VLOOKUP(Proc[[#This Row],[App]],Table2[],3,0),"open")</f>
        <v>ok</v>
      </c>
      <c r="C4257" s="149" t="s">
        <v>369</v>
      </c>
      <c r="D4257" t="s">
        <v>6548</v>
      </c>
      <c r="E4257" t="s">
        <v>6542</v>
      </c>
      <c r="F4257" s="150" t="s">
        <v>6542</v>
      </c>
      <c r="G4257" s="149" t="s">
        <v>406</v>
      </c>
      <c r="H4257" s="150" t="str">
        <f>IF(Proc[[#This Row],[type]]="LFF (MDG-F)",MID(Proc[[#This Row],[Obj]],13,10),"")</f>
        <v>DE01TAWA32</v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EL</v>
      </c>
      <c r="L4257" s="150" t="s">
        <v>6435</v>
      </c>
      <c r="M4257" s="159">
        <v>45952</v>
      </c>
      <c r="N4257" s="160"/>
      <c r="O4257" s="160"/>
      <c r="P4257" s="159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31</v>
      </c>
      <c r="R4257" s="159" t="s">
        <v>6563</v>
      </c>
      <c r="S4257" s="150"/>
    </row>
    <row r="4258" spans="1:19" hidden="1">
      <c r="A4258" s="149" t="s">
        <v>6541</v>
      </c>
      <c r="B4258" s="150" t="str">
        <f>IFERROR(VLOOKUP(Proc[[#This Row],[App]],Table2[],3,0),"open")</f>
        <v>ok</v>
      </c>
      <c r="C4258" s="149" t="s">
        <v>369</v>
      </c>
      <c r="D4258" t="s">
        <v>6549</v>
      </c>
      <c r="E4258" t="s">
        <v>6542</v>
      </c>
      <c r="F4258" s="150" t="s">
        <v>6542</v>
      </c>
      <c r="G4258" s="149" t="s">
        <v>406</v>
      </c>
      <c r="H4258" s="150" t="str">
        <f>IF(Proc[[#This Row],[type]]="LFF (MDG-F)",MID(Proc[[#This Row],[Obj]],13,10),"")</f>
        <v>DE01TAWA40</v>
      </c>
      <c r="J4258" s="150" t="b">
        <f>Proc[[#This Row],[Requested]]=Proc[[#This Row],[CurrentParent]]</f>
        <v>1</v>
      </c>
      <c r="K4258" s="150" t="str">
        <f>IF(Proc[[#This Row],[Author]]="Marcela Urrego",VLOOKUP(LEFT(Proc[[#This Row],[Requested]],1),Table3[#All],2,0),VLOOKUP(Proc[[#This Row],[Author]],Table4[],2,0))</f>
        <v>EL</v>
      </c>
      <c r="L4258" s="150" t="s">
        <v>6435</v>
      </c>
      <c r="M4258" s="159">
        <v>45952</v>
      </c>
      <c r="N4258" s="160"/>
      <c r="O4258" s="160"/>
      <c r="P4258" s="159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31</v>
      </c>
      <c r="R4258" s="159" t="s">
        <v>6563</v>
      </c>
      <c r="S4258" s="150"/>
    </row>
    <row r="4259" spans="1:19" hidden="1">
      <c r="A4259" s="149" t="s">
        <v>6541</v>
      </c>
      <c r="B4259" s="150" t="str">
        <f>IFERROR(VLOOKUP(Proc[[#This Row],[App]],Table2[],3,0),"open")</f>
        <v>ok</v>
      </c>
      <c r="C4259" s="149" t="s">
        <v>369</v>
      </c>
      <c r="D4259" t="s">
        <v>6550</v>
      </c>
      <c r="E4259" t="s">
        <v>6542</v>
      </c>
      <c r="F4259" s="150" t="s">
        <v>6542</v>
      </c>
      <c r="G4259" s="149" t="s">
        <v>406</v>
      </c>
      <c r="H4259" s="150" t="str">
        <f>IF(Proc[[#This Row],[type]]="LFF (MDG-F)",MID(Proc[[#This Row],[Obj]],13,10),"")</f>
        <v>DE01TAWA50</v>
      </c>
      <c r="J4259" s="150" t="b">
        <f>Proc[[#This Row],[Requested]]=Proc[[#This Row],[CurrentParent]]</f>
        <v>1</v>
      </c>
      <c r="K4259" s="150" t="str">
        <f>IF(Proc[[#This Row],[Author]]="Marcela Urrego",VLOOKUP(LEFT(Proc[[#This Row],[Requested]],1),Table3[#All],2,0),VLOOKUP(Proc[[#This Row],[Author]],Table4[],2,0))</f>
        <v>EL</v>
      </c>
      <c r="L4259" s="150" t="s">
        <v>6435</v>
      </c>
      <c r="M4259" s="159">
        <v>45952</v>
      </c>
      <c r="N4259" s="160"/>
      <c r="O4259" s="160"/>
      <c r="P4259" s="159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31</v>
      </c>
      <c r="R4259" s="159" t="s">
        <v>6563</v>
      </c>
      <c r="S4259" s="150"/>
    </row>
    <row r="4260" spans="1:19" hidden="1">
      <c r="A4260" s="149" t="s">
        <v>6541</v>
      </c>
      <c r="B4260" s="150" t="str">
        <f>IFERROR(VLOOKUP(Proc[[#This Row],[App]],Table2[],3,0),"open")</f>
        <v>ok</v>
      </c>
      <c r="C4260" s="149" t="s">
        <v>369</v>
      </c>
      <c r="D4260" t="s">
        <v>6551</v>
      </c>
      <c r="E4260" t="s">
        <v>6542</v>
      </c>
      <c r="F4260" s="150" t="s">
        <v>6542</v>
      </c>
      <c r="G4260" s="149" t="s">
        <v>406</v>
      </c>
      <c r="H4260" s="150" t="str">
        <f>IF(Proc[[#This Row],[type]]="LFF (MDG-F)",MID(Proc[[#This Row],[Obj]],13,10),"")</f>
        <v>DE01TAWA53</v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EL</v>
      </c>
      <c r="L4260" s="150" t="s">
        <v>6435</v>
      </c>
      <c r="M4260" s="159">
        <v>45952</v>
      </c>
      <c r="N4260" s="160"/>
      <c r="O4260" s="160"/>
      <c r="P4260" s="159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31</v>
      </c>
      <c r="R4260" s="159" t="s">
        <v>6563</v>
      </c>
      <c r="S4260" s="150"/>
    </row>
    <row r="4261" spans="1:19" hidden="1">
      <c r="A4261" s="149" t="s">
        <v>6541</v>
      </c>
      <c r="B4261" s="150" t="str">
        <f>IFERROR(VLOOKUP(Proc[[#This Row],[App]],Table2[],3,0),"open")</f>
        <v>ok</v>
      </c>
      <c r="C4261" s="149" t="s">
        <v>369</v>
      </c>
      <c r="D4261" t="s">
        <v>6552</v>
      </c>
      <c r="E4261" t="s">
        <v>6542</v>
      </c>
      <c r="F4261" s="150" t="s">
        <v>6542</v>
      </c>
      <c r="G4261" s="149" t="s">
        <v>406</v>
      </c>
      <c r="H4261" s="150" t="str">
        <f>IF(Proc[[#This Row],[type]]="LFF (MDG-F)",MID(Proc[[#This Row],[Obj]],13,10),"")</f>
        <v>DE01TAWA61</v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EL</v>
      </c>
      <c r="L4261" s="150" t="s">
        <v>6435</v>
      </c>
      <c r="M4261" s="159">
        <v>45952</v>
      </c>
      <c r="N4261" s="160"/>
      <c r="O4261" s="160"/>
      <c r="P4261" s="159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31</v>
      </c>
      <c r="R4261" s="159" t="s">
        <v>6563</v>
      </c>
      <c r="S4261" s="150"/>
    </row>
    <row r="4262" spans="1:19" hidden="1">
      <c r="A4262" s="149" t="s">
        <v>6541</v>
      </c>
      <c r="B4262" s="150" t="str">
        <f>IFERROR(VLOOKUP(Proc[[#This Row],[App]],Table2[],3,0),"open")</f>
        <v>ok</v>
      </c>
      <c r="C4262" s="149" t="s">
        <v>369</v>
      </c>
      <c r="D4262" t="s">
        <v>6553</v>
      </c>
      <c r="E4262" t="s">
        <v>6542</v>
      </c>
      <c r="F4262" s="150" t="s">
        <v>6542</v>
      </c>
      <c r="G4262" s="149" t="s">
        <v>406</v>
      </c>
      <c r="H4262" s="150" t="str">
        <f>IF(Proc[[#This Row],[type]]="LFF (MDG-F)",MID(Proc[[#This Row],[Obj]],13,10),"")</f>
        <v>DE01TAWA62</v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EL</v>
      </c>
      <c r="L4262" s="150" t="s">
        <v>6435</v>
      </c>
      <c r="M4262" s="159">
        <v>45952</v>
      </c>
      <c r="N4262" s="160"/>
      <c r="O4262" s="160"/>
      <c r="P4262" s="159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31</v>
      </c>
      <c r="R4262" s="159" t="s">
        <v>6563</v>
      </c>
      <c r="S4262" s="150"/>
    </row>
    <row r="4263" spans="1:19" hidden="1">
      <c r="A4263" s="149" t="s">
        <v>6541</v>
      </c>
      <c r="B4263" s="150" t="str">
        <f>IFERROR(VLOOKUP(Proc[[#This Row],[App]],Table2[],3,0),"open")</f>
        <v>ok</v>
      </c>
      <c r="C4263" s="149" t="s">
        <v>369</v>
      </c>
      <c r="D4263" t="s">
        <v>6554</v>
      </c>
      <c r="E4263" t="s">
        <v>6542</v>
      </c>
      <c r="F4263" s="150" t="s">
        <v>6542</v>
      </c>
      <c r="G4263" s="149" t="s">
        <v>406</v>
      </c>
      <c r="H4263" s="150" t="str">
        <f>IF(Proc[[#This Row],[type]]="LFF (MDG-F)",MID(Proc[[#This Row],[Obj]],13,10),"")</f>
        <v>DE01TAWA63</v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EL</v>
      </c>
      <c r="L4263" s="150" t="s">
        <v>6435</v>
      </c>
      <c r="M4263" s="159">
        <v>45952</v>
      </c>
      <c r="N4263" s="160"/>
      <c r="O4263" s="160"/>
      <c r="P4263" s="159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31</v>
      </c>
      <c r="R4263" s="159" t="s">
        <v>6563</v>
      </c>
      <c r="S4263" s="150"/>
    </row>
    <row r="4264" spans="1:19" hidden="1">
      <c r="A4264" s="149" t="s">
        <v>6541</v>
      </c>
      <c r="B4264" s="150" t="str">
        <f>IFERROR(VLOOKUP(Proc[[#This Row],[App]],Table2[],3,0),"open")</f>
        <v>ok</v>
      </c>
      <c r="C4264" s="149" t="s">
        <v>369</v>
      </c>
      <c r="D4264" t="s">
        <v>6555</v>
      </c>
      <c r="E4264" t="s">
        <v>6542</v>
      </c>
      <c r="F4264" s="150" t="s">
        <v>6542</v>
      </c>
      <c r="G4264" s="149" t="s">
        <v>406</v>
      </c>
      <c r="H4264" s="150" t="str">
        <f>IF(Proc[[#This Row],[type]]="LFF (MDG-F)",MID(Proc[[#This Row],[Obj]],13,10),"")</f>
        <v>DE01TAWA64</v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EL</v>
      </c>
      <c r="L4264" s="150" t="s">
        <v>6435</v>
      </c>
      <c r="M4264" s="159">
        <v>45952</v>
      </c>
      <c r="N4264" s="160"/>
      <c r="O4264" s="160"/>
      <c r="P4264" s="159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31</v>
      </c>
      <c r="R4264" s="159" t="s">
        <v>6563</v>
      </c>
      <c r="S4264" s="150"/>
    </row>
    <row r="4265" spans="1:19" hidden="1">
      <c r="A4265" s="149" t="s">
        <v>6541</v>
      </c>
      <c r="B4265" s="150" t="str">
        <f>IFERROR(VLOOKUP(Proc[[#This Row],[App]],Table2[],3,0),"open")</f>
        <v>ok</v>
      </c>
      <c r="C4265" s="149" t="s">
        <v>369</v>
      </c>
      <c r="D4265" t="s">
        <v>6556</v>
      </c>
      <c r="E4265" t="s">
        <v>6542</v>
      </c>
      <c r="F4265" s="150" t="s">
        <v>6542</v>
      </c>
      <c r="G4265" s="149" t="s">
        <v>406</v>
      </c>
      <c r="H4265" s="150" t="str">
        <f>IF(Proc[[#This Row],[type]]="LFF (MDG-F)",MID(Proc[[#This Row],[Obj]],13,10),"")</f>
        <v>DE01TAWA70</v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EL</v>
      </c>
      <c r="L4265" s="150" t="s">
        <v>6435</v>
      </c>
      <c r="M4265" s="159">
        <v>45952</v>
      </c>
      <c r="N4265" s="160"/>
      <c r="O4265" s="160"/>
      <c r="P4265" s="159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31</v>
      </c>
      <c r="R4265" s="159" t="s">
        <v>6563</v>
      </c>
      <c r="S4265" s="150"/>
    </row>
    <row r="4266" spans="1:19" hidden="1">
      <c r="A4266" s="149" t="s">
        <v>6541</v>
      </c>
      <c r="B4266" s="150" t="str">
        <f>IFERROR(VLOOKUP(Proc[[#This Row],[App]],Table2[],3,0),"open")</f>
        <v>ok</v>
      </c>
      <c r="C4266" s="149" t="s">
        <v>369</v>
      </c>
      <c r="D4266" t="s">
        <v>6557</v>
      </c>
      <c r="E4266" t="s">
        <v>6542</v>
      </c>
      <c r="F4266" s="150" t="s">
        <v>6542</v>
      </c>
      <c r="G4266" s="149" t="s">
        <v>406</v>
      </c>
      <c r="H4266" s="150" t="str">
        <f>IF(Proc[[#This Row],[type]]="LFF (MDG-F)",MID(Proc[[#This Row],[Obj]],13,10),"")</f>
        <v>DE01TAWA73</v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EL</v>
      </c>
      <c r="L4266" s="150" t="s">
        <v>6435</v>
      </c>
      <c r="M4266" s="159">
        <v>45952</v>
      </c>
      <c r="N4266" s="160"/>
      <c r="O4266" s="160"/>
      <c r="P4266" s="159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31</v>
      </c>
      <c r="R4266" s="159" t="s">
        <v>6563</v>
      </c>
      <c r="S4266" s="150"/>
    </row>
    <row r="4267" spans="1:19" hidden="1">
      <c r="A4267" s="149" t="s">
        <v>6541</v>
      </c>
      <c r="B4267" s="150" t="str">
        <f>IFERROR(VLOOKUP(Proc[[#This Row],[App]],Table2[],3,0),"open")</f>
        <v>ok</v>
      </c>
      <c r="C4267" s="149" t="s">
        <v>369</v>
      </c>
      <c r="D4267" t="s">
        <v>6558</v>
      </c>
      <c r="E4267" t="s">
        <v>6542</v>
      </c>
      <c r="F4267" s="150" t="s">
        <v>6542</v>
      </c>
      <c r="G4267" s="149" t="s">
        <v>406</v>
      </c>
      <c r="H4267" s="150" t="str">
        <f>IF(Proc[[#This Row],[type]]="LFF (MDG-F)",MID(Proc[[#This Row],[Obj]],13,10),"")</f>
        <v>DE01TAWA74</v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EL</v>
      </c>
      <c r="L4267" s="150" t="s">
        <v>6435</v>
      </c>
      <c r="M4267" s="159">
        <v>45952</v>
      </c>
      <c r="N4267" s="160"/>
      <c r="O4267" s="160"/>
      <c r="P4267" s="159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31</v>
      </c>
      <c r="R4267" s="159" t="s">
        <v>6563</v>
      </c>
      <c r="S4267" s="150"/>
    </row>
    <row r="4268" spans="1:19" hidden="1">
      <c r="A4268" s="149" t="s">
        <v>6541</v>
      </c>
      <c r="B4268" s="150" t="str">
        <f>IFERROR(VLOOKUP(Proc[[#This Row],[App]],Table2[],3,0),"open")</f>
        <v>ok</v>
      </c>
      <c r="C4268" s="149" t="s">
        <v>369</v>
      </c>
      <c r="D4268" t="s">
        <v>6559</v>
      </c>
      <c r="E4268" t="s">
        <v>6542</v>
      </c>
      <c r="F4268" s="150" t="s">
        <v>6542</v>
      </c>
      <c r="G4268" s="149" t="s">
        <v>406</v>
      </c>
      <c r="H4268" s="150" t="str">
        <f>IF(Proc[[#This Row],[type]]="LFF (MDG-F)",MID(Proc[[#This Row],[Obj]],13,10),"")</f>
        <v>DE01TAWA80</v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EL</v>
      </c>
      <c r="L4268" s="150" t="s">
        <v>6435</v>
      </c>
      <c r="M4268" s="159">
        <v>45952</v>
      </c>
      <c r="N4268" s="160"/>
      <c r="O4268" s="160"/>
      <c r="P4268" s="159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31</v>
      </c>
      <c r="R4268" s="159" t="s">
        <v>6563</v>
      </c>
      <c r="S4268" s="150"/>
    </row>
    <row r="4269" spans="1:19" hidden="1">
      <c r="A4269" s="149" t="s">
        <v>6541</v>
      </c>
      <c r="B4269" s="150" t="str">
        <f>IFERROR(VLOOKUP(Proc[[#This Row],[App]],Table2[],3,0),"open")</f>
        <v>ok</v>
      </c>
      <c r="C4269" s="149" t="s">
        <v>369</v>
      </c>
      <c r="D4269" t="s">
        <v>6560</v>
      </c>
      <c r="E4269" t="s">
        <v>6542</v>
      </c>
      <c r="F4269" s="150" t="s">
        <v>6542</v>
      </c>
      <c r="G4269" s="149" t="s">
        <v>406</v>
      </c>
      <c r="H4269" s="150" t="str">
        <f>IF(Proc[[#This Row],[type]]="LFF (MDG-F)",MID(Proc[[#This Row],[Obj]],13,10),"")</f>
        <v>DE01TAWA84</v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EL</v>
      </c>
      <c r="L4269" s="150" t="s">
        <v>6435</v>
      </c>
      <c r="M4269" s="159">
        <v>45952</v>
      </c>
      <c r="N4269" s="160"/>
      <c r="O4269" s="160"/>
      <c r="P4269" s="159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31</v>
      </c>
      <c r="R4269" s="159" t="s">
        <v>6563</v>
      </c>
      <c r="S4269" s="150"/>
    </row>
    <row r="4270" spans="1:19" hidden="1">
      <c r="A4270" s="149" t="s">
        <v>6541</v>
      </c>
      <c r="B4270" s="150" t="str">
        <f>IFERROR(VLOOKUP(Proc[[#This Row],[App]],Table2[],3,0),"open")</f>
        <v>ok</v>
      </c>
      <c r="C4270" s="149" t="s">
        <v>369</v>
      </c>
      <c r="D4270" t="s">
        <v>6561</v>
      </c>
      <c r="E4270" t="s">
        <v>6542</v>
      </c>
      <c r="F4270" s="150" t="s">
        <v>6542</v>
      </c>
      <c r="G4270" s="149" t="s">
        <v>406</v>
      </c>
      <c r="H4270" s="150" t="str">
        <f>IF(Proc[[#This Row],[type]]="LFF (MDG-F)",MID(Proc[[#This Row],[Obj]],13,10),"")</f>
        <v>DE01TAWA90</v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EL</v>
      </c>
      <c r="L4270" s="150" t="s">
        <v>6435</v>
      </c>
      <c r="M4270" s="159">
        <v>45952</v>
      </c>
      <c r="N4270" s="160"/>
      <c r="O4270" s="160"/>
      <c r="P4270" s="159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31</v>
      </c>
      <c r="R4270" s="159" t="s">
        <v>6563</v>
      </c>
      <c r="S4270" s="150"/>
    </row>
    <row r="4271" spans="1:19" hidden="1">
      <c r="A4271" s="149" t="s">
        <v>6541</v>
      </c>
      <c r="B4271" s="150" t="str">
        <f>IFERROR(VLOOKUP(Proc[[#This Row],[App]],Table2[],3,0),"open")</f>
        <v>ok</v>
      </c>
      <c r="C4271" s="149" t="s">
        <v>369</v>
      </c>
      <c r="D4271" t="s">
        <v>6562</v>
      </c>
      <c r="E4271" t="s">
        <v>6542</v>
      </c>
      <c r="F4271" s="150" t="s">
        <v>6542</v>
      </c>
      <c r="G4271" s="149" t="s">
        <v>406</v>
      </c>
      <c r="H4271" s="150" t="str">
        <f>IF(Proc[[#This Row],[type]]="LFF (MDG-F)",MID(Proc[[#This Row],[Obj]],13,10),"")</f>
        <v>DE01TAWA93</v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EL</v>
      </c>
      <c r="L4271" s="150" t="s">
        <v>6435</v>
      </c>
      <c r="M4271" s="159">
        <v>45952</v>
      </c>
      <c r="N4271" s="160"/>
      <c r="O4271" s="160"/>
      <c r="P4271" s="159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31</v>
      </c>
      <c r="R4271" s="159" t="s">
        <v>6563</v>
      </c>
      <c r="S4271" s="150"/>
    </row>
    <row r="4272" spans="1:19" hidden="1">
      <c r="A4272" t="s">
        <v>6564</v>
      </c>
      <c r="B4272" s="150" t="str">
        <f>IFERROR(VLOOKUP(Proc[[#This Row],[App]],Table2[],3,0),"open")</f>
        <v>ok</v>
      </c>
      <c r="C4272" s="149" t="s">
        <v>369</v>
      </c>
      <c r="D4272" t="s">
        <v>6568</v>
      </c>
      <c r="E4272" t="s">
        <v>6565</v>
      </c>
      <c r="F4272" s="150" t="s">
        <v>6565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6435</v>
      </c>
      <c r="M4272" s="159">
        <v>45952</v>
      </c>
      <c r="N4272" s="160"/>
      <c r="O4272" s="160"/>
      <c r="P4272" s="159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31</v>
      </c>
      <c r="R4272" s="159" t="s">
        <v>498</v>
      </c>
      <c r="S4272" s="150"/>
    </row>
    <row r="4273" spans="1:19" hidden="1">
      <c r="A4273" s="149" t="s">
        <v>6564</v>
      </c>
      <c r="B4273" s="150" t="str">
        <f>IFERROR(VLOOKUP(Proc[[#This Row],[App]],Table2[],3,0),"open")</f>
        <v>ok</v>
      </c>
      <c r="C4273" s="149" t="s">
        <v>369</v>
      </c>
      <c r="D4273" t="s">
        <v>6569</v>
      </c>
      <c r="E4273" t="s">
        <v>6566</v>
      </c>
      <c r="F4273" s="150" t="s">
        <v>6566</v>
      </c>
      <c r="G4273" s="149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HC</v>
      </c>
      <c r="L4273" s="150" t="s">
        <v>6435</v>
      </c>
      <c r="M4273" s="159">
        <v>45952</v>
      </c>
      <c r="N4273" s="160"/>
      <c r="O4273" s="160"/>
      <c r="P4273" s="159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31</v>
      </c>
      <c r="R4273" s="159" t="s">
        <v>498</v>
      </c>
      <c r="S4273" s="150"/>
    </row>
    <row r="4274" spans="1:19" hidden="1">
      <c r="A4274" s="149" t="s">
        <v>6564</v>
      </c>
      <c r="B4274" s="150" t="str">
        <f>IFERROR(VLOOKUP(Proc[[#This Row],[App]],Table2[],3,0),"open")</f>
        <v>ok</v>
      </c>
      <c r="C4274" s="149" t="s">
        <v>369</v>
      </c>
      <c r="D4274" t="s">
        <v>6570</v>
      </c>
      <c r="E4274" t="s">
        <v>6567</v>
      </c>
      <c r="F4274" s="150" t="s">
        <v>6567</v>
      </c>
      <c r="G4274" s="149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HC</v>
      </c>
      <c r="L4274" s="150" t="s">
        <v>6435</v>
      </c>
      <c r="M4274" s="159">
        <v>45952</v>
      </c>
      <c r="N4274" s="160"/>
      <c r="O4274" s="160"/>
      <c r="P4274" s="159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31</v>
      </c>
      <c r="R4274" s="159" t="s">
        <v>498</v>
      </c>
      <c r="S4274" s="150"/>
    </row>
    <row r="4275" spans="1:19" hidden="1">
      <c r="A4275" t="s">
        <v>6572</v>
      </c>
      <c r="B4275" s="150" t="str">
        <f>IFERROR(VLOOKUP(Proc[[#This Row],[App]],Table2[],3,0),"open")</f>
        <v>ok</v>
      </c>
      <c r="C4275" t="s">
        <v>369</v>
      </c>
      <c r="D4275" t="s">
        <v>6571</v>
      </c>
      <c r="E4275" t="s">
        <v>784</v>
      </c>
      <c r="F4275" s="150" t="s">
        <v>784</v>
      </c>
      <c r="G4275" s="149" t="s">
        <v>406</v>
      </c>
      <c r="H4275" s="150" t="str">
        <f>IF(Proc[[#This Row],[type]]="LFF (MDG-F)",MID(Proc[[#This Row],[Obj]],13,10),"")</f>
        <v>JP03L3M303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MGF</v>
      </c>
      <c r="L4275" s="150" t="s">
        <v>6435</v>
      </c>
      <c r="M4275" s="159">
        <v>45953</v>
      </c>
      <c r="N4275" s="160"/>
      <c r="O4275" s="160"/>
      <c r="P4275" s="159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30</v>
      </c>
      <c r="R4275" s="159" t="s">
        <v>6573</v>
      </c>
      <c r="S4275" s="150"/>
    </row>
    <row r="4276" spans="1:19" hidden="1">
      <c r="A4276" t="s">
        <v>6574</v>
      </c>
      <c r="B4276" s="150" t="str">
        <f>IFERROR(VLOOKUP(Proc[[#This Row],[App]],Table2[],3,0),"open")</f>
        <v>ok</v>
      </c>
      <c r="C4276" t="s">
        <v>369</v>
      </c>
      <c r="D4276" t="s">
        <v>6600</v>
      </c>
      <c r="E4276" t="s">
        <v>4914</v>
      </c>
      <c r="F4276" s="150" t="s">
        <v>4914</v>
      </c>
      <c r="G4276" t="s">
        <v>400</v>
      </c>
      <c r="H4276" s="150" t="str">
        <f>IF(Proc[[#This Row],[type]]="LFF (MDG-F)",MID(Proc[[#This Row],[Obj]],13,10),"")</f>
        <v/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HC</v>
      </c>
      <c r="L4276" s="150" t="s">
        <v>6435</v>
      </c>
      <c r="M4276" s="160">
        <v>45954</v>
      </c>
      <c r="N4276" s="160"/>
      <c r="O4276" s="160"/>
      <c r="P4276" s="161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29</v>
      </c>
      <c r="R4276" s="161" t="s">
        <v>764</v>
      </c>
      <c r="S4276" s="150"/>
    </row>
    <row r="4277" spans="1:19" hidden="1">
      <c r="A4277" t="s">
        <v>6599</v>
      </c>
      <c r="B4277" s="150" t="str">
        <f>IFERROR(VLOOKUP(Proc[[#This Row],[App]],Table2[],3,0),"open")</f>
        <v>ok</v>
      </c>
      <c r="C4277" t="s">
        <v>369</v>
      </c>
      <c r="D4277" t="s">
        <v>6575</v>
      </c>
      <c r="E4277" t="s">
        <v>6601</v>
      </c>
      <c r="F4277" s="150" t="s">
        <v>6601</v>
      </c>
      <c r="G4277" t="s">
        <v>406</v>
      </c>
      <c r="H4277" s="150" t="str">
        <f>IF(Proc[[#This Row],[type]]="LFF (MDG-F)",MID(Proc[[#This Row],[Obj]],13,10),"")</f>
        <v>DE01TQWI03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6435</v>
      </c>
      <c r="M4277" s="160">
        <v>45957</v>
      </c>
      <c r="N4277" s="160"/>
      <c r="O4277" s="160"/>
      <c r="P4277" s="161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28</v>
      </c>
      <c r="R4277" s="161" t="s">
        <v>5709</v>
      </c>
      <c r="S4277" s="150"/>
    </row>
    <row r="4278" spans="1:19" hidden="1">
      <c r="A4278" t="s">
        <v>6599</v>
      </c>
      <c r="B4278" s="150" t="str">
        <f>IFERROR(VLOOKUP(Proc[[#This Row],[App]],Table2[],3,0),"open")</f>
        <v>ok</v>
      </c>
      <c r="C4278" s="149" t="s">
        <v>369</v>
      </c>
      <c r="D4278" t="s">
        <v>6576</v>
      </c>
      <c r="E4278" t="s">
        <v>6601</v>
      </c>
      <c r="F4278" s="150" t="s">
        <v>6601</v>
      </c>
      <c r="G4278" t="s">
        <v>406</v>
      </c>
      <c r="H4278" s="150" t="str">
        <f>IF(Proc[[#This Row],[type]]="LFF (MDG-F)",MID(Proc[[#This Row],[Obj]],13,10),"")</f>
        <v>DE04TQHQ15</v>
      </c>
      <c r="I4278" s="149"/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6435</v>
      </c>
      <c r="M4278" s="160">
        <v>45957</v>
      </c>
      <c r="N4278" s="160"/>
      <c r="O4278" s="160"/>
      <c r="P4278" s="161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28</v>
      </c>
      <c r="R4278" s="161" t="s">
        <v>5709</v>
      </c>
      <c r="S4278" s="150"/>
    </row>
    <row r="4279" spans="1:19" hidden="1">
      <c r="A4279" s="149" t="s">
        <v>6599</v>
      </c>
      <c r="B4279" s="150" t="str">
        <f>IFERROR(VLOOKUP(Proc[[#This Row],[App]],Table2[],3,0),"open")</f>
        <v>ok</v>
      </c>
      <c r="C4279" s="149" t="s">
        <v>369</v>
      </c>
      <c r="D4279" t="s">
        <v>6577</v>
      </c>
      <c r="E4279" t="s">
        <v>6601</v>
      </c>
      <c r="F4279" s="150" t="s">
        <v>6601</v>
      </c>
      <c r="G4279" s="149" t="s">
        <v>406</v>
      </c>
      <c r="H4279" s="150" t="str">
        <f>IF(Proc[[#This Row],[type]]="LFF (MDG-F)",MID(Proc[[#This Row],[Obj]],13,10),"")</f>
        <v>DE04TQHQ16</v>
      </c>
      <c r="I4279" s="149"/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6435</v>
      </c>
      <c r="M4279" s="160">
        <v>45957</v>
      </c>
      <c r="N4279" s="160"/>
      <c r="O4279" s="160"/>
      <c r="P4279" s="161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28</v>
      </c>
      <c r="R4279" s="161" t="s">
        <v>5709</v>
      </c>
      <c r="S4279" s="150"/>
    </row>
    <row r="4280" spans="1:19" hidden="1">
      <c r="A4280" s="149" t="s">
        <v>6599</v>
      </c>
      <c r="B4280" s="150" t="str">
        <f>IFERROR(VLOOKUP(Proc[[#This Row],[App]],Table2[],3,0),"open")</f>
        <v>ok</v>
      </c>
      <c r="C4280" s="149" t="s">
        <v>377</v>
      </c>
      <c r="D4280" t="s">
        <v>6578</v>
      </c>
      <c r="E4280" t="s">
        <v>6601</v>
      </c>
      <c r="F4280" s="150" t="s">
        <v>6275</v>
      </c>
      <c r="G4280" s="149" t="s">
        <v>406</v>
      </c>
      <c r="H4280" s="150" t="str">
        <f>IF(Proc[[#This Row],[type]]="LFF (MDG-F)",MID(Proc[[#This Row],[Obj]],13,10),"")</f>
        <v>DE10TM2000</v>
      </c>
      <c r="I4280" s="149"/>
      <c r="J4280" s="150" t="b">
        <f>Proc[[#This Row],[Requested]]=Proc[[#This Row],[CurrentParent]]</f>
        <v>0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6435</v>
      </c>
      <c r="M4280" s="160">
        <v>45957</v>
      </c>
      <c r="N4280" s="160"/>
      <c r="O4280" s="160"/>
      <c r="P4280" s="161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28</v>
      </c>
      <c r="R4280" s="161" t="s">
        <v>5709</v>
      </c>
      <c r="S4280" s="150"/>
    </row>
    <row r="4281" spans="1:19" hidden="1">
      <c r="A4281" s="149" t="s">
        <v>6599</v>
      </c>
      <c r="B4281" s="150" t="str">
        <f>IFERROR(VLOOKUP(Proc[[#This Row],[App]],Table2[],3,0),"open")</f>
        <v>ok</v>
      </c>
      <c r="C4281" s="149" t="s">
        <v>369</v>
      </c>
      <c r="D4281" t="s">
        <v>6579</v>
      </c>
      <c r="E4281" t="s">
        <v>6601</v>
      </c>
      <c r="F4281" s="150" t="s">
        <v>6601</v>
      </c>
      <c r="G4281" s="149" t="s">
        <v>406</v>
      </c>
      <c r="H4281" s="150" t="str">
        <f>IF(Proc[[#This Row],[type]]="LFF (MDG-F)",MID(Proc[[#This Row],[Obj]],13,10),"")</f>
        <v>IL10TM2000</v>
      </c>
      <c r="I4281" s="149"/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6435</v>
      </c>
      <c r="M4281" s="160">
        <v>45957</v>
      </c>
      <c r="N4281" s="160"/>
      <c r="O4281" s="160"/>
      <c r="P4281" s="161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28</v>
      </c>
      <c r="R4281" s="161" t="s">
        <v>5709</v>
      </c>
      <c r="S4281" s="150"/>
    </row>
    <row r="4282" spans="1:19" hidden="1">
      <c r="A4282" s="149" t="s">
        <v>6599</v>
      </c>
      <c r="B4282" s="150" t="str">
        <f>IFERROR(VLOOKUP(Proc[[#This Row],[App]],Table2[],3,0),"open")</f>
        <v>ok</v>
      </c>
      <c r="C4282" s="149" t="s">
        <v>369</v>
      </c>
      <c r="D4282" t="s">
        <v>6580</v>
      </c>
      <c r="E4282" t="s">
        <v>6601</v>
      </c>
      <c r="F4282" s="150" t="s">
        <v>6601</v>
      </c>
      <c r="G4282" s="149" t="s">
        <v>406</v>
      </c>
      <c r="H4282" s="150" t="str">
        <f>IF(Proc[[#This Row],[type]]="LFF (MDG-F)",MID(Proc[[#This Row],[Obj]],13,10),"")</f>
        <v>IT07TM2000</v>
      </c>
      <c r="I4282" s="149"/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6435</v>
      </c>
      <c r="M4282" s="160">
        <v>45957</v>
      </c>
      <c r="N4282" s="160"/>
      <c r="O4282" s="160"/>
      <c r="P4282" s="161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28</v>
      </c>
      <c r="R4282" s="161" t="s">
        <v>5709</v>
      </c>
      <c r="S4282" s="150"/>
    </row>
    <row r="4283" spans="1:19" hidden="1">
      <c r="A4283" s="149" t="s">
        <v>6599</v>
      </c>
      <c r="B4283" s="150" t="str">
        <f>IFERROR(VLOOKUP(Proc[[#This Row],[App]],Table2[],3,0),"open")</f>
        <v>ok</v>
      </c>
      <c r="C4283" s="149" t="s">
        <v>369</v>
      </c>
      <c r="D4283" t="s">
        <v>6581</v>
      </c>
      <c r="E4283" t="s">
        <v>6601</v>
      </c>
      <c r="F4283" s="150" t="s">
        <v>6601</v>
      </c>
      <c r="G4283" s="149" t="s">
        <v>406</v>
      </c>
      <c r="H4283" s="150" t="str">
        <f>IF(Proc[[#This Row],[type]]="LFF (MDG-F)",MID(Proc[[#This Row],[Obj]],13,10),"")</f>
        <v>NL10TM2000</v>
      </c>
      <c r="I4283" s="149"/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6435</v>
      </c>
      <c r="M4283" s="160">
        <v>45957</v>
      </c>
      <c r="N4283" s="160"/>
      <c r="O4283" s="160"/>
      <c r="P4283" s="161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28</v>
      </c>
      <c r="R4283" s="161" t="s">
        <v>5709</v>
      </c>
      <c r="S4283" s="150"/>
    </row>
    <row r="4284" spans="1:19" hidden="1">
      <c r="A4284" s="149" t="s">
        <v>6599</v>
      </c>
      <c r="B4284" s="150" t="str">
        <f>IFERROR(VLOOKUP(Proc[[#This Row],[App]],Table2[],3,0),"open")</f>
        <v>ok</v>
      </c>
      <c r="C4284" s="149" t="s">
        <v>369</v>
      </c>
      <c r="D4284" t="s">
        <v>6582</v>
      </c>
      <c r="E4284" t="s">
        <v>6601</v>
      </c>
      <c r="F4284" s="150" t="s">
        <v>6601</v>
      </c>
      <c r="G4284" s="149" t="s">
        <v>400</v>
      </c>
      <c r="H4284" s="150" t="str">
        <f>IF(Proc[[#This Row],[type]]="LFF (MDG-F)",MID(Proc[[#This Row],[Obj]],13,10),"")</f>
        <v/>
      </c>
      <c r="I4284" s="149"/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6435</v>
      </c>
      <c r="M4284" s="160">
        <v>45957</v>
      </c>
      <c r="N4284" s="160"/>
      <c r="O4284" s="160"/>
      <c r="P4284" s="161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28</v>
      </c>
      <c r="R4284" s="161" t="s">
        <v>5709</v>
      </c>
      <c r="S4284" s="150"/>
    </row>
    <row r="4285" spans="1:19" hidden="1">
      <c r="A4285" s="149" t="s">
        <v>6599</v>
      </c>
      <c r="B4285" s="150" t="str">
        <f>IFERROR(VLOOKUP(Proc[[#This Row],[App]],Table2[],3,0),"open")</f>
        <v>ok</v>
      </c>
      <c r="C4285" s="149" t="s">
        <v>369</v>
      </c>
      <c r="D4285" t="s">
        <v>6583</v>
      </c>
      <c r="E4285" t="s">
        <v>6601</v>
      </c>
      <c r="F4285" s="150" t="s">
        <v>6601</v>
      </c>
      <c r="G4285" s="149" t="s">
        <v>400</v>
      </c>
      <c r="H4285" s="150" t="str">
        <f>IF(Proc[[#This Row],[type]]="LFF (MDG-F)",MID(Proc[[#This Row],[Obj]],13,10),"")</f>
        <v/>
      </c>
      <c r="I4285" s="149"/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6435</v>
      </c>
      <c r="M4285" s="160">
        <v>45957</v>
      </c>
      <c r="N4285" s="160"/>
      <c r="O4285" s="160"/>
      <c r="P4285" s="161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28</v>
      </c>
      <c r="R4285" s="161" t="s">
        <v>5709</v>
      </c>
      <c r="S4285" s="150"/>
    </row>
    <row r="4286" spans="1:19" hidden="1">
      <c r="A4286" s="149" t="s">
        <v>6599</v>
      </c>
      <c r="B4286" s="150" t="str">
        <f>IFERROR(VLOOKUP(Proc[[#This Row],[App]],Table2[],3,0),"open")</f>
        <v>ok</v>
      </c>
      <c r="C4286" s="149" t="s">
        <v>369</v>
      </c>
      <c r="D4286" t="s">
        <v>6584</v>
      </c>
      <c r="E4286" t="s">
        <v>6601</v>
      </c>
      <c r="F4286" s="150" t="s">
        <v>6601</v>
      </c>
      <c r="G4286" s="149" t="s">
        <v>400</v>
      </c>
      <c r="H4286" s="150" t="str">
        <f>IF(Proc[[#This Row],[type]]="LFF (MDG-F)",MID(Proc[[#This Row],[Obj]],13,10),"")</f>
        <v/>
      </c>
      <c r="I4286" s="149"/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6435</v>
      </c>
      <c r="M4286" s="160">
        <v>45957</v>
      </c>
      <c r="N4286" s="160"/>
      <c r="O4286" s="160"/>
      <c r="P4286" s="161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28</v>
      </c>
      <c r="R4286" s="161" t="s">
        <v>5709</v>
      </c>
      <c r="S4286" s="150"/>
    </row>
    <row r="4287" spans="1:19" hidden="1">
      <c r="A4287" s="149" t="s">
        <v>6599</v>
      </c>
      <c r="B4287" s="150" t="str">
        <f>IFERROR(VLOOKUP(Proc[[#This Row],[App]],Table2[],3,0),"open")</f>
        <v>ok</v>
      </c>
      <c r="C4287" s="149" t="s">
        <v>377</v>
      </c>
      <c r="D4287" t="s">
        <v>6585</v>
      </c>
      <c r="E4287" t="s">
        <v>5770</v>
      </c>
      <c r="F4287" s="150" t="s">
        <v>6275</v>
      </c>
      <c r="G4287" s="149" t="s">
        <v>406</v>
      </c>
      <c r="H4287" s="150" t="str">
        <f>IF(Proc[[#This Row],[type]]="LFF (MDG-F)",MID(Proc[[#This Row],[Obj]],13,10),"")</f>
        <v>DE10TM4000</v>
      </c>
      <c r="I4287" s="149"/>
      <c r="J4287" s="150" t="b">
        <f>Proc[[#This Row],[Requested]]=Proc[[#This Row],[CurrentParent]]</f>
        <v>0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6435</v>
      </c>
      <c r="M4287" s="160">
        <v>45957</v>
      </c>
      <c r="N4287" s="160"/>
      <c r="O4287" s="160"/>
      <c r="P4287" s="161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28</v>
      </c>
      <c r="R4287" s="161" t="s">
        <v>5709</v>
      </c>
      <c r="S4287" s="150"/>
    </row>
    <row r="4288" spans="1:19" hidden="1">
      <c r="A4288" s="149" t="s">
        <v>6599</v>
      </c>
      <c r="B4288" s="150" t="str">
        <f>IFERROR(VLOOKUP(Proc[[#This Row],[App]],Table2[],3,0),"open")</f>
        <v>ok</v>
      </c>
      <c r="C4288" s="149" t="s">
        <v>369</v>
      </c>
      <c r="D4288" t="s">
        <v>6586</v>
      </c>
      <c r="E4288" t="s">
        <v>6602</v>
      </c>
      <c r="F4288" s="150" t="s">
        <v>6602</v>
      </c>
      <c r="G4288" s="149" t="s">
        <v>406</v>
      </c>
      <c r="H4288" s="150" t="str">
        <f>IF(Proc[[#This Row],[type]]="LFF (MDG-F)",MID(Proc[[#This Row],[Obj]],13,10),"")</f>
        <v>DE01TKWI01</v>
      </c>
      <c r="I4288" s="149"/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6435</v>
      </c>
      <c r="M4288" s="160">
        <v>45957</v>
      </c>
      <c r="N4288" s="160"/>
      <c r="O4288" s="160"/>
      <c r="P4288" s="161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28</v>
      </c>
      <c r="R4288" s="161" t="s">
        <v>5709</v>
      </c>
      <c r="S4288" s="150"/>
    </row>
    <row r="4289" spans="1:19" hidden="1">
      <c r="A4289" s="149" t="s">
        <v>6599</v>
      </c>
      <c r="B4289" s="150" t="str">
        <f>IFERROR(VLOOKUP(Proc[[#This Row],[App]],Table2[],3,0),"open")</f>
        <v>ok</v>
      </c>
      <c r="C4289" s="149" t="s">
        <v>369</v>
      </c>
      <c r="D4289" t="s">
        <v>6587</v>
      </c>
      <c r="E4289" t="s">
        <v>6602</v>
      </c>
      <c r="F4289" s="150" t="s">
        <v>6602</v>
      </c>
      <c r="G4289" s="149" t="s">
        <v>406</v>
      </c>
      <c r="H4289" s="150" t="str">
        <f>IF(Proc[[#This Row],[type]]="LFF (MDG-F)",MID(Proc[[#This Row],[Obj]],13,10),"")</f>
        <v>DE01TQWIGH</v>
      </c>
      <c r="I4289" s="149"/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EL</v>
      </c>
      <c r="L4289" s="150" t="s">
        <v>6435</v>
      </c>
      <c r="M4289" s="160">
        <v>45957</v>
      </c>
      <c r="N4289" s="160"/>
      <c r="O4289" s="160"/>
      <c r="P4289" s="161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28</v>
      </c>
      <c r="R4289" s="161" t="s">
        <v>5709</v>
      </c>
      <c r="S4289" s="150"/>
    </row>
    <row r="4290" spans="1:19" hidden="1">
      <c r="A4290" s="149" t="s">
        <v>6599</v>
      </c>
      <c r="B4290" s="150" t="str">
        <f>IFERROR(VLOOKUP(Proc[[#This Row],[App]],Table2[],3,0),"open")</f>
        <v>ok</v>
      </c>
      <c r="C4290" s="149" t="s">
        <v>377</v>
      </c>
      <c r="D4290" t="s">
        <v>6588</v>
      </c>
      <c r="E4290" t="s">
        <v>6602</v>
      </c>
      <c r="F4290" s="150" t="s">
        <v>6275</v>
      </c>
      <c r="G4290" s="149" t="s">
        <v>406</v>
      </c>
      <c r="H4290" s="150" t="str">
        <f>IF(Proc[[#This Row],[type]]="LFF (MDG-F)",MID(Proc[[#This Row],[Obj]],13,10),"")</f>
        <v>DE10DB3600</v>
      </c>
      <c r="I4290" s="149"/>
      <c r="J4290" s="150" t="b">
        <f>Proc[[#This Row],[Requested]]=Proc[[#This Row],[CurrentParent]]</f>
        <v>0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60">
        <v>45957</v>
      </c>
      <c r="N4290" s="160"/>
      <c r="O4290" s="160"/>
      <c r="P4290" s="161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28</v>
      </c>
      <c r="R4290" s="161" t="s">
        <v>5709</v>
      </c>
      <c r="S4290" s="150"/>
    </row>
    <row r="4291" spans="1:19" hidden="1">
      <c r="A4291" s="149" t="s">
        <v>6599</v>
      </c>
      <c r="B4291" s="150" t="str">
        <f>IFERROR(VLOOKUP(Proc[[#This Row],[App]],Table2[],3,0),"open")</f>
        <v>ok</v>
      </c>
      <c r="C4291" s="149" t="s">
        <v>377</v>
      </c>
      <c r="D4291" t="s">
        <v>6589</v>
      </c>
      <c r="E4291" t="s">
        <v>6602</v>
      </c>
      <c r="F4291" s="150" t="s">
        <v>6275</v>
      </c>
      <c r="G4291" s="149" t="s">
        <v>406</v>
      </c>
      <c r="H4291" s="150" t="str">
        <f>IF(Proc[[#This Row],[type]]="LFF (MDG-F)",MID(Proc[[#This Row],[Obj]],13,10),"")</f>
        <v>DE10TQ1001</v>
      </c>
      <c r="I4291" s="149"/>
      <c r="J4291" s="150" t="b">
        <f>Proc[[#This Row],[Requested]]=Proc[[#This Row],[CurrentParent]]</f>
        <v>0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60">
        <v>45957</v>
      </c>
      <c r="N4291" s="160"/>
      <c r="O4291" s="160"/>
      <c r="P4291" s="161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28</v>
      </c>
      <c r="R4291" s="161" t="s">
        <v>5709</v>
      </c>
      <c r="S4291" s="150"/>
    </row>
    <row r="4292" spans="1:19" hidden="1">
      <c r="A4292" s="149" t="s">
        <v>6599</v>
      </c>
      <c r="B4292" s="150" t="str">
        <f>IFERROR(VLOOKUP(Proc[[#This Row],[App]],Table2[],3,0),"open")</f>
        <v>ok</v>
      </c>
      <c r="C4292" s="149" t="s">
        <v>377</v>
      </c>
      <c r="D4292" t="s">
        <v>6590</v>
      </c>
      <c r="E4292" t="s">
        <v>6602</v>
      </c>
      <c r="F4292" s="150" t="s">
        <v>6275</v>
      </c>
      <c r="G4292" s="149" t="s">
        <v>406</v>
      </c>
      <c r="H4292" s="150" t="str">
        <f>IF(Proc[[#This Row],[type]]="LFF (MDG-F)",MID(Proc[[#This Row],[Obj]],13,10),"")</f>
        <v>DE10TQ1002</v>
      </c>
      <c r="I4292" s="149"/>
      <c r="J4292" s="150" t="b">
        <f>Proc[[#This Row],[Requested]]=Proc[[#This Row],[CurrentParent]]</f>
        <v>0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60">
        <v>45957</v>
      </c>
      <c r="N4292" s="160"/>
      <c r="O4292" s="160"/>
      <c r="P4292" s="161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28</v>
      </c>
      <c r="R4292" s="161" t="s">
        <v>5709</v>
      </c>
      <c r="S4292" s="150"/>
    </row>
    <row r="4293" spans="1:19" hidden="1">
      <c r="A4293" s="149" t="s">
        <v>6599</v>
      </c>
      <c r="B4293" s="150" t="str">
        <f>IFERROR(VLOOKUP(Proc[[#This Row],[App]],Table2[],3,0),"open")</f>
        <v>ok</v>
      </c>
      <c r="C4293" s="149" t="s">
        <v>377</v>
      </c>
      <c r="D4293" t="s">
        <v>6591</v>
      </c>
      <c r="E4293" t="s">
        <v>6602</v>
      </c>
      <c r="F4293" s="150" t="s">
        <v>6275</v>
      </c>
      <c r="G4293" s="149" t="s">
        <v>406</v>
      </c>
      <c r="H4293" s="150" t="str">
        <f>IF(Proc[[#This Row],[type]]="LFF (MDG-F)",MID(Proc[[#This Row],[Obj]],13,10),"")</f>
        <v>DE10TQ1003</v>
      </c>
      <c r="I4293" s="149"/>
      <c r="J4293" s="150" t="b">
        <f>Proc[[#This Row],[Requested]]=Proc[[#This Row],[CurrentParent]]</f>
        <v>0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60">
        <v>45957</v>
      </c>
      <c r="N4293" s="160"/>
      <c r="O4293" s="160"/>
      <c r="P4293" s="161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28</v>
      </c>
      <c r="R4293" s="161" t="s">
        <v>5709</v>
      </c>
      <c r="S4293" s="150"/>
    </row>
    <row r="4294" spans="1:19" hidden="1">
      <c r="A4294" s="149" t="s">
        <v>6599</v>
      </c>
      <c r="B4294" s="150" t="str">
        <f>IFERROR(VLOOKUP(Proc[[#This Row],[App]],Table2[],3,0),"open")</f>
        <v>ok</v>
      </c>
      <c r="C4294" s="149" t="s">
        <v>369</v>
      </c>
      <c r="D4294" t="s">
        <v>6592</v>
      </c>
      <c r="E4294" t="s">
        <v>6602</v>
      </c>
      <c r="F4294" s="150" t="s">
        <v>6602</v>
      </c>
      <c r="G4294" s="149" t="s">
        <v>406</v>
      </c>
      <c r="H4294" s="150" t="str">
        <f>IF(Proc[[#This Row],[type]]="LFF (MDG-F)",MID(Proc[[#This Row],[Obj]],13,10),"")</f>
        <v>GB10TQ1000</v>
      </c>
      <c r="I4294" s="149"/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EL</v>
      </c>
      <c r="L4294" s="150" t="s">
        <v>6435</v>
      </c>
      <c r="M4294" s="160">
        <v>45957</v>
      </c>
      <c r="N4294" s="160"/>
      <c r="O4294" s="160"/>
      <c r="P4294" s="161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28</v>
      </c>
      <c r="R4294" s="161" t="s">
        <v>5709</v>
      </c>
      <c r="S4294" s="150"/>
    </row>
    <row r="4295" spans="1:19" hidden="1">
      <c r="A4295" s="149" t="s">
        <v>6599</v>
      </c>
      <c r="B4295" s="150" t="str">
        <f>IFERROR(VLOOKUP(Proc[[#This Row],[App]],Table2[],3,0),"open")</f>
        <v>ok</v>
      </c>
      <c r="C4295" s="149" t="s">
        <v>369</v>
      </c>
      <c r="D4295" t="s">
        <v>6593</v>
      </c>
      <c r="E4295" t="s">
        <v>6602</v>
      </c>
      <c r="F4295" s="150" t="s">
        <v>6602</v>
      </c>
      <c r="G4295" s="149" t="s">
        <v>406</v>
      </c>
      <c r="H4295" s="150" t="str">
        <f>IF(Proc[[#This Row],[type]]="LFF (MDG-F)",MID(Proc[[#This Row],[Obj]],13,10),"")</f>
        <v>IT07TQ1001</v>
      </c>
      <c r="I4295" s="149"/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EL</v>
      </c>
      <c r="L4295" s="150" t="s">
        <v>6435</v>
      </c>
      <c r="M4295" s="160">
        <v>45957</v>
      </c>
      <c r="N4295" s="160"/>
      <c r="O4295" s="160"/>
      <c r="P4295" s="161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28</v>
      </c>
      <c r="R4295" s="161" t="s">
        <v>5709</v>
      </c>
      <c r="S4295" s="150"/>
    </row>
    <row r="4296" spans="1:19" hidden="1">
      <c r="A4296" s="149" t="s">
        <v>6599</v>
      </c>
      <c r="B4296" s="150" t="str">
        <f>IFERROR(VLOOKUP(Proc[[#This Row],[App]],Table2[],3,0),"open")</f>
        <v>ok</v>
      </c>
      <c r="C4296" s="149" t="s">
        <v>369</v>
      </c>
      <c r="D4296" t="s">
        <v>6594</v>
      </c>
      <c r="E4296" t="s">
        <v>6602</v>
      </c>
      <c r="F4296" s="150" t="s">
        <v>6602</v>
      </c>
      <c r="G4296" s="149" t="s">
        <v>406</v>
      </c>
      <c r="H4296" s="150" t="str">
        <f>IF(Proc[[#This Row],[type]]="LFF (MDG-F)",MID(Proc[[#This Row],[Obj]],13,10),"")</f>
        <v>IT07TQ1002</v>
      </c>
      <c r="I4296" s="149"/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EL</v>
      </c>
      <c r="L4296" s="150" t="s">
        <v>6435</v>
      </c>
      <c r="M4296" s="160">
        <v>45957</v>
      </c>
      <c r="N4296" s="160"/>
      <c r="O4296" s="160"/>
      <c r="P4296" s="161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28</v>
      </c>
      <c r="R4296" s="161" t="s">
        <v>5709</v>
      </c>
      <c r="S4296" s="150"/>
    </row>
    <row r="4297" spans="1:19" hidden="1">
      <c r="A4297" s="149" t="s">
        <v>6599</v>
      </c>
      <c r="B4297" s="150" t="str">
        <f>IFERROR(VLOOKUP(Proc[[#This Row],[App]],Table2[],3,0),"open")</f>
        <v>ok</v>
      </c>
      <c r="C4297" s="149" t="s">
        <v>369</v>
      </c>
      <c r="D4297" t="s">
        <v>6595</v>
      </c>
      <c r="E4297" t="s">
        <v>6602</v>
      </c>
      <c r="F4297" s="150" t="s">
        <v>6602</v>
      </c>
      <c r="G4297" s="149" t="s">
        <v>406</v>
      </c>
      <c r="H4297" s="150" t="str">
        <f>IF(Proc[[#This Row],[type]]="LFF (MDG-F)",MID(Proc[[#This Row],[Obj]],13,10),"")</f>
        <v>NL10TQ1000</v>
      </c>
      <c r="I4297" s="149"/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EL</v>
      </c>
      <c r="L4297" s="150" t="s">
        <v>6435</v>
      </c>
      <c r="M4297" s="160">
        <v>45957</v>
      </c>
      <c r="N4297" s="160"/>
      <c r="O4297" s="160"/>
      <c r="P4297" s="161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28</v>
      </c>
      <c r="R4297" s="161" t="s">
        <v>5709</v>
      </c>
      <c r="S4297" s="150"/>
    </row>
    <row r="4298" spans="1:19" hidden="1">
      <c r="A4298" s="149" t="s">
        <v>6599</v>
      </c>
      <c r="B4298" s="150" t="str">
        <f>IFERROR(VLOOKUP(Proc[[#This Row],[App]],Table2[],3,0),"open")</f>
        <v>ok</v>
      </c>
      <c r="C4298" s="149" t="s">
        <v>369</v>
      </c>
      <c r="D4298" t="s">
        <v>6596</v>
      </c>
      <c r="E4298" t="s">
        <v>6603</v>
      </c>
      <c r="F4298" s="150" t="s">
        <v>6603</v>
      </c>
      <c r="G4298" s="149" t="s">
        <v>406</v>
      </c>
      <c r="H4298" s="150" t="str">
        <f>IF(Proc[[#This Row],[type]]="LFF (MDG-F)",MID(Proc[[#This Row],[Obj]],13,10),"")</f>
        <v>DE04TQHQ19</v>
      </c>
      <c r="I4298" s="149"/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EL</v>
      </c>
      <c r="L4298" s="150" t="s">
        <v>6435</v>
      </c>
      <c r="M4298" s="160">
        <v>45957</v>
      </c>
      <c r="N4298" s="160"/>
      <c r="O4298" s="160"/>
      <c r="P4298" s="161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28</v>
      </c>
      <c r="R4298" s="161" t="s">
        <v>5709</v>
      </c>
      <c r="S4298" s="150"/>
    </row>
    <row r="4299" spans="1:19" hidden="1">
      <c r="A4299" s="149" t="s">
        <v>6599</v>
      </c>
      <c r="B4299" s="150" t="str">
        <f>IFERROR(VLOOKUP(Proc[[#This Row],[App]],Table2[],3,0),"open")</f>
        <v>ok</v>
      </c>
      <c r="C4299" s="149" t="s">
        <v>369</v>
      </c>
      <c r="D4299" t="s">
        <v>6597</v>
      </c>
      <c r="E4299" t="s">
        <v>6603</v>
      </c>
      <c r="F4299" s="150" t="s">
        <v>6603</v>
      </c>
      <c r="G4299" s="149" t="s">
        <v>406</v>
      </c>
      <c r="H4299" s="150" t="str">
        <f>IF(Proc[[#This Row],[type]]="LFF (MDG-F)",MID(Proc[[#This Row],[Obj]],13,10),"")</f>
        <v>DE04TQHQ23</v>
      </c>
      <c r="I4299" s="149"/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EL</v>
      </c>
      <c r="L4299" s="150" t="s">
        <v>6435</v>
      </c>
      <c r="M4299" s="160">
        <v>45957</v>
      </c>
      <c r="N4299" s="160"/>
      <c r="O4299" s="160"/>
      <c r="P4299" s="161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28</v>
      </c>
      <c r="R4299" s="161" t="s">
        <v>5709</v>
      </c>
      <c r="S4299" s="150"/>
    </row>
    <row r="4300" spans="1:19" hidden="1">
      <c r="A4300" s="149" t="s">
        <v>6599</v>
      </c>
      <c r="B4300" s="150" t="str">
        <f>IFERROR(VLOOKUP(Proc[[#This Row],[App]],Table2[],3,0),"open")</f>
        <v>ok</v>
      </c>
      <c r="C4300" s="149" t="s">
        <v>369</v>
      </c>
      <c r="D4300" t="s">
        <v>6598</v>
      </c>
      <c r="E4300" t="s">
        <v>6603</v>
      </c>
      <c r="F4300" s="150" t="s">
        <v>6603</v>
      </c>
      <c r="G4300" s="149" t="s">
        <v>406</v>
      </c>
      <c r="H4300" s="150" t="str">
        <f>IF(Proc[[#This Row],[type]]="LFF (MDG-F)",MID(Proc[[#This Row],[Obj]],13,10),"")</f>
        <v>NL10TM3000</v>
      </c>
      <c r="I4300" s="149"/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EL</v>
      </c>
      <c r="L4300" s="150" t="s">
        <v>6435</v>
      </c>
      <c r="M4300" s="160">
        <v>45957</v>
      </c>
      <c r="N4300" s="160"/>
      <c r="O4300" s="160"/>
      <c r="P4300" s="161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28</v>
      </c>
      <c r="R4300" s="161" t="s">
        <v>5709</v>
      </c>
      <c r="S4300" s="150"/>
    </row>
    <row r="4301" spans="1:19" hidden="1">
      <c r="A4301" t="s">
        <v>6606</v>
      </c>
      <c r="B4301" s="150" t="str">
        <f>IFERROR(VLOOKUP(Proc[[#This Row],[App]],Table2[],3,0),"open")</f>
        <v>ok</v>
      </c>
      <c r="C4301" s="149" t="s">
        <v>369</v>
      </c>
      <c r="D4301" t="s">
        <v>6607</v>
      </c>
      <c r="E4301" t="s">
        <v>2467</v>
      </c>
      <c r="F4301" s="150" t="s">
        <v>2467</v>
      </c>
      <c r="G4301" t="s">
        <v>400</v>
      </c>
      <c r="H4301" s="150" t="str">
        <f>IF(Proc[[#This Row],[type]]="LFF (MDG-F)",MID(Proc[[#This Row],[Obj]],13,10),"")</f>
        <v/>
      </c>
      <c r="I4301" s="149"/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EL</v>
      </c>
      <c r="L4301" s="150" t="s">
        <v>6435</v>
      </c>
      <c r="M4301" s="161">
        <v>45957</v>
      </c>
      <c r="N4301" s="162"/>
      <c r="O4301" s="162"/>
      <c r="P4301" s="161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28</v>
      </c>
      <c r="R4301" s="161" t="s">
        <v>780</v>
      </c>
      <c r="S4301" s="150"/>
    </row>
    <row r="4302" spans="1:19" hidden="1">
      <c r="A4302" t="s">
        <v>6608</v>
      </c>
      <c r="B4302" s="150" t="str">
        <f>IFERROR(VLOOKUP(Proc[[#This Row],[App]],Table2[],3,0),"open")</f>
        <v>ok</v>
      </c>
      <c r="C4302" s="149" t="s">
        <v>369</v>
      </c>
      <c r="D4302" t="s">
        <v>6634</v>
      </c>
      <c r="E4302" t="s">
        <v>6609</v>
      </c>
      <c r="F4302" s="149" t="s">
        <v>6609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61">
        <v>45957</v>
      </c>
      <c r="N4302" s="162"/>
      <c r="O4302" s="162"/>
      <c r="P4302" s="161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28</v>
      </c>
      <c r="R4302" s="161" t="s">
        <v>542</v>
      </c>
      <c r="S4302" s="150"/>
    </row>
    <row r="4303" spans="1:19" hidden="1">
      <c r="A4303" s="149" t="s">
        <v>6608</v>
      </c>
      <c r="B4303" s="150" t="str">
        <f>IFERROR(VLOOKUP(Proc[[#This Row],[App]],Table2[],3,0),"open")</f>
        <v>ok</v>
      </c>
      <c r="C4303" s="149" t="s">
        <v>369</v>
      </c>
      <c r="D4303" t="s">
        <v>6635</v>
      </c>
      <c r="E4303" t="s">
        <v>2417</v>
      </c>
      <c r="F4303" s="150"/>
      <c r="G4303" s="149" t="s">
        <v>400</v>
      </c>
      <c r="H4303" s="150" t="str">
        <f>IF(Proc[[#This Row],[type]]="LFF (MDG-F)",MID(Proc[[#This Row],[Obj]],13,10),"")</f>
        <v/>
      </c>
      <c r="I4303" t="s">
        <v>6638</v>
      </c>
      <c r="J4303" s="150" t="b">
        <f>Proc[[#This Row],[Requested]]=Proc[[#This Row],[CurrentParent]]</f>
        <v>0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61">
        <v>45957</v>
      </c>
      <c r="N4303" s="162"/>
      <c r="O4303" s="162"/>
      <c r="P4303" s="161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28</v>
      </c>
      <c r="R4303" s="161" t="s">
        <v>542</v>
      </c>
      <c r="S4303" s="150"/>
    </row>
    <row r="4304" spans="1:19" hidden="1">
      <c r="A4304" t="s">
        <v>6628</v>
      </c>
      <c r="B4304" s="150" t="str">
        <f>IFERROR(VLOOKUP(Proc[[#This Row],[App]],Table2[],3,0),"open")</f>
        <v>ok</v>
      </c>
      <c r="C4304" s="149" t="s">
        <v>369</v>
      </c>
      <c r="D4304" t="s">
        <v>5292</v>
      </c>
      <c r="E4304" t="s">
        <v>6623</v>
      </c>
      <c r="F4304" s="150" t="s">
        <v>6623</v>
      </c>
      <c r="G4304" s="149" t="s">
        <v>400</v>
      </c>
      <c r="H4304" s="150" t="str">
        <f>IF(Proc[[#This Row],[type]]="LFF (MDG-F)",MID(Proc[[#This Row],[Obj]],13,10),"")</f>
        <v/>
      </c>
      <c r="J4304" s="150" t="b">
        <f>Proc[[#This Row],[Requested]]=Proc[[#This Row],[CurrentParent]]</f>
        <v>1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62">
        <v>45958</v>
      </c>
      <c r="N4304" s="162"/>
      <c r="O4304" s="162"/>
      <c r="P4304" s="163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27</v>
      </c>
      <c r="R4304" s="163" t="s">
        <v>1459</v>
      </c>
      <c r="S4304" s="150"/>
    </row>
    <row r="4305" spans="1:19" hidden="1">
      <c r="A4305" t="s">
        <v>6628</v>
      </c>
      <c r="B4305" s="150" t="str">
        <f>IFERROR(VLOOKUP(Proc[[#This Row],[App]],Table2[],3,0),"open")</f>
        <v>ok</v>
      </c>
      <c r="C4305" s="149" t="s">
        <v>369</v>
      </c>
      <c r="D4305" t="s">
        <v>5441</v>
      </c>
      <c r="E4305" t="s">
        <v>6624</v>
      </c>
      <c r="F4305" s="150" t="s">
        <v>6624</v>
      </c>
      <c r="G4305" s="149" t="s">
        <v>400</v>
      </c>
      <c r="H4305" s="150" t="str">
        <f>IF(Proc[[#This Row],[type]]="LFF (MDG-F)",MID(Proc[[#This Row],[Obj]],13,10),"")</f>
        <v/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62">
        <v>45958</v>
      </c>
      <c r="N4305" s="162"/>
      <c r="O4305" s="162"/>
      <c r="P4305" s="163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27</v>
      </c>
      <c r="R4305" s="163" t="s">
        <v>1459</v>
      </c>
      <c r="S4305" s="150"/>
    </row>
    <row r="4306" spans="1:19" hidden="1">
      <c r="A4306" s="149" t="s">
        <v>6628</v>
      </c>
      <c r="B4306" s="150" t="str">
        <f>IFERROR(VLOOKUP(Proc[[#This Row],[App]],Table2[],3,0),"open")</f>
        <v>ok</v>
      </c>
      <c r="C4306" s="149" t="s">
        <v>369</v>
      </c>
      <c r="D4306" t="s">
        <v>5294</v>
      </c>
      <c r="E4306" t="s">
        <v>6623</v>
      </c>
      <c r="F4306" s="150" t="s">
        <v>6623</v>
      </c>
      <c r="G4306" s="149" t="s">
        <v>400</v>
      </c>
      <c r="H4306" s="150" t="str">
        <f>IF(Proc[[#This Row],[type]]="LFF (MDG-F)",MID(Proc[[#This Row],[Obj]],13,10),"")</f>
        <v/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62">
        <v>45958</v>
      </c>
      <c r="N4306" s="162"/>
      <c r="O4306" s="162"/>
      <c r="P4306" s="163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27</v>
      </c>
      <c r="R4306" s="163" t="s">
        <v>1459</v>
      </c>
      <c r="S4306" s="150"/>
    </row>
    <row r="4307" spans="1:19" hidden="1">
      <c r="A4307" s="149" t="s">
        <v>6628</v>
      </c>
      <c r="B4307" s="150" t="str">
        <f>IFERROR(VLOOKUP(Proc[[#This Row],[App]],Table2[],3,0),"open")</f>
        <v>ok</v>
      </c>
      <c r="C4307" s="149" t="s">
        <v>369</v>
      </c>
      <c r="D4307" t="s">
        <v>5307</v>
      </c>
      <c r="E4307" t="s">
        <v>6623</v>
      </c>
      <c r="F4307" s="150" t="s">
        <v>6623</v>
      </c>
      <c r="G4307" s="149" t="s">
        <v>400</v>
      </c>
      <c r="H4307" s="150" t="str">
        <f>IF(Proc[[#This Row],[type]]="LFF (MDG-F)",MID(Proc[[#This Row],[Obj]],13,10),"")</f>
        <v/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62">
        <v>45958</v>
      </c>
      <c r="N4307" s="162"/>
      <c r="O4307" s="162"/>
      <c r="P4307" s="163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27</v>
      </c>
      <c r="R4307" s="163" t="s">
        <v>1459</v>
      </c>
      <c r="S4307" s="150"/>
    </row>
    <row r="4308" spans="1:19" hidden="1">
      <c r="A4308" s="149" t="s">
        <v>6628</v>
      </c>
      <c r="B4308" s="150" t="str">
        <f>IFERROR(VLOOKUP(Proc[[#This Row],[App]],Table2[],3,0),"open")</f>
        <v>ok</v>
      </c>
      <c r="C4308" s="149" t="s">
        <v>369</v>
      </c>
      <c r="D4308" t="s">
        <v>5439</v>
      </c>
      <c r="E4308" t="s">
        <v>6624</v>
      </c>
      <c r="F4308" s="150" t="s">
        <v>6624</v>
      </c>
      <c r="G4308" s="149" t="s">
        <v>400</v>
      </c>
      <c r="H4308" s="150" t="str">
        <f>IF(Proc[[#This Row],[type]]="LFF (MDG-F)",MID(Proc[[#This Row],[Obj]],13,10),"")</f>
        <v/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62">
        <v>45958</v>
      </c>
      <c r="N4308" s="162"/>
      <c r="O4308" s="162"/>
      <c r="P4308" s="163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27</v>
      </c>
      <c r="R4308" s="163" t="s">
        <v>1459</v>
      </c>
      <c r="S4308" s="150"/>
    </row>
    <row r="4309" spans="1:19" hidden="1">
      <c r="A4309" s="149" t="s">
        <v>6628</v>
      </c>
      <c r="B4309" s="150" t="str">
        <f>IFERROR(VLOOKUP(Proc[[#This Row],[App]],Table2[],3,0),"open")</f>
        <v>ok</v>
      </c>
      <c r="C4309" s="149" t="s">
        <v>369</v>
      </c>
      <c r="D4309" t="s">
        <v>5306</v>
      </c>
      <c r="E4309" t="s">
        <v>6623</v>
      </c>
      <c r="F4309" s="150" t="s">
        <v>6623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62">
        <v>45958</v>
      </c>
      <c r="N4309" s="162"/>
      <c r="O4309" s="162"/>
      <c r="P4309" s="163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27</v>
      </c>
      <c r="R4309" s="163" t="s">
        <v>1459</v>
      </c>
      <c r="S4309" s="150"/>
    </row>
    <row r="4310" spans="1:19" hidden="1">
      <c r="A4310" s="149" t="s">
        <v>6628</v>
      </c>
      <c r="B4310" s="150" t="str">
        <f>IFERROR(VLOOKUP(Proc[[#This Row],[App]],Table2[],3,0),"open")</f>
        <v>ok</v>
      </c>
      <c r="C4310" s="149" t="s">
        <v>369</v>
      </c>
      <c r="D4310" t="s">
        <v>5311</v>
      </c>
      <c r="E4310" t="s">
        <v>6623</v>
      </c>
      <c r="F4310" s="150" t="s">
        <v>6623</v>
      </c>
      <c r="G4310" s="149" t="s">
        <v>400</v>
      </c>
      <c r="H4310" s="150" t="str">
        <f>IF(Proc[[#This Row],[type]]="LFF (MDG-F)",MID(Proc[[#This Row],[Obj]],13,10),"")</f>
        <v/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62">
        <v>45958</v>
      </c>
      <c r="N4310" s="162"/>
      <c r="O4310" s="162"/>
      <c r="P4310" s="163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27</v>
      </c>
      <c r="R4310" s="163" t="s">
        <v>1459</v>
      </c>
      <c r="S4310" s="150"/>
    </row>
    <row r="4311" spans="1:19" hidden="1">
      <c r="A4311" s="149" t="s">
        <v>6628</v>
      </c>
      <c r="B4311" s="150" t="str">
        <f>IFERROR(VLOOKUP(Proc[[#This Row],[App]],Table2[],3,0),"open")</f>
        <v>ok</v>
      </c>
      <c r="C4311" s="149" t="s">
        <v>369</v>
      </c>
      <c r="D4311" t="s">
        <v>6610</v>
      </c>
      <c r="E4311" t="s">
        <v>6604</v>
      </c>
      <c r="F4311" s="150" t="s">
        <v>6604</v>
      </c>
      <c r="G4311" t="s">
        <v>406</v>
      </c>
      <c r="H4311" s="150" t="str">
        <f>IF(Proc[[#This Row],[type]]="LFF (MDG-F)",MID(Proc[[#This Row],[Obj]],13,10),"")</f>
        <v>IT50YIT001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62">
        <v>45958</v>
      </c>
      <c r="N4311" s="162"/>
      <c r="O4311" s="162"/>
      <c r="P4311" s="163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27</v>
      </c>
      <c r="R4311" s="163" t="s">
        <v>1459</v>
      </c>
      <c r="S4311" s="150"/>
    </row>
    <row r="4312" spans="1:19" hidden="1">
      <c r="A4312" s="149" t="s">
        <v>6628</v>
      </c>
      <c r="B4312" s="150" t="str">
        <f>IFERROR(VLOOKUP(Proc[[#This Row],[App]],Table2[],3,0),"open")</f>
        <v>ok</v>
      </c>
      <c r="C4312" s="149" t="s">
        <v>369</v>
      </c>
      <c r="D4312" t="s">
        <v>6611</v>
      </c>
      <c r="E4312" t="s">
        <v>6625</v>
      </c>
      <c r="F4312" s="150" t="s">
        <v>6625</v>
      </c>
      <c r="G4312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62">
        <v>45958</v>
      </c>
      <c r="N4312" s="162"/>
      <c r="O4312" s="162"/>
      <c r="P4312" s="163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27</v>
      </c>
      <c r="R4312" s="163" t="s">
        <v>1459</v>
      </c>
      <c r="S4312" s="150"/>
    </row>
    <row r="4313" spans="1:19" hidden="1">
      <c r="A4313" s="149" t="s">
        <v>6628</v>
      </c>
      <c r="B4313" s="150" t="str">
        <f>IFERROR(VLOOKUP(Proc[[#This Row],[App]],Table2[],3,0),"open")</f>
        <v>ok</v>
      </c>
      <c r="C4313" s="149" t="s">
        <v>369</v>
      </c>
      <c r="D4313" t="s">
        <v>1827</v>
      </c>
      <c r="E4313" t="s">
        <v>6626</v>
      </c>
      <c r="F4313" s="150" t="s">
        <v>6626</v>
      </c>
      <c r="G4313" t="s">
        <v>406</v>
      </c>
      <c r="H4313" s="150" t="str">
        <f>IF(Proc[[#This Row],[type]]="LFF (MDG-F)",MID(Proc[[#This Row],[Obj]],13,10),"")</f>
        <v>DE10GIT04K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62">
        <v>45958</v>
      </c>
      <c r="N4313" s="162"/>
      <c r="O4313" s="162"/>
      <c r="P4313" s="163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27</v>
      </c>
      <c r="R4313" s="163" t="s">
        <v>1459</v>
      </c>
      <c r="S4313" s="150"/>
    </row>
    <row r="4314" spans="1:19" hidden="1">
      <c r="A4314" s="149" t="s">
        <v>6628</v>
      </c>
      <c r="B4314" s="150" t="str">
        <f>IFERROR(VLOOKUP(Proc[[#This Row],[App]],Table2[],3,0),"open")</f>
        <v>ok</v>
      </c>
      <c r="C4314" s="149" t="s">
        <v>369</v>
      </c>
      <c r="D4314" t="s">
        <v>6612</v>
      </c>
      <c r="E4314" t="s">
        <v>6625</v>
      </c>
      <c r="F4314" s="150" t="s">
        <v>6625</v>
      </c>
      <c r="G4314" t="s">
        <v>406</v>
      </c>
      <c r="H4314" s="150" t="str">
        <f>IF(Proc[[#This Row],[type]]="LFF (MDG-F)",MID(Proc[[#This Row],[Obj]],13,10),"")</f>
        <v>DE10638210</v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62">
        <v>45958</v>
      </c>
      <c r="N4314" s="162"/>
      <c r="O4314" s="162"/>
      <c r="P4314" s="163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27</v>
      </c>
      <c r="R4314" s="163" t="s">
        <v>1459</v>
      </c>
      <c r="S4314" s="150"/>
    </row>
    <row r="4315" spans="1:19" hidden="1">
      <c r="A4315" s="149" t="s">
        <v>6628</v>
      </c>
      <c r="B4315" s="150" t="str">
        <f>IFERROR(VLOOKUP(Proc[[#This Row],[App]],Table2[],3,0),"open")</f>
        <v>ok</v>
      </c>
      <c r="C4315" s="149" t="s">
        <v>369</v>
      </c>
      <c r="D4315" t="s">
        <v>6613</v>
      </c>
      <c r="E4315" t="s">
        <v>6626</v>
      </c>
      <c r="F4315" s="150" t="s">
        <v>6626</v>
      </c>
      <c r="G4315" s="149" t="s">
        <v>406</v>
      </c>
      <c r="H4315" s="150" t="str">
        <f>IF(Proc[[#This Row],[type]]="LFF (MDG-F)",MID(Proc[[#This Row],[Obj]],13,10),"")</f>
        <v>DE10GIT101</v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62">
        <v>45958</v>
      </c>
      <c r="N4315" s="162"/>
      <c r="O4315" s="162"/>
      <c r="P4315" s="163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27</v>
      </c>
      <c r="R4315" s="163" t="s">
        <v>1459</v>
      </c>
      <c r="S4315" s="150"/>
    </row>
    <row r="4316" spans="1:19" hidden="1">
      <c r="A4316" s="149" t="s">
        <v>6628</v>
      </c>
      <c r="B4316" s="150" t="str">
        <f>IFERROR(VLOOKUP(Proc[[#This Row],[App]],Table2[],3,0),"open")</f>
        <v>ok</v>
      </c>
      <c r="C4316" s="149" t="s">
        <v>369</v>
      </c>
      <c r="D4316" t="s">
        <v>6614</v>
      </c>
      <c r="E4316" t="s">
        <v>6626</v>
      </c>
      <c r="F4316" s="150" t="s">
        <v>6626</v>
      </c>
      <c r="G4316" s="149" t="s">
        <v>406</v>
      </c>
      <c r="H4316" s="150" t="str">
        <f>IF(Proc[[#This Row],[type]]="LFF (MDG-F)",MID(Proc[[#This Row],[Obj]],13,10),"")</f>
        <v>DE10GIT02K</v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62">
        <v>45958</v>
      </c>
      <c r="N4316" s="162"/>
      <c r="O4316" s="162"/>
      <c r="P4316" s="163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27</v>
      </c>
      <c r="R4316" s="163" t="s">
        <v>1459</v>
      </c>
      <c r="S4316" s="150"/>
    </row>
    <row r="4317" spans="1:19" hidden="1">
      <c r="A4317" s="149" t="s">
        <v>6628</v>
      </c>
      <c r="B4317" s="150" t="str">
        <f>IFERROR(VLOOKUP(Proc[[#This Row],[App]],Table2[],3,0),"open")</f>
        <v>ok</v>
      </c>
      <c r="C4317" s="149" t="s">
        <v>369</v>
      </c>
      <c r="D4317" t="s">
        <v>5436</v>
      </c>
      <c r="E4317" t="s">
        <v>6624</v>
      </c>
      <c r="F4317" s="150" t="s">
        <v>6624</v>
      </c>
      <c r="G4317" s="149" t="s">
        <v>406</v>
      </c>
      <c r="H4317" s="150" t="str">
        <f>IF(Proc[[#This Row],[type]]="LFF (MDG-F)",MID(Proc[[#This Row],[Obj]],13,10),"")</f>
        <v>DE10669638</v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MGF</v>
      </c>
      <c r="L4317" s="150" t="s">
        <v>6435</v>
      </c>
      <c r="M4317" s="162">
        <v>45958</v>
      </c>
      <c r="N4317" s="162"/>
      <c r="O4317" s="162"/>
      <c r="P4317" s="163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27</v>
      </c>
      <c r="R4317" s="163" t="s">
        <v>1459</v>
      </c>
      <c r="S4317" s="150"/>
    </row>
    <row r="4318" spans="1:19" hidden="1">
      <c r="A4318" s="149" t="s">
        <v>6628</v>
      </c>
      <c r="B4318" s="150" t="str">
        <f>IFERROR(VLOOKUP(Proc[[#This Row],[App]],Table2[],3,0),"open")</f>
        <v>ok</v>
      </c>
      <c r="C4318" s="149" t="s">
        <v>369</v>
      </c>
      <c r="D4318" t="s">
        <v>5328</v>
      </c>
      <c r="E4318" t="s">
        <v>6623</v>
      </c>
      <c r="F4318" s="150" t="s">
        <v>6623</v>
      </c>
      <c r="G4318" s="149" t="s">
        <v>406</v>
      </c>
      <c r="H4318" s="150" t="str">
        <f>IF(Proc[[#This Row],[type]]="LFF (MDG-F)",MID(Proc[[#This Row],[Obj]],13,10),"")</f>
        <v>DE10669636</v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MGF</v>
      </c>
      <c r="L4318" s="150" t="s">
        <v>6435</v>
      </c>
      <c r="M4318" s="162">
        <v>45958</v>
      </c>
      <c r="N4318" s="162"/>
      <c r="O4318" s="162"/>
      <c r="P4318" s="163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27</v>
      </c>
      <c r="R4318" s="163" t="s">
        <v>1459</v>
      </c>
      <c r="S4318" s="150"/>
    </row>
    <row r="4319" spans="1:19" hidden="1">
      <c r="A4319" s="149" t="s">
        <v>6628</v>
      </c>
      <c r="B4319" s="150" t="str">
        <f>IFERROR(VLOOKUP(Proc[[#This Row],[App]],Table2[],3,0),"open")</f>
        <v>ok</v>
      </c>
      <c r="C4319" s="149" t="s">
        <v>369</v>
      </c>
      <c r="D4319" t="s">
        <v>5366</v>
      </c>
      <c r="E4319" t="s">
        <v>6623</v>
      </c>
      <c r="F4319" s="150" t="s">
        <v>6623</v>
      </c>
      <c r="G4319" t="s">
        <v>400</v>
      </c>
      <c r="H4319" s="150" t="str">
        <f>IF(Proc[[#This Row],[type]]="LFF (MDG-F)",MID(Proc[[#This Row],[Obj]],13,10),"")</f>
        <v/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MGF</v>
      </c>
      <c r="L4319" s="150" t="s">
        <v>6435</v>
      </c>
      <c r="M4319" s="162">
        <v>45958</v>
      </c>
      <c r="N4319" s="162"/>
      <c r="O4319" s="162"/>
      <c r="P4319" s="163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27</v>
      </c>
      <c r="R4319" s="163" t="s">
        <v>1459</v>
      </c>
      <c r="S4319" s="150"/>
    </row>
    <row r="4320" spans="1:19" hidden="1">
      <c r="A4320" s="149" t="s">
        <v>6628</v>
      </c>
      <c r="B4320" s="150" t="str">
        <f>IFERROR(VLOOKUP(Proc[[#This Row],[App]],Table2[],3,0),"open")</f>
        <v>ok</v>
      </c>
      <c r="C4320" s="149" t="s">
        <v>369</v>
      </c>
      <c r="D4320" t="s">
        <v>6615</v>
      </c>
      <c r="E4320" t="s">
        <v>6604</v>
      </c>
      <c r="F4320" s="150" t="s">
        <v>6604</v>
      </c>
      <c r="G4320" t="s">
        <v>406</v>
      </c>
      <c r="H4320" s="150" t="str">
        <f>IF(Proc[[#This Row],[type]]="LFF (MDG-F)",MID(Proc[[#This Row],[Obj]],13,10),"")</f>
        <v>CH65GIT20H</v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MGF</v>
      </c>
      <c r="L4320" s="150" t="s">
        <v>6435</v>
      </c>
      <c r="M4320" s="162">
        <v>45958</v>
      </c>
      <c r="N4320" s="162"/>
      <c r="O4320" s="162"/>
      <c r="P4320" s="163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27</v>
      </c>
      <c r="R4320" s="163" t="s">
        <v>1459</v>
      </c>
      <c r="S4320" s="150"/>
    </row>
    <row r="4321" spans="1:19" hidden="1">
      <c r="A4321" s="149" t="s">
        <v>6628</v>
      </c>
      <c r="B4321" s="150" t="str">
        <f>IFERROR(VLOOKUP(Proc[[#This Row],[App]],Table2[],3,0),"open")</f>
        <v>ok</v>
      </c>
      <c r="C4321" s="149" t="s">
        <v>369</v>
      </c>
      <c r="D4321" t="s">
        <v>6616</v>
      </c>
      <c r="E4321" t="s">
        <v>6626</v>
      </c>
      <c r="F4321" s="150" t="s">
        <v>6626</v>
      </c>
      <c r="G4321" t="s">
        <v>400</v>
      </c>
      <c r="H4321" s="150" t="str">
        <f>IF(Proc[[#This Row],[type]]="LFF (MDG-F)",MID(Proc[[#This Row],[Obj]],13,10),"")</f>
        <v/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MGF</v>
      </c>
      <c r="L4321" s="150" t="s">
        <v>6435</v>
      </c>
      <c r="M4321" s="162">
        <v>45958</v>
      </c>
      <c r="N4321" s="162"/>
      <c r="O4321" s="162"/>
      <c r="P4321" s="163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27</v>
      </c>
      <c r="R4321" s="163" t="s">
        <v>1459</v>
      </c>
      <c r="S4321" s="150"/>
    </row>
    <row r="4322" spans="1:19" hidden="1">
      <c r="A4322" s="149" t="s">
        <v>6628</v>
      </c>
      <c r="B4322" s="150" t="str">
        <f>IFERROR(VLOOKUP(Proc[[#This Row],[App]],Table2[],3,0),"open")</f>
        <v>ok</v>
      </c>
      <c r="C4322" s="149" t="s">
        <v>369</v>
      </c>
      <c r="D4322" t="s">
        <v>6444</v>
      </c>
      <c r="E4322" t="s">
        <v>5446</v>
      </c>
      <c r="F4322" s="150" t="s">
        <v>5446</v>
      </c>
      <c r="G4322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MGF</v>
      </c>
      <c r="L4322" s="150" t="s">
        <v>6435</v>
      </c>
      <c r="M4322" s="162">
        <v>45958</v>
      </c>
      <c r="N4322" s="162"/>
      <c r="O4322" s="162"/>
      <c r="P4322" s="163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27</v>
      </c>
      <c r="R4322" s="163" t="s">
        <v>1459</v>
      </c>
      <c r="S4322" s="150"/>
    </row>
    <row r="4323" spans="1:19" hidden="1">
      <c r="A4323" s="149" t="s">
        <v>6628</v>
      </c>
      <c r="B4323" s="150" t="str">
        <f>IFERROR(VLOOKUP(Proc[[#This Row],[App]],Table2[],3,0),"open")</f>
        <v>ok</v>
      </c>
      <c r="C4323" s="149" t="s">
        <v>369</v>
      </c>
      <c r="D4323" t="s">
        <v>5417</v>
      </c>
      <c r="E4323" t="s">
        <v>6623</v>
      </c>
      <c r="F4323" s="150" t="s">
        <v>6623</v>
      </c>
      <c r="G4323" t="s">
        <v>406</v>
      </c>
      <c r="H4323" s="150" t="str">
        <f>IF(Proc[[#This Row],[type]]="LFF (MDG-F)",MID(Proc[[#This Row],[Obj]],13,10),"")</f>
        <v>2123C00103</v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MGF</v>
      </c>
      <c r="L4323" s="150" t="s">
        <v>6435</v>
      </c>
      <c r="M4323" s="162">
        <v>45958</v>
      </c>
      <c r="N4323" s="162"/>
      <c r="O4323" s="162"/>
      <c r="P4323" s="163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27</v>
      </c>
      <c r="R4323" s="163" t="s">
        <v>1459</v>
      </c>
      <c r="S4323" s="150"/>
    </row>
    <row r="4324" spans="1:19" hidden="1">
      <c r="A4324" s="149" t="s">
        <v>6628</v>
      </c>
      <c r="B4324" s="150" t="str">
        <f>IFERROR(VLOOKUP(Proc[[#This Row],[App]],Table2[],3,0),"open")</f>
        <v>ok</v>
      </c>
      <c r="C4324" s="149" t="s">
        <v>369</v>
      </c>
      <c r="D4324" t="s">
        <v>5410</v>
      </c>
      <c r="E4324" t="s">
        <v>6623</v>
      </c>
      <c r="F4324" s="150" t="s">
        <v>6623</v>
      </c>
      <c r="G4324" t="s">
        <v>406</v>
      </c>
      <c r="H4324" s="150" t="str">
        <f>IF(Proc[[#This Row],[type]]="LFF (MDG-F)",MID(Proc[[#This Row],[Obj]],13,10),"")</f>
        <v>2123GM1110</v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MGF</v>
      </c>
      <c r="L4324" s="150" t="s">
        <v>6435</v>
      </c>
      <c r="M4324" s="162">
        <v>45958</v>
      </c>
      <c r="N4324" s="162"/>
      <c r="O4324" s="162"/>
      <c r="P4324" s="163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27</v>
      </c>
      <c r="R4324" s="163" t="s">
        <v>1459</v>
      </c>
      <c r="S4324" s="150"/>
    </row>
    <row r="4325" spans="1:19" hidden="1">
      <c r="A4325" s="149" t="s">
        <v>6628</v>
      </c>
      <c r="B4325" s="150" t="str">
        <f>IFERROR(VLOOKUP(Proc[[#This Row],[App]],Table2[],3,0),"open")</f>
        <v>ok</v>
      </c>
      <c r="C4325" s="149" t="s">
        <v>369</v>
      </c>
      <c r="D4325" t="s">
        <v>5442</v>
      </c>
      <c r="E4325" t="s">
        <v>6624</v>
      </c>
      <c r="F4325" s="150" t="s">
        <v>6624</v>
      </c>
      <c r="G4325" s="149" t="s">
        <v>406</v>
      </c>
      <c r="H4325" s="150" t="str">
        <f>IF(Proc[[#This Row],[type]]="LFF (MDG-F)",MID(Proc[[#This Row],[Obj]],13,10),"")</f>
        <v>2123GMS050</v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MGF</v>
      </c>
      <c r="L4325" s="150" t="s">
        <v>6435</v>
      </c>
      <c r="M4325" s="162">
        <v>45958</v>
      </c>
      <c r="N4325" s="162"/>
      <c r="O4325" s="162"/>
      <c r="P4325" s="163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27</v>
      </c>
      <c r="R4325" s="163" t="s">
        <v>1459</v>
      </c>
      <c r="S4325" s="150"/>
    </row>
    <row r="4326" spans="1:19" hidden="1">
      <c r="A4326" s="149" t="s">
        <v>6628</v>
      </c>
      <c r="B4326" s="150" t="str">
        <f>IFERROR(VLOOKUP(Proc[[#This Row],[App]],Table2[],3,0),"open")</f>
        <v>ok</v>
      </c>
      <c r="C4326" s="149" t="s">
        <v>369</v>
      </c>
      <c r="D4326" t="s">
        <v>5443</v>
      </c>
      <c r="E4326" t="s">
        <v>6624</v>
      </c>
      <c r="F4326" s="150" t="s">
        <v>6624</v>
      </c>
      <c r="G4326" s="149" t="s">
        <v>406</v>
      </c>
      <c r="H4326" s="150" t="str">
        <f>IF(Proc[[#This Row],[type]]="LFF (MDG-F)",MID(Proc[[#This Row],[Obj]],13,10),"")</f>
        <v>2123GMS080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MGF</v>
      </c>
      <c r="L4326" s="150" t="s">
        <v>6435</v>
      </c>
      <c r="M4326" s="162">
        <v>45958</v>
      </c>
      <c r="N4326" s="162"/>
      <c r="O4326" s="162"/>
      <c r="P4326" s="163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27</v>
      </c>
      <c r="R4326" s="163" t="s">
        <v>1459</v>
      </c>
      <c r="S4326" s="150"/>
    </row>
    <row r="4327" spans="1:19" hidden="1">
      <c r="A4327" s="149" t="s">
        <v>6628</v>
      </c>
      <c r="B4327" s="150" t="str">
        <f>IFERROR(VLOOKUP(Proc[[#This Row],[App]],Table2[],3,0),"open")</f>
        <v>ok</v>
      </c>
      <c r="C4327" s="149" t="s">
        <v>369</v>
      </c>
      <c r="D4327" t="s">
        <v>5412</v>
      </c>
      <c r="E4327" t="s">
        <v>6623</v>
      </c>
      <c r="F4327" s="150" t="s">
        <v>6623</v>
      </c>
      <c r="G4327" s="149" t="s">
        <v>406</v>
      </c>
      <c r="H4327" s="150" t="str">
        <f>IF(Proc[[#This Row],[type]]="LFF (MDG-F)",MID(Proc[[#This Row],[Obj]],13,10),"")</f>
        <v>2123L50005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MGF</v>
      </c>
      <c r="L4327" s="150" t="s">
        <v>6435</v>
      </c>
      <c r="M4327" s="162">
        <v>45958</v>
      </c>
      <c r="N4327" s="162"/>
      <c r="O4327" s="162"/>
      <c r="P4327" s="163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27</v>
      </c>
      <c r="R4327" s="163" t="s">
        <v>1459</v>
      </c>
      <c r="S4327" s="150"/>
    </row>
    <row r="4328" spans="1:19" hidden="1">
      <c r="A4328" s="149" t="s">
        <v>6628</v>
      </c>
      <c r="B4328" s="150" t="str">
        <f>IFERROR(VLOOKUP(Proc[[#This Row],[App]],Table2[],3,0),"open")</f>
        <v>ok</v>
      </c>
      <c r="C4328" s="149" t="s">
        <v>369</v>
      </c>
      <c r="D4328" t="s">
        <v>5409</v>
      </c>
      <c r="E4328" t="s">
        <v>6623</v>
      </c>
      <c r="F4328" s="150" t="s">
        <v>6623</v>
      </c>
      <c r="G4328" s="149" t="s">
        <v>406</v>
      </c>
      <c r="H4328" s="150" t="str">
        <f>IF(Proc[[#This Row],[type]]="LFF (MDG-F)",MID(Proc[[#This Row],[Obj]],13,10),"")</f>
        <v>2123OF0010</v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MGF</v>
      </c>
      <c r="L4328" s="150" t="s">
        <v>6435</v>
      </c>
      <c r="M4328" s="162">
        <v>45958</v>
      </c>
      <c r="N4328" s="162"/>
      <c r="O4328" s="162"/>
      <c r="P4328" s="163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27</v>
      </c>
      <c r="R4328" s="163" t="s">
        <v>1459</v>
      </c>
      <c r="S4328" s="150"/>
    </row>
    <row r="4329" spans="1:19" hidden="1">
      <c r="A4329" s="149" t="s">
        <v>6628</v>
      </c>
      <c r="B4329" s="150" t="str">
        <f>IFERROR(VLOOKUP(Proc[[#This Row],[App]],Table2[],3,0),"open")</f>
        <v>ok</v>
      </c>
      <c r="C4329" s="149" t="s">
        <v>369</v>
      </c>
      <c r="D4329" t="s">
        <v>5416</v>
      </c>
      <c r="E4329" t="s">
        <v>6623</v>
      </c>
      <c r="F4329" s="150" t="s">
        <v>6623</v>
      </c>
      <c r="G4329" s="149" t="s">
        <v>406</v>
      </c>
      <c r="H4329" s="150" t="str">
        <f>IF(Proc[[#This Row],[type]]="LFF (MDG-F)",MID(Proc[[#This Row],[Obj]],13,10),"")</f>
        <v>2123TPSZ93</v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MGF</v>
      </c>
      <c r="L4329" s="150" t="s">
        <v>6435</v>
      </c>
      <c r="M4329" s="162">
        <v>45958</v>
      </c>
      <c r="N4329" s="162"/>
      <c r="O4329" s="162"/>
      <c r="P4329" s="163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27</v>
      </c>
      <c r="R4329" s="163" t="s">
        <v>1459</v>
      </c>
      <c r="S4329" s="150"/>
    </row>
    <row r="4330" spans="1:19" hidden="1">
      <c r="A4330" s="149" t="s">
        <v>6628</v>
      </c>
      <c r="B4330" s="150" t="str">
        <f>IFERROR(VLOOKUP(Proc[[#This Row],[App]],Table2[],3,0),"open")</f>
        <v>ok</v>
      </c>
      <c r="C4330" s="149" t="s">
        <v>369</v>
      </c>
      <c r="D4330" t="s">
        <v>5400</v>
      </c>
      <c r="E4330" t="s">
        <v>6623</v>
      </c>
      <c r="F4330" s="150" t="s">
        <v>6623</v>
      </c>
      <c r="G4330" s="149" t="s">
        <v>406</v>
      </c>
      <c r="H4330" s="150" t="str">
        <f>IF(Proc[[#This Row],[type]]="LFF (MDG-F)",MID(Proc[[#This Row],[Obj]],13,10),"")</f>
        <v>2123TQJZ94</v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MGF</v>
      </c>
      <c r="L4330" s="150" t="s">
        <v>6435</v>
      </c>
      <c r="M4330" s="162">
        <v>45958</v>
      </c>
      <c r="N4330" s="162"/>
      <c r="O4330" s="162"/>
      <c r="P4330" s="163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27</v>
      </c>
      <c r="R4330" s="163" t="s">
        <v>1459</v>
      </c>
      <c r="S4330" s="150"/>
    </row>
    <row r="4331" spans="1:19" hidden="1">
      <c r="A4331" s="149" t="s">
        <v>6628</v>
      </c>
      <c r="B4331" s="150" t="str">
        <f>IFERROR(VLOOKUP(Proc[[#This Row],[App]],Table2[],3,0),"open")</f>
        <v>ok</v>
      </c>
      <c r="C4331" s="149" t="s">
        <v>369</v>
      </c>
      <c r="D4331" t="s">
        <v>6617</v>
      </c>
      <c r="E4331" t="s">
        <v>6626</v>
      </c>
      <c r="F4331" s="150" t="s">
        <v>6626</v>
      </c>
      <c r="G4331" s="149" t="s">
        <v>406</v>
      </c>
      <c r="H4331" s="150" t="str">
        <f>IF(Proc[[#This Row],[type]]="LFF (MDG-F)",MID(Proc[[#This Row],[Obj]],13,10),"")</f>
        <v>2123GIT134</v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MGF</v>
      </c>
      <c r="L4331" s="150" t="s">
        <v>6435</v>
      </c>
      <c r="M4331" s="162">
        <v>45958</v>
      </c>
      <c r="N4331" s="162"/>
      <c r="O4331" s="162"/>
      <c r="P4331" s="163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27</v>
      </c>
      <c r="R4331" s="163" t="s">
        <v>1459</v>
      </c>
      <c r="S4331" s="150"/>
    </row>
    <row r="4332" spans="1:19" hidden="1">
      <c r="A4332" s="149" t="s">
        <v>6628</v>
      </c>
      <c r="B4332" s="150" t="str">
        <f>IFERROR(VLOOKUP(Proc[[#This Row],[App]],Table2[],3,0),"open")</f>
        <v>ok</v>
      </c>
      <c r="C4332" s="149" t="s">
        <v>369</v>
      </c>
      <c r="D4332" t="s">
        <v>5414</v>
      </c>
      <c r="E4332" t="s">
        <v>6623</v>
      </c>
      <c r="F4332" s="150" t="s">
        <v>6623</v>
      </c>
      <c r="G4332" s="149" t="s">
        <v>406</v>
      </c>
      <c r="H4332" s="150" t="str">
        <f>IF(Proc[[#This Row],[type]]="LFF (MDG-F)",MID(Proc[[#This Row],[Obj]],13,10),"")</f>
        <v>2123YIT004</v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MGF</v>
      </c>
      <c r="L4332" s="150" t="s">
        <v>6435</v>
      </c>
      <c r="M4332" s="162">
        <v>45958</v>
      </c>
      <c r="N4332" s="162"/>
      <c r="O4332" s="162"/>
      <c r="P4332" s="163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27</v>
      </c>
      <c r="R4332" s="163" t="s">
        <v>1459</v>
      </c>
      <c r="S4332" s="150"/>
    </row>
    <row r="4333" spans="1:19" hidden="1">
      <c r="A4333" s="149" t="s">
        <v>6628</v>
      </c>
      <c r="B4333" s="150" t="str">
        <f>IFERROR(VLOOKUP(Proc[[#This Row],[App]],Table2[],3,0),"open")</f>
        <v>ok</v>
      </c>
      <c r="C4333" s="149" t="s">
        <v>369</v>
      </c>
      <c r="D4333" t="s">
        <v>5413</v>
      </c>
      <c r="E4333" t="s">
        <v>6623</v>
      </c>
      <c r="F4333" s="150" t="s">
        <v>6623</v>
      </c>
      <c r="G4333" s="149" t="s">
        <v>406</v>
      </c>
      <c r="H4333" s="150" t="str">
        <f>IF(Proc[[#This Row],[type]]="LFF (MDG-F)",MID(Proc[[#This Row],[Obj]],13,10),"")</f>
        <v>2123YIT005</v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MGF</v>
      </c>
      <c r="L4333" s="150" t="s">
        <v>6435</v>
      </c>
      <c r="M4333" s="162">
        <v>45958</v>
      </c>
      <c r="N4333" s="162"/>
      <c r="O4333" s="162"/>
      <c r="P4333" s="163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27</v>
      </c>
      <c r="R4333" s="163" t="s">
        <v>1459</v>
      </c>
      <c r="S4333" s="150"/>
    </row>
    <row r="4334" spans="1:19" hidden="1">
      <c r="A4334" s="149" t="s">
        <v>6628</v>
      </c>
      <c r="B4334" s="150" t="str">
        <f>IFERROR(VLOOKUP(Proc[[#This Row],[App]],Table2[],3,0),"open")</f>
        <v>ok</v>
      </c>
      <c r="C4334" s="149" t="s">
        <v>369</v>
      </c>
      <c r="D4334" t="s">
        <v>6618</v>
      </c>
      <c r="E4334" t="s">
        <v>6627</v>
      </c>
      <c r="F4334" s="150" t="s">
        <v>6627</v>
      </c>
      <c r="G4334" s="149" t="s">
        <v>406</v>
      </c>
      <c r="H4334" s="150" t="str">
        <f>IF(Proc[[#This Row],[type]]="LFF (MDG-F)",MID(Proc[[#This Row],[Obj]],13,10),"")</f>
        <v>DE10YIT016</v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MGF</v>
      </c>
      <c r="L4334" s="150" t="s">
        <v>6435</v>
      </c>
      <c r="M4334" s="162">
        <v>45958</v>
      </c>
      <c r="N4334" s="162"/>
      <c r="O4334" s="162"/>
      <c r="P4334" s="163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27</v>
      </c>
      <c r="R4334" s="163" t="s">
        <v>1459</v>
      </c>
      <c r="S4334" s="150"/>
    </row>
    <row r="4335" spans="1:19" hidden="1">
      <c r="A4335" s="149" t="s">
        <v>6628</v>
      </c>
      <c r="B4335" s="150" t="str">
        <f>IFERROR(VLOOKUP(Proc[[#This Row],[App]],Table2[],3,0),"open")</f>
        <v>ok</v>
      </c>
      <c r="C4335" s="149" t="s">
        <v>369</v>
      </c>
      <c r="D4335" t="s">
        <v>6619</v>
      </c>
      <c r="E4335" t="s">
        <v>6627</v>
      </c>
      <c r="F4335" s="150" t="s">
        <v>6627</v>
      </c>
      <c r="G4335" s="149" t="s">
        <v>406</v>
      </c>
      <c r="H4335" s="150" t="str">
        <f>IF(Proc[[#This Row],[type]]="LFF (MDG-F)",MID(Proc[[#This Row],[Obj]],13,10),"")</f>
        <v>2123YIT008</v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MGF</v>
      </c>
      <c r="L4335" s="150" t="s">
        <v>6435</v>
      </c>
      <c r="M4335" s="162">
        <v>45958</v>
      </c>
      <c r="N4335" s="162"/>
      <c r="O4335" s="162"/>
      <c r="P4335" s="163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27</v>
      </c>
      <c r="R4335" s="163" t="s">
        <v>1459</v>
      </c>
      <c r="S4335" s="150"/>
    </row>
    <row r="4336" spans="1:19" hidden="1">
      <c r="A4336" s="149" t="s">
        <v>6628</v>
      </c>
      <c r="B4336" s="150" t="str">
        <f>IFERROR(VLOOKUP(Proc[[#This Row],[App]],Table2[],3,0),"open")</f>
        <v>ok</v>
      </c>
      <c r="C4336" s="149" t="s">
        <v>369</v>
      </c>
      <c r="D4336" t="s">
        <v>6620</v>
      </c>
      <c r="E4336" t="s">
        <v>6627</v>
      </c>
      <c r="F4336" s="150" t="s">
        <v>6627</v>
      </c>
      <c r="G4336" t="s">
        <v>400</v>
      </c>
      <c r="H4336" s="150" t="str">
        <f>IF(Proc[[#This Row],[type]]="LFF (MDG-F)",MID(Proc[[#This Row],[Obj]],13,10),"")</f>
        <v/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MGF</v>
      </c>
      <c r="L4336" s="150" t="s">
        <v>6435</v>
      </c>
      <c r="M4336" s="162">
        <v>45958</v>
      </c>
      <c r="N4336" s="162"/>
      <c r="O4336" s="162"/>
      <c r="P4336" s="163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27</v>
      </c>
      <c r="R4336" s="163" t="s">
        <v>1459</v>
      </c>
      <c r="S4336" s="150"/>
    </row>
    <row r="4337" spans="1:19" hidden="1">
      <c r="A4337" s="149" t="s">
        <v>6628</v>
      </c>
      <c r="B4337" s="150" t="str">
        <f>IFERROR(VLOOKUP(Proc[[#This Row],[App]],Table2[],3,0),"open")</f>
        <v>ok</v>
      </c>
      <c r="C4337" s="149" t="s">
        <v>369</v>
      </c>
      <c r="D4337" t="s">
        <v>6621</v>
      </c>
      <c r="E4337" t="s">
        <v>6625</v>
      </c>
      <c r="F4337" s="150" t="s">
        <v>6625</v>
      </c>
      <c r="G4337" t="s">
        <v>406</v>
      </c>
      <c r="H4337" s="150" t="str">
        <f>IF(Proc[[#This Row],[type]]="LFF (MDG-F)",MID(Proc[[#This Row],[Obj]],13,10),"")</f>
        <v>2123YIT009</v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MGF</v>
      </c>
      <c r="L4337" s="150" t="s">
        <v>6435</v>
      </c>
      <c r="M4337" s="162">
        <v>45958</v>
      </c>
      <c r="N4337" s="162"/>
      <c r="O4337" s="162"/>
      <c r="P4337" s="163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27</v>
      </c>
      <c r="R4337" s="163" t="s">
        <v>1459</v>
      </c>
      <c r="S4337" s="150"/>
    </row>
    <row r="4338" spans="1:19" hidden="1">
      <c r="A4338" s="149" t="s">
        <v>6628</v>
      </c>
      <c r="B4338" s="150" t="str">
        <f>IFERROR(VLOOKUP(Proc[[#This Row],[App]],Table2[],3,0),"open")</f>
        <v>ok</v>
      </c>
      <c r="C4338" s="149" t="s">
        <v>369</v>
      </c>
      <c r="D4338" t="s">
        <v>6622</v>
      </c>
      <c r="E4338" t="s">
        <v>6625</v>
      </c>
      <c r="F4338" s="150" t="s">
        <v>6625</v>
      </c>
      <c r="G4338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MGF</v>
      </c>
      <c r="L4338" s="150" t="s">
        <v>6435</v>
      </c>
      <c r="M4338" s="162">
        <v>45958</v>
      </c>
      <c r="N4338" s="162"/>
      <c r="O4338" s="162"/>
      <c r="P4338" s="163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27</v>
      </c>
      <c r="R4338" s="163" t="s">
        <v>1459</v>
      </c>
      <c r="S4338" s="150"/>
    </row>
    <row r="4339" spans="1:19" hidden="1">
      <c r="A4339" t="s">
        <v>6629</v>
      </c>
      <c r="B4339" s="150" t="str">
        <f>IFERROR(VLOOKUP(Proc[[#This Row],[App]],Table2[],3,0),"open")</f>
        <v>ok</v>
      </c>
      <c r="C4339" s="149" t="s">
        <v>369</v>
      </c>
      <c r="D4339" t="s">
        <v>6630</v>
      </c>
      <c r="E4339" t="s">
        <v>6605</v>
      </c>
      <c r="F4339" s="150" t="s">
        <v>6605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62">
        <v>45958</v>
      </c>
      <c r="N4339" s="162"/>
      <c r="O4339" s="162"/>
      <c r="P4339" s="163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27</v>
      </c>
      <c r="R4339" s="163" t="s">
        <v>489</v>
      </c>
      <c r="S4339" s="150"/>
    </row>
    <row r="4340" spans="1:19" hidden="1">
      <c r="A4340" t="s">
        <v>6629</v>
      </c>
      <c r="B4340" s="150" t="str">
        <f>IFERROR(VLOOKUP(Proc[[#This Row],[App]],Table2[],3,0),"open")</f>
        <v>ok</v>
      </c>
      <c r="C4340" s="149" t="s">
        <v>369</v>
      </c>
      <c r="D4340" t="s">
        <v>6631</v>
      </c>
      <c r="E4340" t="s">
        <v>6605</v>
      </c>
      <c r="F4340" s="150" t="s">
        <v>6605</v>
      </c>
      <c r="G4340" s="149" t="s">
        <v>400</v>
      </c>
      <c r="H4340" s="150" t="str">
        <f>IF(Proc[[#This Row],[type]]="LFF (MDG-F)",MID(Proc[[#This Row],[Obj]],13,10),"")</f>
        <v/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62">
        <v>45958</v>
      </c>
      <c r="N4340" s="162"/>
      <c r="O4340" s="162"/>
      <c r="P4340" s="163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27</v>
      </c>
      <c r="R4340" s="163" t="s">
        <v>489</v>
      </c>
      <c r="S4340" s="150"/>
    </row>
    <row r="4341" spans="1:19" hidden="1">
      <c r="A4341" s="149" t="s">
        <v>6629</v>
      </c>
      <c r="B4341" s="150" t="str">
        <f>IFERROR(VLOOKUP(Proc[[#This Row],[App]],Table2[],3,0),"open")</f>
        <v>ok</v>
      </c>
      <c r="C4341" s="149" t="s">
        <v>369</v>
      </c>
      <c r="D4341" t="s">
        <v>6632</v>
      </c>
      <c r="E4341" t="s">
        <v>6605</v>
      </c>
      <c r="F4341" s="150" t="s">
        <v>6605</v>
      </c>
      <c r="G4341" s="149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LS</v>
      </c>
      <c r="L4341" s="150" t="s">
        <v>6435</v>
      </c>
      <c r="M4341" s="162">
        <v>45958</v>
      </c>
      <c r="N4341" s="162"/>
      <c r="O4341" s="162"/>
      <c r="P4341" s="163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27</v>
      </c>
      <c r="R4341" s="163" t="s">
        <v>489</v>
      </c>
      <c r="S4341" s="150"/>
    </row>
    <row r="4342" spans="1:19" hidden="1">
      <c r="A4342" s="149" t="s">
        <v>6629</v>
      </c>
      <c r="B4342" s="150" t="str">
        <f>IFERROR(VLOOKUP(Proc[[#This Row],[App]],Table2[],3,0),"open")</f>
        <v>ok</v>
      </c>
      <c r="C4342" s="149" t="s">
        <v>369</v>
      </c>
      <c r="D4342" t="s">
        <v>6633</v>
      </c>
      <c r="E4342" t="s">
        <v>2205</v>
      </c>
      <c r="F4342" s="150" t="s">
        <v>2205</v>
      </c>
      <c r="G4342" s="149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LS</v>
      </c>
      <c r="L4342" s="150" t="s">
        <v>6435</v>
      </c>
      <c r="M4342" s="162">
        <v>45958</v>
      </c>
      <c r="N4342" s="162"/>
      <c r="O4342" s="162"/>
      <c r="P4342" s="163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27</v>
      </c>
      <c r="R4342" s="163" t="s">
        <v>489</v>
      </c>
      <c r="S4342" s="150"/>
    </row>
    <row r="4343" spans="1:19" hidden="1">
      <c r="A4343" t="s">
        <v>6636</v>
      </c>
      <c r="B4343" s="150" t="str">
        <f>IFERROR(VLOOKUP(Proc[[#This Row],[App]],Table2[],3,0),"open")</f>
        <v>ok</v>
      </c>
      <c r="C4343" t="s">
        <v>369</v>
      </c>
      <c r="D4343" t="s">
        <v>6637</v>
      </c>
      <c r="E4343" t="s">
        <v>447</v>
      </c>
      <c r="F4343" s="150" t="s">
        <v>447</v>
      </c>
      <c r="G4343" s="149" t="s">
        <v>400</v>
      </c>
      <c r="H4343" s="150" t="str">
        <f>IF(Proc[[#This Row],[type]]="LFF (MDG-F)",MID(Proc[[#This Row],[Obj]],13,10),"")</f>
        <v/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LS</v>
      </c>
      <c r="L4343" s="150" t="s">
        <v>6435</v>
      </c>
      <c r="M4343" s="163">
        <v>45959</v>
      </c>
      <c r="N4343" s="164"/>
      <c r="O4343" s="164"/>
      <c r="P4343" s="163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26</v>
      </c>
      <c r="R4343" s="163" t="s">
        <v>489</v>
      </c>
      <c r="S4343" s="150"/>
    </row>
    <row r="4344" spans="1:19">
      <c r="A4344" t="s">
        <v>6639</v>
      </c>
      <c r="B4344" s="150" t="str">
        <f>IFERROR(VLOOKUP(Proc[[#This Row],[App]],Table2[],3,0),"open")</f>
        <v>open</v>
      </c>
      <c r="C4344" s="149" t="s">
        <v>692</v>
      </c>
      <c r="D4344" t="s">
        <v>6742</v>
      </c>
      <c r="E4344" t="s">
        <v>6640</v>
      </c>
      <c r="F4344" s="150">
        <v>0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0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64">
        <v>45954</v>
      </c>
      <c r="N4344" s="164"/>
      <c r="O4344" s="164"/>
      <c r="P4344" s="165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29</v>
      </c>
      <c r="R4344" s="165" t="s">
        <v>498</v>
      </c>
      <c r="S4344" s="150"/>
    </row>
    <row r="4345" spans="1:19">
      <c r="A4345" t="s">
        <v>6639</v>
      </c>
      <c r="B4345" s="150" t="str">
        <f>IFERROR(VLOOKUP(Proc[[#This Row],[App]],Table2[],3,0),"open")</f>
        <v>open</v>
      </c>
      <c r="C4345" s="149" t="s">
        <v>692</v>
      </c>
      <c r="D4345" t="s">
        <v>6743</v>
      </c>
      <c r="E4345" t="s">
        <v>6641</v>
      </c>
      <c r="F4345" s="150">
        <v>0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0</v>
      </c>
      <c r="K4345" s="150" t="str">
        <f>IF(Proc[[#This Row],[Author]]="Marcela Urrego",VLOOKUP(LEFT(Proc[[#This Row],[Requested]],1),Table3[#All],2,0),VLOOKUP(Proc[[#This Row],[Author]],Table4[],2,0))</f>
        <v>HC</v>
      </c>
      <c r="L4345" s="150" t="s">
        <v>6435</v>
      </c>
      <c r="M4345" s="164">
        <v>45954</v>
      </c>
      <c r="N4345" s="164"/>
      <c r="O4345" s="164"/>
      <c r="P4345" s="165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29</v>
      </c>
      <c r="R4345" s="165" t="s">
        <v>498</v>
      </c>
      <c r="S4345" s="150"/>
    </row>
    <row r="4346" spans="1:19" hidden="1">
      <c r="A4346" t="s">
        <v>6642</v>
      </c>
      <c r="B4346" s="150" t="str">
        <f>IFERROR(VLOOKUP(Proc[[#This Row],[App]],Table2[],3,0),"open")</f>
        <v>ok</v>
      </c>
      <c r="C4346" s="149" t="s">
        <v>369</v>
      </c>
      <c r="D4346" t="s">
        <v>6643</v>
      </c>
      <c r="E4346" t="s">
        <v>6744</v>
      </c>
      <c r="F4346" s="150" t="s">
        <v>6744</v>
      </c>
      <c r="G4346" s="149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HC</v>
      </c>
      <c r="L4346" s="150" t="s">
        <v>6435</v>
      </c>
      <c r="M4346" s="165">
        <v>45961</v>
      </c>
      <c r="N4346" s="166"/>
      <c r="O4346" s="166"/>
      <c r="P4346" s="165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24</v>
      </c>
      <c r="R4346" s="165" t="s">
        <v>6665</v>
      </c>
      <c r="S4346" s="150"/>
    </row>
    <row r="4347" spans="1:19" hidden="1">
      <c r="A4347" s="149" t="s">
        <v>6642</v>
      </c>
      <c r="B4347" s="150" t="str">
        <f>IFERROR(VLOOKUP(Proc[[#This Row],[App]],Table2[],3,0),"open")</f>
        <v>ok</v>
      </c>
      <c r="C4347" s="149" t="s">
        <v>369</v>
      </c>
      <c r="D4347" t="s">
        <v>6644</v>
      </c>
      <c r="E4347" t="s">
        <v>6745</v>
      </c>
      <c r="F4347" s="150" t="s">
        <v>6745</v>
      </c>
      <c r="G4347" s="149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HC</v>
      </c>
      <c r="L4347" s="150" t="s">
        <v>6435</v>
      </c>
      <c r="M4347" s="165">
        <v>45961</v>
      </c>
      <c r="N4347" s="166"/>
      <c r="O4347" s="166"/>
      <c r="P4347" s="165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24</v>
      </c>
      <c r="R4347" s="165" t="s">
        <v>6665</v>
      </c>
      <c r="S4347" s="150"/>
    </row>
    <row r="4348" spans="1:19" hidden="1">
      <c r="A4348" s="149" t="s">
        <v>6642</v>
      </c>
      <c r="B4348" s="150" t="str">
        <f>IFERROR(VLOOKUP(Proc[[#This Row],[App]],Table2[],3,0),"open")</f>
        <v>ok</v>
      </c>
      <c r="C4348" s="149" t="s">
        <v>369</v>
      </c>
      <c r="D4348" t="s">
        <v>6645</v>
      </c>
      <c r="E4348" t="s">
        <v>812</v>
      </c>
      <c r="F4348" s="150" t="s">
        <v>812</v>
      </c>
      <c r="G4348" s="149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HC</v>
      </c>
      <c r="L4348" s="150" t="s">
        <v>6435</v>
      </c>
      <c r="M4348" s="165">
        <v>45961</v>
      </c>
      <c r="N4348" s="166"/>
      <c r="O4348" s="166"/>
      <c r="P4348" s="165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24</v>
      </c>
      <c r="R4348" s="165" t="s">
        <v>6665</v>
      </c>
      <c r="S4348" s="150"/>
    </row>
    <row r="4349" spans="1:19" hidden="1">
      <c r="A4349" s="149" t="s">
        <v>6642</v>
      </c>
      <c r="B4349" s="150" t="str">
        <f>IFERROR(VLOOKUP(Proc[[#This Row],[App]],Table2[],3,0),"open")</f>
        <v>ok</v>
      </c>
      <c r="C4349" s="149" t="s">
        <v>369</v>
      </c>
      <c r="D4349" t="s">
        <v>6646</v>
      </c>
      <c r="E4349" t="s">
        <v>812</v>
      </c>
      <c r="F4349" s="150" t="s">
        <v>812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HC</v>
      </c>
      <c r="L4349" s="150" t="s">
        <v>6435</v>
      </c>
      <c r="M4349" s="165">
        <v>45961</v>
      </c>
      <c r="N4349" s="166"/>
      <c r="O4349" s="166"/>
      <c r="P4349" s="165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24</v>
      </c>
      <c r="R4349" s="165" t="s">
        <v>6665</v>
      </c>
      <c r="S4349" s="150"/>
    </row>
    <row r="4350" spans="1:19" hidden="1">
      <c r="A4350" s="149" t="s">
        <v>6642</v>
      </c>
      <c r="B4350" s="150" t="str">
        <f>IFERROR(VLOOKUP(Proc[[#This Row],[App]],Table2[],3,0),"open")</f>
        <v>ok</v>
      </c>
      <c r="C4350" s="149" t="s">
        <v>377</v>
      </c>
      <c r="D4350" t="s">
        <v>6747</v>
      </c>
      <c r="E4350" t="s">
        <v>6663</v>
      </c>
      <c r="F4350" s="150" t="s">
        <v>6746</v>
      </c>
      <c r="G4350" s="149" t="s">
        <v>406</v>
      </c>
      <c r="H4350" s="150" t="str">
        <f>IF(Proc[[#This Row],[type]]="LFF (MDG-F)",MID(Proc[[#This Row],[Obj]],13,10),"")</f>
        <v>EG50Z01000</v>
      </c>
      <c r="J4350" s="150" t="b">
        <f>Proc[[#This Row],[Requested]]=Proc[[#This Row],[CurrentParent]]</f>
        <v>0</v>
      </c>
      <c r="K4350" s="150" t="str">
        <f>IF(Proc[[#This Row],[Author]]="Marcela Urrego",VLOOKUP(LEFT(Proc[[#This Row],[Requested]],1),Table3[#All],2,0),VLOOKUP(Proc[[#This Row],[Author]],Table4[],2,0))</f>
        <v>HC</v>
      </c>
      <c r="L4350" s="150" t="s">
        <v>6435</v>
      </c>
      <c r="M4350" s="165">
        <v>45961</v>
      </c>
      <c r="N4350" s="166"/>
      <c r="O4350" s="166"/>
      <c r="P4350" s="165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24</v>
      </c>
      <c r="R4350" s="165" t="s">
        <v>6665</v>
      </c>
      <c r="S4350" s="150"/>
    </row>
    <row r="4351" spans="1:19" hidden="1">
      <c r="A4351" s="149" t="s">
        <v>6642</v>
      </c>
      <c r="B4351" s="150" t="str">
        <f>IFERROR(VLOOKUP(Proc[[#This Row],[App]],Table2[],3,0),"open")</f>
        <v>ok</v>
      </c>
      <c r="C4351" s="149" t="s">
        <v>369</v>
      </c>
      <c r="D4351" t="s">
        <v>6647</v>
      </c>
      <c r="E4351" t="s">
        <v>812</v>
      </c>
      <c r="F4351" s="150" t="s">
        <v>812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HC</v>
      </c>
      <c r="L4351" s="150" t="s">
        <v>6435</v>
      </c>
      <c r="M4351" s="165">
        <v>45961</v>
      </c>
      <c r="N4351" s="166"/>
      <c r="O4351" s="166"/>
      <c r="P4351" s="165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24</v>
      </c>
      <c r="R4351" s="165" t="s">
        <v>6665</v>
      </c>
      <c r="S4351" s="150"/>
    </row>
    <row r="4352" spans="1:19" hidden="1">
      <c r="A4352" s="149" t="s">
        <v>6642</v>
      </c>
      <c r="B4352" s="150" t="str">
        <f>IFERROR(VLOOKUP(Proc[[#This Row],[App]],Table2[],3,0),"open")</f>
        <v>ok</v>
      </c>
      <c r="C4352" s="149" t="s">
        <v>369</v>
      </c>
      <c r="D4352" t="s">
        <v>6648</v>
      </c>
      <c r="E4352" t="s">
        <v>991</v>
      </c>
      <c r="F4352" s="150" t="s">
        <v>991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HC</v>
      </c>
      <c r="L4352" s="150" t="s">
        <v>6435</v>
      </c>
      <c r="M4352" s="165">
        <v>45961</v>
      </c>
      <c r="N4352" s="166"/>
      <c r="O4352" s="166"/>
      <c r="P4352" s="165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24</v>
      </c>
      <c r="R4352" s="165" t="s">
        <v>6665</v>
      </c>
      <c r="S4352" s="150"/>
    </row>
    <row r="4353" spans="1:19" hidden="1">
      <c r="A4353" s="149" t="s">
        <v>6642</v>
      </c>
      <c r="B4353" s="150" t="str">
        <f>IFERROR(VLOOKUP(Proc[[#This Row],[App]],Table2[],3,0),"open")</f>
        <v>ok</v>
      </c>
      <c r="C4353" s="149" t="s">
        <v>369</v>
      </c>
      <c r="D4353" t="s">
        <v>6649</v>
      </c>
      <c r="E4353" t="s">
        <v>812</v>
      </c>
      <c r="F4353" s="150" t="s">
        <v>812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HC</v>
      </c>
      <c r="L4353" s="150" t="s">
        <v>6435</v>
      </c>
      <c r="M4353" s="165">
        <v>45961</v>
      </c>
      <c r="N4353" s="166"/>
      <c r="O4353" s="166"/>
      <c r="P4353" s="165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24</v>
      </c>
      <c r="R4353" s="165" t="s">
        <v>6665</v>
      </c>
      <c r="S4353" s="150"/>
    </row>
    <row r="4354" spans="1:19" hidden="1">
      <c r="A4354" s="149" t="s">
        <v>6642</v>
      </c>
      <c r="B4354" s="150" t="str">
        <f>IFERROR(VLOOKUP(Proc[[#This Row],[App]],Table2[],3,0),"open")</f>
        <v>ok</v>
      </c>
      <c r="C4354" s="149" t="s">
        <v>369</v>
      </c>
      <c r="D4354" t="s">
        <v>6650</v>
      </c>
      <c r="E4354" t="s">
        <v>812</v>
      </c>
      <c r="F4354" s="150" t="s">
        <v>812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HC</v>
      </c>
      <c r="L4354" s="150" t="s">
        <v>6435</v>
      </c>
      <c r="M4354" s="165">
        <v>45961</v>
      </c>
      <c r="N4354" s="166"/>
      <c r="O4354" s="166"/>
      <c r="P4354" s="165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24</v>
      </c>
      <c r="R4354" s="165" t="s">
        <v>6665</v>
      </c>
      <c r="S4354" s="150"/>
    </row>
    <row r="4355" spans="1:19" hidden="1">
      <c r="A4355" s="149" t="s">
        <v>6642</v>
      </c>
      <c r="B4355" s="150" t="str">
        <f>IFERROR(VLOOKUP(Proc[[#This Row],[App]],Table2[],3,0),"open")</f>
        <v>ok</v>
      </c>
      <c r="C4355" s="149" t="s">
        <v>369</v>
      </c>
      <c r="D4355" t="s">
        <v>6651</v>
      </c>
      <c r="E4355" t="s">
        <v>812</v>
      </c>
      <c r="F4355" s="150" t="s">
        <v>812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HC</v>
      </c>
      <c r="L4355" s="150" t="s">
        <v>6435</v>
      </c>
      <c r="M4355" s="165">
        <v>45961</v>
      </c>
      <c r="N4355" s="166"/>
      <c r="O4355" s="166"/>
      <c r="P4355" s="165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24</v>
      </c>
      <c r="R4355" s="165" t="s">
        <v>6665</v>
      </c>
      <c r="S4355" s="150"/>
    </row>
    <row r="4356" spans="1:19" hidden="1">
      <c r="A4356" s="149" t="s">
        <v>6642</v>
      </c>
      <c r="B4356" s="150" t="str">
        <f>IFERROR(VLOOKUP(Proc[[#This Row],[App]],Table2[],3,0),"open")</f>
        <v>ok</v>
      </c>
      <c r="C4356" s="149" t="s">
        <v>369</v>
      </c>
      <c r="D4356" t="s">
        <v>6652</v>
      </c>
      <c r="E4356" t="s">
        <v>812</v>
      </c>
      <c r="F4356" s="150" t="s">
        <v>812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HC</v>
      </c>
      <c r="L4356" s="150" t="s">
        <v>6435</v>
      </c>
      <c r="M4356" s="165">
        <v>45961</v>
      </c>
      <c r="N4356" s="166"/>
      <c r="O4356" s="166"/>
      <c r="P4356" s="165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24</v>
      </c>
      <c r="R4356" s="165" t="s">
        <v>6665</v>
      </c>
      <c r="S4356" s="150"/>
    </row>
    <row r="4357" spans="1:19" hidden="1">
      <c r="A4357" s="149" t="s">
        <v>6642</v>
      </c>
      <c r="B4357" s="150" t="str">
        <f>IFERROR(VLOOKUP(Proc[[#This Row],[App]],Table2[],3,0),"open")</f>
        <v>ok</v>
      </c>
      <c r="C4357" s="149" t="s">
        <v>369</v>
      </c>
      <c r="D4357" t="s">
        <v>6653</v>
      </c>
      <c r="E4357" t="s">
        <v>812</v>
      </c>
      <c r="F4357" s="150" t="s">
        <v>812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HC</v>
      </c>
      <c r="L4357" s="150" t="s">
        <v>6435</v>
      </c>
      <c r="M4357" s="165">
        <v>45961</v>
      </c>
      <c r="N4357" s="166"/>
      <c r="O4357" s="166"/>
      <c r="P4357" s="165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24</v>
      </c>
      <c r="R4357" s="165" t="s">
        <v>6665</v>
      </c>
      <c r="S4357" s="150"/>
    </row>
    <row r="4358" spans="1:19" hidden="1">
      <c r="A4358" s="149" t="s">
        <v>6642</v>
      </c>
      <c r="B4358" s="150" t="str">
        <f>IFERROR(VLOOKUP(Proc[[#This Row],[App]],Table2[],3,0),"open")</f>
        <v>ok</v>
      </c>
      <c r="C4358" s="149" t="s">
        <v>369</v>
      </c>
      <c r="D4358" t="s">
        <v>6654</v>
      </c>
      <c r="E4358" t="s">
        <v>812</v>
      </c>
      <c r="F4358" s="150" t="s">
        <v>812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HC</v>
      </c>
      <c r="L4358" s="150" t="s">
        <v>6435</v>
      </c>
      <c r="M4358" s="165">
        <v>45961</v>
      </c>
      <c r="N4358" s="166"/>
      <c r="O4358" s="166"/>
      <c r="P4358" s="165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24</v>
      </c>
      <c r="R4358" s="165" t="s">
        <v>6665</v>
      </c>
      <c r="S4358" s="150"/>
    </row>
    <row r="4359" spans="1:19" hidden="1">
      <c r="A4359" s="149" t="s">
        <v>6642</v>
      </c>
      <c r="B4359" s="150" t="str">
        <f>IFERROR(VLOOKUP(Proc[[#This Row],[App]],Table2[],3,0),"open")</f>
        <v>ok</v>
      </c>
      <c r="C4359" s="149" t="s">
        <v>369</v>
      </c>
      <c r="D4359" t="s">
        <v>6655</v>
      </c>
      <c r="E4359" t="s">
        <v>6664</v>
      </c>
      <c r="F4359" s="150" t="s">
        <v>6664</v>
      </c>
      <c r="G4359" s="149" t="s">
        <v>400</v>
      </c>
      <c r="H4359" s="150" t="str">
        <f>IF(Proc[[#This Row],[type]]="LFF (MDG-F)",MID(Proc[[#This Row],[Obj]],13,10),"")</f>
        <v/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HC</v>
      </c>
      <c r="L4359" s="150" t="s">
        <v>6435</v>
      </c>
      <c r="M4359" s="165">
        <v>45961</v>
      </c>
      <c r="N4359" s="166"/>
      <c r="O4359" s="166"/>
      <c r="P4359" s="165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24</v>
      </c>
      <c r="R4359" s="165" t="s">
        <v>6665</v>
      </c>
      <c r="S4359" s="150"/>
    </row>
    <row r="4360" spans="1:19" hidden="1">
      <c r="A4360" s="149" t="s">
        <v>6642</v>
      </c>
      <c r="B4360" s="150" t="str">
        <f>IFERROR(VLOOKUP(Proc[[#This Row],[App]],Table2[],3,0),"open")</f>
        <v>ok</v>
      </c>
      <c r="C4360" s="149" t="s">
        <v>369</v>
      </c>
      <c r="D4360" t="s">
        <v>6656</v>
      </c>
      <c r="E4360" t="s">
        <v>483</v>
      </c>
      <c r="F4360" s="150" t="s">
        <v>483</v>
      </c>
      <c r="G4360" s="149" t="s">
        <v>400</v>
      </c>
      <c r="H4360" s="150" t="str">
        <f>IF(Proc[[#This Row],[type]]="LFF (MDG-F)",MID(Proc[[#This Row],[Obj]],13,10),"")</f>
        <v/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HC</v>
      </c>
      <c r="L4360" s="150" t="s">
        <v>6435</v>
      </c>
      <c r="M4360" s="165">
        <v>45961</v>
      </c>
      <c r="N4360" s="166"/>
      <c r="O4360" s="166"/>
      <c r="P4360" s="165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24</v>
      </c>
      <c r="R4360" s="165" t="s">
        <v>6665</v>
      </c>
      <c r="S4360" s="150"/>
    </row>
    <row r="4361" spans="1:19" hidden="1">
      <c r="A4361" s="149" t="s">
        <v>6642</v>
      </c>
      <c r="B4361" s="150" t="str">
        <f>IFERROR(VLOOKUP(Proc[[#This Row],[App]],Table2[],3,0),"open")</f>
        <v>ok</v>
      </c>
      <c r="C4361" s="149" t="s">
        <v>369</v>
      </c>
      <c r="D4361" t="s">
        <v>6657</v>
      </c>
      <c r="E4361" t="s">
        <v>483</v>
      </c>
      <c r="F4361" s="150" t="s">
        <v>483</v>
      </c>
      <c r="G4361" s="149" t="s">
        <v>400</v>
      </c>
      <c r="H4361" s="150" t="str">
        <f>IF(Proc[[#This Row],[type]]="LFF (MDG-F)",MID(Proc[[#This Row],[Obj]],13,10),"")</f>
        <v/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HC</v>
      </c>
      <c r="L4361" s="150" t="s">
        <v>6435</v>
      </c>
      <c r="M4361" s="165">
        <v>45961</v>
      </c>
      <c r="N4361" s="166"/>
      <c r="O4361" s="166"/>
      <c r="P4361" s="165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24</v>
      </c>
      <c r="R4361" s="165" t="s">
        <v>6665</v>
      </c>
      <c r="S4361" s="150"/>
    </row>
    <row r="4362" spans="1:19" hidden="1">
      <c r="A4362" s="149" t="s">
        <v>6642</v>
      </c>
      <c r="B4362" s="150" t="str">
        <f>IFERROR(VLOOKUP(Proc[[#This Row],[App]],Table2[],3,0),"open")</f>
        <v>ok</v>
      </c>
      <c r="C4362" s="149" t="s">
        <v>369</v>
      </c>
      <c r="D4362" t="s">
        <v>6658</v>
      </c>
      <c r="E4362" t="s">
        <v>483</v>
      </c>
      <c r="F4362" s="150" t="s">
        <v>483</v>
      </c>
      <c r="G4362" s="149" t="s">
        <v>400</v>
      </c>
      <c r="H4362" s="150" t="str">
        <f>IF(Proc[[#This Row],[type]]="LFF (MDG-F)",MID(Proc[[#This Row],[Obj]],13,10),"")</f>
        <v/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HC</v>
      </c>
      <c r="L4362" s="150" t="s">
        <v>6435</v>
      </c>
      <c r="M4362" s="165">
        <v>45961</v>
      </c>
      <c r="N4362" s="166"/>
      <c r="O4362" s="166"/>
      <c r="P4362" s="165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24</v>
      </c>
      <c r="R4362" s="165" t="s">
        <v>6665</v>
      </c>
      <c r="S4362" s="150"/>
    </row>
    <row r="4363" spans="1:19" hidden="1">
      <c r="A4363" s="149" t="s">
        <v>6642</v>
      </c>
      <c r="B4363" s="150" t="str">
        <f>IFERROR(VLOOKUP(Proc[[#This Row],[App]],Table2[],3,0),"open")</f>
        <v>ok</v>
      </c>
      <c r="C4363" s="149" t="s">
        <v>369</v>
      </c>
      <c r="D4363" t="s">
        <v>6659</v>
      </c>
      <c r="E4363" t="s">
        <v>483</v>
      </c>
      <c r="F4363" s="150" t="s">
        <v>483</v>
      </c>
      <c r="G4363" s="149" t="s">
        <v>400</v>
      </c>
      <c r="H4363" s="150" t="str">
        <f>IF(Proc[[#This Row],[type]]="LFF (MDG-F)",MID(Proc[[#This Row],[Obj]],13,10),"")</f>
        <v/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HC</v>
      </c>
      <c r="L4363" s="150" t="s">
        <v>6435</v>
      </c>
      <c r="M4363" s="165">
        <v>45961</v>
      </c>
      <c r="N4363" s="166"/>
      <c r="O4363" s="166"/>
      <c r="P4363" s="165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24</v>
      </c>
      <c r="R4363" s="165" t="s">
        <v>6665</v>
      </c>
      <c r="S4363" s="150"/>
    </row>
    <row r="4364" spans="1:19" hidden="1">
      <c r="A4364" s="149" t="s">
        <v>6642</v>
      </c>
      <c r="B4364" s="150" t="str">
        <f>IFERROR(VLOOKUP(Proc[[#This Row],[App]],Table2[],3,0),"open")</f>
        <v>ok</v>
      </c>
      <c r="C4364" s="149" t="s">
        <v>369</v>
      </c>
      <c r="D4364" t="s">
        <v>6660</v>
      </c>
      <c r="E4364" t="s">
        <v>483</v>
      </c>
      <c r="F4364" s="150" t="s">
        <v>483</v>
      </c>
      <c r="G4364" s="149" t="s">
        <v>400</v>
      </c>
      <c r="H4364" s="150" t="str">
        <f>IF(Proc[[#This Row],[type]]="LFF (MDG-F)",MID(Proc[[#This Row],[Obj]],13,10),"")</f>
        <v/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HC</v>
      </c>
      <c r="L4364" s="150" t="s">
        <v>6435</v>
      </c>
      <c r="M4364" s="165">
        <v>45961</v>
      </c>
      <c r="N4364" s="166"/>
      <c r="O4364" s="166"/>
      <c r="P4364" s="165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24</v>
      </c>
      <c r="R4364" s="165" t="s">
        <v>6665</v>
      </c>
      <c r="S4364" s="150"/>
    </row>
    <row r="4365" spans="1:19" hidden="1">
      <c r="A4365" s="149" t="s">
        <v>6642</v>
      </c>
      <c r="B4365" s="150" t="str">
        <f>IFERROR(VLOOKUP(Proc[[#This Row],[App]],Table2[],3,0),"open")</f>
        <v>ok</v>
      </c>
      <c r="C4365" s="149" t="s">
        <v>369</v>
      </c>
      <c r="D4365" t="s">
        <v>6661</v>
      </c>
      <c r="E4365" t="s">
        <v>6664</v>
      </c>
      <c r="F4365" s="150" t="s">
        <v>6664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HC</v>
      </c>
      <c r="L4365" s="150" t="s">
        <v>6435</v>
      </c>
      <c r="M4365" s="165">
        <v>45961</v>
      </c>
      <c r="N4365" s="166"/>
      <c r="O4365" s="166"/>
      <c r="P4365" s="165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24</v>
      </c>
      <c r="R4365" s="165" t="s">
        <v>6665</v>
      </c>
      <c r="S4365" s="150"/>
    </row>
    <row r="4366" spans="1:19" hidden="1">
      <c r="A4366" s="149" t="s">
        <v>6642</v>
      </c>
      <c r="B4366" s="150" t="str">
        <f>IFERROR(VLOOKUP(Proc[[#This Row],[App]],Table2[],3,0),"open")</f>
        <v>ok</v>
      </c>
      <c r="C4366" s="149" t="s">
        <v>369</v>
      </c>
      <c r="D4366" t="s">
        <v>6662</v>
      </c>
      <c r="E4366" t="s">
        <v>483</v>
      </c>
      <c r="F4366" s="150" t="s">
        <v>483</v>
      </c>
      <c r="G4366" s="149" t="s">
        <v>400</v>
      </c>
      <c r="H4366" s="150" t="str">
        <f>IF(Proc[[#This Row],[type]]="LFF (MDG-F)",MID(Proc[[#This Row],[Obj]],13,10),"")</f>
        <v/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HC</v>
      </c>
      <c r="L4366" s="150" t="s">
        <v>6435</v>
      </c>
      <c r="M4366" s="165">
        <v>45961</v>
      </c>
      <c r="N4366" s="166"/>
      <c r="O4366" s="166"/>
      <c r="P4366" s="165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24</v>
      </c>
      <c r="R4366" s="165" t="s">
        <v>6665</v>
      </c>
      <c r="S4366" s="150"/>
    </row>
    <row r="4367" spans="1:19" hidden="1">
      <c r="A4367" t="s">
        <v>6666</v>
      </c>
      <c r="B4367" s="150" t="str">
        <f>IFERROR(VLOOKUP(Proc[[#This Row],[App]],Table2[],3,0),"open")</f>
        <v>ok</v>
      </c>
      <c r="C4367" s="149" t="s">
        <v>369</v>
      </c>
      <c r="D4367" t="s">
        <v>6667</v>
      </c>
      <c r="E4367" t="s">
        <v>3004</v>
      </c>
      <c r="F4367" s="150" t="s">
        <v>3004</v>
      </c>
      <c r="G4367" s="149" t="s">
        <v>400</v>
      </c>
      <c r="H4367" s="150" t="str">
        <f>IF(Proc[[#This Row],[type]]="LFF (MDG-F)",MID(Proc[[#This Row],[Obj]],13,10),"")</f>
        <v/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HC</v>
      </c>
      <c r="L4367" s="150" t="s">
        <v>6435</v>
      </c>
      <c r="M4367" s="165">
        <v>45961</v>
      </c>
      <c r="N4367" s="166"/>
      <c r="O4367" s="166"/>
      <c r="P4367" s="165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24</v>
      </c>
      <c r="R4367" s="165" t="s">
        <v>1013</v>
      </c>
      <c r="S4367" s="150"/>
    </row>
    <row r="4368" spans="1:19" hidden="1">
      <c r="A4368" s="149" t="s">
        <v>6666</v>
      </c>
      <c r="B4368" s="150" t="str">
        <f>IFERROR(VLOOKUP(Proc[[#This Row],[App]],Table2[],3,0),"open")</f>
        <v>ok</v>
      </c>
      <c r="C4368" s="149" t="s">
        <v>369</v>
      </c>
      <c r="D4368" t="s">
        <v>6668</v>
      </c>
      <c r="E4368" t="s">
        <v>3005</v>
      </c>
      <c r="F4368" s="150" t="s">
        <v>3005</v>
      </c>
      <c r="G4368" s="149" t="s">
        <v>400</v>
      </c>
      <c r="H4368" s="150" t="str">
        <f>IF(Proc[[#This Row],[type]]="LFF (MDG-F)",MID(Proc[[#This Row],[Obj]],13,10),"")</f>
        <v/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HC</v>
      </c>
      <c r="L4368" s="150" t="s">
        <v>6435</v>
      </c>
      <c r="M4368" s="165">
        <v>45961</v>
      </c>
      <c r="N4368" s="166"/>
      <c r="O4368" s="166"/>
      <c r="P4368" s="165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24</v>
      </c>
      <c r="R4368" s="165" t="s">
        <v>1013</v>
      </c>
      <c r="S4368" s="150"/>
    </row>
    <row r="4369" spans="1:19" hidden="1">
      <c r="A4369" s="149" t="s">
        <v>6666</v>
      </c>
      <c r="B4369" s="150" t="str">
        <f>IFERROR(VLOOKUP(Proc[[#This Row],[App]],Table2[],3,0),"open")</f>
        <v>ok</v>
      </c>
      <c r="C4369" s="149" t="s">
        <v>369</v>
      </c>
      <c r="D4369" t="s">
        <v>6669</v>
      </c>
      <c r="E4369" t="s">
        <v>3004</v>
      </c>
      <c r="F4369" s="150" t="s">
        <v>3004</v>
      </c>
      <c r="G4369" s="149" t="s">
        <v>400</v>
      </c>
      <c r="H4369" s="150" t="str">
        <f>IF(Proc[[#This Row],[type]]="LFF (MDG-F)",MID(Proc[[#This Row],[Obj]],13,10),"")</f>
        <v/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HC</v>
      </c>
      <c r="L4369" s="150" t="s">
        <v>6435</v>
      </c>
      <c r="M4369" s="165">
        <v>45961</v>
      </c>
      <c r="N4369" s="166"/>
      <c r="O4369" s="166"/>
      <c r="P4369" s="165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24</v>
      </c>
      <c r="R4369" s="165" t="s">
        <v>1013</v>
      </c>
      <c r="S4369" s="150"/>
    </row>
    <row r="4370" spans="1:19" hidden="1">
      <c r="A4370" s="149" t="s">
        <v>6666</v>
      </c>
      <c r="B4370" s="150" t="str">
        <f>IFERROR(VLOOKUP(Proc[[#This Row],[App]],Table2[],3,0),"open")</f>
        <v>ok</v>
      </c>
      <c r="C4370" s="149" t="s">
        <v>369</v>
      </c>
      <c r="D4370" t="s">
        <v>6670</v>
      </c>
      <c r="E4370" t="s">
        <v>3003</v>
      </c>
      <c r="F4370" s="150" t="s">
        <v>3003</v>
      </c>
      <c r="G4370" s="149" t="s">
        <v>400</v>
      </c>
      <c r="H4370" s="150" t="str">
        <f>IF(Proc[[#This Row],[type]]="LFF (MDG-F)",MID(Proc[[#This Row],[Obj]],13,10),"")</f>
        <v/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HC</v>
      </c>
      <c r="L4370" s="150" t="s">
        <v>6435</v>
      </c>
      <c r="M4370" s="165">
        <v>45961</v>
      </c>
      <c r="N4370" s="166"/>
      <c r="O4370" s="166"/>
      <c r="P4370" s="165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24</v>
      </c>
      <c r="R4370" s="165" t="s">
        <v>1013</v>
      </c>
      <c r="S4370" s="150"/>
    </row>
    <row r="4371" spans="1:19" hidden="1">
      <c r="A4371" s="149" t="s">
        <v>6666</v>
      </c>
      <c r="B4371" s="150" t="str">
        <f>IFERROR(VLOOKUP(Proc[[#This Row],[App]],Table2[],3,0),"open")</f>
        <v>ok</v>
      </c>
      <c r="C4371" s="149" t="s">
        <v>369</v>
      </c>
      <c r="D4371" t="s">
        <v>6671</v>
      </c>
      <c r="E4371" t="s">
        <v>3003</v>
      </c>
      <c r="F4371" s="150" t="s">
        <v>3003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HC</v>
      </c>
      <c r="L4371" s="150" t="s">
        <v>6435</v>
      </c>
      <c r="M4371" s="165">
        <v>45961</v>
      </c>
      <c r="N4371" s="166"/>
      <c r="O4371" s="166"/>
      <c r="P4371" s="165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24</v>
      </c>
      <c r="R4371" s="165" t="s">
        <v>1013</v>
      </c>
      <c r="S4371" s="150"/>
    </row>
    <row r="4372" spans="1:19" hidden="1">
      <c r="A4372" s="149" t="s">
        <v>6666</v>
      </c>
      <c r="B4372" s="150" t="str">
        <f>IFERROR(VLOOKUP(Proc[[#This Row],[App]],Table2[],3,0),"open")</f>
        <v>ok</v>
      </c>
      <c r="C4372" s="149" t="s">
        <v>369</v>
      </c>
      <c r="D4372" t="s">
        <v>6672</v>
      </c>
      <c r="E4372" t="s">
        <v>3740</v>
      </c>
      <c r="F4372" s="150" t="s">
        <v>3740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HC</v>
      </c>
      <c r="L4372" s="150" t="s">
        <v>6435</v>
      </c>
      <c r="M4372" s="165">
        <v>45961</v>
      </c>
      <c r="N4372" s="166"/>
      <c r="O4372" s="166"/>
      <c r="P4372" s="165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24</v>
      </c>
      <c r="R4372" s="165" t="s">
        <v>1013</v>
      </c>
      <c r="S4372" s="150"/>
    </row>
    <row r="4373" spans="1:19" hidden="1">
      <c r="A4373" s="149" t="s">
        <v>6666</v>
      </c>
      <c r="B4373" s="150" t="str">
        <f>IFERROR(VLOOKUP(Proc[[#This Row],[App]],Table2[],3,0),"open")</f>
        <v>ok</v>
      </c>
      <c r="C4373" s="149" t="s">
        <v>369</v>
      </c>
      <c r="D4373" t="s">
        <v>6673</v>
      </c>
      <c r="E4373" t="s">
        <v>3740</v>
      </c>
      <c r="F4373" s="150" t="s">
        <v>3740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HC</v>
      </c>
      <c r="L4373" s="150" t="s">
        <v>6435</v>
      </c>
      <c r="M4373" s="165">
        <v>45961</v>
      </c>
      <c r="N4373" s="166"/>
      <c r="O4373" s="166"/>
      <c r="P4373" s="165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24</v>
      </c>
      <c r="R4373" s="165" t="s">
        <v>1013</v>
      </c>
      <c r="S4373" s="150"/>
    </row>
    <row r="4374" spans="1:19" hidden="1">
      <c r="A4374" s="149" t="s">
        <v>6666</v>
      </c>
      <c r="B4374" s="150" t="str">
        <f>IFERROR(VLOOKUP(Proc[[#This Row],[App]],Table2[],3,0),"open")</f>
        <v>ok</v>
      </c>
      <c r="C4374" s="149" t="s">
        <v>369</v>
      </c>
      <c r="D4374" t="s">
        <v>6674</v>
      </c>
      <c r="E4374" t="s">
        <v>3004</v>
      </c>
      <c r="F4374" s="150" t="s">
        <v>3004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HC</v>
      </c>
      <c r="L4374" s="150" t="s">
        <v>6435</v>
      </c>
      <c r="M4374" s="165">
        <v>45961</v>
      </c>
      <c r="N4374" s="166"/>
      <c r="O4374" s="166"/>
      <c r="P4374" s="165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24</v>
      </c>
      <c r="R4374" s="165" t="s">
        <v>1013</v>
      </c>
      <c r="S4374" s="150"/>
    </row>
    <row r="4375" spans="1:19" hidden="1">
      <c r="A4375" s="149" t="s">
        <v>6666</v>
      </c>
      <c r="B4375" s="150" t="str">
        <f>IFERROR(VLOOKUP(Proc[[#This Row],[App]],Table2[],3,0),"open")</f>
        <v>ok</v>
      </c>
      <c r="C4375" s="149" t="s">
        <v>369</v>
      </c>
      <c r="D4375" t="s">
        <v>6675</v>
      </c>
      <c r="E4375" t="s">
        <v>3005</v>
      </c>
      <c r="F4375" s="150" t="s">
        <v>3005</v>
      </c>
      <c r="G4375" s="149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HC</v>
      </c>
      <c r="L4375" s="150" t="s">
        <v>6435</v>
      </c>
      <c r="M4375" s="165">
        <v>45961</v>
      </c>
      <c r="N4375" s="166"/>
      <c r="O4375" s="166"/>
      <c r="P4375" s="165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24</v>
      </c>
      <c r="R4375" s="165" t="s">
        <v>1013</v>
      </c>
      <c r="S4375" s="150"/>
    </row>
    <row r="4376" spans="1:19" hidden="1">
      <c r="A4376" s="149" t="s">
        <v>6666</v>
      </c>
      <c r="B4376" s="150" t="str">
        <f>IFERROR(VLOOKUP(Proc[[#This Row],[App]],Table2[],3,0),"open")</f>
        <v>ok</v>
      </c>
      <c r="C4376" s="149" t="s">
        <v>369</v>
      </c>
      <c r="D4376" t="s">
        <v>6676</v>
      </c>
      <c r="E4376" t="s">
        <v>3004</v>
      </c>
      <c r="F4376" s="150" t="s">
        <v>3004</v>
      </c>
      <c r="G4376" s="149" t="s">
        <v>400</v>
      </c>
      <c r="H4376" s="150" t="str">
        <f>IF(Proc[[#This Row],[type]]="LFF (MDG-F)",MID(Proc[[#This Row],[Obj]],13,10),"")</f>
        <v/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65">
        <v>45961</v>
      </c>
      <c r="N4376" s="166"/>
      <c r="O4376" s="166"/>
      <c r="P4376" s="165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24</v>
      </c>
      <c r="R4376" s="165" t="s">
        <v>1013</v>
      </c>
      <c r="S4376" s="150"/>
    </row>
    <row r="4377" spans="1:19" hidden="1">
      <c r="A4377" s="149" t="s">
        <v>6666</v>
      </c>
      <c r="B4377" s="150" t="str">
        <f>IFERROR(VLOOKUP(Proc[[#This Row],[App]],Table2[],3,0),"open")</f>
        <v>ok</v>
      </c>
      <c r="C4377" s="149" t="s">
        <v>369</v>
      </c>
      <c r="D4377" t="s">
        <v>6677</v>
      </c>
      <c r="E4377" t="s">
        <v>3006</v>
      </c>
      <c r="F4377" s="150" t="s">
        <v>3006</v>
      </c>
      <c r="G4377" s="149" t="s">
        <v>400</v>
      </c>
      <c r="H4377" s="150" t="str">
        <f>IF(Proc[[#This Row],[type]]="LFF (MDG-F)",MID(Proc[[#This Row],[Obj]],13,10),"")</f>
        <v/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65">
        <v>45961</v>
      </c>
      <c r="N4377" s="166"/>
      <c r="O4377" s="166"/>
      <c r="P4377" s="165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24</v>
      </c>
      <c r="R4377" s="165" t="s">
        <v>1013</v>
      </c>
      <c r="S4377" s="150"/>
    </row>
    <row r="4378" spans="1:19" hidden="1">
      <c r="A4378" s="149" t="s">
        <v>6666</v>
      </c>
      <c r="B4378" s="150" t="str">
        <f>IFERROR(VLOOKUP(Proc[[#This Row],[App]],Table2[],3,0),"open")</f>
        <v>ok</v>
      </c>
      <c r="C4378" s="149" t="s">
        <v>369</v>
      </c>
      <c r="D4378" t="s">
        <v>6678</v>
      </c>
      <c r="E4378" t="s">
        <v>3401</v>
      </c>
      <c r="F4378" s="150" t="s">
        <v>3401</v>
      </c>
      <c r="G4378" s="149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HC</v>
      </c>
      <c r="L4378" s="150" t="s">
        <v>6435</v>
      </c>
      <c r="M4378" s="165">
        <v>45961</v>
      </c>
      <c r="N4378" s="166"/>
      <c r="O4378" s="166"/>
      <c r="P4378" s="165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24</v>
      </c>
      <c r="R4378" s="165" t="s">
        <v>1013</v>
      </c>
      <c r="S4378" s="150"/>
    </row>
    <row r="4379" spans="1:19" hidden="1">
      <c r="A4379" s="149" t="s">
        <v>6666</v>
      </c>
      <c r="B4379" s="150" t="str">
        <f>IFERROR(VLOOKUP(Proc[[#This Row],[App]],Table2[],3,0),"open")</f>
        <v>ok</v>
      </c>
      <c r="C4379" s="149" t="s">
        <v>369</v>
      </c>
      <c r="D4379" t="s">
        <v>6679</v>
      </c>
      <c r="E4379" t="s">
        <v>3401</v>
      </c>
      <c r="F4379" s="150" t="s">
        <v>3401</v>
      </c>
      <c r="G4379" s="14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HC</v>
      </c>
      <c r="L4379" s="150" t="s">
        <v>6435</v>
      </c>
      <c r="M4379" s="165">
        <v>45961</v>
      </c>
      <c r="N4379" s="166"/>
      <c r="O4379" s="166"/>
      <c r="P4379" s="165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24</v>
      </c>
      <c r="R4379" s="165" t="s">
        <v>1013</v>
      </c>
      <c r="S4379" s="150"/>
    </row>
    <row r="4380" spans="1:19" hidden="1">
      <c r="A4380" s="149" t="s">
        <v>6666</v>
      </c>
      <c r="B4380" s="150" t="str">
        <f>IFERROR(VLOOKUP(Proc[[#This Row],[App]],Table2[],3,0),"open")</f>
        <v>ok</v>
      </c>
      <c r="C4380" s="149" t="s">
        <v>369</v>
      </c>
      <c r="D4380" t="s">
        <v>6680</v>
      </c>
      <c r="E4380" t="s">
        <v>3401</v>
      </c>
      <c r="F4380" s="150" t="s">
        <v>3401</v>
      </c>
      <c r="G4380" s="149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HC</v>
      </c>
      <c r="L4380" s="150" t="s">
        <v>6435</v>
      </c>
      <c r="M4380" s="165">
        <v>45961</v>
      </c>
      <c r="N4380" s="166"/>
      <c r="O4380" s="166"/>
      <c r="P4380" s="165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24</v>
      </c>
      <c r="R4380" s="165" t="s">
        <v>1013</v>
      </c>
      <c r="S4380" s="150"/>
    </row>
    <row r="4381" spans="1:19" hidden="1">
      <c r="A4381" s="149" t="s">
        <v>6666</v>
      </c>
      <c r="B4381" s="150" t="str">
        <f>IFERROR(VLOOKUP(Proc[[#This Row],[App]],Table2[],3,0),"open")</f>
        <v>ok</v>
      </c>
      <c r="C4381" s="149" t="s">
        <v>369</v>
      </c>
      <c r="D4381" t="s">
        <v>6681</v>
      </c>
      <c r="E4381" t="s">
        <v>6713</v>
      </c>
      <c r="F4381" s="150" t="s">
        <v>6713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HC</v>
      </c>
      <c r="L4381" s="150" t="s">
        <v>6435</v>
      </c>
      <c r="M4381" s="165">
        <v>45961</v>
      </c>
      <c r="N4381" s="166"/>
      <c r="O4381" s="166"/>
      <c r="P4381" s="165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24</v>
      </c>
      <c r="R4381" s="165" t="s">
        <v>1013</v>
      </c>
      <c r="S4381" s="150"/>
    </row>
    <row r="4382" spans="1:19" hidden="1">
      <c r="A4382" s="149" t="s">
        <v>6666</v>
      </c>
      <c r="B4382" s="150" t="str">
        <f>IFERROR(VLOOKUP(Proc[[#This Row],[App]],Table2[],3,0),"open")</f>
        <v>ok</v>
      </c>
      <c r="C4382" s="149" t="s">
        <v>369</v>
      </c>
      <c r="D4382" t="s">
        <v>6682</v>
      </c>
      <c r="E4382" t="s">
        <v>4068</v>
      </c>
      <c r="F4382" s="150" t="s">
        <v>4068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HC</v>
      </c>
      <c r="L4382" s="150" t="s">
        <v>6435</v>
      </c>
      <c r="M4382" s="165">
        <v>45961</v>
      </c>
      <c r="N4382" s="166"/>
      <c r="O4382" s="166"/>
      <c r="P4382" s="165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24</v>
      </c>
      <c r="R4382" s="165" t="s">
        <v>1013</v>
      </c>
      <c r="S4382" s="150"/>
    </row>
    <row r="4383" spans="1:19" hidden="1">
      <c r="A4383" s="149" t="s">
        <v>6666</v>
      </c>
      <c r="B4383" s="150" t="str">
        <f>IFERROR(VLOOKUP(Proc[[#This Row],[App]],Table2[],3,0),"open")</f>
        <v>ok</v>
      </c>
      <c r="C4383" s="149" t="s">
        <v>369</v>
      </c>
      <c r="D4383" t="s">
        <v>6683</v>
      </c>
      <c r="E4383" t="s">
        <v>4068</v>
      </c>
      <c r="F4383" s="150" t="s">
        <v>4068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HC</v>
      </c>
      <c r="L4383" s="150" t="s">
        <v>6435</v>
      </c>
      <c r="M4383" s="165">
        <v>45961</v>
      </c>
      <c r="N4383" s="166"/>
      <c r="O4383" s="166"/>
      <c r="P4383" s="165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24</v>
      </c>
      <c r="R4383" s="165" t="s">
        <v>1013</v>
      </c>
      <c r="S4383" s="150"/>
    </row>
    <row r="4384" spans="1:19" hidden="1">
      <c r="A4384" s="149" t="s">
        <v>6666</v>
      </c>
      <c r="B4384" s="150" t="str">
        <f>IFERROR(VLOOKUP(Proc[[#This Row],[App]],Table2[],3,0),"open")</f>
        <v>ok</v>
      </c>
      <c r="C4384" s="149" t="s">
        <v>369</v>
      </c>
      <c r="D4384" t="s">
        <v>6684</v>
      </c>
      <c r="E4384" t="s">
        <v>4068</v>
      </c>
      <c r="F4384" s="150" t="s">
        <v>4068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HC</v>
      </c>
      <c r="L4384" s="150" t="s">
        <v>6435</v>
      </c>
      <c r="M4384" s="165">
        <v>45961</v>
      </c>
      <c r="N4384" s="166"/>
      <c r="O4384" s="166"/>
      <c r="P4384" s="165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24</v>
      </c>
      <c r="R4384" s="165" t="s">
        <v>1013</v>
      </c>
      <c r="S4384" s="150"/>
    </row>
    <row r="4385" spans="1:19" hidden="1">
      <c r="A4385" s="149" t="s">
        <v>6666</v>
      </c>
      <c r="B4385" s="150" t="str">
        <f>IFERROR(VLOOKUP(Proc[[#This Row],[App]],Table2[],3,0),"open")</f>
        <v>ok</v>
      </c>
      <c r="C4385" s="149" t="s">
        <v>369</v>
      </c>
      <c r="D4385" t="s">
        <v>6685</v>
      </c>
      <c r="E4385" t="s">
        <v>4068</v>
      </c>
      <c r="F4385" s="150" t="s">
        <v>4068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HC</v>
      </c>
      <c r="L4385" s="150" t="s">
        <v>6435</v>
      </c>
      <c r="M4385" s="165">
        <v>45961</v>
      </c>
      <c r="N4385" s="166"/>
      <c r="O4385" s="166"/>
      <c r="P4385" s="165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24</v>
      </c>
      <c r="R4385" s="165" t="s">
        <v>1013</v>
      </c>
      <c r="S4385" s="150"/>
    </row>
    <row r="4386" spans="1:19" hidden="1">
      <c r="A4386" s="149" t="s">
        <v>6666</v>
      </c>
      <c r="B4386" s="150" t="str">
        <f>IFERROR(VLOOKUP(Proc[[#This Row],[App]],Table2[],3,0),"open")</f>
        <v>ok</v>
      </c>
      <c r="C4386" s="149" t="s">
        <v>369</v>
      </c>
      <c r="D4386" t="s">
        <v>6686</v>
      </c>
      <c r="E4386" t="s">
        <v>4068</v>
      </c>
      <c r="F4386" s="150" t="s">
        <v>4068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HC</v>
      </c>
      <c r="L4386" s="150" t="s">
        <v>6435</v>
      </c>
      <c r="M4386" s="165">
        <v>45961</v>
      </c>
      <c r="N4386" s="166"/>
      <c r="O4386" s="166"/>
      <c r="P4386" s="165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24</v>
      </c>
      <c r="R4386" s="165" t="s">
        <v>1013</v>
      </c>
      <c r="S4386" s="150"/>
    </row>
    <row r="4387" spans="1:19" hidden="1">
      <c r="A4387" s="149" t="s">
        <v>6666</v>
      </c>
      <c r="B4387" s="150" t="str">
        <f>IFERROR(VLOOKUP(Proc[[#This Row],[App]],Table2[],3,0),"open")</f>
        <v>ok</v>
      </c>
      <c r="C4387" s="149" t="s">
        <v>369</v>
      </c>
      <c r="D4387" t="s">
        <v>6687</v>
      </c>
      <c r="E4387" t="s">
        <v>4068</v>
      </c>
      <c r="F4387" s="150" t="s">
        <v>4068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HC</v>
      </c>
      <c r="L4387" s="150" t="s">
        <v>6435</v>
      </c>
      <c r="M4387" s="165">
        <v>45961</v>
      </c>
      <c r="N4387" s="166"/>
      <c r="O4387" s="166"/>
      <c r="P4387" s="165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24</v>
      </c>
      <c r="R4387" s="165" t="s">
        <v>1013</v>
      </c>
      <c r="S4387" s="150"/>
    </row>
    <row r="4388" spans="1:19" hidden="1">
      <c r="A4388" s="149" t="s">
        <v>6666</v>
      </c>
      <c r="B4388" s="150" t="str">
        <f>IFERROR(VLOOKUP(Proc[[#This Row],[App]],Table2[],3,0),"open")</f>
        <v>ok</v>
      </c>
      <c r="C4388" s="149" t="s">
        <v>369</v>
      </c>
      <c r="D4388" t="s">
        <v>6688</v>
      </c>
      <c r="E4388" t="s">
        <v>4068</v>
      </c>
      <c r="F4388" s="150" t="s">
        <v>4068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HC</v>
      </c>
      <c r="L4388" s="150" t="s">
        <v>6435</v>
      </c>
      <c r="M4388" s="165">
        <v>45961</v>
      </c>
      <c r="N4388" s="166"/>
      <c r="O4388" s="166"/>
      <c r="P4388" s="165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24</v>
      </c>
      <c r="R4388" s="165" t="s">
        <v>1013</v>
      </c>
      <c r="S4388" s="150"/>
    </row>
    <row r="4389" spans="1:19" hidden="1">
      <c r="A4389" s="149" t="s">
        <v>6666</v>
      </c>
      <c r="B4389" s="150" t="str">
        <f>IFERROR(VLOOKUP(Proc[[#This Row],[App]],Table2[],3,0),"open")</f>
        <v>ok</v>
      </c>
      <c r="C4389" s="149" t="s">
        <v>369</v>
      </c>
      <c r="D4389" t="s">
        <v>6689</v>
      </c>
      <c r="E4389" t="s">
        <v>4068</v>
      </c>
      <c r="F4389" s="150" t="s">
        <v>4068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HC</v>
      </c>
      <c r="L4389" s="150" t="s">
        <v>6435</v>
      </c>
      <c r="M4389" s="165">
        <v>45961</v>
      </c>
      <c r="N4389" s="166"/>
      <c r="O4389" s="166"/>
      <c r="P4389" s="165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24</v>
      </c>
      <c r="R4389" s="165" t="s">
        <v>1013</v>
      </c>
      <c r="S4389" s="150"/>
    </row>
    <row r="4390" spans="1:19" hidden="1">
      <c r="A4390" s="149" t="s">
        <v>6666</v>
      </c>
      <c r="B4390" s="150" t="str">
        <f>IFERROR(VLOOKUP(Proc[[#This Row],[App]],Table2[],3,0),"open")</f>
        <v>ok</v>
      </c>
      <c r="C4390" s="149" t="s">
        <v>369</v>
      </c>
      <c r="D4390" t="s">
        <v>6690</v>
      </c>
      <c r="E4390" t="s">
        <v>4068</v>
      </c>
      <c r="F4390" s="150" t="s">
        <v>4068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HC</v>
      </c>
      <c r="L4390" s="150" t="s">
        <v>6435</v>
      </c>
      <c r="M4390" s="165">
        <v>45961</v>
      </c>
      <c r="N4390" s="166"/>
      <c r="O4390" s="166"/>
      <c r="P4390" s="165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24</v>
      </c>
      <c r="R4390" s="165" t="s">
        <v>1013</v>
      </c>
      <c r="S4390" s="150"/>
    </row>
    <row r="4391" spans="1:19" hidden="1">
      <c r="A4391" s="149" t="s">
        <v>6666</v>
      </c>
      <c r="B4391" s="150" t="str">
        <f>IFERROR(VLOOKUP(Proc[[#This Row],[App]],Table2[],3,0),"open")</f>
        <v>ok</v>
      </c>
      <c r="C4391" s="149" t="s">
        <v>369</v>
      </c>
      <c r="D4391" t="s">
        <v>6691</v>
      </c>
      <c r="E4391" t="s">
        <v>4068</v>
      </c>
      <c r="F4391" s="150" t="s">
        <v>4068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HC</v>
      </c>
      <c r="L4391" s="150" t="s">
        <v>6435</v>
      </c>
      <c r="M4391" s="165">
        <v>45961</v>
      </c>
      <c r="N4391" s="166"/>
      <c r="O4391" s="166"/>
      <c r="P4391" s="165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24</v>
      </c>
      <c r="R4391" s="165" t="s">
        <v>1013</v>
      </c>
      <c r="S4391" s="150"/>
    </row>
    <row r="4392" spans="1:19" hidden="1">
      <c r="A4392" s="149" t="s">
        <v>6666</v>
      </c>
      <c r="B4392" s="150" t="str">
        <f>IFERROR(VLOOKUP(Proc[[#This Row],[App]],Table2[],3,0),"open")</f>
        <v>ok</v>
      </c>
      <c r="C4392" s="149" t="s">
        <v>369</v>
      </c>
      <c r="D4392" t="s">
        <v>6692</v>
      </c>
      <c r="E4392" t="s">
        <v>4068</v>
      </c>
      <c r="F4392" s="150" t="s">
        <v>4068</v>
      </c>
      <c r="G4392" s="149" t="s">
        <v>400</v>
      </c>
      <c r="H4392" s="150" t="str">
        <f>IF(Proc[[#This Row],[type]]="LFF (MDG-F)",MID(Proc[[#This Row],[Obj]],13,10),"")</f>
        <v/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HC</v>
      </c>
      <c r="L4392" s="150" t="s">
        <v>6435</v>
      </c>
      <c r="M4392" s="165">
        <v>45961</v>
      </c>
      <c r="N4392" s="166"/>
      <c r="O4392" s="166"/>
      <c r="P4392" s="165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24</v>
      </c>
      <c r="R4392" s="165" t="s">
        <v>1013</v>
      </c>
      <c r="S4392" s="150"/>
    </row>
    <row r="4393" spans="1:19" hidden="1">
      <c r="A4393" s="149" t="s">
        <v>6666</v>
      </c>
      <c r="B4393" s="150" t="str">
        <f>IFERROR(VLOOKUP(Proc[[#This Row],[App]],Table2[],3,0),"open")</f>
        <v>ok</v>
      </c>
      <c r="C4393" s="149" t="s">
        <v>369</v>
      </c>
      <c r="D4393" t="s">
        <v>6693</v>
      </c>
      <c r="E4393" t="s">
        <v>4068</v>
      </c>
      <c r="F4393" s="150" t="s">
        <v>4068</v>
      </c>
      <c r="G4393" s="149" t="s">
        <v>400</v>
      </c>
      <c r="H4393" s="150" t="str">
        <f>IF(Proc[[#This Row],[type]]="LFF (MDG-F)",MID(Proc[[#This Row],[Obj]],13,10),"")</f>
        <v/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HC</v>
      </c>
      <c r="L4393" s="150" t="s">
        <v>6435</v>
      </c>
      <c r="M4393" s="165">
        <v>45961</v>
      </c>
      <c r="N4393" s="166"/>
      <c r="O4393" s="166"/>
      <c r="P4393" s="165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24</v>
      </c>
      <c r="R4393" s="165" t="s">
        <v>1013</v>
      </c>
      <c r="S4393" s="150"/>
    </row>
    <row r="4394" spans="1:19" hidden="1">
      <c r="A4394" s="149" t="s">
        <v>6666</v>
      </c>
      <c r="B4394" s="150" t="str">
        <f>IFERROR(VLOOKUP(Proc[[#This Row],[App]],Table2[],3,0),"open")</f>
        <v>ok</v>
      </c>
      <c r="C4394" s="149" t="s">
        <v>369</v>
      </c>
      <c r="D4394" t="s">
        <v>6694</v>
      </c>
      <c r="E4394" t="s">
        <v>4068</v>
      </c>
      <c r="F4394" s="150" t="s">
        <v>4068</v>
      </c>
      <c r="G4394" s="149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HC</v>
      </c>
      <c r="L4394" s="150" t="s">
        <v>6435</v>
      </c>
      <c r="M4394" s="165">
        <v>45961</v>
      </c>
      <c r="N4394" s="166"/>
      <c r="O4394" s="166"/>
      <c r="P4394" s="165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24</v>
      </c>
      <c r="R4394" s="165" t="s">
        <v>1013</v>
      </c>
      <c r="S4394" s="150"/>
    </row>
    <row r="4395" spans="1:19" hidden="1">
      <c r="A4395" s="149" t="s">
        <v>6666</v>
      </c>
      <c r="B4395" s="150" t="str">
        <f>IFERROR(VLOOKUP(Proc[[#This Row],[App]],Table2[],3,0),"open")</f>
        <v>ok</v>
      </c>
      <c r="C4395" s="149" t="s">
        <v>369</v>
      </c>
      <c r="D4395" t="s">
        <v>6695</v>
      </c>
      <c r="E4395" t="s">
        <v>4068</v>
      </c>
      <c r="F4395" s="150" t="s">
        <v>4068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HC</v>
      </c>
      <c r="L4395" s="150" t="s">
        <v>6435</v>
      </c>
      <c r="M4395" s="165">
        <v>45961</v>
      </c>
      <c r="N4395" s="166"/>
      <c r="O4395" s="166"/>
      <c r="P4395" s="165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24</v>
      </c>
      <c r="R4395" s="165" t="s">
        <v>1013</v>
      </c>
      <c r="S4395" s="150"/>
    </row>
    <row r="4396" spans="1:19" hidden="1">
      <c r="A4396" s="149" t="s">
        <v>6666</v>
      </c>
      <c r="B4396" s="150" t="str">
        <f>IFERROR(VLOOKUP(Proc[[#This Row],[App]],Table2[],3,0),"open")</f>
        <v>ok</v>
      </c>
      <c r="C4396" s="149" t="s">
        <v>369</v>
      </c>
      <c r="D4396" t="s">
        <v>6696</v>
      </c>
      <c r="E4396" t="s">
        <v>4068</v>
      </c>
      <c r="F4396" s="150" t="s">
        <v>4068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HC</v>
      </c>
      <c r="L4396" s="150" t="s">
        <v>6435</v>
      </c>
      <c r="M4396" s="165">
        <v>45961</v>
      </c>
      <c r="N4396" s="166"/>
      <c r="O4396" s="166"/>
      <c r="P4396" s="165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24</v>
      </c>
      <c r="R4396" s="165" t="s">
        <v>1013</v>
      </c>
      <c r="S4396" s="150"/>
    </row>
    <row r="4397" spans="1:19" hidden="1">
      <c r="A4397" s="149" t="s">
        <v>6666</v>
      </c>
      <c r="B4397" s="150" t="str">
        <f>IFERROR(VLOOKUP(Proc[[#This Row],[App]],Table2[],3,0),"open")</f>
        <v>ok</v>
      </c>
      <c r="C4397" s="149" t="s">
        <v>369</v>
      </c>
      <c r="D4397" t="s">
        <v>6697</v>
      </c>
      <c r="E4397" t="s">
        <v>4068</v>
      </c>
      <c r="F4397" s="150" t="s">
        <v>4068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HC</v>
      </c>
      <c r="L4397" s="150" t="s">
        <v>6435</v>
      </c>
      <c r="M4397" s="165">
        <v>45961</v>
      </c>
      <c r="N4397" s="166"/>
      <c r="O4397" s="166"/>
      <c r="P4397" s="165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24</v>
      </c>
      <c r="R4397" s="165" t="s">
        <v>1013</v>
      </c>
      <c r="S4397" s="150"/>
    </row>
    <row r="4398" spans="1:19" hidden="1">
      <c r="A4398" s="149" t="s">
        <v>6666</v>
      </c>
      <c r="B4398" s="150" t="str">
        <f>IFERROR(VLOOKUP(Proc[[#This Row],[App]],Table2[],3,0),"open")</f>
        <v>ok</v>
      </c>
      <c r="C4398" s="149" t="s">
        <v>369</v>
      </c>
      <c r="D4398" t="s">
        <v>6698</v>
      </c>
      <c r="E4398" t="s">
        <v>4068</v>
      </c>
      <c r="F4398" s="150" t="s">
        <v>4068</v>
      </c>
      <c r="G4398" s="149" t="s">
        <v>400</v>
      </c>
      <c r="H4398" s="150" t="str">
        <f>IF(Proc[[#This Row],[type]]="LFF (MDG-F)",MID(Proc[[#This Row],[Obj]],13,10),"")</f>
        <v/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HC</v>
      </c>
      <c r="L4398" s="150" t="s">
        <v>6435</v>
      </c>
      <c r="M4398" s="165">
        <v>45961</v>
      </c>
      <c r="N4398" s="166"/>
      <c r="O4398" s="166"/>
      <c r="P4398" s="165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24</v>
      </c>
      <c r="R4398" s="165" t="s">
        <v>1013</v>
      </c>
      <c r="S4398" s="150"/>
    </row>
    <row r="4399" spans="1:19" hidden="1">
      <c r="A4399" s="149" t="s">
        <v>6666</v>
      </c>
      <c r="B4399" s="150" t="str">
        <f>IFERROR(VLOOKUP(Proc[[#This Row],[App]],Table2[],3,0),"open")</f>
        <v>ok</v>
      </c>
      <c r="C4399" s="149" t="s">
        <v>369</v>
      </c>
      <c r="D4399" t="s">
        <v>6699</v>
      </c>
      <c r="E4399" t="s">
        <v>4068</v>
      </c>
      <c r="F4399" s="150" t="s">
        <v>4068</v>
      </c>
      <c r="G4399" s="149" t="s">
        <v>400</v>
      </c>
      <c r="H4399" s="150" t="str">
        <f>IF(Proc[[#This Row],[type]]="LFF (MDG-F)",MID(Proc[[#This Row],[Obj]],13,10),"")</f>
        <v/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HC</v>
      </c>
      <c r="L4399" s="150" t="s">
        <v>6435</v>
      </c>
      <c r="M4399" s="165">
        <v>45961</v>
      </c>
      <c r="N4399" s="166"/>
      <c r="O4399" s="166"/>
      <c r="P4399" s="165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24</v>
      </c>
      <c r="R4399" s="165" t="s">
        <v>1013</v>
      </c>
      <c r="S4399" s="150"/>
    </row>
    <row r="4400" spans="1:19" hidden="1">
      <c r="A4400" s="149" t="s">
        <v>6666</v>
      </c>
      <c r="B4400" s="150" t="str">
        <f>IFERROR(VLOOKUP(Proc[[#This Row],[App]],Table2[],3,0),"open")</f>
        <v>ok</v>
      </c>
      <c r="C4400" s="149" t="s">
        <v>369</v>
      </c>
      <c r="D4400" t="s">
        <v>6700</v>
      </c>
      <c r="E4400" t="s">
        <v>4068</v>
      </c>
      <c r="F4400" s="150" t="s">
        <v>4068</v>
      </c>
      <c r="G4400" s="149" t="s">
        <v>400</v>
      </c>
      <c r="H4400" s="150" t="str">
        <f>IF(Proc[[#This Row],[type]]="LFF (MDG-F)",MID(Proc[[#This Row],[Obj]],13,10),"")</f>
        <v/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HC</v>
      </c>
      <c r="L4400" s="150" t="s">
        <v>6435</v>
      </c>
      <c r="M4400" s="165">
        <v>45961</v>
      </c>
      <c r="N4400" s="166"/>
      <c r="O4400" s="166"/>
      <c r="P4400" s="165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24</v>
      </c>
      <c r="R4400" s="165" t="s">
        <v>1013</v>
      </c>
      <c r="S4400" s="150"/>
    </row>
    <row r="4401" spans="1:19" hidden="1">
      <c r="A4401" s="149" t="s">
        <v>6666</v>
      </c>
      <c r="B4401" s="150" t="str">
        <f>IFERROR(VLOOKUP(Proc[[#This Row],[App]],Table2[],3,0),"open")</f>
        <v>ok</v>
      </c>
      <c r="C4401" s="149" t="s">
        <v>369</v>
      </c>
      <c r="D4401" t="s">
        <v>6701</v>
      </c>
      <c r="E4401" t="s">
        <v>4068</v>
      </c>
      <c r="F4401" s="150" t="s">
        <v>4068</v>
      </c>
      <c r="G4401" s="149" t="s">
        <v>400</v>
      </c>
      <c r="H4401" s="150" t="str">
        <f>IF(Proc[[#This Row],[type]]="LFF (MDG-F)",MID(Proc[[#This Row],[Obj]],13,10),"")</f>
        <v/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HC</v>
      </c>
      <c r="L4401" s="150" t="s">
        <v>6435</v>
      </c>
      <c r="M4401" s="165">
        <v>45961</v>
      </c>
      <c r="N4401" s="166"/>
      <c r="O4401" s="166"/>
      <c r="P4401" s="165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24</v>
      </c>
      <c r="R4401" s="165" t="s">
        <v>1013</v>
      </c>
      <c r="S4401" s="150"/>
    </row>
    <row r="4402" spans="1:19" hidden="1">
      <c r="A4402" s="149" t="s">
        <v>6666</v>
      </c>
      <c r="B4402" s="150" t="str">
        <f>IFERROR(VLOOKUP(Proc[[#This Row],[App]],Table2[],3,0),"open")</f>
        <v>ok</v>
      </c>
      <c r="C4402" s="149" t="s">
        <v>369</v>
      </c>
      <c r="D4402" t="s">
        <v>6702</v>
      </c>
      <c r="E4402" t="s">
        <v>4068</v>
      </c>
      <c r="F4402" s="150" t="s">
        <v>4068</v>
      </c>
      <c r="G4402" s="149" t="s">
        <v>400</v>
      </c>
      <c r="H4402" s="150" t="str">
        <f>IF(Proc[[#This Row],[type]]="LFF (MDG-F)",MID(Proc[[#This Row],[Obj]],13,10),"")</f>
        <v/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HC</v>
      </c>
      <c r="L4402" s="150" t="s">
        <v>6435</v>
      </c>
      <c r="M4402" s="165">
        <v>45961</v>
      </c>
      <c r="N4402" s="166"/>
      <c r="O4402" s="166"/>
      <c r="P4402" s="165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24</v>
      </c>
      <c r="R4402" s="165" t="s">
        <v>1013</v>
      </c>
      <c r="S4402" s="150"/>
    </row>
    <row r="4403" spans="1:19" hidden="1">
      <c r="A4403" s="149" t="s">
        <v>6666</v>
      </c>
      <c r="B4403" s="150" t="str">
        <f>IFERROR(VLOOKUP(Proc[[#This Row],[App]],Table2[],3,0),"open")</f>
        <v>ok</v>
      </c>
      <c r="C4403" s="149" t="s">
        <v>369</v>
      </c>
      <c r="D4403" t="s">
        <v>6703</v>
      </c>
      <c r="E4403" t="s">
        <v>4068</v>
      </c>
      <c r="F4403" s="150" t="s">
        <v>4068</v>
      </c>
      <c r="G4403" s="149" t="s">
        <v>400</v>
      </c>
      <c r="H4403" s="150" t="str">
        <f>IF(Proc[[#This Row],[type]]="LFF (MDG-F)",MID(Proc[[#This Row],[Obj]],13,10),"")</f>
        <v/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HC</v>
      </c>
      <c r="L4403" s="150" t="s">
        <v>6435</v>
      </c>
      <c r="M4403" s="165">
        <v>45961</v>
      </c>
      <c r="N4403" s="166"/>
      <c r="O4403" s="166"/>
      <c r="P4403" s="165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24</v>
      </c>
      <c r="R4403" s="165" t="s">
        <v>1013</v>
      </c>
      <c r="S4403" s="150"/>
    </row>
    <row r="4404" spans="1:19" hidden="1">
      <c r="A4404" s="149" t="s">
        <v>6666</v>
      </c>
      <c r="B4404" s="150" t="str">
        <f>IFERROR(VLOOKUP(Proc[[#This Row],[App]],Table2[],3,0),"open")</f>
        <v>ok</v>
      </c>
      <c r="C4404" s="149" t="s">
        <v>369</v>
      </c>
      <c r="D4404" t="s">
        <v>6704</v>
      </c>
      <c r="E4404" t="s">
        <v>4068</v>
      </c>
      <c r="F4404" s="150" t="s">
        <v>4068</v>
      </c>
      <c r="G4404" s="149" t="s">
        <v>400</v>
      </c>
      <c r="H4404" s="150" t="str">
        <f>IF(Proc[[#This Row],[type]]="LFF (MDG-F)",MID(Proc[[#This Row],[Obj]],13,10),"")</f>
        <v/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HC</v>
      </c>
      <c r="L4404" s="150" t="s">
        <v>6435</v>
      </c>
      <c r="M4404" s="165">
        <v>45961</v>
      </c>
      <c r="N4404" s="166"/>
      <c r="O4404" s="166"/>
      <c r="P4404" s="165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24</v>
      </c>
      <c r="R4404" s="165" t="s">
        <v>1013</v>
      </c>
      <c r="S4404" s="150"/>
    </row>
    <row r="4405" spans="1:19" hidden="1">
      <c r="A4405" s="149" t="s">
        <v>6666</v>
      </c>
      <c r="B4405" s="150" t="str">
        <f>IFERROR(VLOOKUP(Proc[[#This Row],[App]],Table2[],3,0),"open")</f>
        <v>ok</v>
      </c>
      <c r="C4405" s="149" t="s">
        <v>369</v>
      </c>
      <c r="D4405" t="s">
        <v>6705</v>
      </c>
      <c r="E4405" t="s">
        <v>4068</v>
      </c>
      <c r="F4405" s="150" t="s">
        <v>4068</v>
      </c>
      <c r="G4405" s="149" t="s">
        <v>400</v>
      </c>
      <c r="H4405" s="150" t="str">
        <f>IF(Proc[[#This Row],[type]]="LFF (MDG-F)",MID(Proc[[#This Row],[Obj]],13,10),"")</f>
        <v/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HC</v>
      </c>
      <c r="L4405" s="150" t="s">
        <v>6435</v>
      </c>
      <c r="M4405" s="165">
        <v>45961</v>
      </c>
      <c r="N4405" s="166"/>
      <c r="O4405" s="166"/>
      <c r="P4405" s="165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24</v>
      </c>
      <c r="R4405" s="165" t="s">
        <v>1013</v>
      </c>
      <c r="S4405" s="150"/>
    </row>
    <row r="4406" spans="1:19" hidden="1">
      <c r="A4406" s="149" t="s">
        <v>6666</v>
      </c>
      <c r="B4406" s="150" t="str">
        <f>IFERROR(VLOOKUP(Proc[[#This Row],[App]],Table2[],3,0),"open")</f>
        <v>ok</v>
      </c>
      <c r="C4406" s="149" t="s">
        <v>369</v>
      </c>
      <c r="D4406" t="s">
        <v>6706</v>
      </c>
      <c r="E4406" t="s">
        <v>4068</v>
      </c>
      <c r="F4406" s="150" t="s">
        <v>4068</v>
      </c>
      <c r="G4406" s="149" t="s">
        <v>400</v>
      </c>
      <c r="H4406" s="150" t="str">
        <f>IF(Proc[[#This Row],[type]]="LFF (MDG-F)",MID(Proc[[#This Row],[Obj]],13,10),"")</f>
        <v/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HC</v>
      </c>
      <c r="L4406" s="150" t="s">
        <v>6435</v>
      </c>
      <c r="M4406" s="165">
        <v>45961</v>
      </c>
      <c r="N4406" s="166"/>
      <c r="O4406" s="166"/>
      <c r="P4406" s="165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24</v>
      </c>
      <c r="R4406" s="165" t="s">
        <v>1013</v>
      </c>
      <c r="S4406" s="150"/>
    </row>
    <row r="4407" spans="1:19" hidden="1">
      <c r="A4407" s="149" t="s">
        <v>6666</v>
      </c>
      <c r="B4407" s="150" t="str">
        <f>IFERROR(VLOOKUP(Proc[[#This Row],[App]],Table2[],3,0),"open")</f>
        <v>ok</v>
      </c>
      <c r="C4407" s="149" t="s">
        <v>369</v>
      </c>
      <c r="D4407" t="s">
        <v>6707</v>
      </c>
      <c r="E4407" t="s">
        <v>4068</v>
      </c>
      <c r="F4407" s="150" t="s">
        <v>4068</v>
      </c>
      <c r="G4407" s="149" t="s">
        <v>400</v>
      </c>
      <c r="H4407" s="150" t="str">
        <f>IF(Proc[[#This Row],[type]]="LFF (MDG-F)",MID(Proc[[#This Row],[Obj]],13,10),"")</f>
        <v/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HC</v>
      </c>
      <c r="L4407" s="150" t="s">
        <v>6435</v>
      </c>
      <c r="M4407" s="165">
        <v>45961</v>
      </c>
      <c r="N4407" s="166"/>
      <c r="O4407" s="166"/>
      <c r="P4407" s="165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24</v>
      </c>
      <c r="R4407" s="165" t="s">
        <v>1013</v>
      </c>
      <c r="S4407" s="150"/>
    </row>
    <row r="4408" spans="1:19" hidden="1">
      <c r="A4408" s="149" t="s">
        <v>6666</v>
      </c>
      <c r="B4408" s="150" t="str">
        <f>IFERROR(VLOOKUP(Proc[[#This Row],[App]],Table2[],3,0),"open")</f>
        <v>ok</v>
      </c>
      <c r="C4408" s="149" t="s">
        <v>369</v>
      </c>
      <c r="D4408" t="s">
        <v>6708</v>
      </c>
      <c r="E4408" t="s">
        <v>4068</v>
      </c>
      <c r="F4408" s="150" t="s">
        <v>4068</v>
      </c>
      <c r="G4408" s="149" t="s">
        <v>400</v>
      </c>
      <c r="H4408" s="150" t="str">
        <f>IF(Proc[[#This Row],[type]]="LFF (MDG-F)",MID(Proc[[#This Row],[Obj]],13,10),"")</f>
        <v/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HC</v>
      </c>
      <c r="L4408" s="150" t="s">
        <v>6435</v>
      </c>
      <c r="M4408" s="165">
        <v>45961</v>
      </c>
      <c r="N4408" s="166"/>
      <c r="O4408" s="166"/>
      <c r="P4408" s="165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24</v>
      </c>
      <c r="R4408" s="165" t="s">
        <v>1013</v>
      </c>
      <c r="S4408" s="150"/>
    </row>
    <row r="4409" spans="1:19" hidden="1">
      <c r="A4409" s="149" t="s">
        <v>6666</v>
      </c>
      <c r="B4409" s="150" t="str">
        <f>IFERROR(VLOOKUP(Proc[[#This Row],[App]],Table2[],3,0),"open")</f>
        <v>ok</v>
      </c>
      <c r="C4409" s="149" t="s">
        <v>369</v>
      </c>
      <c r="D4409" t="s">
        <v>6709</v>
      </c>
      <c r="E4409" t="s">
        <v>4068</v>
      </c>
      <c r="F4409" s="150" t="s">
        <v>4068</v>
      </c>
      <c r="G4409" s="149" t="s">
        <v>400</v>
      </c>
      <c r="H4409" s="150" t="str">
        <f>IF(Proc[[#This Row],[type]]="LFF (MDG-F)",MID(Proc[[#This Row],[Obj]],13,10),"")</f>
        <v/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HC</v>
      </c>
      <c r="L4409" s="150" t="s">
        <v>6435</v>
      </c>
      <c r="M4409" s="165">
        <v>45961</v>
      </c>
      <c r="N4409" s="166"/>
      <c r="O4409" s="166"/>
      <c r="P4409" s="165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24</v>
      </c>
      <c r="R4409" s="165" t="s">
        <v>1013</v>
      </c>
      <c r="S4409" s="150"/>
    </row>
    <row r="4410" spans="1:19" hidden="1">
      <c r="A4410" s="149" t="s">
        <v>6666</v>
      </c>
      <c r="B4410" s="150" t="str">
        <f>IFERROR(VLOOKUP(Proc[[#This Row],[App]],Table2[],3,0),"open")</f>
        <v>ok</v>
      </c>
      <c r="C4410" s="149" t="s">
        <v>369</v>
      </c>
      <c r="D4410" t="s">
        <v>6710</v>
      </c>
      <c r="E4410" t="s">
        <v>6714</v>
      </c>
      <c r="F4410" s="150" t="s">
        <v>6714</v>
      </c>
      <c r="G4410" s="149" t="s">
        <v>400</v>
      </c>
      <c r="H4410" s="150" t="str">
        <f>IF(Proc[[#This Row],[type]]="LFF (MDG-F)",MID(Proc[[#This Row],[Obj]],13,10),"")</f>
        <v/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HC</v>
      </c>
      <c r="L4410" s="150" t="s">
        <v>6435</v>
      </c>
      <c r="M4410" s="165">
        <v>45961</v>
      </c>
      <c r="N4410" s="166"/>
      <c r="O4410" s="166"/>
      <c r="P4410" s="165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24</v>
      </c>
      <c r="R4410" s="165" t="s">
        <v>1013</v>
      </c>
      <c r="S4410" s="150"/>
    </row>
    <row r="4411" spans="1:19" hidden="1">
      <c r="A4411" s="149" t="s">
        <v>6666</v>
      </c>
      <c r="B4411" s="150" t="str">
        <f>IFERROR(VLOOKUP(Proc[[#This Row],[App]],Table2[],3,0),"open")</f>
        <v>ok</v>
      </c>
      <c r="C4411" s="149" t="s">
        <v>369</v>
      </c>
      <c r="D4411" t="s">
        <v>6711</v>
      </c>
      <c r="E4411" t="s">
        <v>3401</v>
      </c>
      <c r="F4411" s="150" t="s">
        <v>3401</v>
      </c>
      <c r="G4411" s="149" t="s">
        <v>400</v>
      </c>
      <c r="H4411" s="150" t="str">
        <f>IF(Proc[[#This Row],[type]]="LFF (MDG-F)",MID(Proc[[#This Row],[Obj]],13,10),"")</f>
        <v/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HC</v>
      </c>
      <c r="L4411" s="150" t="s">
        <v>6435</v>
      </c>
      <c r="M4411" s="165">
        <v>45961</v>
      </c>
      <c r="N4411" s="166"/>
      <c r="O4411" s="166"/>
      <c r="P4411" s="165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24</v>
      </c>
      <c r="R4411" s="165" t="s">
        <v>1013</v>
      </c>
      <c r="S4411" s="150"/>
    </row>
    <row r="4412" spans="1:19" hidden="1">
      <c r="A4412" s="149" t="s">
        <v>6666</v>
      </c>
      <c r="B4412" s="150" t="str">
        <f>IFERROR(VLOOKUP(Proc[[#This Row],[App]],Table2[],3,0),"open")</f>
        <v>ok</v>
      </c>
      <c r="C4412" s="149" t="s">
        <v>369</v>
      </c>
      <c r="D4412" t="s">
        <v>6712</v>
      </c>
      <c r="E4412" t="s">
        <v>3401</v>
      </c>
      <c r="F4412" s="150" t="s">
        <v>3401</v>
      </c>
      <c r="G4412" s="149" t="s">
        <v>400</v>
      </c>
      <c r="H4412" s="150" t="str">
        <f>IF(Proc[[#This Row],[type]]="LFF (MDG-F)",MID(Proc[[#This Row],[Obj]],13,10),"")</f>
        <v/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HC</v>
      </c>
      <c r="L4412" s="150" t="s">
        <v>6435</v>
      </c>
      <c r="M4412" s="165">
        <v>45961</v>
      </c>
      <c r="N4412" s="166"/>
      <c r="O4412" s="166"/>
      <c r="P4412" s="165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24</v>
      </c>
      <c r="R4412" s="165" t="s">
        <v>1013</v>
      </c>
      <c r="S4412" s="150"/>
    </row>
    <row r="4413" spans="1:19" hidden="1">
      <c r="A4413" t="s">
        <v>6715</v>
      </c>
      <c r="B4413" s="150" t="str">
        <f>IFERROR(VLOOKUP(Proc[[#This Row],[App]],Table2[],3,0),"open")</f>
        <v>ok</v>
      </c>
      <c r="C4413" s="149" t="s">
        <v>369</v>
      </c>
      <c r="D4413" t="s">
        <v>6716</v>
      </c>
      <c r="E4413" t="s">
        <v>3023</v>
      </c>
      <c r="F4413" s="149" t="s">
        <v>3023</v>
      </c>
      <c r="G4413" t="s">
        <v>406</v>
      </c>
      <c r="H4413" s="150" t="str">
        <f>IF(Proc[[#This Row],[type]]="LFF (MDG-F)",MID(Proc[[#This Row],[Obj]],13,10),"")</f>
        <v>CH01GFO001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MGF</v>
      </c>
      <c r="L4413" s="150" t="s">
        <v>6435</v>
      </c>
      <c r="M4413" s="165">
        <v>45961</v>
      </c>
      <c r="N4413" s="166"/>
      <c r="O4413" s="166"/>
      <c r="P4413" s="165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24</v>
      </c>
      <c r="R4413" s="165" t="s">
        <v>515</v>
      </c>
      <c r="S4413" s="150"/>
    </row>
    <row r="4414" spans="1:19" hidden="1">
      <c r="A4414" s="149" t="s">
        <v>6715</v>
      </c>
      <c r="B4414" s="150" t="str">
        <f>IFERROR(VLOOKUP(Proc[[#This Row],[App]],Table2[],3,0),"open")</f>
        <v>ok</v>
      </c>
      <c r="C4414" s="149" t="s">
        <v>369</v>
      </c>
      <c r="D4414" t="s">
        <v>6717</v>
      </c>
      <c r="E4414" t="s">
        <v>3023</v>
      </c>
      <c r="F4414" s="149" t="s">
        <v>3023</v>
      </c>
      <c r="G4414" s="149" t="s">
        <v>406</v>
      </c>
      <c r="H4414" s="150" t="str">
        <f>IF(Proc[[#This Row],[type]]="LFF (MDG-F)",MID(Proc[[#This Row],[Obj]],13,10),"")</f>
        <v>CH50GIT040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MGF</v>
      </c>
      <c r="L4414" s="150" t="s">
        <v>6435</v>
      </c>
      <c r="M4414" s="165">
        <v>45961</v>
      </c>
      <c r="N4414" s="166"/>
      <c r="O4414" s="166"/>
      <c r="P4414" s="165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24</v>
      </c>
      <c r="R4414" s="165" t="s">
        <v>515</v>
      </c>
      <c r="S4414" s="150"/>
    </row>
    <row r="4415" spans="1:19" hidden="1">
      <c r="A4415" s="149" t="s">
        <v>6715</v>
      </c>
      <c r="B4415" s="150" t="str">
        <f>IFERROR(VLOOKUP(Proc[[#This Row],[App]],Table2[],3,0),"open")</f>
        <v>ok</v>
      </c>
      <c r="C4415" s="149" t="s">
        <v>369</v>
      </c>
      <c r="D4415" t="s">
        <v>6718</v>
      </c>
      <c r="E4415" t="s">
        <v>3023</v>
      </c>
      <c r="F4415" s="149" t="s">
        <v>3023</v>
      </c>
      <c r="G4415" s="149" t="s">
        <v>406</v>
      </c>
      <c r="H4415" s="150" t="str">
        <f>IF(Proc[[#This Row],[type]]="LFF (MDG-F)",MID(Proc[[#This Row],[Obj]],13,10),"")</f>
        <v>CH50GM2100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MGF</v>
      </c>
      <c r="L4415" s="150" t="s">
        <v>6435</v>
      </c>
      <c r="M4415" s="165">
        <v>45961</v>
      </c>
      <c r="N4415" s="166"/>
      <c r="O4415" s="166"/>
      <c r="P4415" s="165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24</v>
      </c>
      <c r="R4415" s="165" t="s">
        <v>515</v>
      </c>
      <c r="S4415" s="150"/>
    </row>
    <row r="4416" spans="1:19" hidden="1">
      <c r="A4416" s="149" t="s">
        <v>6715</v>
      </c>
      <c r="B4416" s="150" t="str">
        <f>IFERROR(VLOOKUP(Proc[[#This Row],[App]],Table2[],3,0),"open")</f>
        <v>ok</v>
      </c>
      <c r="C4416" s="149" t="s">
        <v>369</v>
      </c>
      <c r="D4416" t="s">
        <v>6719</v>
      </c>
      <c r="E4416" t="s">
        <v>3023</v>
      </c>
      <c r="F4416" s="149" t="s">
        <v>3023</v>
      </c>
      <c r="G4416" s="149" t="s">
        <v>406</v>
      </c>
      <c r="H4416" s="150" t="str">
        <f>IF(Proc[[#This Row],[type]]="LFF (MDG-F)",MID(Proc[[#This Row],[Obj]],13,10),"")</f>
        <v>CH50GM2200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MGF</v>
      </c>
      <c r="L4416" s="150" t="s">
        <v>6435</v>
      </c>
      <c r="M4416" s="165">
        <v>45961</v>
      </c>
      <c r="N4416" s="166"/>
      <c r="O4416" s="166"/>
      <c r="P4416" s="165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24</v>
      </c>
      <c r="R4416" s="165" t="s">
        <v>515</v>
      </c>
      <c r="S4416" s="150"/>
    </row>
    <row r="4417" spans="1:19" hidden="1">
      <c r="A4417" s="149" t="s">
        <v>6715</v>
      </c>
      <c r="B4417" s="150" t="str">
        <f>IFERROR(VLOOKUP(Proc[[#This Row],[App]],Table2[],3,0),"open")</f>
        <v>ok</v>
      </c>
      <c r="C4417" s="149" t="s">
        <v>369</v>
      </c>
      <c r="D4417" t="s">
        <v>6720</v>
      </c>
      <c r="E4417" t="s">
        <v>3023</v>
      </c>
      <c r="F4417" s="149" t="s">
        <v>3023</v>
      </c>
      <c r="G4417" s="149" t="s">
        <v>406</v>
      </c>
      <c r="H4417" s="150" t="str">
        <f>IF(Proc[[#This Row],[type]]="LFF (MDG-F)",MID(Proc[[#This Row],[Obj]],13,10),"")</f>
        <v>CH50GM2201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MGF</v>
      </c>
      <c r="L4417" s="150" t="s">
        <v>6435</v>
      </c>
      <c r="M4417" s="165">
        <v>45961</v>
      </c>
      <c r="N4417" s="166"/>
      <c r="O4417" s="166"/>
      <c r="P4417" s="165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24</v>
      </c>
      <c r="R4417" s="165" t="s">
        <v>515</v>
      </c>
      <c r="S4417" s="150"/>
    </row>
    <row r="4418" spans="1:19" hidden="1">
      <c r="A4418" s="149" t="s">
        <v>6715</v>
      </c>
      <c r="B4418" s="150" t="str">
        <f>IFERROR(VLOOKUP(Proc[[#This Row],[App]],Table2[],3,0),"open")</f>
        <v>ok</v>
      </c>
      <c r="C4418" s="149" t="s">
        <v>369</v>
      </c>
      <c r="D4418" t="s">
        <v>6721</v>
      </c>
      <c r="E4418" t="s">
        <v>3023</v>
      </c>
      <c r="F4418" s="149" t="s">
        <v>3023</v>
      </c>
      <c r="G4418" s="149" t="s">
        <v>406</v>
      </c>
      <c r="H4418" s="150" t="str">
        <f>IF(Proc[[#This Row],[type]]="LFF (MDG-F)",MID(Proc[[#This Row],[Obj]],13,10),"")</f>
        <v>CH50L98043</v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MGF</v>
      </c>
      <c r="L4418" s="150" t="s">
        <v>6435</v>
      </c>
      <c r="M4418" s="165">
        <v>45961</v>
      </c>
      <c r="N4418" s="166"/>
      <c r="O4418" s="166"/>
      <c r="P4418" s="165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24</v>
      </c>
      <c r="R4418" s="165" t="s">
        <v>515</v>
      </c>
      <c r="S4418" s="150"/>
    </row>
    <row r="4419" spans="1:19" hidden="1">
      <c r="A4419" s="149" t="s">
        <v>6715</v>
      </c>
      <c r="B4419" s="150" t="str">
        <f>IFERROR(VLOOKUP(Proc[[#This Row],[App]],Table2[],3,0),"open")</f>
        <v>ok</v>
      </c>
      <c r="C4419" s="149" t="s">
        <v>369</v>
      </c>
      <c r="D4419" t="s">
        <v>6722</v>
      </c>
      <c r="E4419" t="s">
        <v>3023</v>
      </c>
      <c r="F4419" s="149" t="s">
        <v>3023</v>
      </c>
      <c r="G4419" s="149" t="s">
        <v>406</v>
      </c>
      <c r="H4419" s="150" t="str">
        <f>IF(Proc[[#This Row],[type]]="LFF (MDG-F)",MID(Proc[[#This Row],[Obj]],13,10),"")</f>
        <v>CH65GIT022</v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MGF</v>
      </c>
      <c r="L4419" s="150" t="s">
        <v>6435</v>
      </c>
      <c r="M4419" s="165">
        <v>45961</v>
      </c>
      <c r="N4419" s="166"/>
      <c r="O4419" s="166"/>
      <c r="P4419" s="165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24</v>
      </c>
      <c r="R4419" s="165" t="s">
        <v>515</v>
      </c>
      <c r="S4419" s="150"/>
    </row>
    <row r="4420" spans="1:19" hidden="1">
      <c r="A4420" s="149" t="s">
        <v>6715</v>
      </c>
      <c r="B4420" s="150" t="str">
        <f>IFERROR(VLOOKUP(Proc[[#This Row],[App]],Table2[],3,0),"open")</f>
        <v>ok</v>
      </c>
      <c r="C4420" s="149" t="s">
        <v>369</v>
      </c>
      <c r="D4420" t="s">
        <v>6723</v>
      </c>
      <c r="E4420" t="s">
        <v>3023</v>
      </c>
      <c r="F4420" s="149" t="s">
        <v>3023</v>
      </c>
      <c r="G4420" s="149" t="s">
        <v>406</v>
      </c>
      <c r="H4420" s="150" t="str">
        <f>IF(Proc[[#This Row],[type]]="LFF (MDG-F)",MID(Proc[[#This Row],[Obj]],13,10),"")</f>
        <v>CH65GM2100</v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MGF</v>
      </c>
      <c r="L4420" s="150" t="s">
        <v>6435</v>
      </c>
      <c r="M4420" s="165">
        <v>45961</v>
      </c>
      <c r="N4420" s="166"/>
      <c r="O4420" s="166"/>
      <c r="P4420" s="165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24</v>
      </c>
      <c r="R4420" s="165" t="s">
        <v>515</v>
      </c>
      <c r="S4420" s="150"/>
    </row>
    <row r="4421" spans="1:19" hidden="1">
      <c r="A4421" s="149" t="s">
        <v>6715</v>
      </c>
      <c r="B4421" s="150" t="str">
        <f>IFERROR(VLOOKUP(Proc[[#This Row],[App]],Table2[],3,0),"open")</f>
        <v>ok</v>
      </c>
      <c r="C4421" s="149" t="s">
        <v>369</v>
      </c>
      <c r="D4421" t="s">
        <v>6724</v>
      </c>
      <c r="E4421" t="s">
        <v>3023</v>
      </c>
      <c r="F4421" s="149" t="s">
        <v>3023</v>
      </c>
      <c r="G4421" s="149" t="s">
        <v>406</v>
      </c>
      <c r="H4421" s="150" t="str">
        <f>IF(Proc[[#This Row],[type]]="LFF (MDG-F)",MID(Proc[[#This Row],[Obj]],13,10),"")</f>
        <v>CH65GM2201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65">
        <v>45961</v>
      </c>
      <c r="N4421" s="166"/>
      <c r="O4421" s="166"/>
      <c r="P4421" s="165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24</v>
      </c>
      <c r="R4421" s="165" t="s">
        <v>515</v>
      </c>
      <c r="S4421" s="150"/>
    </row>
    <row r="4422" spans="1:19" hidden="1">
      <c r="A4422" s="149" t="s">
        <v>6715</v>
      </c>
      <c r="B4422" s="150" t="str">
        <f>IFERROR(VLOOKUP(Proc[[#This Row],[App]],Table2[],3,0),"open")</f>
        <v>ok</v>
      </c>
      <c r="C4422" s="149" t="s">
        <v>369</v>
      </c>
      <c r="D4422" t="s">
        <v>6725</v>
      </c>
      <c r="E4422" t="s">
        <v>3023</v>
      </c>
      <c r="F4422" s="149" t="s">
        <v>3023</v>
      </c>
      <c r="G4422" s="149" t="s">
        <v>406</v>
      </c>
      <c r="H4422" s="150" t="str">
        <f>IF(Proc[[#This Row],[type]]="LFF (MDG-F)",MID(Proc[[#This Row],[Obj]],13,10),"")</f>
        <v>CH65GM4100</v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MGF</v>
      </c>
      <c r="L4422" s="150" t="s">
        <v>6435</v>
      </c>
      <c r="M4422" s="165">
        <v>45961</v>
      </c>
      <c r="N4422" s="166"/>
      <c r="O4422" s="166"/>
      <c r="P4422" s="165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24</v>
      </c>
      <c r="R4422" s="165" t="s">
        <v>515</v>
      </c>
      <c r="S4422" s="150"/>
    </row>
    <row r="4423" spans="1:19" hidden="1">
      <c r="A4423" s="149" t="s">
        <v>6715</v>
      </c>
      <c r="B4423" s="150" t="str">
        <f>IFERROR(VLOOKUP(Proc[[#This Row],[App]],Table2[],3,0),"open")</f>
        <v>ok</v>
      </c>
      <c r="C4423" s="149" t="s">
        <v>369</v>
      </c>
      <c r="D4423" t="s">
        <v>6726</v>
      </c>
      <c r="E4423" t="s">
        <v>3023</v>
      </c>
      <c r="F4423" s="149" t="s">
        <v>3023</v>
      </c>
      <c r="G4423" s="149" t="s">
        <v>406</v>
      </c>
      <c r="H4423" s="150" t="str">
        <f>IF(Proc[[#This Row],[type]]="LFF (MDG-F)",MID(Proc[[#This Row],[Obj]],13,10),"")</f>
        <v>CH75GIT040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MGF</v>
      </c>
      <c r="L4423" s="150" t="s">
        <v>6435</v>
      </c>
      <c r="M4423" s="165">
        <v>45961</v>
      </c>
      <c r="N4423" s="166"/>
      <c r="O4423" s="166"/>
      <c r="P4423" s="165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24</v>
      </c>
      <c r="R4423" s="165" t="s">
        <v>515</v>
      </c>
      <c r="S4423" s="150"/>
    </row>
    <row r="4424" spans="1:19" hidden="1">
      <c r="A4424" s="149" t="s">
        <v>6715</v>
      </c>
      <c r="B4424" s="150" t="str">
        <f>IFERROR(VLOOKUP(Proc[[#This Row],[App]],Table2[],3,0),"open")</f>
        <v>ok</v>
      </c>
      <c r="C4424" s="149" t="s">
        <v>369</v>
      </c>
      <c r="D4424" t="s">
        <v>6727</v>
      </c>
      <c r="E4424" t="s">
        <v>3023</v>
      </c>
      <c r="F4424" s="149" t="s">
        <v>3023</v>
      </c>
      <c r="G4424" s="149" t="s">
        <v>406</v>
      </c>
      <c r="H4424" s="150" t="str">
        <f>IF(Proc[[#This Row],[type]]="LFF (MDG-F)",MID(Proc[[#This Row],[Obj]],13,10),"")</f>
        <v>CH75GM2100</v>
      </c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MGF</v>
      </c>
      <c r="L4424" s="150" t="s">
        <v>6435</v>
      </c>
      <c r="M4424" s="165">
        <v>45961</v>
      </c>
      <c r="N4424" s="166"/>
      <c r="O4424" s="166"/>
      <c r="P4424" s="165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24</v>
      </c>
      <c r="R4424" s="165" t="s">
        <v>515</v>
      </c>
      <c r="S4424" s="150"/>
    </row>
    <row r="4425" spans="1:19" hidden="1">
      <c r="A4425" s="149" t="s">
        <v>6715</v>
      </c>
      <c r="B4425" s="150" t="str">
        <f>IFERROR(VLOOKUP(Proc[[#This Row],[App]],Table2[],3,0),"open")</f>
        <v>ok</v>
      </c>
      <c r="C4425" s="149" t="s">
        <v>369</v>
      </c>
      <c r="D4425" t="s">
        <v>6728</v>
      </c>
      <c r="E4425" t="s">
        <v>3023</v>
      </c>
      <c r="F4425" s="149" t="s">
        <v>3023</v>
      </c>
      <c r="G4425" s="149" t="s">
        <v>406</v>
      </c>
      <c r="H4425" s="150" t="str">
        <f>IF(Proc[[#This Row],[type]]="LFF (MDG-F)",MID(Proc[[#This Row],[Obj]],13,10),"")</f>
        <v>CH75GM2200</v>
      </c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MGF</v>
      </c>
      <c r="L4425" s="150" t="s">
        <v>6435</v>
      </c>
      <c r="M4425" s="165">
        <v>45961</v>
      </c>
      <c r="N4425" s="166"/>
      <c r="O4425" s="166"/>
      <c r="P4425" s="165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24</v>
      </c>
      <c r="R4425" s="165" t="s">
        <v>515</v>
      </c>
      <c r="S4425" s="150"/>
    </row>
    <row r="4426" spans="1:19" hidden="1">
      <c r="A4426" s="149" t="s">
        <v>6715</v>
      </c>
      <c r="B4426" s="150" t="str">
        <f>IFERROR(VLOOKUP(Proc[[#This Row],[App]],Table2[],3,0),"open")</f>
        <v>ok</v>
      </c>
      <c r="C4426" s="149" t="s">
        <v>369</v>
      </c>
      <c r="D4426" t="s">
        <v>6729</v>
      </c>
      <c r="E4426" t="s">
        <v>3023</v>
      </c>
      <c r="F4426" s="149" t="s">
        <v>3023</v>
      </c>
      <c r="G4426" s="149" t="s">
        <v>406</v>
      </c>
      <c r="H4426" s="150" t="str">
        <f>IF(Proc[[#This Row],[type]]="LFF (MDG-F)",MID(Proc[[#This Row],[Obj]],13,10),"")</f>
        <v>CH81GM2100</v>
      </c>
      <c r="J4426" s="150" t="b">
        <f>Proc[[#This Row],[Requested]]=Proc[[#This Row],[CurrentParent]]</f>
        <v>1</v>
      </c>
      <c r="K4426" s="150" t="str">
        <f>IF(Proc[[#This Row],[Author]]="Marcela Urrego",VLOOKUP(LEFT(Proc[[#This Row],[Requested]],1),Table3[#All],2,0),VLOOKUP(Proc[[#This Row],[Author]],Table4[],2,0))</f>
        <v>MGF</v>
      </c>
      <c r="L4426" s="150" t="s">
        <v>6435</v>
      </c>
      <c r="M4426" s="165">
        <v>45961</v>
      </c>
      <c r="N4426" s="166"/>
      <c r="O4426" s="166"/>
      <c r="P4426" s="165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24</v>
      </c>
      <c r="R4426" s="165" t="s">
        <v>515</v>
      </c>
      <c r="S4426" s="150"/>
    </row>
    <row r="4427" spans="1:19" hidden="1">
      <c r="A4427" s="149" t="s">
        <v>6715</v>
      </c>
      <c r="B4427" s="150" t="str">
        <f>IFERROR(VLOOKUP(Proc[[#This Row],[App]],Table2[],3,0),"open")</f>
        <v>ok</v>
      </c>
      <c r="C4427" s="149" t="s">
        <v>369</v>
      </c>
      <c r="D4427" t="s">
        <v>6730</v>
      </c>
      <c r="E4427" t="s">
        <v>3023</v>
      </c>
      <c r="F4427" s="149" t="s">
        <v>3023</v>
      </c>
      <c r="G4427" s="149" t="s">
        <v>406</v>
      </c>
      <c r="H4427" s="150" t="str">
        <f>IF(Proc[[#This Row],[type]]="LFF (MDG-F)",MID(Proc[[#This Row],[Obj]],13,10),"")</f>
        <v>CH82GM2100</v>
      </c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MGF</v>
      </c>
      <c r="L4427" s="150" t="s">
        <v>6435</v>
      </c>
      <c r="M4427" s="165">
        <v>45961</v>
      </c>
      <c r="N4427" s="166"/>
      <c r="O4427" s="166"/>
      <c r="P4427" s="165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24</v>
      </c>
      <c r="R4427" s="165" t="s">
        <v>515</v>
      </c>
      <c r="S4427" s="150"/>
    </row>
    <row r="4428" spans="1:19" hidden="1">
      <c r="A4428" s="149" t="s">
        <v>6715</v>
      </c>
      <c r="B4428" s="150" t="str">
        <f>IFERROR(VLOOKUP(Proc[[#This Row],[App]],Table2[],3,0),"open")</f>
        <v>ok</v>
      </c>
      <c r="C4428" s="149" t="s">
        <v>369</v>
      </c>
      <c r="D4428" t="s">
        <v>6731</v>
      </c>
      <c r="E4428" t="s">
        <v>3023</v>
      </c>
      <c r="F4428" s="149" t="s">
        <v>3023</v>
      </c>
      <c r="G4428" s="149" t="s">
        <v>406</v>
      </c>
      <c r="H4428" s="150" t="str">
        <f>IF(Proc[[#This Row],[type]]="LFF (MDG-F)",MID(Proc[[#This Row],[Obj]],13,10),"")</f>
        <v>CH82GM2200</v>
      </c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MGF</v>
      </c>
      <c r="L4428" s="150" t="s">
        <v>6435</v>
      </c>
      <c r="M4428" s="165">
        <v>45961</v>
      </c>
      <c r="N4428" s="166"/>
      <c r="O4428" s="166"/>
      <c r="P4428" s="165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24</v>
      </c>
      <c r="R4428" s="165" t="s">
        <v>515</v>
      </c>
      <c r="S4428" s="150"/>
    </row>
    <row r="4429" spans="1:19" hidden="1">
      <c r="A4429" s="149" t="s">
        <v>6715</v>
      </c>
      <c r="B4429" s="150" t="str">
        <f>IFERROR(VLOOKUP(Proc[[#This Row],[App]],Table2[],3,0),"open")</f>
        <v>ok</v>
      </c>
      <c r="C4429" s="149" t="s">
        <v>369</v>
      </c>
      <c r="D4429" t="s">
        <v>6732</v>
      </c>
      <c r="E4429" t="s">
        <v>3023</v>
      </c>
      <c r="F4429" s="150" t="s">
        <v>3023</v>
      </c>
      <c r="G4429" s="149" t="s">
        <v>400</v>
      </c>
      <c r="H4429" s="150" t="str">
        <f>IF(Proc[[#This Row],[type]]="LFF (MDG-F)",MID(Proc[[#This Row],[Obj]],13,10),"")</f>
        <v/>
      </c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MGF</v>
      </c>
      <c r="L4429" s="150" t="s">
        <v>6435</v>
      </c>
      <c r="M4429" s="165">
        <v>45961</v>
      </c>
      <c r="N4429" s="166"/>
      <c r="O4429" s="166"/>
      <c r="P4429" s="165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24</v>
      </c>
      <c r="R4429" s="165" t="s">
        <v>515</v>
      </c>
      <c r="S4429" s="150"/>
    </row>
    <row r="4430" spans="1:19" hidden="1">
      <c r="A4430" s="149" t="s">
        <v>6715</v>
      </c>
      <c r="B4430" s="150" t="str">
        <f>IFERROR(VLOOKUP(Proc[[#This Row],[App]],Table2[],3,0),"open")</f>
        <v>ok</v>
      </c>
      <c r="C4430" s="149" t="s">
        <v>369</v>
      </c>
      <c r="D4430" t="s">
        <v>6733</v>
      </c>
      <c r="E4430" t="s">
        <v>3023</v>
      </c>
      <c r="F4430" s="150" t="s">
        <v>3023</v>
      </c>
      <c r="G4430" s="149" t="s">
        <v>400</v>
      </c>
      <c r="H4430" s="150" t="str">
        <f>IF(Proc[[#This Row],[type]]="LFF (MDG-F)",MID(Proc[[#This Row],[Obj]],13,10),"")</f>
        <v/>
      </c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MGF</v>
      </c>
      <c r="L4430" s="150" t="s">
        <v>6435</v>
      </c>
      <c r="M4430" s="165">
        <v>45961</v>
      </c>
      <c r="N4430" s="166"/>
      <c r="O4430" s="166"/>
      <c r="P4430" s="165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24</v>
      </c>
      <c r="R4430" s="165" t="s">
        <v>515</v>
      </c>
      <c r="S4430" s="150"/>
    </row>
    <row r="4431" spans="1:19" hidden="1">
      <c r="A4431" s="149" t="s">
        <v>6715</v>
      </c>
      <c r="B4431" s="150" t="str">
        <f>IFERROR(VLOOKUP(Proc[[#This Row],[App]],Table2[],3,0),"open")</f>
        <v>ok</v>
      </c>
      <c r="C4431" s="149" t="s">
        <v>369</v>
      </c>
      <c r="D4431" t="s">
        <v>6734</v>
      </c>
      <c r="E4431" t="s">
        <v>3023</v>
      </c>
      <c r="F4431" s="150" t="s">
        <v>3023</v>
      </c>
      <c r="G4431" s="149" t="s">
        <v>400</v>
      </c>
      <c r="H4431" s="150" t="str">
        <f>IF(Proc[[#This Row],[type]]="LFF (MDG-F)",MID(Proc[[#This Row],[Obj]],13,10),"")</f>
        <v/>
      </c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MGF</v>
      </c>
      <c r="L4431" s="150" t="s">
        <v>6435</v>
      </c>
      <c r="M4431" s="165">
        <v>45961</v>
      </c>
      <c r="N4431" s="166"/>
      <c r="O4431" s="166"/>
      <c r="P4431" s="165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24</v>
      </c>
      <c r="R4431" s="165" t="s">
        <v>515</v>
      </c>
      <c r="S4431" s="150"/>
    </row>
    <row r="4432" spans="1:19" hidden="1">
      <c r="A4432" s="149" t="s">
        <v>6715</v>
      </c>
      <c r="B4432" s="150" t="str">
        <f>IFERROR(VLOOKUP(Proc[[#This Row],[App]],Table2[],3,0),"open")</f>
        <v>ok</v>
      </c>
      <c r="C4432" s="149" t="s">
        <v>369</v>
      </c>
      <c r="D4432" t="s">
        <v>6735</v>
      </c>
      <c r="E4432" t="s">
        <v>3023</v>
      </c>
      <c r="F4432" s="150" t="s">
        <v>3023</v>
      </c>
      <c r="G4432" s="149" t="s">
        <v>400</v>
      </c>
      <c r="H4432" s="150" t="str">
        <f>IF(Proc[[#This Row],[type]]="LFF (MDG-F)",MID(Proc[[#This Row],[Obj]],13,10),"")</f>
        <v/>
      </c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MGF</v>
      </c>
      <c r="L4432" s="150" t="s">
        <v>6435</v>
      </c>
      <c r="M4432" s="165">
        <v>45961</v>
      </c>
      <c r="N4432" s="166"/>
      <c r="O4432" s="166"/>
      <c r="P4432" s="165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24</v>
      </c>
      <c r="R4432" s="165" t="s">
        <v>515</v>
      </c>
      <c r="S4432" s="150"/>
    </row>
    <row r="4433" spans="1:19" hidden="1">
      <c r="A4433" s="149" t="s">
        <v>6715</v>
      </c>
      <c r="B4433" s="150" t="str">
        <f>IFERROR(VLOOKUP(Proc[[#This Row],[App]],Table2[],3,0),"open")</f>
        <v>ok</v>
      </c>
      <c r="C4433" s="149" t="s">
        <v>369</v>
      </c>
      <c r="D4433" t="s">
        <v>6736</v>
      </c>
      <c r="E4433" t="s">
        <v>3023</v>
      </c>
      <c r="F4433" s="150" t="s">
        <v>3023</v>
      </c>
      <c r="G4433" s="149" t="s">
        <v>400</v>
      </c>
      <c r="H4433" s="150" t="str">
        <f>IF(Proc[[#This Row],[type]]="LFF (MDG-F)",MID(Proc[[#This Row],[Obj]],13,10),"")</f>
        <v/>
      </c>
      <c r="J4433" s="150" t="b">
        <f>Proc[[#This Row],[Requested]]=Proc[[#This Row],[CurrentParent]]</f>
        <v>1</v>
      </c>
      <c r="K4433" s="150" t="str">
        <f>IF(Proc[[#This Row],[Author]]="Marcela Urrego",VLOOKUP(LEFT(Proc[[#This Row],[Requested]],1),Table3[#All],2,0),VLOOKUP(Proc[[#This Row],[Author]],Table4[],2,0))</f>
        <v>MGF</v>
      </c>
      <c r="L4433" s="150" t="s">
        <v>6435</v>
      </c>
      <c r="M4433" s="165">
        <v>45961</v>
      </c>
      <c r="N4433" s="166"/>
      <c r="O4433" s="166"/>
      <c r="P4433" s="165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24</v>
      </c>
      <c r="R4433" s="165" t="s">
        <v>515</v>
      </c>
      <c r="S4433" s="150"/>
    </row>
    <row r="4434" spans="1:19" hidden="1">
      <c r="A4434" s="149" t="s">
        <v>6715</v>
      </c>
      <c r="B4434" s="150" t="str">
        <f>IFERROR(VLOOKUP(Proc[[#This Row],[App]],Table2[],3,0),"open")</f>
        <v>ok</v>
      </c>
      <c r="C4434" s="149" t="s">
        <v>369</v>
      </c>
      <c r="D4434" t="s">
        <v>6737</v>
      </c>
      <c r="E4434" t="s">
        <v>3023</v>
      </c>
      <c r="F4434" s="150" t="s">
        <v>3023</v>
      </c>
      <c r="G4434" s="149" t="s">
        <v>400</v>
      </c>
      <c r="H4434" s="150" t="str">
        <f>IF(Proc[[#This Row],[type]]="LFF (MDG-F)",MID(Proc[[#This Row],[Obj]],13,10),"")</f>
        <v/>
      </c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MGF</v>
      </c>
      <c r="L4434" s="150" t="s">
        <v>6435</v>
      </c>
      <c r="M4434" s="165">
        <v>45961</v>
      </c>
      <c r="N4434" s="166"/>
      <c r="O4434" s="166"/>
      <c r="P4434" s="165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24</v>
      </c>
      <c r="R4434" s="165" t="s">
        <v>515</v>
      </c>
      <c r="S4434" s="150"/>
    </row>
    <row r="4435" spans="1:19" hidden="1">
      <c r="A4435" s="149" t="s">
        <v>6715</v>
      </c>
      <c r="B4435" s="150" t="str">
        <f>IFERROR(VLOOKUP(Proc[[#This Row],[App]],Table2[],3,0),"open")</f>
        <v>ok</v>
      </c>
      <c r="C4435" s="149" t="s">
        <v>369</v>
      </c>
      <c r="D4435" t="s">
        <v>6738</v>
      </c>
      <c r="E4435" t="s">
        <v>3023</v>
      </c>
      <c r="F4435" s="150" t="s">
        <v>3023</v>
      </c>
      <c r="G4435" s="149" t="s">
        <v>400</v>
      </c>
      <c r="H4435" s="150" t="str">
        <f>IF(Proc[[#This Row],[type]]="LFF (MDG-F)",MID(Proc[[#This Row],[Obj]],13,10),"")</f>
        <v/>
      </c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MGF</v>
      </c>
      <c r="L4435" s="150" t="s">
        <v>6435</v>
      </c>
      <c r="M4435" s="165">
        <v>45961</v>
      </c>
      <c r="N4435" s="166"/>
      <c r="O4435" s="166"/>
      <c r="P4435" s="165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24</v>
      </c>
      <c r="R4435" s="165" t="s">
        <v>515</v>
      </c>
      <c r="S4435" s="150"/>
    </row>
    <row r="4436" spans="1:19" hidden="1">
      <c r="A4436" s="149" t="s">
        <v>6715</v>
      </c>
      <c r="B4436" s="150" t="str">
        <f>IFERROR(VLOOKUP(Proc[[#This Row],[App]],Table2[],3,0),"open")</f>
        <v>ok</v>
      </c>
      <c r="C4436" s="149" t="s">
        <v>369</v>
      </c>
      <c r="D4436" t="s">
        <v>6739</v>
      </c>
      <c r="E4436" t="s">
        <v>3023</v>
      </c>
      <c r="F4436" s="150" t="s">
        <v>3023</v>
      </c>
      <c r="G4436" s="149" t="s">
        <v>400</v>
      </c>
      <c r="H4436" s="150" t="str">
        <f>IF(Proc[[#This Row],[type]]="LFF (MDG-F)",MID(Proc[[#This Row],[Obj]],13,10),"")</f>
        <v/>
      </c>
      <c r="J4436" s="150" t="b">
        <f>Proc[[#This Row],[Requested]]=Proc[[#This Row],[CurrentParent]]</f>
        <v>1</v>
      </c>
      <c r="K4436" s="150" t="str">
        <f>IF(Proc[[#This Row],[Author]]="Marcela Urrego",VLOOKUP(LEFT(Proc[[#This Row],[Requested]],1),Table3[#All],2,0),VLOOKUP(Proc[[#This Row],[Author]],Table4[],2,0))</f>
        <v>MGF</v>
      </c>
      <c r="L4436" s="150" t="s">
        <v>6435</v>
      </c>
      <c r="M4436" s="165">
        <v>45961</v>
      </c>
      <c r="N4436" s="166"/>
      <c r="O4436" s="166"/>
      <c r="P4436" s="165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24</v>
      </c>
      <c r="R4436" s="165" t="s">
        <v>515</v>
      </c>
      <c r="S4436" s="150"/>
    </row>
    <row r="4437" spans="1:19" hidden="1">
      <c r="A4437" s="149" t="s">
        <v>6715</v>
      </c>
      <c r="B4437" s="150" t="str">
        <f>IFERROR(VLOOKUP(Proc[[#This Row],[App]],Table2[],3,0),"open")</f>
        <v>ok</v>
      </c>
      <c r="C4437" s="149" t="s">
        <v>369</v>
      </c>
      <c r="D4437" t="s">
        <v>6740</v>
      </c>
      <c r="E4437" t="s">
        <v>3023</v>
      </c>
      <c r="F4437" s="149" t="s">
        <v>3023</v>
      </c>
      <c r="G4437" s="149" t="s">
        <v>406</v>
      </c>
      <c r="H4437" s="150" t="str">
        <f>IF(Proc[[#This Row],[type]]="LFF (MDG-F)",MID(Proc[[#This Row],[Obj]],13,10),"")</f>
        <v>CH01GFO000</v>
      </c>
      <c r="J4437" s="150" t="b">
        <f>Proc[[#This Row],[Requested]]=Proc[[#This Row],[CurrentParent]]</f>
        <v>1</v>
      </c>
      <c r="K4437" s="150" t="str">
        <f>IF(Proc[[#This Row],[Author]]="Marcela Urrego",VLOOKUP(LEFT(Proc[[#This Row],[Requested]],1),Table3[#All],2,0),VLOOKUP(Proc[[#This Row],[Author]],Table4[],2,0))</f>
        <v>MGF</v>
      </c>
      <c r="L4437" s="150" t="s">
        <v>6435</v>
      </c>
      <c r="M4437" s="165">
        <v>45961</v>
      </c>
      <c r="N4437" s="166"/>
      <c r="O4437" s="166"/>
      <c r="P4437" s="165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24</v>
      </c>
      <c r="R4437" s="165" t="s">
        <v>515</v>
      </c>
      <c r="S4437" s="150"/>
    </row>
    <row r="4438" spans="1:19" hidden="1">
      <c r="A4438" s="149" t="s">
        <v>6715</v>
      </c>
      <c r="B4438" s="150" t="str">
        <f>IFERROR(VLOOKUP(Proc[[#This Row],[App]],Table2[],3,0),"open")</f>
        <v>ok</v>
      </c>
      <c r="C4438" s="149" t="s">
        <v>369</v>
      </c>
      <c r="D4438" t="s">
        <v>6741</v>
      </c>
      <c r="E4438" t="s">
        <v>3023</v>
      </c>
      <c r="F4438" s="149" t="s">
        <v>3023</v>
      </c>
      <c r="G4438" s="149" t="s">
        <v>406</v>
      </c>
      <c r="H4438" s="150" t="str">
        <f>IF(Proc[[#This Row],[type]]="LFF (MDG-F)",MID(Proc[[#This Row],[Obj]],13,10),"")</f>
        <v>CH65GM2200</v>
      </c>
      <c r="J4438" s="150" t="b">
        <f>Proc[[#This Row],[Requested]]=Proc[[#This Row],[CurrentParent]]</f>
        <v>1</v>
      </c>
      <c r="K4438" s="150" t="str">
        <f>IF(Proc[[#This Row],[Author]]="Marcela Urrego",VLOOKUP(LEFT(Proc[[#This Row],[Requested]],1),Table3[#All],2,0),VLOOKUP(Proc[[#This Row],[Author]],Table4[],2,0))</f>
        <v>MGF</v>
      </c>
      <c r="L4438" s="150" t="s">
        <v>6435</v>
      </c>
      <c r="M4438" s="165">
        <v>45961</v>
      </c>
      <c r="N4438" s="166"/>
      <c r="O4438" s="166"/>
      <c r="P4438" s="165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24</v>
      </c>
      <c r="R4438" s="165" t="s">
        <v>515</v>
      </c>
      <c r="S4438" s="150"/>
    </row>
    <row r="4439" spans="1:19" hidden="1">
      <c r="A4439" t="s">
        <v>6748</v>
      </c>
      <c r="B4439" s="150" t="str">
        <f>IFERROR(VLOOKUP(Proc[[#This Row],[App]],Table2[],3,0),"open")</f>
        <v>ok</v>
      </c>
      <c r="C4439" s="149" t="s">
        <v>369</v>
      </c>
      <c r="D4439" t="s">
        <v>6749</v>
      </c>
      <c r="E4439" t="s">
        <v>430</v>
      </c>
      <c r="F4439" s="150" t="s">
        <v>430</v>
      </c>
      <c r="G4439" t="s">
        <v>400</v>
      </c>
      <c r="H4439" s="150" t="str">
        <f>IF(Proc[[#This Row],[type]]="LFF (MDG-F)",MID(Proc[[#This Row],[Obj]],13,10),"")</f>
        <v/>
      </c>
      <c r="J4439" s="150" t="b">
        <f>Proc[[#This Row],[Requested]]=Proc[[#This Row],[CurrentParent]]</f>
        <v>1</v>
      </c>
      <c r="K4439" s="150" t="str">
        <f>IF(Proc[[#This Row],[Author]]="Marcela Urrego",VLOOKUP(LEFT(Proc[[#This Row],[Requested]],1),Table3[#All],2,0),VLOOKUP(Proc[[#This Row],[Author]],Table4[],2,0))</f>
        <v>MGF</v>
      </c>
      <c r="L4439" s="150" t="s">
        <v>6435</v>
      </c>
      <c r="M4439" s="165">
        <v>45965</v>
      </c>
      <c r="N4439" s="166"/>
      <c r="O4439" s="166"/>
      <c r="P4439" s="165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22</v>
      </c>
      <c r="R4439" s="165" t="s">
        <v>1459</v>
      </c>
      <c r="S4439" s="150"/>
    </row>
    <row r="4440" spans="1:19" hidden="1">
      <c r="A4440" s="149" t="s">
        <v>6748</v>
      </c>
      <c r="B4440" s="150" t="str">
        <f>IFERROR(VLOOKUP(Proc[[#This Row],[App]],Table2[],3,0),"open")</f>
        <v>ok</v>
      </c>
      <c r="C4440" s="149" t="s">
        <v>692</v>
      </c>
      <c r="D4440" t="s">
        <v>2319</v>
      </c>
      <c r="E4440" t="s">
        <v>430</v>
      </c>
      <c r="F4440" s="150" t="s">
        <v>5569</v>
      </c>
      <c r="G4440" s="149" t="s">
        <v>406</v>
      </c>
      <c r="H4440" s="150" t="str">
        <f>IF(Proc[[#This Row],[type]]="LFF (MDG-F)",MID(Proc[[#This Row],[Obj]],13,10),"")</f>
        <v>DE65GIT032</v>
      </c>
      <c r="I4440" t="s">
        <v>6780</v>
      </c>
      <c r="J4440" s="150" t="b">
        <f>Proc[[#This Row],[Requested]]=Proc[[#This Row],[CurrentParent]]</f>
        <v>0</v>
      </c>
      <c r="K4440" s="150" t="str">
        <f>IF(Proc[[#This Row],[Author]]="Marcela Urrego",VLOOKUP(LEFT(Proc[[#This Row],[Requested]],1),Table3[#All],2,0),VLOOKUP(Proc[[#This Row],[Author]],Table4[],2,0))</f>
        <v>MGF</v>
      </c>
      <c r="L4440" s="150" t="s">
        <v>6435</v>
      </c>
      <c r="M4440" s="165">
        <v>45965</v>
      </c>
      <c r="N4440" s="166"/>
      <c r="O4440" s="166"/>
      <c r="P4440" s="165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22</v>
      </c>
      <c r="R4440" s="165" t="s">
        <v>1459</v>
      </c>
      <c r="S4440" s="150"/>
    </row>
    <row r="4441" spans="1:19" hidden="1">
      <c r="A4441" s="149" t="s">
        <v>6748</v>
      </c>
      <c r="B4441" s="150" t="str">
        <f>IFERROR(VLOOKUP(Proc[[#This Row],[App]],Table2[],3,0),"open")</f>
        <v>ok</v>
      </c>
      <c r="C4441" s="149" t="s">
        <v>369</v>
      </c>
      <c r="D4441" t="s">
        <v>6613</v>
      </c>
      <c r="E4441" t="s">
        <v>6626</v>
      </c>
      <c r="F4441" s="150" t="s">
        <v>6626</v>
      </c>
      <c r="G4441" s="149" t="s">
        <v>406</v>
      </c>
      <c r="H4441" s="150" t="str">
        <f>IF(Proc[[#This Row],[type]]="LFF (MDG-F)",MID(Proc[[#This Row],[Obj]],13,10),"")</f>
        <v>DE10GIT101</v>
      </c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MGF</v>
      </c>
      <c r="L4441" s="150" t="s">
        <v>6435</v>
      </c>
      <c r="M4441" s="165">
        <v>45965</v>
      </c>
      <c r="N4441" s="166"/>
      <c r="O4441" s="166"/>
      <c r="P4441" s="165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22</v>
      </c>
      <c r="R4441" s="165" t="s">
        <v>1459</v>
      </c>
      <c r="S4441" s="150"/>
    </row>
    <row r="4442" spans="1:19" hidden="1">
      <c r="A4442" s="149" t="s">
        <v>6748</v>
      </c>
      <c r="B4442" s="150" t="str">
        <f>IFERROR(VLOOKUP(Proc[[#This Row],[App]],Table2[],3,0),"open")</f>
        <v>ok</v>
      </c>
      <c r="C4442" s="149" t="s">
        <v>369</v>
      </c>
      <c r="D4442" t="s">
        <v>5437</v>
      </c>
      <c r="E4442" t="s">
        <v>6446</v>
      </c>
      <c r="F4442" s="150" t="s">
        <v>6446</v>
      </c>
      <c r="G4442" s="149" t="s">
        <v>406</v>
      </c>
      <c r="H4442" s="150" t="str">
        <f>IF(Proc[[#This Row],[type]]="LFF (MDG-F)",MID(Proc[[#This Row],[Obj]],13,10),"")</f>
        <v>DE10YIT014</v>
      </c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MGF</v>
      </c>
      <c r="L4442" s="150" t="s">
        <v>6435</v>
      </c>
      <c r="M4442" s="165">
        <v>45965</v>
      </c>
      <c r="N4442" s="166"/>
      <c r="O4442" s="166"/>
      <c r="P4442" s="165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22</v>
      </c>
      <c r="R4442" s="165" t="s">
        <v>1459</v>
      </c>
      <c r="S4442" s="150"/>
    </row>
    <row r="4443" spans="1:19" hidden="1">
      <c r="A4443" t="s">
        <v>6750</v>
      </c>
      <c r="B4443" s="150" t="str">
        <f>IFERROR(VLOOKUP(Proc[[#This Row],[App]],Table2[],3,0),"open")</f>
        <v>ok</v>
      </c>
      <c r="C4443" s="149" t="s">
        <v>369</v>
      </c>
      <c r="D4443" t="s">
        <v>6751</v>
      </c>
      <c r="E4443" t="s">
        <v>6776</v>
      </c>
      <c r="F4443" s="150" t="s">
        <v>6776</v>
      </c>
      <c r="G4443" s="149" t="s">
        <v>406</v>
      </c>
      <c r="H4443" s="150" t="str">
        <f>IF(Proc[[#This Row],[type]]="LFF (MDG-F)",MID(Proc[[#This Row],[Obj]],13,10),"")</f>
        <v>CN01TPAZ08</v>
      </c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5">
        <v>45965</v>
      </c>
      <c r="N4443" s="166"/>
      <c r="O4443" s="166"/>
      <c r="P4443" s="165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22</v>
      </c>
      <c r="R4443" s="165" t="s">
        <v>5709</v>
      </c>
      <c r="S4443" s="150"/>
    </row>
    <row r="4444" spans="1:19" hidden="1">
      <c r="A4444" s="149" t="s">
        <v>6750</v>
      </c>
      <c r="B4444" s="150" t="str">
        <f>IFERROR(VLOOKUP(Proc[[#This Row],[App]],Table2[],3,0),"open")</f>
        <v>ok</v>
      </c>
      <c r="C4444" s="149" t="s">
        <v>369</v>
      </c>
      <c r="D4444" t="s">
        <v>6752</v>
      </c>
      <c r="E4444" t="s">
        <v>6776</v>
      </c>
      <c r="F4444" s="150" t="s">
        <v>6776</v>
      </c>
      <c r="G4444" s="149" t="s">
        <v>406</v>
      </c>
      <c r="H4444" s="150" t="str">
        <f>IF(Proc[[#This Row],[type]]="LFF (MDG-F)",MID(Proc[[#This Row],[Obj]],13,10),"")</f>
        <v>CN01OF0161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5">
        <v>45965</v>
      </c>
      <c r="N4444" s="166"/>
      <c r="O4444" s="166"/>
      <c r="P4444" s="165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22</v>
      </c>
      <c r="R4444" s="165" t="s">
        <v>5709</v>
      </c>
      <c r="S4444" s="150"/>
    </row>
    <row r="4445" spans="1:19" hidden="1">
      <c r="A4445" s="149" t="s">
        <v>6750</v>
      </c>
      <c r="B4445" s="150" t="str">
        <f>IFERROR(VLOOKUP(Proc[[#This Row],[App]],Table2[],3,0),"open")</f>
        <v>ok</v>
      </c>
      <c r="C4445" s="149" t="s">
        <v>369</v>
      </c>
      <c r="D4445" t="s">
        <v>6753</v>
      </c>
      <c r="E4445" t="s">
        <v>6776</v>
      </c>
      <c r="F4445" s="150" t="s">
        <v>6776</v>
      </c>
      <c r="G4445" s="149" t="s">
        <v>406</v>
      </c>
      <c r="H4445" s="150" t="str">
        <f>IF(Proc[[#This Row],[type]]="LFF (MDG-F)",MID(Proc[[#This Row],[Obj]],13,10),"")</f>
        <v>CN01TPAZ06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5">
        <v>45965</v>
      </c>
      <c r="N4445" s="166"/>
      <c r="O4445" s="166"/>
      <c r="P4445" s="165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22</v>
      </c>
      <c r="R4445" s="165" t="s">
        <v>5709</v>
      </c>
      <c r="S4445" s="150"/>
    </row>
    <row r="4446" spans="1:19" hidden="1">
      <c r="A4446" s="149" t="s">
        <v>6750</v>
      </c>
      <c r="B4446" s="150" t="str">
        <f>IFERROR(VLOOKUP(Proc[[#This Row],[App]],Table2[],3,0),"open")</f>
        <v>ok</v>
      </c>
      <c r="C4446" s="149" t="s">
        <v>369</v>
      </c>
      <c r="D4446" t="s">
        <v>6754</v>
      </c>
      <c r="E4446" t="s">
        <v>6776</v>
      </c>
      <c r="F4446" s="150" t="s">
        <v>6776</v>
      </c>
      <c r="G4446" s="149" t="s">
        <v>406</v>
      </c>
      <c r="H4446" s="150" t="str">
        <f>IF(Proc[[#This Row],[type]]="LFF (MDG-F)",MID(Proc[[#This Row],[Obj]],13,10),"")</f>
        <v>CN02TPZZ05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5">
        <v>45965</v>
      </c>
      <c r="N4446" s="166"/>
      <c r="O4446" s="166"/>
      <c r="P4446" s="165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22</v>
      </c>
      <c r="R4446" s="165" t="s">
        <v>5709</v>
      </c>
      <c r="S4446" s="150"/>
    </row>
    <row r="4447" spans="1:19" hidden="1">
      <c r="A4447" s="149" t="s">
        <v>6750</v>
      </c>
      <c r="B4447" s="150" t="str">
        <f>IFERROR(VLOOKUP(Proc[[#This Row],[App]],Table2[],3,0),"open")</f>
        <v>ok</v>
      </c>
      <c r="C4447" s="149" t="s">
        <v>369</v>
      </c>
      <c r="D4447" t="s">
        <v>6755</v>
      </c>
      <c r="E4447" t="s">
        <v>6776</v>
      </c>
      <c r="F4447" s="150" t="s">
        <v>6776</v>
      </c>
      <c r="G4447" s="149" t="s">
        <v>406</v>
      </c>
      <c r="H4447" s="150" t="str">
        <f>IF(Proc[[#This Row],[type]]="LFF (MDG-F)",MID(Proc[[#This Row],[Obj]],13,10),"")</f>
        <v>CN02TPZZ08</v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5">
        <v>45965</v>
      </c>
      <c r="N4447" s="166"/>
      <c r="O4447" s="166"/>
      <c r="P4447" s="165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22</v>
      </c>
      <c r="R4447" s="165" t="s">
        <v>5709</v>
      </c>
      <c r="S4447" s="150"/>
    </row>
    <row r="4448" spans="1:19" hidden="1">
      <c r="A4448" s="149" t="s">
        <v>6750</v>
      </c>
      <c r="B4448" s="150" t="str">
        <f>IFERROR(VLOOKUP(Proc[[#This Row],[App]],Table2[],3,0),"open")</f>
        <v>ok</v>
      </c>
      <c r="C4448" s="149" t="s">
        <v>369</v>
      </c>
      <c r="D4448" t="s">
        <v>6756</v>
      </c>
      <c r="E4448" t="s">
        <v>6776</v>
      </c>
      <c r="F4448" s="150" t="s">
        <v>6776</v>
      </c>
      <c r="G4448" s="149" t="s">
        <v>406</v>
      </c>
      <c r="H4448" s="150" t="str">
        <f>IF(Proc[[#This Row],[type]]="LFF (MDG-F)",MID(Proc[[#This Row],[Obj]],13,10),"")</f>
        <v>CN03TPZZ01</v>
      </c>
      <c r="I4448" s="149"/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EL</v>
      </c>
      <c r="L4448" s="150" t="s">
        <v>6435</v>
      </c>
      <c r="M4448" s="165">
        <v>45965</v>
      </c>
      <c r="N4448" s="166"/>
      <c r="O4448" s="166"/>
      <c r="P4448" s="165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22</v>
      </c>
      <c r="R4448" s="165" t="s">
        <v>5709</v>
      </c>
      <c r="S4448" s="150"/>
    </row>
    <row r="4449" spans="1:19" hidden="1">
      <c r="A4449" s="149" t="s">
        <v>6750</v>
      </c>
      <c r="B4449" s="150" t="str">
        <f>IFERROR(VLOOKUP(Proc[[#This Row],[App]],Table2[],3,0),"open")</f>
        <v>ok</v>
      </c>
      <c r="C4449" s="149" t="s">
        <v>369</v>
      </c>
      <c r="D4449" t="s">
        <v>6757</v>
      </c>
      <c r="E4449" t="s">
        <v>6776</v>
      </c>
      <c r="F4449" s="150" t="s">
        <v>6776</v>
      </c>
      <c r="G4449" s="149" t="s">
        <v>406</v>
      </c>
      <c r="H4449" s="150" t="str">
        <f>IF(Proc[[#This Row],[type]]="LFF (MDG-F)",MID(Proc[[#This Row],[Obj]],13,10),"")</f>
        <v>CN03TPZZ03</v>
      </c>
      <c r="I4449" s="149"/>
      <c r="J4449" s="150" t="b">
        <f>Proc[[#This Row],[Requested]]=Proc[[#This Row],[CurrentParent]]</f>
        <v>1</v>
      </c>
      <c r="K4449" s="150" t="str">
        <f>IF(Proc[[#This Row],[Author]]="Marcela Urrego",VLOOKUP(LEFT(Proc[[#This Row],[Requested]],1),Table3[#All],2,0),VLOOKUP(Proc[[#This Row],[Author]],Table4[],2,0))</f>
        <v>EL</v>
      </c>
      <c r="L4449" s="150" t="s">
        <v>6435</v>
      </c>
      <c r="M4449" s="165">
        <v>45965</v>
      </c>
      <c r="N4449" s="166"/>
      <c r="O4449" s="166"/>
      <c r="P4449" s="165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22</v>
      </c>
      <c r="R4449" s="165" t="s">
        <v>5709</v>
      </c>
      <c r="S4449" s="150"/>
    </row>
    <row r="4450" spans="1:19" hidden="1">
      <c r="A4450" s="149" t="s">
        <v>6750</v>
      </c>
      <c r="B4450" s="150" t="str">
        <f>IFERROR(VLOOKUP(Proc[[#This Row],[App]],Table2[],3,0),"open")</f>
        <v>ok</v>
      </c>
      <c r="C4450" s="149" t="s">
        <v>369</v>
      </c>
      <c r="D4450" t="s">
        <v>6758</v>
      </c>
      <c r="E4450" t="s">
        <v>6776</v>
      </c>
      <c r="F4450" s="150" t="s">
        <v>6776</v>
      </c>
      <c r="G4450" s="149" t="s">
        <v>406</v>
      </c>
      <c r="H4450" s="150" t="str">
        <f>IF(Proc[[#This Row],[type]]="LFF (MDG-F)",MID(Proc[[#This Row],[Obj]],13,10),"")</f>
        <v>CN02TPZZ02</v>
      </c>
      <c r="I4450" s="149"/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EL</v>
      </c>
      <c r="L4450" s="150" t="s">
        <v>6435</v>
      </c>
      <c r="M4450" s="165">
        <v>45965</v>
      </c>
      <c r="N4450" s="166"/>
      <c r="O4450" s="166"/>
      <c r="P4450" s="165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22</v>
      </c>
      <c r="R4450" s="165" t="s">
        <v>5709</v>
      </c>
      <c r="S4450" s="150"/>
    </row>
    <row r="4451" spans="1:19" hidden="1">
      <c r="A4451" s="149" t="s">
        <v>6750</v>
      </c>
      <c r="B4451" s="150" t="str">
        <f>IFERROR(VLOOKUP(Proc[[#This Row],[App]],Table2[],3,0),"open")</f>
        <v>ok</v>
      </c>
      <c r="C4451" s="149" t="s">
        <v>369</v>
      </c>
      <c r="D4451" t="s">
        <v>6759</v>
      </c>
      <c r="E4451" t="s">
        <v>6776</v>
      </c>
      <c r="F4451" s="150" t="s">
        <v>6776</v>
      </c>
      <c r="G4451" s="149" t="s">
        <v>406</v>
      </c>
      <c r="H4451" s="150" t="str">
        <f>IF(Proc[[#This Row],[type]]="LFF (MDG-F)",MID(Proc[[#This Row],[Obj]],13,10),"")</f>
        <v>CN02TQ1001</v>
      </c>
      <c r="I4451" s="149"/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EL</v>
      </c>
      <c r="L4451" s="150" t="s">
        <v>6435</v>
      </c>
      <c r="M4451" s="165">
        <v>45965</v>
      </c>
      <c r="N4451" s="166"/>
      <c r="O4451" s="166"/>
      <c r="P4451" s="165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22</v>
      </c>
      <c r="R4451" s="165" t="s">
        <v>5709</v>
      </c>
      <c r="S4451" s="150"/>
    </row>
    <row r="4452" spans="1:19" hidden="1">
      <c r="A4452" s="149" t="s">
        <v>6750</v>
      </c>
      <c r="B4452" s="150" t="str">
        <f>IFERROR(VLOOKUP(Proc[[#This Row],[App]],Table2[],3,0),"open")</f>
        <v>ok</v>
      </c>
      <c r="C4452" s="149" t="s">
        <v>369</v>
      </c>
      <c r="D4452" t="s">
        <v>6760</v>
      </c>
      <c r="E4452" t="s">
        <v>6776</v>
      </c>
      <c r="F4452" s="150" t="s">
        <v>6776</v>
      </c>
      <c r="G4452" s="149" t="s">
        <v>406</v>
      </c>
      <c r="H4452" s="150" t="str">
        <f>IF(Proc[[#This Row],[type]]="LFF (MDG-F)",MID(Proc[[#This Row],[Obj]],13,10),"")</f>
        <v>CN02TQ1002</v>
      </c>
      <c r="I4452" s="149"/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EL</v>
      </c>
      <c r="L4452" s="150" t="s">
        <v>6435</v>
      </c>
      <c r="M4452" s="165">
        <v>45965</v>
      </c>
      <c r="N4452" s="166"/>
      <c r="O4452" s="166"/>
      <c r="P4452" s="165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22</v>
      </c>
      <c r="R4452" s="165" t="s">
        <v>5709</v>
      </c>
      <c r="S4452" s="150"/>
    </row>
    <row r="4453" spans="1:19" hidden="1">
      <c r="A4453" s="149" t="s">
        <v>6750</v>
      </c>
      <c r="B4453" s="150" t="str">
        <f>IFERROR(VLOOKUP(Proc[[#This Row],[App]],Table2[],3,0),"open")</f>
        <v>ok</v>
      </c>
      <c r="C4453" s="149" t="s">
        <v>369</v>
      </c>
      <c r="D4453" t="s">
        <v>6761</v>
      </c>
      <c r="E4453" t="s">
        <v>6776</v>
      </c>
      <c r="F4453" s="150" t="s">
        <v>6776</v>
      </c>
      <c r="G4453" s="149" t="s">
        <v>406</v>
      </c>
      <c r="H4453" s="150" t="str">
        <f>IF(Proc[[#This Row],[type]]="LFF (MDG-F)",MID(Proc[[#This Row],[Obj]],13,10),"")</f>
        <v>CN02TQ1003</v>
      </c>
      <c r="I4453" s="149"/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EL</v>
      </c>
      <c r="L4453" s="150" t="s">
        <v>6435</v>
      </c>
      <c r="M4453" s="165">
        <v>45965</v>
      </c>
      <c r="N4453" s="166"/>
      <c r="O4453" s="166"/>
      <c r="P4453" s="165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22</v>
      </c>
      <c r="R4453" s="165" t="s">
        <v>5709</v>
      </c>
      <c r="S4453" s="150"/>
    </row>
    <row r="4454" spans="1:19" hidden="1">
      <c r="A4454" s="149" t="s">
        <v>6750</v>
      </c>
      <c r="B4454" s="150" t="str">
        <f>IFERROR(VLOOKUP(Proc[[#This Row],[App]],Table2[],3,0),"open")</f>
        <v>ok</v>
      </c>
      <c r="C4454" s="149" t="s">
        <v>369</v>
      </c>
      <c r="D4454" t="s">
        <v>6762</v>
      </c>
      <c r="E4454" t="s">
        <v>6776</v>
      </c>
      <c r="F4454" s="150" t="s">
        <v>6776</v>
      </c>
      <c r="G4454" s="149" t="s">
        <v>406</v>
      </c>
      <c r="H4454" s="150" t="str">
        <f>IF(Proc[[#This Row],[type]]="LFF (MDG-F)",MID(Proc[[#This Row],[Obj]],13,10),"")</f>
        <v>CN03TPZZ02</v>
      </c>
      <c r="I4454" s="149"/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EL</v>
      </c>
      <c r="L4454" s="150" t="s">
        <v>6435</v>
      </c>
      <c r="M4454" s="165">
        <v>45965</v>
      </c>
      <c r="N4454" s="166"/>
      <c r="O4454" s="166"/>
      <c r="P4454" s="165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22</v>
      </c>
      <c r="R4454" s="165" t="s">
        <v>5709</v>
      </c>
      <c r="S4454" s="150"/>
    </row>
    <row r="4455" spans="1:19" hidden="1">
      <c r="A4455" s="149" t="s">
        <v>6750</v>
      </c>
      <c r="B4455" s="150" t="str">
        <f>IFERROR(VLOOKUP(Proc[[#This Row],[App]],Table2[],3,0),"open")</f>
        <v>ok</v>
      </c>
      <c r="C4455" s="149" t="s">
        <v>369</v>
      </c>
      <c r="D4455" t="s">
        <v>6763</v>
      </c>
      <c r="E4455" t="s">
        <v>6776</v>
      </c>
      <c r="F4455" s="150" t="s">
        <v>6776</v>
      </c>
      <c r="G4455" s="149" t="s">
        <v>406</v>
      </c>
      <c r="H4455" s="150" t="str">
        <f>IF(Proc[[#This Row],[type]]="LFF (MDG-F)",MID(Proc[[#This Row],[Obj]],13,10),"")</f>
        <v>CN10DB1001</v>
      </c>
      <c r="I4455" s="149"/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EL</v>
      </c>
      <c r="L4455" s="150" t="s">
        <v>6435</v>
      </c>
      <c r="M4455" s="165">
        <v>45965</v>
      </c>
      <c r="N4455" s="166"/>
      <c r="O4455" s="166"/>
      <c r="P4455" s="165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22</v>
      </c>
      <c r="R4455" s="165" t="s">
        <v>5709</v>
      </c>
      <c r="S4455" s="150"/>
    </row>
    <row r="4456" spans="1:19" hidden="1">
      <c r="A4456" s="149" t="s">
        <v>6750</v>
      </c>
      <c r="B4456" s="150" t="str">
        <f>IFERROR(VLOOKUP(Proc[[#This Row],[App]],Table2[],3,0),"open")</f>
        <v>ok</v>
      </c>
      <c r="C4456" s="149" t="s">
        <v>369</v>
      </c>
      <c r="D4456" t="s">
        <v>6764</v>
      </c>
      <c r="E4456" t="s">
        <v>6776</v>
      </c>
      <c r="F4456" s="150" t="s">
        <v>6776</v>
      </c>
      <c r="G4456" s="149" t="s">
        <v>406</v>
      </c>
      <c r="H4456" s="150" t="str">
        <f>IF(Proc[[#This Row],[type]]="LFF (MDG-F)",MID(Proc[[#This Row],[Obj]],13,10),"")</f>
        <v>CN10DB1002</v>
      </c>
      <c r="I4456" s="149"/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EL</v>
      </c>
      <c r="L4456" s="150" t="s">
        <v>6435</v>
      </c>
      <c r="M4456" s="165">
        <v>45965</v>
      </c>
      <c r="N4456" s="166"/>
      <c r="O4456" s="166"/>
      <c r="P4456" s="165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22</v>
      </c>
      <c r="R4456" s="165" t="s">
        <v>5709</v>
      </c>
      <c r="S4456" s="150"/>
    </row>
    <row r="4457" spans="1:19" hidden="1">
      <c r="A4457" s="149" t="s">
        <v>6750</v>
      </c>
      <c r="B4457" s="150" t="str">
        <f>IFERROR(VLOOKUP(Proc[[#This Row],[App]],Table2[],3,0),"open")</f>
        <v>ok</v>
      </c>
      <c r="C4457" s="149" t="s">
        <v>369</v>
      </c>
      <c r="D4457" t="s">
        <v>6765</v>
      </c>
      <c r="E4457" t="s">
        <v>6776</v>
      </c>
      <c r="F4457" s="150" t="s">
        <v>6776</v>
      </c>
      <c r="G4457" s="149" t="s">
        <v>406</v>
      </c>
      <c r="H4457" s="150" t="str">
        <f>IF(Proc[[#This Row],[type]]="LFF (MDG-F)",MID(Proc[[#This Row],[Obj]],13,10),"")</f>
        <v>CN10DB1004</v>
      </c>
      <c r="I4457" s="149"/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EL</v>
      </c>
      <c r="L4457" s="150" t="s">
        <v>6435</v>
      </c>
      <c r="M4457" s="165">
        <v>45965</v>
      </c>
      <c r="N4457" s="166"/>
      <c r="O4457" s="166"/>
      <c r="P4457" s="165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22</v>
      </c>
      <c r="R4457" s="165" t="s">
        <v>5709</v>
      </c>
      <c r="S4457" s="150"/>
    </row>
    <row r="4458" spans="1:19" hidden="1">
      <c r="A4458" s="149" t="s">
        <v>6750</v>
      </c>
      <c r="B4458" s="150" t="str">
        <f>IFERROR(VLOOKUP(Proc[[#This Row],[App]],Table2[],3,0),"open")</f>
        <v>ok</v>
      </c>
      <c r="C4458" s="149" t="s">
        <v>369</v>
      </c>
      <c r="D4458" t="s">
        <v>6766</v>
      </c>
      <c r="E4458" t="s">
        <v>6776</v>
      </c>
      <c r="F4458" s="150" t="s">
        <v>6776</v>
      </c>
      <c r="G4458" s="149" t="s">
        <v>406</v>
      </c>
      <c r="H4458" s="150" t="str">
        <f>IF(Proc[[#This Row],[type]]="LFF (MDG-F)",MID(Proc[[#This Row],[Obj]],13,10),"")</f>
        <v>CN09DB3303</v>
      </c>
      <c r="I4458" s="149"/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EL</v>
      </c>
      <c r="L4458" s="150" t="s">
        <v>6435</v>
      </c>
      <c r="M4458" s="165">
        <v>45965</v>
      </c>
      <c r="N4458" s="166"/>
      <c r="O4458" s="166"/>
      <c r="P4458" s="165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22</v>
      </c>
      <c r="R4458" s="165" t="s">
        <v>5709</v>
      </c>
      <c r="S4458" s="150"/>
    </row>
    <row r="4459" spans="1:19" hidden="1">
      <c r="A4459" s="149" t="s">
        <v>6750</v>
      </c>
      <c r="B4459" s="150" t="str">
        <f>IFERROR(VLOOKUP(Proc[[#This Row],[App]],Table2[],3,0),"open")</f>
        <v>ok</v>
      </c>
      <c r="C4459" s="149" t="s">
        <v>369</v>
      </c>
      <c r="D4459" t="s">
        <v>6767</v>
      </c>
      <c r="E4459" t="s">
        <v>6776</v>
      </c>
      <c r="F4459" s="150" t="s">
        <v>6776</v>
      </c>
      <c r="G4459" s="149" t="s">
        <v>406</v>
      </c>
      <c r="H4459" s="150" t="str">
        <f>IF(Proc[[#This Row],[type]]="LFF (MDG-F)",MID(Proc[[#This Row],[Obj]],13,10),"")</f>
        <v>CN09DB3305</v>
      </c>
      <c r="I4459" s="149"/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EL</v>
      </c>
      <c r="L4459" s="150" t="s">
        <v>6435</v>
      </c>
      <c r="M4459" s="165">
        <v>45965</v>
      </c>
      <c r="N4459" s="166"/>
      <c r="O4459" s="166"/>
      <c r="P4459" s="165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22</v>
      </c>
      <c r="R4459" s="165" t="s">
        <v>5709</v>
      </c>
      <c r="S4459" s="150"/>
    </row>
    <row r="4460" spans="1:19" hidden="1">
      <c r="A4460" s="149" t="s">
        <v>6750</v>
      </c>
      <c r="B4460" s="150" t="str">
        <f>IFERROR(VLOOKUP(Proc[[#This Row],[App]],Table2[],3,0),"open")</f>
        <v>ok</v>
      </c>
      <c r="C4460" s="149" t="s">
        <v>369</v>
      </c>
      <c r="D4460" t="s">
        <v>6768</v>
      </c>
      <c r="E4460" t="s">
        <v>6776</v>
      </c>
      <c r="F4460" s="150" t="s">
        <v>6776</v>
      </c>
      <c r="G4460" s="149" t="s">
        <v>406</v>
      </c>
      <c r="H4460" s="150" t="str">
        <f>IF(Proc[[#This Row],[type]]="LFF (MDG-F)",MID(Proc[[#This Row],[Obj]],13,10),"")</f>
        <v>CN09TQ1001</v>
      </c>
      <c r="I4460" s="149"/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EL</v>
      </c>
      <c r="L4460" s="150" t="s">
        <v>6435</v>
      </c>
      <c r="M4460" s="165">
        <v>45965</v>
      </c>
      <c r="N4460" s="166"/>
      <c r="O4460" s="166"/>
      <c r="P4460" s="165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22</v>
      </c>
      <c r="R4460" s="165" t="s">
        <v>5709</v>
      </c>
      <c r="S4460" s="150"/>
    </row>
    <row r="4461" spans="1:19" hidden="1">
      <c r="A4461" s="149" t="s">
        <v>6750</v>
      </c>
      <c r="B4461" s="150" t="str">
        <f>IFERROR(VLOOKUP(Proc[[#This Row],[App]],Table2[],3,0),"open")</f>
        <v>ok</v>
      </c>
      <c r="C4461" s="149" t="s">
        <v>369</v>
      </c>
      <c r="D4461" t="s">
        <v>6769</v>
      </c>
      <c r="E4461" t="s">
        <v>6776</v>
      </c>
      <c r="F4461" s="150" t="s">
        <v>6776</v>
      </c>
      <c r="G4461" s="149" t="s">
        <v>406</v>
      </c>
      <c r="H4461" s="150" t="str">
        <f>IF(Proc[[#This Row],[type]]="LFF (MDG-F)",MID(Proc[[#This Row],[Obj]],13,10),"")</f>
        <v>CN09TQ1002</v>
      </c>
      <c r="I4461" s="149"/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EL</v>
      </c>
      <c r="L4461" s="150" t="s">
        <v>6435</v>
      </c>
      <c r="M4461" s="165">
        <v>45965</v>
      </c>
      <c r="N4461" s="166"/>
      <c r="O4461" s="166"/>
      <c r="P4461" s="165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22</v>
      </c>
      <c r="R4461" s="165" t="s">
        <v>5709</v>
      </c>
      <c r="S4461" s="150"/>
    </row>
    <row r="4462" spans="1:19" hidden="1">
      <c r="A4462" s="149" t="s">
        <v>6750</v>
      </c>
      <c r="B4462" s="150" t="str">
        <f>IFERROR(VLOOKUP(Proc[[#This Row],[App]],Table2[],3,0),"open")</f>
        <v>ok</v>
      </c>
      <c r="C4462" s="149" t="s">
        <v>369</v>
      </c>
      <c r="D4462" t="s">
        <v>6770</v>
      </c>
      <c r="E4462" t="s">
        <v>6776</v>
      </c>
      <c r="F4462" s="150" t="s">
        <v>6776</v>
      </c>
      <c r="G4462" s="149" t="s">
        <v>406</v>
      </c>
      <c r="H4462" s="150" t="str">
        <f>IF(Proc[[#This Row],[type]]="LFF (MDG-F)",MID(Proc[[#This Row],[Obj]],13,10),"")</f>
        <v>CN09TQ1003</v>
      </c>
      <c r="I4462" s="149"/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EL</v>
      </c>
      <c r="L4462" s="150" t="s">
        <v>6435</v>
      </c>
      <c r="M4462" s="165">
        <v>45965</v>
      </c>
      <c r="N4462" s="166"/>
      <c r="O4462" s="166"/>
      <c r="P4462" s="165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22</v>
      </c>
      <c r="R4462" s="165" t="s">
        <v>5709</v>
      </c>
      <c r="S4462" s="150"/>
    </row>
    <row r="4463" spans="1:19" hidden="1">
      <c r="A4463" s="149" t="s">
        <v>6750</v>
      </c>
      <c r="B4463" s="150" t="str">
        <f>IFERROR(VLOOKUP(Proc[[#This Row],[App]],Table2[],3,0),"open")</f>
        <v>ok</v>
      </c>
      <c r="C4463" s="149" t="s">
        <v>369</v>
      </c>
      <c r="D4463" t="s">
        <v>6771</v>
      </c>
      <c r="E4463" t="s">
        <v>6776</v>
      </c>
      <c r="F4463" s="150" t="s">
        <v>6776</v>
      </c>
      <c r="G4463" s="149" t="s">
        <v>406</v>
      </c>
      <c r="H4463" s="150" t="str">
        <f>IF(Proc[[#This Row],[type]]="LFF (MDG-F)",MID(Proc[[#This Row],[Obj]],13,10),"")</f>
        <v>CN09DB3309</v>
      </c>
      <c r="I4463" s="149"/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EL</v>
      </c>
      <c r="L4463" s="150" t="s">
        <v>6435</v>
      </c>
      <c r="M4463" s="165">
        <v>45965</v>
      </c>
      <c r="N4463" s="166"/>
      <c r="O4463" s="166"/>
      <c r="P4463" s="165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22</v>
      </c>
      <c r="R4463" s="165" t="s">
        <v>5709</v>
      </c>
      <c r="S4463" s="150"/>
    </row>
    <row r="4464" spans="1:19" hidden="1">
      <c r="A4464" s="149" t="s">
        <v>6750</v>
      </c>
      <c r="B4464" s="150" t="str">
        <f>IFERROR(VLOOKUP(Proc[[#This Row],[App]],Table2[],3,0),"open")</f>
        <v>ok</v>
      </c>
      <c r="C4464" s="149" t="s">
        <v>369</v>
      </c>
      <c r="D4464" t="s">
        <v>6772</v>
      </c>
      <c r="E4464" t="s">
        <v>6776</v>
      </c>
      <c r="F4464" s="150" t="s">
        <v>6776</v>
      </c>
      <c r="G4464" s="149" t="s">
        <v>406</v>
      </c>
      <c r="H4464" s="150" t="str">
        <f>IF(Proc[[#This Row],[type]]="LFF (MDG-F)",MID(Proc[[#This Row],[Obj]],13,10),"")</f>
        <v>CN09DB3300</v>
      </c>
      <c r="I4464" s="149"/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EL</v>
      </c>
      <c r="L4464" s="150" t="s">
        <v>6435</v>
      </c>
      <c r="M4464" s="165">
        <v>45965</v>
      </c>
      <c r="N4464" s="166"/>
      <c r="O4464" s="166"/>
      <c r="P4464" s="165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22</v>
      </c>
      <c r="R4464" s="165" t="s">
        <v>5709</v>
      </c>
      <c r="S4464" s="150"/>
    </row>
    <row r="4465" spans="1:19" hidden="1">
      <c r="A4465" s="149" t="s">
        <v>6750</v>
      </c>
      <c r="B4465" s="150" t="str">
        <f>IFERROR(VLOOKUP(Proc[[#This Row],[App]],Table2[],3,0),"open")</f>
        <v>ok</v>
      </c>
      <c r="C4465" s="149" t="s">
        <v>369</v>
      </c>
      <c r="D4465" t="s">
        <v>6773</v>
      </c>
      <c r="E4465" t="s">
        <v>6776</v>
      </c>
      <c r="F4465" s="150" t="s">
        <v>6776</v>
      </c>
      <c r="G4465" s="149" t="s">
        <v>406</v>
      </c>
      <c r="H4465" s="150" t="str">
        <f>IF(Proc[[#This Row],[type]]="LFF (MDG-F)",MID(Proc[[#This Row],[Obj]],13,10),"")</f>
        <v>CN09TM3000</v>
      </c>
      <c r="I4465" s="149"/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EL</v>
      </c>
      <c r="L4465" s="150" t="s">
        <v>6435</v>
      </c>
      <c r="M4465" s="165">
        <v>45965</v>
      </c>
      <c r="N4465" s="166"/>
      <c r="O4465" s="166"/>
      <c r="P4465" s="165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22</v>
      </c>
      <c r="R4465" s="165" t="s">
        <v>5709</v>
      </c>
      <c r="S4465" s="150"/>
    </row>
    <row r="4466" spans="1:19" hidden="1">
      <c r="A4466" s="149" t="s">
        <v>6750</v>
      </c>
      <c r="B4466" s="150" t="str">
        <f>IFERROR(VLOOKUP(Proc[[#This Row],[App]],Table2[],3,0),"open")</f>
        <v>ok</v>
      </c>
      <c r="C4466" s="149" t="s">
        <v>369</v>
      </c>
      <c r="D4466" t="s">
        <v>6774</v>
      </c>
      <c r="E4466" t="s">
        <v>6776</v>
      </c>
      <c r="F4466" s="150" t="s">
        <v>6776</v>
      </c>
      <c r="G4466" s="149" t="s">
        <v>406</v>
      </c>
      <c r="H4466" s="150" t="str">
        <f>IF(Proc[[#This Row],[type]]="LFF (MDG-F)",MID(Proc[[#This Row],[Obj]],13,10),"")</f>
        <v>CN09DB3301</v>
      </c>
      <c r="I4466" s="149"/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EL</v>
      </c>
      <c r="L4466" s="150" t="s">
        <v>6435</v>
      </c>
      <c r="M4466" s="165">
        <v>45965</v>
      </c>
      <c r="N4466" s="166"/>
      <c r="O4466" s="166"/>
      <c r="P4466" s="165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22</v>
      </c>
      <c r="R4466" s="165" t="s">
        <v>5709</v>
      </c>
      <c r="S4466" s="150"/>
    </row>
    <row r="4467" spans="1:19" hidden="1">
      <c r="A4467" s="149" t="s">
        <v>6750</v>
      </c>
      <c r="B4467" s="150" t="str">
        <f>IFERROR(VLOOKUP(Proc[[#This Row],[App]],Table2[],3,0),"open")</f>
        <v>ok</v>
      </c>
      <c r="C4467" s="149" t="s">
        <v>369</v>
      </c>
      <c r="D4467" t="s">
        <v>6775</v>
      </c>
      <c r="E4467" t="s">
        <v>6776</v>
      </c>
      <c r="F4467" s="150" t="s">
        <v>6776</v>
      </c>
      <c r="G4467" s="149" t="s">
        <v>406</v>
      </c>
      <c r="H4467" s="150" t="str">
        <f>IF(Proc[[#This Row],[type]]="LFF (MDG-F)",MID(Proc[[#This Row],[Obj]],13,10),"")</f>
        <v>CN09DB3307</v>
      </c>
      <c r="I4467" s="149"/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EL</v>
      </c>
      <c r="L4467" s="150" t="s">
        <v>6435</v>
      </c>
      <c r="M4467" s="165">
        <v>45965</v>
      </c>
      <c r="N4467" s="166"/>
      <c r="O4467" s="166"/>
      <c r="P4467" s="165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22</v>
      </c>
      <c r="R4467" s="165" t="s">
        <v>5709</v>
      </c>
      <c r="S4467" s="150"/>
    </row>
    <row r="4468" spans="1:19" hidden="1">
      <c r="A4468" t="s">
        <v>6777</v>
      </c>
      <c r="B4468" s="150" t="str">
        <f>IFERROR(VLOOKUP(Proc[[#This Row],[App]],Table2[],3,0),"open")</f>
        <v>ok</v>
      </c>
      <c r="C4468" t="s">
        <v>369</v>
      </c>
      <c r="D4468" t="s">
        <v>6778</v>
      </c>
      <c r="E4468" t="s">
        <v>6779</v>
      </c>
      <c r="F4468" s="150" t="s">
        <v>6779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HC</v>
      </c>
      <c r="L4468" s="150" t="s">
        <v>6435</v>
      </c>
      <c r="M4468" s="166">
        <v>45966</v>
      </c>
      <c r="N4468" s="166"/>
      <c r="O4468" s="166"/>
      <c r="P4468" s="167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21</v>
      </c>
      <c r="R4468" s="167" t="s">
        <v>1013</v>
      </c>
      <c r="S4468" s="150"/>
    </row>
    <row r="4469" spans="1:19" hidden="1">
      <c r="A4469" t="s">
        <v>6781</v>
      </c>
      <c r="B4469" s="150" t="str">
        <f>IFERROR(VLOOKUP(Proc[[#This Row],[App]],Table2[],3,0),"open")</f>
        <v>ok</v>
      </c>
      <c r="C4469" t="s">
        <v>369</v>
      </c>
      <c r="D4469" t="s">
        <v>6782</v>
      </c>
      <c r="E4469" t="s">
        <v>6913</v>
      </c>
      <c r="F4469" s="150" t="s">
        <v>6913</v>
      </c>
      <c r="G4469" t="s">
        <v>400</v>
      </c>
      <c r="H4469" s="150" t="str">
        <f>IF(Proc[[#This Row],[type]]="LFF (MDG-F)",MID(Proc[[#This Row],[Obj]],13,10),"")</f>
        <v/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7">
        <v>45968</v>
      </c>
      <c r="N4469" s="167"/>
      <c r="O4469" s="167"/>
      <c r="P4469" s="168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19</v>
      </c>
      <c r="R4469" s="168" t="s">
        <v>515</v>
      </c>
      <c r="S4469" s="150"/>
    </row>
    <row r="4470" spans="1:19" hidden="1">
      <c r="A4470" t="s">
        <v>6784</v>
      </c>
      <c r="B4470" s="150" t="str">
        <f>IFERROR(VLOOKUP(Proc[[#This Row],[App]],Table2[],3,0),"open")</f>
        <v>ok</v>
      </c>
      <c r="C4470" s="149" t="s">
        <v>369</v>
      </c>
      <c r="D4470" t="s">
        <v>6783</v>
      </c>
      <c r="E4470" t="s">
        <v>759</v>
      </c>
      <c r="F4470" s="150" t="s">
        <v>759</v>
      </c>
      <c r="G4470" t="s">
        <v>400</v>
      </c>
      <c r="H4470" s="150" t="str">
        <f>IF(Proc[[#This Row],[type]]="LFF (MDG-F)",MID(Proc[[#This Row],[Obj]],13,10),"")</f>
        <v/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7">
        <v>45968</v>
      </c>
      <c r="N4470" s="167"/>
      <c r="O4470" s="167"/>
      <c r="P4470" s="168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19</v>
      </c>
      <c r="R4470" s="168" t="s">
        <v>1459</v>
      </c>
      <c r="S4470" s="150"/>
    </row>
    <row r="4471" spans="1:19" hidden="1">
      <c r="A4471" t="s">
        <v>6785</v>
      </c>
      <c r="B4471" s="150" t="str">
        <f>IFERROR(VLOOKUP(Proc[[#This Row],[App]],Table2[],3,0),"open")</f>
        <v>ok</v>
      </c>
      <c r="C4471" s="149" t="s">
        <v>369</v>
      </c>
      <c r="D4471" t="s">
        <v>6786</v>
      </c>
      <c r="E4471" t="s">
        <v>6787</v>
      </c>
      <c r="F4471" s="150" t="s">
        <v>6787</v>
      </c>
      <c r="G4471" t="s">
        <v>400</v>
      </c>
      <c r="H4471" s="150" t="str">
        <f>IF(Proc[[#This Row],[type]]="LFF (MDG-F)",MID(Proc[[#This Row],[Obj]],13,10),"")</f>
        <v/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HC</v>
      </c>
      <c r="L4471" s="150" t="s">
        <v>6435</v>
      </c>
      <c r="M4471" s="167">
        <v>45968</v>
      </c>
      <c r="N4471" s="167"/>
      <c r="O4471" s="167"/>
      <c r="P4471" s="168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19</v>
      </c>
      <c r="R4471" s="168" t="s">
        <v>410</v>
      </c>
      <c r="S4471" s="150"/>
    </row>
    <row r="4472" spans="1:19" hidden="1">
      <c r="A4472" t="s">
        <v>6788</v>
      </c>
      <c r="B4472" s="150" t="str">
        <f>IFERROR(VLOOKUP(Proc[[#This Row],[App]],Table2[],3,0),"open")</f>
        <v>ok</v>
      </c>
      <c r="C4472" s="149" t="s">
        <v>369</v>
      </c>
      <c r="D4472" t="s">
        <v>6789</v>
      </c>
      <c r="E4472" t="s">
        <v>6827</v>
      </c>
      <c r="F4472" s="150" t="s">
        <v>6827</v>
      </c>
      <c r="G4472" t="s">
        <v>406</v>
      </c>
      <c r="H4472" s="150" t="str">
        <f>IF(Proc[[#This Row],[type]]="LFF (MDG-F)",MID(Proc[[#This Row],[Obj]],13,10),"")</f>
        <v>DE07Z02182</v>
      </c>
      <c r="I4472" t="s">
        <v>6827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EL</v>
      </c>
      <c r="L4472" s="150" t="s">
        <v>6435</v>
      </c>
      <c r="M4472" s="169">
        <v>45973</v>
      </c>
      <c r="N4472" s="169"/>
      <c r="O4472" s="169"/>
      <c r="P4472" s="168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16</v>
      </c>
      <c r="R4472" s="168" t="s">
        <v>5709</v>
      </c>
      <c r="S4472" s="150"/>
    </row>
    <row r="4473" spans="1:19" hidden="1">
      <c r="A4473" s="149" t="s">
        <v>6788</v>
      </c>
      <c r="B4473" s="150" t="str">
        <f>IFERROR(VLOOKUP(Proc[[#This Row],[App]],Table2[],3,0),"open")</f>
        <v>ok</v>
      </c>
      <c r="C4473" s="149" t="s">
        <v>369</v>
      </c>
      <c r="D4473" t="s">
        <v>6790</v>
      </c>
      <c r="E4473" t="s">
        <v>6827</v>
      </c>
      <c r="F4473" s="150" t="s">
        <v>6827</v>
      </c>
      <c r="G4473" s="149" t="s">
        <v>406</v>
      </c>
      <c r="H4473" s="150" t="str">
        <f>IF(Proc[[#This Row],[type]]="LFF (MDG-F)",MID(Proc[[#This Row],[Obj]],13,10),"")</f>
        <v>HK01Z02181</v>
      </c>
      <c r="I4473" s="149" t="s">
        <v>6827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EL</v>
      </c>
      <c r="L4473" s="150" t="s">
        <v>6435</v>
      </c>
      <c r="M4473" s="169">
        <v>45973</v>
      </c>
      <c r="N4473" s="169"/>
      <c r="O4473" s="169"/>
      <c r="P4473" s="168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16</v>
      </c>
      <c r="R4473" s="168" t="s">
        <v>5709</v>
      </c>
      <c r="S4473" s="150"/>
    </row>
    <row r="4474" spans="1:19" hidden="1">
      <c r="A4474" s="149" t="s">
        <v>6788</v>
      </c>
      <c r="B4474" s="150" t="str">
        <f>IFERROR(VLOOKUP(Proc[[#This Row],[App]],Table2[],3,0),"open")</f>
        <v>ok</v>
      </c>
      <c r="C4474" s="149" t="s">
        <v>369</v>
      </c>
      <c r="D4474" t="s">
        <v>6791</v>
      </c>
      <c r="E4474" t="s">
        <v>6827</v>
      </c>
      <c r="F4474" s="150" t="s">
        <v>6827</v>
      </c>
      <c r="G4474" s="149" t="s">
        <v>406</v>
      </c>
      <c r="H4474" s="150" t="str">
        <f>IF(Proc[[#This Row],[type]]="LFF (MDG-F)",MID(Proc[[#This Row],[Obj]],13,10),"")</f>
        <v>HK01Z02182</v>
      </c>
      <c r="I4474" s="149" t="s">
        <v>6827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EL</v>
      </c>
      <c r="L4474" s="150" t="s">
        <v>6435</v>
      </c>
      <c r="M4474" s="169">
        <v>45973</v>
      </c>
      <c r="N4474" s="169"/>
      <c r="O4474" s="169"/>
      <c r="P4474" s="168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16</v>
      </c>
      <c r="R4474" s="168" t="s">
        <v>5709</v>
      </c>
      <c r="S4474" s="150"/>
    </row>
    <row r="4475" spans="1:19" hidden="1">
      <c r="A4475" s="149" t="s">
        <v>6788</v>
      </c>
      <c r="B4475" s="150" t="str">
        <f>IFERROR(VLOOKUP(Proc[[#This Row],[App]],Table2[],3,0),"open")</f>
        <v>ok</v>
      </c>
      <c r="C4475" s="149" t="s">
        <v>369</v>
      </c>
      <c r="D4475" t="s">
        <v>6792</v>
      </c>
      <c r="E4475" t="s">
        <v>6827</v>
      </c>
      <c r="F4475" s="150" t="s">
        <v>6827</v>
      </c>
      <c r="G4475" s="149" t="s">
        <v>406</v>
      </c>
      <c r="H4475" s="150" t="str">
        <f>IF(Proc[[#This Row],[type]]="LFF (MDG-F)",MID(Proc[[#This Row],[Obj]],13,10),"")</f>
        <v>HK01Z02183</v>
      </c>
      <c r="I4475" s="149" t="s">
        <v>6827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EL</v>
      </c>
      <c r="L4475" s="150" t="s">
        <v>6435</v>
      </c>
      <c r="M4475" s="169">
        <v>45973</v>
      </c>
      <c r="N4475" s="169"/>
      <c r="O4475" s="169"/>
      <c r="P4475" s="168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16</v>
      </c>
      <c r="R4475" s="168" t="s">
        <v>5709</v>
      </c>
      <c r="S4475" s="150"/>
    </row>
    <row r="4476" spans="1:19" hidden="1">
      <c r="A4476" s="149" t="s">
        <v>6788</v>
      </c>
      <c r="B4476" s="150" t="str">
        <f>IFERROR(VLOOKUP(Proc[[#This Row],[App]],Table2[],3,0),"open")</f>
        <v>ok</v>
      </c>
      <c r="C4476" s="149" t="s">
        <v>369</v>
      </c>
      <c r="D4476" t="s">
        <v>6793</v>
      </c>
      <c r="E4476" t="s">
        <v>6827</v>
      </c>
      <c r="F4476" s="150" t="s">
        <v>6827</v>
      </c>
      <c r="G4476" s="149" t="s">
        <v>406</v>
      </c>
      <c r="H4476" s="150" t="str">
        <f>IF(Proc[[#This Row],[type]]="LFF (MDG-F)",MID(Proc[[#This Row],[Obj]],13,10),"")</f>
        <v>HK01Z02184</v>
      </c>
      <c r="I4476" s="149" t="s">
        <v>6827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EL</v>
      </c>
      <c r="L4476" s="150" t="s">
        <v>6435</v>
      </c>
      <c r="M4476" s="169">
        <v>45973</v>
      </c>
      <c r="N4476" s="169"/>
      <c r="O4476" s="169"/>
      <c r="P4476" s="168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16</v>
      </c>
      <c r="R4476" s="168" t="s">
        <v>5709</v>
      </c>
      <c r="S4476" s="150"/>
    </row>
    <row r="4477" spans="1:19" hidden="1">
      <c r="A4477" s="149" t="s">
        <v>6788</v>
      </c>
      <c r="B4477" s="150" t="str">
        <f>IFERROR(VLOOKUP(Proc[[#This Row],[App]],Table2[],3,0),"open")</f>
        <v>ok</v>
      </c>
      <c r="C4477" s="149" t="s">
        <v>369</v>
      </c>
      <c r="D4477" t="s">
        <v>6794</v>
      </c>
      <c r="E4477" t="s">
        <v>6827</v>
      </c>
      <c r="F4477" s="150" t="s">
        <v>6827</v>
      </c>
      <c r="G4477" s="149" t="s">
        <v>406</v>
      </c>
      <c r="H4477" s="150" t="str">
        <f>IF(Proc[[#This Row],[type]]="LFF (MDG-F)",MID(Proc[[#This Row],[Obj]],13,10),"")</f>
        <v>HK01Z02185</v>
      </c>
      <c r="I4477" s="149" t="s">
        <v>6827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EL</v>
      </c>
      <c r="L4477" s="150" t="s">
        <v>6435</v>
      </c>
      <c r="M4477" s="169">
        <v>45973</v>
      </c>
      <c r="N4477" s="169"/>
      <c r="O4477" s="169"/>
      <c r="P4477" s="168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16</v>
      </c>
      <c r="R4477" s="168" t="s">
        <v>5709</v>
      </c>
      <c r="S4477" s="150"/>
    </row>
    <row r="4478" spans="1:19" hidden="1">
      <c r="A4478" s="149" t="s">
        <v>6788</v>
      </c>
      <c r="B4478" s="150" t="str">
        <f>IFERROR(VLOOKUP(Proc[[#This Row],[App]],Table2[],3,0),"open")</f>
        <v>ok</v>
      </c>
      <c r="C4478" s="149" t="s">
        <v>369</v>
      </c>
      <c r="D4478" t="s">
        <v>6795</v>
      </c>
      <c r="E4478" t="s">
        <v>6827</v>
      </c>
      <c r="F4478" s="150" t="s">
        <v>6827</v>
      </c>
      <c r="G4478" s="149" t="s">
        <v>406</v>
      </c>
      <c r="H4478" s="150" t="str">
        <f>IF(Proc[[#This Row],[type]]="LFF (MDG-F)",MID(Proc[[#This Row],[Obj]],13,10),"")</f>
        <v>IN01Z02181</v>
      </c>
      <c r="I4478" s="149" t="s">
        <v>6827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EL</v>
      </c>
      <c r="L4478" s="150" t="s">
        <v>6435</v>
      </c>
      <c r="M4478" s="169">
        <v>45973</v>
      </c>
      <c r="N4478" s="169"/>
      <c r="O4478" s="169"/>
      <c r="P4478" s="168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16</v>
      </c>
      <c r="R4478" s="168" t="s">
        <v>5709</v>
      </c>
      <c r="S4478" s="150"/>
    </row>
    <row r="4479" spans="1:19" hidden="1">
      <c r="A4479" s="149" t="s">
        <v>6788</v>
      </c>
      <c r="B4479" s="150" t="str">
        <f>IFERROR(VLOOKUP(Proc[[#This Row],[App]],Table2[],3,0),"open")</f>
        <v>ok</v>
      </c>
      <c r="C4479" s="149" t="s">
        <v>369</v>
      </c>
      <c r="D4479" t="s">
        <v>6796</v>
      </c>
      <c r="E4479" t="s">
        <v>6827</v>
      </c>
      <c r="F4479" s="150" t="s">
        <v>6827</v>
      </c>
      <c r="G4479" s="149" t="s">
        <v>406</v>
      </c>
      <c r="H4479" s="150" t="str">
        <f>IF(Proc[[#This Row],[type]]="LFF (MDG-F)",MID(Proc[[#This Row],[Obj]],13,10),"")</f>
        <v>IN01Z02182</v>
      </c>
      <c r="I4479" s="149" t="s">
        <v>6827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EL</v>
      </c>
      <c r="L4479" s="150" t="s">
        <v>6435</v>
      </c>
      <c r="M4479" s="169">
        <v>45973</v>
      </c>
      <c r="N4479" s="169"/>
      <c r="O4479" s="169"/>
      <c r="P4479" s="168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16</v>
      </c>
      <c r="R4479" s="168" t="s">
        <v>5709</v>
      </c>
      <c r="S4479" s="150"/>
    </row>
    <row r="4480" spans="1:19" hidden="1">
      <c r="A4480" s="149" t="s">
        <v>6788</v>
      </c>
      <c r="B4480" s="150" t="str">
        <f>IFERROR(VLOOKUP(Proc[[#This Row],[App]],Table2[],3,0),"open")</f>
        <v>ok</v>
      </c>
      <c r="C4480" s="149" t="s">
        <v>369</v>
      </c>
      <c r="D4480" t="s">
        <v>6797</v>
      </c>
      <c r="E4480" t="s">
        <v>6827</v>
      </c>
      <c r="F4480" s="150" t="s">
        <v>6827</v>
      </c>
      <c r="G4480" s="149" t="s">
        <v>406</v>
      </c>
      <c r="H4480" s="150" t="str">
        <f>IF(Proc[[#This Row],[type]]="LFF (MDG-F)",MID(Proc[[#This Row],[Obj]],13,10),"")</f>
        <v>IN01Z02183</v>
      </c>
      <c r="I4480" s="149" t="s">
        <v>6827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EL</v>
      </c>
      <c r="L4480" s="150" t="s">
        <v>6435</v>
      </c>
      <c r="M4480" s="169">
        <v>45973</v>
      </c>
      <c r="N4480" s="169"/>
      <c r="O4480" s="169"/>
      <c r="P4480" s="168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16</v>
      </c>
      <c r="R4480" s="168" t="s">
        <v>5709</v>
      </c>
      <c r="S4480" s="150"/>
    </row>
    <row r="4481" spans="1:19" hidden="1">
      <c r="A4481" s="149" t="s">
        <v>6788</v>
      </c>
      <c r="B4481" s="150" t="str">
        <f>IFERROR(VLOOKUP(Proc[[#This Row],[App]],Table2[],3,0),"open")</f>
        <v>ok</v>
      </c>
      <c r="C4481" s="149" t="s">
        <v>369</v>
      </c>
      <c r="D4481" t="s">
        <v>6798</v>
      </c>
      <c r="E4481" t="s">
        <v>6827</v>
      </c>
      <c r="F4481" s="150" t="s">
        <v>6827</v>
      </c>
      <c r="G4481" s="149" t="s">
        <v>406</v>
      </c>
      <c r="H4481" s="150" t="str">
        <f>IF(Proc[[#This Row],[type]]="LFF (MDG-F)",MID(Proc[[#This Row],[Obj]],13,10),"")</f>
        <v>IN01Z02184</v>
      </c>
      <c r="I4481" s="149" t="s">
        <v>6827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EL</v>
      </c>
      <c r="L4481" s="150" t="s">
        <v>6435</v>
      </c>
      <c r="M4481" s="169">
        <v>45973</v>
      </c>
      <c r="N4481" s="169"/>
      <c r="O4481" s="169"/>
      <c r="P4481" s="168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16</v>
      </c>
      <c r="R4481" s="168" t="s">
        <v>5709</v>
      </c>
      <c r="S4481" s="150"/>
    </row>
    <row r="4482" spans="1:19" hidden="1">
      <c r="A4482" s="149" t="s">
        <v>6788</v>
      </c>
      <c r="B4482" s="150" t="str">
        <f>IFERROR(VLOOKUP(Proc[[#This Row],[App]],Table2[],3,0),"open")</f>
        <v>ok</v>
      </c>
      <c r="C4482" s="149" t="s">
        <v>369</v>
      </c>
      <c r="D4482" t="s">
        <v>6799</v>
      </c>
      <c r="E4482" t="s">
        <v>6827</v>
      </c>
      <c r="F4482" s="150" t="s">
        <v>6827</v>
      </c>
      <c r="G4482" s="149" t="s">
        <v>406</v>
      </c>
      <c r="H4482" s="150" t="str">
        <f>IF(Proc[[#This Row],[type]]="LFF (MDG-F)",MID(Proc[[#This Row],[Obj]],13,10),"")</f>
        <v>JP01Z02181</v>
      </c>
      <c r="I4482" s="149" t="s">
        <v>6827</v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EL</v>
      </c>
      <c r="L4482" s="150" t="s">
        <v>6435</v>
      </c>
      <c r="M4482" s="169">
        <v>45973</v>
      </c>
      <c r="N4482" s="169"/>
      <c r="O4482" s="169"/>
      <c r="P4482" s="168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16</v>
      </c>
      <c r="R4482" s="168" t="s">
        <v>5709</v>
      </c>
      <c r="S4482" s="150"/>
    </row>
    <row r="4483" spans="1:19" hidden="1">
      <c r="A4483" s="149" t="s">
        <v>6788</v>
      </c>
      <c r="B4483" s="150" t="str">
        <f>IFERROR(VLOOKUP(Proc[[#This Row],[App]],Table2[],3,0),"open")</f>
        <v>ok</v>
      </c>
      <c r="C4483" s="149" t="s">
        <v>369</v>
      </c>
      <c r="D4483" t="s">
        <v>6800</v>
      </c>
      <c r="E4483" t="s">
        <v>6827</v>
      </c>
      <c r="F4483" s="150" t="s">
        <v>6827</v>
      </c>
      <c r="G4483" s="149" t="s">
        <v>406</v>
      </c>
      <c r="H4483" s="150" t="str">
        <f>IF(Proc[[#This Row],[type]]="LFF (MDG-F)",MID(Proc[[#This Row],[Obj]],13,10),"")</f>
        <v>JP01Z02184</v>
      </c>
      <c r="I4483" s="149" t="s">
        <v>6827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EL</v>
      </c>
      <c r="L4483" s="150" t="s">
        <v>6435</v>
      </c>
      <c r="M4483" s="169">
        <v>45973</v>
      </c>
      <c r="N4483" s="169"/>
      <c r="O4483" s="169"/>
      <c r="P4483" s="168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16</v>
      </c>
      <c r="R4483" s="168" t="s">
        <v>5709</v>
      </c>
      <c r="S4483" s="150"/>
    </row>
    <row r="4484" spans="1:19" hidden="1">
      <c r="A4484" s="149" t="s">
        <v>6788</v>
      </c>
      <c r="B4484" s="150" t="str">
        <f>IFERROR(VLOOKUP(Proc[[#This Row],[App]],Table2[],3,0),"open")</f>
        <v>ok</v>
      </c>
      <c r="C4484" s="149" t="s">
        <v>369</v>
      </c>
      <c r="D4484" t="s">
        <v>6801</v>
      </c>
      <c r="E4484" t="s">
        <v>6827</v>
      </c>
      <c r="F4484" s="150" t="s">
        <v>6827</v>
      </c>
      <c r="G4484" s="149" t="s">
        <v>406</v>
      </c>
      <c r="H4484" s="150" t="str">
        <f>IF(Proc[[#This Row],[type]]="LFF (MDG-F)",MID(Proc[[#This Row],[Obj]],13,10),"")</f>
        <v>JP01Z02185</v>
      </c>
      <c r="I4484" s="149" t="s">
        <v>6827</v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EL</v>
      </c>
      <c r="L4484" s="150" t="s">
        <v>6435</v>
      </c>
      <c r="M4484" s="169">
        <v>45973</v>
      </c>
      <c r="N4484" s="169"/>
      <c r="O4484" s="169"/>
      <c r="P4484" s="168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16</v>
      </c>
      <c r="R4484" s="168" t="s">
        <v>5709</v>
      </c>
      <c r="S4484" s="150"/>
    </row>
    <row r="4485" spans="1:19" hidden="1">
      <c r="A4485" s="149" t="s">
        <v>6788</v>
      </c>
      <c r="B4485" s="150" t="str">
        <f>IFERROR(VLOOKUP(Proc[[#This Row],[App]],Table2[],3,0),"open")</f>
        <v>ok</v>
      </c>
      <c r="C4485" s="149" t="s">
        <v>369</v>
      </c>
      <c r="D4485" t="s">
        <v>6802</v>
      </c>
      <c r="E4485" t="s">
        <v>6827</v>
      </c>
      <c r="F4485" s="150" t="s">
        <v>6827</v>
      </c>
      <c r="G4485" s="149" t="s">
        <v>406</v>
      </c>
      <c r="H4485" s="150" t="str">
        <f>IF(Proc[[#This Row],[type]]="LFF (MDG-F)",MID(Proc[[#This Row],[Obj]],13,10),"")</f>
        <v>JP02Z02181</v>
      </c>
      <c r="I4485" s="149" t="s">
        <v>6827</v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EL</v>
      </c>
      <c r="L4485" s="150" t="s">
        <v>6435</v>
      </c>
      <c r="M4485" s="169">
        <v>45973</v>
      </c>
      <c r="N4485" s="169"/>
      <c r="O4485" s="169"/>
      <c r="P4485" s="168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16</v>
      </c>
      <c r="R4485" s="168" t="s">
        <v>5709</v>
      </c>
      <c r="S4485" s="150"/>
    </row>
    <row r="4486" spans="1:19" hidden="1">
      <c r="A4486" s="149" t="s">
        <v>6788</v>
      </c>
      <c r="B4486" s="150" t="str">
        <f>IFERROR(VLOOKUP(Proc[[#This Row],[App]],Table2[],3,0),"open")</f>
        <v>ok</v>
      </c>
      <c r="C4486" s="149" t="s">
        <v>369</v>
      </c>
      <c r="D4486" t="s">
        <v>6803</v>
      </c>
      <c r="E4486" t="s">
        <v>6827</v>
      </c>
      <c r="F4486" s="150" t="s">
        <v>6827</v>
      </c>
      <c r="G4486" s="149" t="s">
        <v>406</v>
      </c>
      <c r="H4486" s="150" t="str">
        <f>IF(Proc[[#This Row],[type]]="LFF (MDG-F)",MID(Proc[[#This Row],[Obj]],13,10),"")</f>
        <v>JP02Z02182</v>
      </c>
      <c r="I4486" s="149" t="s">
        <v>6827</v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EL</v>
      </c>
      <c r="L4486" s="150" t="s">
        <v>6435</v>
      </c>
      <c r="M4486" s="169">
        <v>45973</v>
      </c>
      <c r="N4486" s="169"/>
      <c r="O4486" s="169"/>
      <c r="P4486" s="168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16</v>
      </c>
      <c r="R4486" s="168" t="s">
        <v>5709</v>
      </c>
      <c r="S4486" s="150"/>
    </row>
    <row r="4487" spans="1:19" hidden="1">
      <c r="A4487" s="149" t="s">
        <v>6788</v>
      </c>
      <c r="B4487" s="150" t="str">
        <f>IFERROR(VLOOKUP(Proc[[#This Row],[App]],Table2[],3,0),"open")</f>
        <v>ok</v>
      </c>
      <c r="C4487" s="149" t="s">
        <v>369</v>
      </c>
      <c r="D4487" t="s">
        <v>6804</v>
      </c>
      <c r="E4487" t="s">
        <v>6827</v>
      </c>
      <c r="F4487" s="150" t="s">
        <v>6827</v>
      </c>
      <c r="G4487" s="149" t="s">
        <v>406</v>
      </c>
      <c r="H4487" s="150" t="str">
        <f>IF(Proc[[#This Row],[type]]="LFF (MDG-F)",MID(Proc[[#This Row],[Obj]],13,10),"")</f>
        <v>JP02Z02183</v>
      </c>
      <c r="I4487" s="149" t="s">
        <v>6827</v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EL</v>
      </c>
      <c r="L4487" s="150" t="s">
        <v>6435</v>
      </c>
      <c r="M4487" s="169">
        <v>45973</v>
      </c>
      <c r="N4487" s="169"/>
      <c r="O4487" s="169"/>
      <c r="P4487" s="168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16</v>
      </c>
      <c r="R4487" s="168" t="s">
        <v>5709</v>
      </c>
      <c r="S4487" s="150"/>
    </row>
    <row r="4488" spans="1:19" hidden="1">
      <c r="A4488" s="149" t="s">
        <v>6788</v>
      </c>
      <c r="B4488" s="150" t="str">
        <f>IFERROR(VLOOKUP(Proc[[#This Row],[App]],Table2[],3,0),"open")</f>
        <v>ok</v>
      </c>
      <c r="C4488" s="149" t="s">
        <v>369</v>
      </c>
      <c r="D4488" t="s">
        <v>6805</v>
      </c>
      <c r="E4488" t="s">
        <v>6827</v>
      </c>
      <c r="F4488" s="150" t="s">
        <v>6827</v>
      </c>
      <c r="G4488" s="149" t="s">
        <v>406</v>
      </c>
      <c r="H4488" s="150" t="str">
        <f>IF(Proc[[#This Row],[type]]="LFF (MDG-F)",MID(Proc[[#This Row],[Obj]],13,10),"")</f>
        <v>JP02Z02184</v>
      </c>
      <c r="I4488" s="149" t="s">
        <v>6827</v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EL</v>
      </c>
      <c r="L4488" s="150" t="s">
        <v>6435</v>
      </c>
      <c r="M4488" s="169">
        <v>45973</v>
      </c>
      <c r="N4488" s="169"/>
      <c r="O4488" s="169"/>
      <c r="P4488" s="168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16</v>
      </c>
      <c r="R4488" s="168" t="s">
        <v>5709</v>
      </c>
      <c r="S4488" s="150"/>
    </row>
    <row r="4489" spans="1:19" hidden="1">
      <c r="A4489" s="149" t="s">
        <v>6788</v>
      </c>
      <c r="B4489" s="150" t="str">
        <f>IFERROR(VLOOKUP(Proc[[#This Row],[App]],Table2[],3,0),"open")</f>
        <v>ok</v>
      </c>
      <c r="C4489" s="149" t="s">
        <v>369</v>
      </c>
      <c r="D4489" t="s">
        <v>6806</v>
      </c>
      <c r="E4489" t="s">
        <v>6827</v>
      </c>
      <c r="F4489" s="150" t="s">
        <v>6827</v>
      </c>
      <c r="G4489" s="149" t="s">
        <v>406</v>
      </c>
      <c r="H4489" s="150" t="str">
        <f>IF(Proc[[#This Row],[type]]="LFF (MDG-F)",MID(Proc[[#This Row],[Obj]],13,10),"")</f>
        <v>JP02Z02185</v>
      </c>
      <c r="I4489" s="149" t="s">
        <v>6827</v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EL</v>
      </c>
      <c r="L4489" s="150" t="s">
        <v>6435</v>
      </c>
      <c r="M4489" s="169">
        <v>45973</v>
      </c>
      <c r="N4489" s="169"/>
      <c r="O4489" s="169"/>
      <c r="P4489" s="168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16</v>
      </c>
      <c r="R4489" s="168" t="s">
        <v>5709</v>
      </c>
      <c r="S4489" s="150"/>
    </row>
    <row r="4490" spans="1:19" hidden="1">
      <c r="A4490" s="149" t="s">
        <v>6788</v>
      </c>
      <c r="B4490" s="150" t="str">
        <f>IFERROR(VLOOKUP(Proc[[#This Row],[App]],Table2[],3,0),"open")</f>
        <v>ok</v>
      </c>
      <c r="C4490" s="149" t="s">
        <v>369</v>
      </c>
      <c r="D4490" t="s">
        <v>6807</v>
      </c>
      <c r="E4490" t="s">
        <v>6827</v>
      </c>
      <c r="F4490" s="150" t="s">
        <v>6827</v>
      </c>
      <c r="G4490" s="149" t="s">
        <v>406</v>
      </c>
      <c r="H4490" s="150" t="str">
        <f>IF(Proc[[#This Row],[type]]="LFF (MDG-F)",MID(Proc[[#This Row],[Obj]],13,10),"")</f>
        <v>KR02Z02181</v>
      </c>
      <c r="I4490" s="149" t="s">
        <v>6827</v>
      </c>
      <c r="J4490" s="150" t="b">
        <f>Proc[[#This Row],[Requested]]=Proc[[#This Row],[CurrentParent]]</f>
        <v>1</v>
      </c>
      <c r="K4490" s="150" t="str">
        <f>IF(Proc[[#This Row],[Author]]="Marcela Urrego",VLOOKUP(LEFT(Proc[[#This Row],[Requested]],1),Table3[#All],2,0),VLOOKUP(Proc[[#This Row],[Author]],Table4[],2,0))</f>
        <v>EL</v>
      </c>
      <c r="L4490" s="150" t="s">
        <v>6435</v>
      </c>
      <c r="M4490" s="169">
        <v>45973</v>
      </c>
      <c r="N4490" s="169"/>
      <c r="O4490" s="169"/>
      <c r="P4490" s="168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16</v>
      </c>
      <c r="R4490" s="168" t="s">
        <v>5709</v>
      </c>
      <c r="S4490" s="150"/>
    </row>
    <row r="4491" spans="1:19" hidden="1">
      <c r="A4491" s="149" t="s">
        <v>6788</v>
      </c>
      <c r="B4491" s="150" t="str">
        <f>IFERROR(VLOOKUP(Proc[[#This Row],[App]],Table2[],3,0),"open")</f>
        <v>ok</v>
      </c>
      <c r="C4491" s="149" t="s">
        <v>369</v>
      </c>
      <c r="D4491" t="s">
        <v>6808</v>
      </c>
      <c r="E4491" t="s">
        <v>6827</v>
      </c>
      <c r="F4491" s="150" t="s">
        <v>6827</v>
      </c>
      <c r="G4491" s="149" t="s">
        <v>406</v>
      </c>
      <c r="H4491" s="150" t="str">
        <f>IF(Proc[[#This Row],[type]]="LFF (MDG-F)",MID(Proc[[#This Row],[Obj]],13,10),"")</f>
        <v>KR02Z02182</v>
      </c>
      <c r="I4491" s="149" t="s">
        <v>6827</v>
      </c>
      <c r="J4491" s="150" t="b">
        <f>Proc[[#This Row],[Requested]]=Proc[[#This Row],[CurrentParent]]</f>
        <v>1</v>
      </c>
      <c r="K4491" s="150" t="str">
        <f>IF(Proc[[#This Row],[Author]]="Marcela Urrego",VLOOKUP(LEFT(Proc[[#This Row],[Requested]],1),Table3[#All],2,0),VLOOKUP(Proc[[#This Row],[Author]],Table4[],2,0))</f>
        <v>EL</v>
      </c>
      <c r="L4491" s="150" t="s">
        <v>6435</v>
      </c>
      <c r="M4491" s="169">
        <v>45973</v>
      </c>
      <c r="N4491" s="169"/>
      <c r="O4491" s="169"/>
      <c r="P4491" s="168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16</v>
      </c>
      <c r="R4491" s="168" t="s">
        <v>5709</v>
      </c>
      <c r="S4491" s="150"/>
    </row>
    <row r="4492" spans="1:19" hidden="1">
      <c r="A4492" s="149" t="s">
        <v>6788</v>
      </c>
      <c r="B4492" s="150" t="str">
        <f>IFERROR(VLOOKUP(Proc[[#This Row],[App]],Table2[],3,0),"open")</f>
        <v>ok</v>
      </c>
      <c r="C4492" s="149" t="s">
        <v>369</v>
      </c>
      <c r="D4492" t="s">
        <v>6809</v>
      </c>
      <c r="E4492" t="s">
        <v>6827</v>
      </c>
      <c r="F4492" s="150" t="s">
        <v>6827</v>
      </c>
      <c r="G4492" s="149" t="s">
        <v>406</v>
      </c>
      <c r="H4492" s="150" t="str">
        <f>IF(Proc[[#This Row],[type]]="LFF (MDG-F)",MID(Proc[[#This Row],[Obj]],13,10),"")</f>
        <v>KR02Z02183</v>
      </c>
      <c r="I4492" s="149" t="s">
        <v>6827</v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EL</v>
      </c>
      <c r="L4492" s="150" t="s">
        <v>6435</v>
      </c>
      <c r="M4492" s="169">
        <v>45973</v>
      </c>
      <c r="N4492" s="169"/>
      <c r="O4492" s="169"/>
      <c r="P4492" s="168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16</v>
      </c>
      <c r="R4492" s="168" t="s">
        <v>5709</v>
      </c>
      <c r="S4492" s="150"/>
    </row>
    <row r="4493" spans="1:19" hidden="1">
      <c r="A4493" s="149" t="s">
        <v>6788</v>
      </c>
      <c r="B4493" s="150" t="str">
        <f>IFERROR(VLOOKUP(Proc[[#This Row],[App]],Table2[],3,0),"open")</f>
        <v>ok</v>
      </c>
      <c r="C4493" s="149" t="s">
        <v>369</v>
      </c>
      <c r="D4493" t="s">
        <v>6810</v>
      </c>
      <c r="E4493" t="s">
        <v>6827</v>
      </c>
      <c r="F4493" s="150" t="s">
        <v>6827</v>
      </c>
      <c r="G4493" s="149" t="s">
        <v>406</v>
      </c>
      <c r="H4493" s="150" t="str">
        <f>IF(Proc[[#This Row],[type]]="LFF (MDG-F)",MID(Proc[[#This Row],[Obj]],13,10),"")</f>
        <v>KR02Z02184</v>
      </c>
      <c r="I4493" s="149" t="s">
        <v>6827</v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EL</v>
      </c>
      <c r="L4493" s="150" t="s">
        <v>6435</v>
      </c>
      <c r="M4493" s="169">
        <v>45973</v>
      </c>
      <c r="N4493" s="169"/>
      <c r="O4493" s="169"/>
      <c r="P4493" s="168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16</v>
      </c>
      <c r="R4493" s="168" t="s">
        <v>5709</v>
      </c>
      <c r="S4493" s="150"/>
    </row>
    <row r="4494" spans="1:19" hidden="1">
      <c r="A4494" s="149" t="s">
        <v>6788</v>
      </c>
      <c r="B4494" s="150" t="str">
        <f>IFERROR(VLOOKUP(Proc[[#This Row],[App]],Table2[],3,0),"open")</f>
        <v>ok</v>
      </c>
      <c r="C4494" s="149" t="s">
        <v>369</v>
      </c>
      <c r="D4494" t="s">
        <v>6811</v>
      </c>
      <c r="E4494" t="s">
        <v>6827</v>
      </c>
      <c r="F4494" s="150" t="s">
        <v>6827</v>
      </c>
      <c r="G4494" s="149" t="s">
        <v>406</v>
      </c>
      <c r="H4494" s="150" t="str">
        <f>IF(Proc[[#This Row],[type]]="LFF (MDG-F)",MID(Proc[[#This Row],[Obj]],13,10),"")</f>
        <v>SG09Z02181</v>
      </c>
      <c r="I4494" s="149" t="s">
        <v>6827</v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EL</v>
      </c>
      <c r="L4494" s="150" t="s">
        <v>6435</v>
      </c>
      <c r="M4494" s="169">
        <v>45973</v>
      </c>
      <c r="N4494" s="169"/>
      <c r="O4494" s="169"/>
      <c r="P4494" s="168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16</v>
      </c>
      <c r="R4494" s="168" t="s">
        <v>5709</v>
      </c>
      <c r="S4494" s="150"/>
    </row>
    <row r="4495" spans="1:19" hidden="1">
      <c r="A4495" s="149" t="s">
        <v>6788</v>
      </c>
      <c r="B4495" s="150" t="str">
        <f>IFERROR(VLOOKUP(Proc[[#This Row],[App]],Table2[],3,0),"open")</f>
        <v>ok</v>
      </c>
      <c r="C4495" s="149" t="s">
        <v>369</v>
      </c>
      <c r="D4495" t="s">
        <v>6812</v>
      </c>
      <c r="E4495" t="s">
        <v>6827</v>
      </c>
      <c r="F4495" s="150" t="s">
        <v>6827</v>
      </c>
      <c r="G4495" s="149" t="s">
        <v>406</v>
      </c>
      <c r="H4495" s="150" t="str">
        <f>IF(Proc[[#This Row],[type]]="LFF (MDG-F)",MID(Proc[[#This Row],[Obj]],13,10),"")</f>
        <v>SG09Z02182</v>
      </c>
      <c r="I4495" s="149" t="s">
        <v>6827</v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EL</v>
      </c>
      <c r="L4495" s="150" t="s">
        <v>6435</v>
      </c>
      <c r="M4495" s="169">
        <v>45973</v>
      </c>
      <c r="N4495" s="169"/>
      <c r="O4495" s="169"/>
      <c r="P4495" s="168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16</v>
      </c>
      <c r="R4495" s="168" t="s">
        <v>5709</v>
      </c>
      <c r="S4495" s="150"/>
    </row>
    <row r="4496" spans="1:19" hidden="1">
      <c r="A4496" s="149" t="s">
        <v>6788</v>
      </c>
      <c r="B4496" s="150" t="str">
        <f>IFERROR(VLOOKUP(Proc[[#This Row],[App]],Table2[],3,0),"open")</f>
        <v>ok</v>
      </c>
      <c r="C4496" s="149" t="s">
        <v>369</v>
      </c>
      <c r="D4496" t="s">
        <v>6813</v>
      </c>
      <c r="E4496" t="s">
        <v>6827</v>
      </c>
      <c r="F4496" s="150" t="s">
        <v>6827</v>
      </c>
      <c r="G4496" s="149" t="s">
        <v>406</v>
      </c>
      <c r="H4496" s="150" t="str">
        <f>IF(Proc[[#This Row],[type]]="LFF (MDG-F)",MID(Proc[[#This Row],[Obj]],13,10),"")</f>
        <v>SG09Z02183</v>
      </c>
      <c r="I4496" s="149" t="s">
        <v>6827</v>
      </c>
      <c r="J4496" s="150" t="b">
        <f>Proc[[#This Row],[Requested]]=Proc[[#This Row],[CurrentParent]]</f>
        <v>1</v>
      </c>
      <c r="K4496" s="150" t="str">
        <f>IF(Proc[[#This Row],[Author]]="Marcela Urrego",VLOOKUP(LEFT(Proc[[#This Row],[Requested]],1),Table3[#All],2,0),VLOOKUP(Proc[[#This Row],[Author]],Table4[],2,0))</f>
        <v>EL</v>
      </c>
      <c r="L4496" s="150" t="s">
        <v>6435</v>
      </c>
      <c r="M4496" s="169">
        <v>45973</v>
      </c>
      <c r="N4496" s="169"/>
      <c r="O4496" s="169"/>
      <c r="P4496" s="168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16</v>
      </c>
      <c r="R4496" s="168" t="s">
        <v>5709</v>
      </c>
      <c r="S4496" s="150"/>
    </row>
    <row r="4497" spans="1:19" hidden="1">
      <c r="A4497" s="149" t="s">
        <v>6788</v>
      </c>
      <c r="B4497" s="150" t="str">
        <f>IFERROR(VLOOKUP(Proc[[#This Row],[App]],Table2[],3,0),"open")</f>
        <v>ok</v>
      </c>
      <c r="C4497" s="149" t="s">
        <v>369</v>
      </c>
      <c r="D4497" t="s">
        <v>6814</v>
      </c>
      <c r="E4497" t="s">
        <v>6827</v>
      </c>
      <c r="F4497" s="150" t="s">
        <v>6827</v>
      </c>
      <c r="G4497" s="149" t="s">
        <v>406</v>
      </c>
      <c r="H4497" s="150" t="str">
        <f>IF(Proc[[#This Row],[type]]="LFF (MDG-F)",MID(Proc[[#This Row],[Obj]],13,10),"")</f>
        <v>SG09Z02184</v>
      </c>
      <c r="I4497" s="149" t="s">
        <v>6827</v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EL</v>
      </c>
      <c r="L4497" s="150" t="s">
        <v>6435</v>
      </c>
      <c r="M4497" s="169">
        <v>45973</v>
      </c>
      <c r="N4497" s="169"/>
      <c r="O4497" s="169"/>
      <c r="P4497" s="168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16</v>
      </c>
      <c r="R4497" s="168" t="s">
        <v>5709</v>
      </c>
      <c r="S4497" s="150"/>
    </row>
    <row r="4498" spans="1:19" hidden="1">
      <c r="A4498" s="149" t="s">
        <v>6788</v>
      </c>
      <c r="B4498" s="150" t="str">
        <f>IFERROR(VLOOKUP(Proc[[#This Row],[App]],Table2[],3,0),"open")</f>
        <v>ok</v>
      </c>
      <c r="C4498" s="149" t="s">
        <v>369</v>
      </c>
      <c r="D4498" t="s">
        <v>6815</v>
      </c>
      <c r="E4498" t="s">
        <v>6827</v>
      </c>
      <c r="F4498" s="150" t="s">
        <v>6827</v>
      </c>
      <c r="G4498" s="149" t="s">
        <v>406</v>
      </c>
      <c r="H4498" s="150" t="str">
        <f>IF(Proc[[#This Row],[type]]="LFF (MDG-F)",MID(Proc[[#This Row],[Obj]],13,10),"")</f>
        <v>TW02Z02183</v>
      </c>
      <c r="I4498" s="149" t="s">
        <v>6827</v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EL</v>
      </c>
      <c r="L4498" s="150" t="s">
        <v>6435</v>
      </c>
      <c r="M4498" s="169">
        <v>45973</v>
      </c>
      <c r="N4498" s="169"/>
      <c r="O4498" s="169"/>
      <c r="P4498" s="168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16</v>
      </c>
      <c r="R4498" s="168" t="s">
        <v>5709</v>
      </c>
      <c r="S4498" s="150"/>
    </row>
    <row r="4499" spans="1:19" hidden="1">
      <c r="A4499" s="149" t="s">
        <v>6788</v>
      </c>
      <c r="B4499" s="150" t="str">
        <f>IFERROR(VLOOKUP(Proc[[#This Row],[App]],Table2[],3,0),"open")</f>
        <v>ok</v>
      </c>
      <c r="C4499" s="149" t="s">
        <v>369</v>
      </c>
      <c r="D4499" t="s">
        <v>6816</v>
      </c>
      <c r="E4499" t="s">
        <v>6827</v>
      </c>
      <c r="F4499" s="150" t="s">
        <v>6827</v>
      </c>
      <c r="G4499" s="149" t="s">
        <v>406</v>
      </c>
      <c r="H4499" s="150" t="str">
        <f>IF(Proc[[#This Row],[type]]="LFF (MDG-F)",MID(Proc[[#This Row],[Obj]],13,10),"")</f>
        <v>TW02Z02184</v>
      </c>
      <c r="I4499" s="149" t="s">
        <v>6827</v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EL</v>
      </c>
      <c r="L4499" s="150" t="s">
        <v>6435</v>
      </c>
      <c r="M4499" s="169">
        <v>45973</v>
      </c>
      <c r="N4499" s="169"/>
      <c r="O4499" s="169"/>
      <c r="P4499" s="168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16</v>
      </c>
      <c r="R4499" s="168" t="s">
        <v>5709</v>
      </c>
      <c r="S4499" s="150"/>
    </row>
    <row r="4500" spans="1:19" hidden="1">
      <c r="A4500" s="149" t="s">
        <v>6788</v>
      </c>
      <c r="B4500" s="150" t="str">
        <f>IFERROR(VLOOKUP(Proc[[#This Row],[App]],Table2[],3,0),"open")</f>
        <v>ok</v>
      </c>
      <c r="C4500" s="149" t="s">
        <v>369</v>
      </c>
      <c r="D4500" t="s">
        <v>6817</v>
      </c>
      <c r="E4500" t="s">
        <v>6827</v>
      </c>
      <c r="F4500" s="150" t="s">
        <v>6827</v>
      </c>
      <c r="G4500" s="149" t="s">
        <v>406</v>
      </c>
      <c r="H4500" s="150" t="str">
        <f>IF(Proc[[#This Row],[type]]="LFF (MDG-F)",MID(Proc[[#This Row],[Obj]],13,10),"")</f>
        <v>TW03Z02184</v>
      </c>
      <c r="I4500" s="149" t="s">
        <v>6827</v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EL</v>
      </c>
      <c r="L4500" s="150" t="s">
        <v>6435</v>
      </c>
      <c r="M4500" s="169">
        <v>45973</v>
      </c>
      <c r="N4500" s="169"/>
      <c r="O4500" s="169"/>
      <c r="P4500" s="168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16</v>
      </c>
      <c r="R4500" s="168" t="s">
        <v>5709</v>
      </c>
      <c r="S4500" s="150"/>
    </row>
    <row r="4501" spans="1:19" hidden="1">
      <c r="A4501" s="149" t="s">
        <v>6788</v>
      </c>
      <c r="B4501" s="150" t="str">
        <f>IFERROR(VLOOKUP(Proc[[#This Row],[App]],Table2[],3,0),"open")</f>
        <v>ok</v>
      </c>
      <c r="C4501" s="149" t="s">
        <v>369</v>
      </c>
      <c r="D4501" t="s">
        <v>6818</v>
      </c>
      <c r="E4501" t="s">
        <v>6827</v>
      </c>
      <c r="F4501" s="150" t="s">
        <v>6827</v>
      </c>
      <c r="G4501" s="149" t="s">
        <v>406</v>
      </c>
      <c r="H4501" s="150" t="str">
        <f>IF(Proc[[#This Row],[type]]="LFF (MDG-F)",MID(Proc[[#This Row],[Obj]],13,10),"")</f>
        <v>KR03Z02181</v>
      </c>
      <c r="I4501" s="149" t="s">
        <v>6827</v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EL</v>
      </c>
      <c r="L4501" s="150" t="s">
        <v>6435</v>
      </c>
      <c r="M4501" s="169">
        <v>45973</v>
      </c>
      <c r="N4501" s="169"/>
      <c r="O4501" s="169"/>
      <c r="P4501" s="168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16</v>
      </c>
      <c r="R4501" s="168" t="s">
        <v>5709</v>
      </c>
      <c r="S4501" s="150"/>
    </row>
    <row r="4502" spans="1:19" hidden="1">
      <c r="A4502" s="149" t="s">
        <v>6788</v>
      </c>
      <c r="B4502" s="150" t="str">
        <f>IFERROR(VLOOKUP(Proc[[#This Row],[App]],Table2[],3,0),"open")</f>
        <v>ok</v>
      </c>
      <c r="C4502" s="149" t="s">
        <v>369</v>
      </c>
      <c r="D4502" t="s">
        <v>6819</v>
      </c>
      <c r="E4502" t="s">
        <v>6827</v>
      </c>
      <c r="F4502" s="150" t="s">
        <v>6827</v>
      </c>
      <c r="G4502" s="149" t="s">
        <v>406</v>
      </c>
      <c r="H4502" s="150" t="str">
        <f>IF(Proc[[#This Row],[type]]="LFF (MDG-F)",MID(Proc[[#This Row],[Obj]],13,10),"")</f>
        <v>KR03Z02182</v>
      </c>
      <c r="I4502" s="149" t="s">
        <v>6827</v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EL</v>
      </c>
      <c r="L4502" s="150" t="s">
        <v>6435</v>
      </c>
      <c r="M4502" s="169">
        <v>45973</v>
      </c>
      <c r="N4502" s="169"/>
      <c r="O4502" s="169"/>
      <c r="P4502" s="168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16</v>
      </c>
      <c r="R4502" s="168" t="s">
        <v>5709</v>
      </c>
      <c r="S4502" s="150"/>
    </row>
    <row r="4503" spans="1:19" hidden="1">
      <c r="A4503" s="149" t="s">
        <v>6788</v>
      </c>
      <c r="B4503" s="150" t="str">
        <f>IFERROR(VLOOKUP(Proc[[#This Row],[App]],Table2[],3,0),"open")</f>
        <v>ok</v>
      </c>
      <c r="C4503" s="149" t="s">
        <v>369</v>
      </c>
      <c r="D4503" t="s">
        <v>6820</v>
      </c>
      <c r="E4503" t="s">
        <v>6827</v>
      </c>
      <c r="F4503" s="150" t="s">
        <v>6827</v>
      </c>
      <c r="G4503" s="149" t="s">
        <v>406</v>
      </c>
      <c r="H4503" s="150" t="str">
        <f>IF(Proc[[#This Row],[type]]="LFF (MDG-F)",MID(Proc[[#This Row],[Obj]],13,10),"")</f>
        <v>KR03Z02183</v>
      </c>
      <c r="I4503" s="149" t="s">
        <v>6827</v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EL</v>
      </c>
      <c r="L4503" s="150" t="s">
        <v>6435</v>
      </c>
      <c r="M4503" s="169">
        <v>45973</v>
      </c>
      <c r="N4503" s="169"/>
      <c r="O4503" s="169"/>
      <c r="P4503" s="168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16</v>
      </c>
      <c r="R4503" s="168" t="s">
        <v>5709</v>
      </c>
      <c r="S4503" s="150"/>
    </row>
    <row r="4504" spans="1:19" hidden="1">
      <c r="A4504" s="149" t="s">
        <v>6788</v>
      </c>
      <c r="B4504" s="150" t="str">
        <f>IFERROR(VLOOKUP(Proc[[#This Row],[App]],Table2[],3,0),"open")</f>
        <v>ok</v>
      </c>
      <c r="C4504" s="149" t="s">
        <v>369</v>
      </c>
      <c r="D4504" t="s">
        <v>6821</v>
      </c>
      <c r="E4504" t="s">
        <v>6827</v>
      </c>
      <c r="F4504" s="150" t="s">
        <v>6827</v>
      </c>
      <c r="G4504" s="149" t="s">
        <v>406</v>
      </c>
      <c r="H4504" s="150" t="str">
        <f>IF(Proc[[#This Row],[type]]="LFF (MDG-F)",MID(Proc[[#This Row],[Obj]],13,10),"")</f>
        <v>KR03Z02184</v>
      </c>
      <c r="I4504" s="149" t="s">
        <v>6827</v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EL</v>
      </c>
      <c r="L4504" s="150" t="s">
        <v>6435</v>
      </c>
      <c r="M4504" s="169">
        <v>45973</v>
      </c>
      <c r="N4504" s="169"/>
      <c r="O4504" s="169"/>
      <c r="P4504" s="168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16</v>
      </c>
      <c r="R4504" s="168" t="s">
        <v>5709</v>
      </c>
      <c r="S4504" s="150"/>
    </row>
    <row r="4505" spans="1:19" hidden="1">
      <c r="A4505" s="149" t="s">
        <v>6788</v>
      </c>
      <c r="B4505" s="150" t="str">
        <f>IFERROR(VLOOKUP(Proc[[#This Row],[App]],Table2[],3,0),"open")</f>
        <v>ok</v>
      </c>
      <c r="C4505" s="149" t="s">
        <v>369</v>
      </c>
      <c r="D4505" t="s">
        <v>6822</v>
      </c>
      <c r="E4505" t="s">
        <v>6828</v>
      </c>
      <c r="F4505" s="150" t="s">
        <v>6828</v>
      </c>
      <c r="G4505" s="149" t="s">
        <v>406</v>
      </c>
      <c r="H4505" s="150" t="str">
        <f>IF(Proc[[#This Row],[type]]="LFF (MDG-F)",MID(Proc[[#This Row],[Obj]],13,10),"")</f>
        <v>CN01OF0083</v>
      </c>
      <c r="I4505" s="149" t="s">
        <v>6828</v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EL</v>
      </c>
      <c r="L4505" s="150" t="s">
        <v>6435</v>
      </c>
      <c r="M4505" s="169">
        <v>45973</v>
      </c>
      <c r="N4505" s="169"/>
      <c r="O4505" s="169"/>
      <c r="P4505" s="168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16</v>
      </c>
      <c r="R4505" s="168" t="s">
        <v>5709</v>
      </c>
      <c r="S4505" s="150"/>
    </row>
    <row r="4506" spans="1:19" hidden="1">
      <c r="A4506" s="149" t="s">
        <v>6788</v>
      </c>
      <c r="B4506" s="150" t="str">
        <f>IFERROR(VLOOKUP(Proc[[#This Row],[App]],Table2[],3,0),"open")</f>
        <v>ok</v>
      </c>
      <c r="C4506" s="149" t="s">
        <v>369</v>
      </c>
      <c r="D4506" t="s">
        <v>6823</v>
      </c>
      <c r="E4506" t="s">
        <v>6828</v>
      </c>
      <c r="F4506" s="150" t="s">
        <v>6828</v>
      </c>
      <c r="G4506" s="149" t="s">
        <v>406</v>
      </c>
      <c r="H4506" s="150" t="str">
        <f>IF(Proc[[#This Row],[type]]="LFF (MDG-F)",MID(Proc[[#This Row],[Obj]],13,10),"")</f>
        <v>US01OF0103</v>
      </c>
      <c r="I4506" s="149" t="s">
        <v>6828</v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EL</v>
      </c>
      <c r="L4506" s="150" t="s">
        <v>6435</v>
      </c>
      <c r="M4506" s="169">
        <v>45973</v>
      </c>
      <c r="N4506" s="169"/>
      <c r="O4506" s="169"/>
      <c r="P4506" s="168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16</v>
      </c>
      <c r="R4506" s="168" t="s">
        <v>5709</v>
      </c>
      <c r="S4506" s="150"/>
    </row>
    <row r="4507" spans="1:19" hidden="1">
      <c r="A4507" s="149" t="s">
        <v>6788</v>
      </c>
      <c r="B4507" s="150" t="str">
        <f>IFERROR(VLOOKUP(Proc[[#This Row],[App]],Table2[],3,0),"open")</f>
        <v>ok</v>
      </c>
      <c r="C4507" s="149" t="s">
        <v>369</v>
      </c>
      <c r="D4507" t="s">
        <v>6824</v>
      </c>
      <c r="E4507" t="s">
        <v>6828</v>
      </c>
      <c r="F4507" s="150" t="s">
        <v>6828</v>
      </c>
      <c r="G4507" s="149" t="s">
        <v>406</v>
      </c>
      <c r="H4507" s="150" t="str">
        <f>IF(Proc[[#This Row],[type]]="LFF (MDG-F)",MID(Proc[[#This Row],[Obj]],13,10),"")</f>
        <v>KR03L80000</v>
      </c>
      <c r="I4507" s="149" t="s">
        <v>6828</v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EL</v>
      </c>
      <c r="L4507" s="150" t="s">
        <v>6435</v>
      </c>
      <c r="M4507" s="169">
        <v>45973</v>
      </c>
      <c r="N4507" s="169"/>
      <c r="O4507" s="169"/>
      <c r="P4507" s="168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16</v>
      </c>
      <c r="R4507" s="168" t="s">
        <v>5709</v>
      </c>
      <c r="S4507" s="150"/>
    </row>
    <row r="4508" spans="1:19" hidden="1">
      <c r="A4508" s="149" t="s">
        <v>6788</v>
      </c>
      <c r="B4508" s="150" t="str">
        <f>IFERROR(VLOOKUP(Proc[[#This Row],[App]],Table2[],3,0),"open")</f>
        <v>ok</v>
      </c>
      <c r="C4508" s="149" t="s">
        <v>369</v>
      </c>
      <c r="D4508" t="s">
        <v>6825</v>
      </c>
      <c r="E4508" t="s">
        <v>6828</v>
      </c>
      <c r="F4508" s="150" t="s">
        <v>6828</v>
      </c>
      <c r="G4508" s="149" t="s">
        <v>406</v>
      </c>
      <c r="H4508" s="150" t="str">
        <f>IF(Proc[[#This Row],[type]]="LFF (MDG-F)",MID(Proc[[#This Row],[Obj]],13,10),"")</f>
        <v>TW10OF6016</v>
      </c>
      <c r="I4508" s="149" t="s">
        <v>6828</v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EL</v>
      </c>
      <c r="L4508" s="150" t="s">
        <v>6435</v>
      </c>
      <c r="M4508" s="169">
        <v>45973</v>
      </c>
      <c r="N4508" s="169"/>
      <c r="O4508" s="169"/>
      <c r="P4508" s="168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16</v>
      </c>
      <c r="R4508" s="168" t="s">
        <v>5709</v>
      </c>
      <c r="S4508" s="150"/>
    </row>
    <row r="4509" spans="1:19" hidden="1">
      <c r="A4509" s="149" t="s">
        <v>6788</v>
      </c>
      <c r="B4509" s="150" t="str">
        <f>IFERROR(VLOOKUP(Proc[[#This Row],[App]],Table2[],3,0),"open")</f>
        <v>ok</v>
      </c>
      <c r="C4509" s="149" t="s">
        <v>369</v>
      </c>
      <c r="D4509" t="s">
        <v>6826</v>
      </c>
      <c r="E4509" t="s">
        <v>6828</v>
      </c>
      <c r="F4509" s="150" t="s">
        <v>6828</v>
      </c>
      <c r="G4509" s="149" t="s">
        <v>406</v>
      </c>
      <c r="H4509" s="150" t="str">
        <f>IF(Proc[[#This Row],[type]]="LFF (MDG-F)",MID(Proc[[#This Row],[Obj]],13,10),"")</f>
        <v>US10OF6070</v>
      </c>
      <c r="I4509" s="149" t="s">
        <v>6828</v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EL</v>
      </c>
      <c r="L4509" s="150" t="s">
        <v>6435</v>
      </c>
      <c r="M4509" s="169">
        <v>45973</v>
      </c>
      <c r="N4509" s="169"/>
      <c r="O4509" s="169"/>
      <c r="P4509" s="168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16</v>
      </c>
      <c r="R4509" s="168" t="s">
        <v>5709</v>
      </c>
      <c r="S4509" s="150"/>
    </row>
    <row r="4510" spans="1:19" hidden="1">
      <c r="A4510" t="s">
        <v>6853</v>
      </c>
      <c r="B4510" s="150" t="str">
        <f>IFERROR(VLOOKUP(Proc[[#This Row],[App]],Table2[],3,0),"open")</f>
        <v>ok</v>
      </c>
      <c r="C4510" s="149" t="s">
        <v>369</v>
      </c>
      <c r="D4510" t="s">
        <v>6829</v>
      </c>
      <c r="E4510" t="s">
        <v>2200</v>
      </c>
      <c r="F4510" s="150" t="s">
        <v>2200</v>
      </c>
      <c r="G4510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LS</v>
      </c>
      <c r="L4510" s="150" t="s">
        <v>6435</v>
      </c>
      <c r="M4510" s="169">
        <v>45973</v>
      </c>
      <c r="N4510" s="169"/>
      <c r="O4510" s="169"/>
      <c r="P4510" s="168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16</v>
      </c>
      <c r="R4510" s="168" t="s">
        <v>489</v>
      </c>
      <c r="S4510" s="150"/>
    </row>
    <row r="4511" spans="1:19" hidden="1">
      <c r="A4511" s="149" t="s">
        <v>6853</v>
      </c>
      <c r="B4511" s="150" t="str">
        <f>IFERROR(VLOOKUP(Proc[[#This Row],[App]],Table2[],3,0),"open")</f>
        <v>ok</v>
      </c>
      <c r="C4511" s="149" t="s">
        <v>369</v>
      </c>
      <c r="D4511" t="s">
        <v>6830</v>
      </c>
      <c r="E4511" t="s">
        <v>2206</v>
      </c>
      <c r="F4511" s="150" t="s">
        <v>2206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LS</v>
      </c>
      <c r="L4511" s="150" t="s">
        <v>6435</v>
      </c>
      <c r="M4511" s="169">
        <v>45973</v>
      </c>
      <c r="N4511" s="169"/>
      <c r="O4511" s="169"/>
      <c r="P4511" s="168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16</v>
      </c>
      <c r="R4511" s="168" t="s">
        <v>489</v>
      </c>
      <c r="S4511" s="150"/>
    </row>
    <row r="4512" spans="1:19" hidden="1">
      <c r="A4512" s="149" t="s">
        <v>6853</v>
      </c>
      <c r="B4512" s="150" t="str">
        <f>IFERROR(VLOOKUP(Proc[[#This Row],[App]],Table2[],3,0),"open")</f>
        <v>ok</v>
      </c>
      <c r="C4512" s="149" t="s">
        <v>369</v>
      </c>
      <c r="D4512" t="s">
        <v>6831</v>
      </c>
      <c r="E4512" t="s">
        <v>2206</v>
      </c>
      <c r="F4512" s="150" t="s">
        <v>2206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LS</v>
      </c>
      <c r="L4512" s="150" t="s">
        <v>6435</v>
      </c>
      <c r="M4512" s="169">
        <v>45973</v>
      </c>
      <c r="N4512" s="169"/>
      <c r="O4512" s="169"/>
      <c r="P4512" s="168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16</v>
      </c>
      <c r="R4512" s="168" t="s">
        <v>489</v>
      </c>
      <c r="S4512" s="150"/>
    </row>
    <row r="4513" spans="1:19" hidden="1">
      <c r="A4513" s="149" t="s">
        <v>6853</v>
      </c>
      <c r="B4513" s="150" t="str">
        <f>IFERROR(VLOOKUP(Proc[[#This Row],[App]],Table2[],3,0),"open")</f>
        <v>ok</v>
      </c>
      <c r="C4513" s="149" t="s">
        <v>369</v>
      </c>
      <c r="D4513" t="s">
        <v>6832</v>
      </c>
      <c r="E4513" t="s">
        <v>2206</v>
      </c>
      <c r="F4513" s="150" t="s">
        <v>2206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LS</v>
      </c>
      <c r="L4513" s="150" t="s">
        <v>6435</v>
      </c>
      <c r="M4513" s="169">
        <v>45973</v>
      </c>
      <c r="N4513" s="169"/>
      <c r="O4513" s="169"/>
      <c r="P4513" s="168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16</v>
      </c>
      <c r="R4513" s="168" t="s">
        <v>489</v>
      </c>
      <c r="S4513" s="150"/>
    </row>
    <row r="4514" spans="1:19" hidden="1">
      <c r="A4514" s="149" t="s">
        <v>6853</v>
      </c>
      <c r="B4514" s="150" t="str">
        <f>IFERROR(VLOOKUP(Proc[[#This Row],[App]],Table2[],3,0),"open")</f>
        <v>ok</v>
      </c>
      <c r="C4514" s="149" t="s">
        <v>369</v>
      </c>
      <c r="D4514" t="s">
        <v>6833</v>
      </c>
      <c r="E4514" t="s">
        <v>2206</v>
      </c>
      <c r="F4514" s="150" t="s">
        <v>2206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LS</v>
      </c>
      <c r="L4514" s="150" t="s">
        <v>6435</v>
      </c>
      <c r="M4514" s="169">
        <v>45973</v>
      </c>
      <c r="N4514" s="169"/>
      <c r="O4514" s="169"/>
      <c r="P4514" s="168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16</v>
      </c>
      <c r="R4514" s="168" t="s">
        <v>489</v>
      </c>
      <c r="S4514" s="150"/>
    </row>
    <row r="4515" spans="1:19" hidden="1">
      <c r="A4515" s="149" t="s">
        <v>6853</v>
      </c>
      <c r="B4515" s="150" t="str">
        <f>IFERROR(VLOOKUP(Proc[[#This Row],[App]],Table2[],3,0),"open")</f>
        <v>ok</v>
      </c>
      <c r="C4515" s="149" t="s">
        <v>369</v>
      </c>
      <c r="D4515" t="s">
        <v>6834</v>
      </c>
      <c r="E4515" t="s">
        <v>2205</v>
      </c>
      <c r="F4515" s="150" t="s">
        <v>2205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LS</v>
      </c>
      <c r="L4515" s="150" t="s">
        <v>6435</v>
      </c>
      <c r="M4515" s="169">
        <v>45973</v>
      </c>
      <c r="N4515" s="169"/>
      <c r="O4515" s="169"/>
      <c r="P4515" s="168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16</v>
      </c>
      <c r="R4515" s="168" t="s">
        <v>489</v>
      </c>
      <c r="S4515" s="150"/>
    </row>
    <row r="4516" spans="1:19" hidden="1">
      <c r="A4516" s="149" t="s">
        <v>6853</v>
      </c>
      <c r="B4516" s="150" t="str">
        <f>IFERROR(VLOOKUP(Proc[[#This Row],[App]],Table2[],3,0),"open")</f>
        <v>ok</v>
      </c>
      <c r="C4516" s="149" t="s">
        <v>369</v>
      </c>
      <c r="D4516" t="s">
        <v>6835</v>
      </c>
      <c r="E4516" t="s">
        <v>2368</v>
      </c>
      <c r="F4516" s="150" t="s">
        <v>2368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LS</v>
      </c>
      <c r="L4516" s="150" t="s">
        <v>6435</v>
      </c>
      <c r="M4516" s="169">
        <v>45973</v>
      </c>
      <c r="N4516" s="169"/>
      <c r="O4516" s="169"/>
      <c r="P4516" s="168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16</v>
      </c>
      <c r="R4516" s="168" t="s">
        <v>489</v>
      </c>
      <c r="S4516" s="150"/>
    </row>
    <row r="4517" spans="1:19" hidden="1">
      <c r="A4517" s="149" t="s">
        <v>6853</v>
      </c>
      <c r="B4517" s="150" t="str">
        <f>IFERROR(VLOOKUP(Proc[[#This Row],[App]],Table2[],3,0),"open")</f>
        <v>ok</v>
      </c>
      <c r="C4517" s="149" t="s">
        <v>369</v>
      </c>
      <c r="D4517" t="s">
        <v>6836</v>
      </c>
      <c r="E4517" t="s">
        <v>2368</v>
      </c>
      <c r="F4517" s="150" t="s">
        <v>2368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LS</v>
      </c>
      <c r="L4517" s="150" t="s">
        <v>6435</v>
      </c>
      <c r="M4517" s="169">
        <v>45973</v>
      </c>
      <c r="N4517" s="169"/>
      <c r="O4517" s="169"/>
      <c r="P4517" s="168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16</v>
      </c>
      <c r="R4517" s="168" t="s">
        <v>489</v>
      </c>
      <c r="S4517" s="150"/>
    </row>
    <row r="4518" spans="1:19" hidden="1">
      <c r="A4518" s="149" t="s">
        <v>6853</v>
      </c>
      <c r="B4518" s="150" t="str">
        <f>IFERROR(VLOOKUP(Proc[[#This Row],[App]],Table2[],3,0),"open")</f>
        <v>ok</v>
      </c>
      <c r="C4518" s="149" t="s">
        <v>369</v>
      </c>
      <c r="D4518" t="s">
        <v>6837</v>
      </c>
      <c r="E4518" t="s">
        <v>2368</v>
      </c>
      <c r="F4518" s="150" t="s">
        <v>2368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LS</v>
      </c>
      <c r="L4518" s="150" t="s">
        <v>6435</v>
      </c>
      <c r="M4518" s="169">
        <v>45973</v>
      </c>
      <c r="N4518" s="169"/>
      <c r="O4518" s="169"/>
      <c r="P4518" s="168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16</v>
      </c>
      <c r="R4518" s="168" t="s">
        <v>489</v>
      </c>
      <c r="S4518" s="150"/>
    </row>
    <row r="4519" spans="1:19" hidden="1">
      <c r="A4519" s="149" t="s">
        <v>6853</v>
      </c>
      <c r="B4519" s="150" t="str">
        <f>IFERROR(VLOOKUP(Proc[[#This Row],[App]],Table2[],3,0),"open")</f>
        <v>ok</v>
      </c>
      <c r="C4519" s="149" t="s">
        <v>369</v>
      </c>
      <c r="D4519" t="s">
        <v>6838</v>
      </c>
      <c r="E4519" t="s">
        <v>2368</v>
      </c>
      <c r="F4519" s="150" t="s">
        <v>2368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LS</v>
      </c>
      <c r="L4519" s="150" t="s">
        <v>6435</v>
      </c>
      <c r="M4519" s="169">
        <v>45973</v>
      </c>
      <c r="N4519" s="169"/>
      <c r="O4519" s="169"/>
      <c r="P4519" s="168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16</v>
      </c>
      <c r="R4519" s="168" t="s">
        <v>489</v>
      </c>
      <c r="S4519" s="150"/>
    </row>
    <row r="4520" spans="1:19" hidden="1">
      <c r="A4520" s="149" t="s">
        <v>6853</v>
      </c>
      <c r="B4520" s="150" t="str">
        <f>IFERROR(VLOOKUP(Proc[[#This Row],[App]],Table2[],3,0),"open")</f>
        <v>ok</v>
      </c>
      <c r="C4520" s="149" t="s">
        <v>369</v>
      </c>
      <c r="D4520" t="s">
        <v>6839</v>
      </c>
      <c r="E4520" t="s">
        <v>2368</v>
      </c>
      <c r="F4520" s="150" t="s">
        <v>2368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LS</v>
      </c>
      <c r="L4520" s="150" t="s">
        <v>6435</v>
      </c>
      <c r="M4520" s="169">
        <v>45973</v>
      </c>
      <c r="N4520" s="169"/>
      <c r="O4520" s="169"/>
      <c r="P4520" s="168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16</v>
      </c>
      <c r="R4520" s="168" t="s">
        <v>489</v>
      </c>
      <c r="S4520" s="150"/>
    </row>
    <row r="4521" spans="1:19" hidden="1">
      <c r="A4521" s="149" t="s">
        <v>6853</v>
      </c>
      <c r="B4521" s="150" t="str">
        <f>IFERROR(VLOOKUP(Proc[[#This Row],[App]],Table2[],3,0),"open")</f>
        <v>ok</v>
      </c>
      <c r="C4521" s="149" t="s">
        <v>369</v>
      </c>
      <c r="D4521" t="s">
        <v>6840</v>
      </c>
      <c r="E4521" t="s">
        <v>6848</v>
      </c>
      <c r="F4521" s="150" t="s">
        <v>6848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LS</v>
      </c>
      <c r="L4521" s="150" t="s">
        <v>6435</v>
      </c>
      <c r="M4521" s="169">
        <v>45973</v>
      </c>
      <c r="N4521" s="169"/>
      <c r="O4521" s="169"/>
      <c r="P4521" s="168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16</v>
      </c>
      <c r="R4521" s="168" t="s">
        <v>489</v>
      </c>
      <c r="S4521" s="150"/>
    </row>
    <row r="4522" spans="1:19" hidden="1">
      <c r="A4522" s="149" t="s">
        <v>6853</v>
      </c>
      <c r="B4522" s="150" t="str">
        <f>IFERROR(VLOOKUP(Proc[[#This Row],[App]],Table2[],3,0),"open")</f>
        <v>ok</v>
      </c>
      <c r="C4522" s="149" t="s">
        <v>369</v>
      </c>
      <c r="D4522" t="s">
        <v>6841</v>
      </c>
      <c r="E4522" t="s">
        <v>6849</v>
      </c>
      <c r="F4522" s="150" t="s">
        <v>6849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LS</v>
      </c>
      <c r="L4522" s="150" t="s">
        <v>6435</v>
      </c>
      <c r="M4522" s="169">
        <v>45973</v>
      </c>
      <c r="N4522" s="169"/>
      <c r="O4522" s="169"/>
      <c r="P4522" s="168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16</v>
      </c>
      <c r="R4522" s="168" t="s">
        <v>489</v>
      </c>
      <c r="S4522" s="150"/>
    </row>
    <row r="4523" spans="1:19" hidden="1">
      <c r="A4523" s="149" t="s">
        <v>6853</v>
      </c>
      <c r="B4523" s="150" t="str">
        <f>IFERROR(VLOOKUP(Proc[[#This Row],[App]],Table2[],3,0),"open")</f>
        <v>ok</v>
      </c>
      <c r="C4523" s="149" t="s">
        <v>369</v>
      </c>
      <c r="D4523" t="s">
        <v>6842</v>
      </c>
      <c r="E4523" t="s">
        <v>6531</v>
      </c>
      <c r="F4523" s="150" t="s">
        <v>6531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LS</v>
      </c>
      <c r="L4523" s="150" t="s">
        <v>6435</v>
      </c>
      <c r="M4523" s="169">
        <v>45973</v>
      </c>
      <c r="N4523" s="169"/>
      <c r="O4523" s="169"/>
      <c r="P4523" s="168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16</v>
      </c>
      <c r="R4523" s="168" t="s">
        <v>489</v>
      </c>
      <c r="S4523" s="150"/>
    </row>
    <row r="4524" spans="1:19" hidden="1">
      <c r="A4524" s="149" t="s">
        <v>6853</v>
      </c>
      <c r="B4524" s="150" t="str">
        <f>IFERROR(VLOOKUP(Proc[[#This Row],[App]],Table2[],3,0),"open")</f>
        <v>ok</v>
      </c>
      <c r="C4524" s="149" t="s">
        <v>369</v>
      </c>
      <c r="D4524" t="s">
        <v>6843</v>
      </c>
      <c r="E4524" t="s">
        <v>6850</v>
      </c>
      <c r="F4524" s="150" t="s">
        <v>6850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LS</v>
      </c>
      <c r="L4524" s="150" t="s">
        <v>6435</v>
      </c>
      <c r="M4524" s="169">
        <v>45973</v>
      </c>
      <c r="N4524" s="169"/>
      <c r="O4524" s="169"/>
      <c r="P4524" s="168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16</v>
      </c>
      <c r="R4524" s="168" t="s">
        <v>489</v>
      </c>
      <c r="S4524" s="150"/>
    </row>
    <row r="4525" spans="1:19" hidden="1">
      <c r="A4525" s="149" t="s">
        <v>6853</v>
      </c>
      <c r="B4525" s="150" t="str">
        <f>IFERROR(VLOOKUP(Proc[[#This Row],[App]],Table2[],3,0),"open")</f>
        <v>ok</v>
      </c>
      <c r="C4525" s="149" t="s">
        <v>369</v>
      </c>
      <c r="D4525" t="s">
        <v>6844</v>
      </c>
      <c r="E4525" t="s">
        <v>447</v>
      </c>
      <c r="F4525" s="149" t="s">
        <v>447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LS</v>
      </c>
      <c r="L4525" s="150" t="s">
        <v>6435</v>
      </c>
      <c r="M4525" s="169">
        <v>45973</v>
      </c>
      <c r="N4525" s="169"/>
      <c r="O4525" s="169"/>
      <c r="P4525" s="168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16</v>
      </c>
      <c r="R4525" s="168" t="s">
        <v>489</v>
      </c>
      <c r="S4525" s="150"/>
    </row>
    <row r="4526" spans="1:19" hidden="1">
      <c r="A4526" s="149" t="s">
        <v>6853</v>
      </c>
      <c r="B4526" s="150" t="str">
        <f>IFERROR(VLOOKUP(Proc[[#This Row],[App]],Table2[],3,0),"open")</f>
        <v>ok</v>
      </c>
      <c r="C4526" s="149" t="s">
        <v>369</v>
      </c>
      <c r="D4526" t="s">
        <v>6845</v>
      </c>
      <c r="E4526" t="s">
        <v>496</v>
      </c>
      <c r="F4526" s="150" t="s">
        <v>496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LS</v>
      </c>
      <c r="L4526" s="150" t="s">
        <v>6435</v>
      </c>
      <c r="M4526" s="169">
        <v>45973</v>
      </c>
      <c r="N4526" s="169"/>
      <c r="O4526" s="169"/>
      <c r="P4526" s="168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16</v>
      </c>
      <c r="R4526" s="168" t="s">
        <v>489</v>
      </c>
      <c r="S4526" s="150"/>
    </row>
    <row r="4527" spans="1:19" hidden="1">
      <c r="A4527" s="149" t="s">
        <v>6853</v>
      </c>
      <c r="B4527" s="150" t="str">
        <f>IFERROR(VLOOKUP(Proc[[#This Row],[App]],Table2[],3,0),"open")</f>
        <v>ok</v>
      </c>
      <c r="C4527" s="149" t="s">
        <v>369</v>
      </c>
      <c r="D4527" t="s">
        <v>6846</v>
      </c>
      <c r="E4527" t="s">
        <v>6851</v>
      </c>
      <c r="F4527" s="150" t="s">
        <v>6851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LS</v>
      </c>
      <c r="L4527" s="150" t="s">
        <v>6435</v>
      </c>
      <c r="M4527" s="169">
        <v>45973</v>
      </c>
      <c r="N4527" s="169"/>
      <c r="O4527" s="169"/>
      <c r="P4527" s="168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16</v>
      </c>
      <c r="R4527" s="168" t="s">
        <v>489</v>
      </c>
      <c r="S4527" s="150"/>
    </row>
    <row r="4528" spans="1:19" hidden="1">
      <c r="A4528" s="149" t="s">
        <v>6853</v>
      </c>
      <c r="B4528" s="150" t="str">
        <f>IFERROR(VLOOKUP(Proc[[#This Row],[App]],Table2[],3,0),"open")</f>
        <v>ok</v>
      </c>
      <c r="C4528" s="149" t="s">
        <v>369</v>
      </c>
      <c r="D4528" t="s">
        <v>6847</v>
      </c>
      <c r="E4528" t="s">
        <v>6852</v>
      </c>
      <c r="F4528" s="149" t="s">
        <v>6852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LS</v>
      </c>
      <c r="L4528" s="150" t="s">
        <v>6435</v>
      </c>
      <c r="M4528" s="169">
        <v>45973</v>
      </c>
      <c r="N4528" s="169"/>
      <c r="O4528" s="169"/>
      <c r="P4528" s="168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16</v>
      </c>
      <c r="R4528" s="168" t="s">
        <v>489</v>
      </c>
      <c r="S4528" s="150"/>
    </row>
    <row r="4529" spans="1:19" hidden="1">
      <c r="A4529" s="149" t="s">
        <v>6853</v>
      </c>
      <c r="B4529" s="150" t="str">
        <f>IFERROR(VLOOKUP(Proc[[#This Row],[App]],Table2[],3,0),"open")</f>
        <v>ok</v>
      </c>
      <c r="C4529" s="149" t="s">
        <v>369</v>
      </c>
      <c r="D4529" t="s">
        <v>6831</v>
      </c>
      <c r="E4529" t="s">
        <v>2206</v>
      </c>
      <c r="F4529" s="150" t="s">
        <v>2206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LS</v>
      </c>
      <c r="L4529" s="150" t="s">
        <v>6435</v>
      </c>
      <c r="M4529" s="169">
        <v>45973</v>
      </c>
      <c r="N4529" s="169"/>
      <c r="O4529" s="169"/>
      <c r="P4529" s="168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16</v>
      </c>
      <c r="R4529" s="168" t="s">
        <v>489</v>
      </c>
      <c r="S4529" s="150"/>
    </row>
    <row r="4530" spans="1:19" hidden="1">
      <c r="A4530" s="149" t="s">
        <v>6853</v>
      </c>
      <c r="B4530" s="150" t="str">
        <f>IFERROR(VLOOKUP(Proc[[#This Row],[App]],Table2[],3,0),"open")</f>
        <v>ok</v>
      </c>
      <c r="C4530" s="149" t="s">
        <v>369</v>
      </c>
      <c r="D4530" t="s">
        <v>6832</v>
      </c>
      <c r="E4530" t="s">
        <v>2206</v>
      </c>
      <c r="F4530" s="150" t="s">
        <v>2206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LS</v>
      </c>
      <c r="L4530" s="150" t="s">
        <v>6435</v>
      </c>
      <c r="M4530" s="169">
        <v>45973</v>
      </c>
      <c r="N4530" s="169"/>
      <c r="O4530" s="169"/>
      <c r="P4530" s="168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16</v>
      </c>
      <c r="R4530" s="168" t="s">
        <v>489</v>
      </c>
      <c r="S4530" s="150"/>
    </row>
    <row r="4531" spans="1:19" hidden="1">
      <c r="A4531" t="s">
        <v>6854</v>
      </c>
      <c r="B4531" s="150" t="str">
        <f>IFERROR(VLOOKUP(Proc[[#This Row],[App]],Table2[],3,0),"open")</f>
        <v>ok</v>
      </c>
      <c r="C4531" s="149" t="s">
        <v>369</v>
      </c>
      <c r="D4531" t="s">
        <v>6855</v>
      </c>
      <c r="E4531" t="s">
        <v>6914</v>
      </c>
      <c r="F4531" s="150" t="s">
        <v>6914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9">
        <v>45978</v>
      </c>
      <c r="N4531" s="169"/>
      <c r="O4531" s="169"/>
      <c r="P4531" s="170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13</v>
      </c>
      <c r="R4531" s="170" t="s">
        <v>6862</v>
      </c>
      <c r="S4531" s="150"/>
    </row>
    <row r="4532" spans="1:19" hidden="1">
      <c r="A4532" t="s">
        <v>6854</v>
      </c>
      <c r="B4532" s="150" t="str">
        <f>IFERROR(VLOOKUP(Proc[[#This Row],[App]],Table2[],3,0),"open")</f>
        <v>ok</v>
      </c>
      <c r="C4532" s="149" t="s">
        <v>369</v>
      </c>
      <c r="D4532" t="s">
        <v>6856</v>
      </c>
      <c r="E4532" t="s">
        <v>6915</v>
      </c>
      <c r="F4532" s="150" t="s">
        <v>6915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9">
        <v>45978</v>
      </c>
      <c r="N4532" s="169"/>
      <c r="O4532" s="169"/>
      <c r="P4532" s="170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13</v>
      </c>
      <c r="R4532" s="170" t="s">
        <v>6862</v>
      </c>
      <c r="S4532" s="150"/>
    </row>
    <row r="4533" spans="1:19" hidden="1">
      <c r="A4533" s="149" t="s">
        <v>6854</v>
      </c>
      <c r="B4533" s="150" t="str">
        <f>IFERROR(VLOOKUP(Proc[[#This Row],[App]],Table2[],3,0),"open")</f>
        <v>ok</v>
      </c>
      <c r="C4533" s="149" t="s">
        <v>369</v>
      </c>
      <c r="D4533" t="s">
        <v>6857</v>
      </c>
      <c r="E4533" t="s">
        <v>6914</v>
      </c>
      <c r="F4533" s="150" t="s">
        <v>6914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9">
        <v>45978</v>
      </c>
      <c r="N4533" s="169"/>
      <c r="O4533" s="169"/>
      <c r="P4533" s="170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13</v>
      </c>
      <c r="R4533" s="170" t="s">
        <v>6862</v>
      </c>
      <c r="S4533" s="150"/>
    </row>
    <row r="4534" spans="1:19" hidden="1">
      <c r="A4534" s="149" t="s">
        <v>6854</v>
      </c>
      <c r="B4534" s="150" t="str">
        <f>IFERROR(VLOOKUP(Proc[[#This Row],[App]],Table2[],3,0),"open")</f>
        <v>ok</v>
      </c>
      <c r="C4534" s="149" t="s">
        <v>369</v>
      </c>
      <c r="D4534" t="s">
        <v>6858</v>
      </c>
      <c r="E4534" t="s">
        <v>6914</v>
      </c>
      <c r="F4534" s="150" t="s">
        <v>6914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9">
        <v>45978</v>
      </c>
      <c r="N4534" s="169"/>
      <c r="O4534" s="169"/>
      <c r="P4534" s="170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13</v>
      </c>
      <c r="R4534" s="170" t="s">
        <v>6862</v>
      </c>
      <c r="S4534" s="150"/>
    </row>
    <row r="4535" spans="1:19" hidden="1">
      <c r="A4535" s="149" t="s">
        <v>6854</v>
      </c>
      <c r="B4535" s="150" t="str">
        <f>IFERROR(VLOOKUP(Proc[[#This Row],[App]],Table2[],3,0),"open")</f>
        <v>ok</v>
      </c>
      <c r="C4535" s="149" t="s">
        <v>369</v>
      </c>
      <c r="D4535" t="s">
        <v>6859</v>
      </c>
      <c r="E4535" t="s">
        <v>6916</v>
      </c>
      <c r="F4535" s="150" t="s">
        <v>6916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9">
        <v>45978</v>
      </c>
      <c r="N4535" s="169"/>
      <c r="O4535" s="169"/>
      <c r="P4535" s="170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13</v>
      </c>
      <c r="R4535" s="170" t="s">
        <v>6862</v>
      </c>
      <c r="S4535" s="150"/>
    </row>
    <row r="4536" spans="1:19" hidden="1">
      <c r="A4536" s="149" t="s">
        <v>6854</v>
      </c>
      <c r="B4536" s="150" t="str">
        <f>IFERROR(VLOOKUP(Proc[[#This Row],[App]],Table2[],3,0),"open")</f>
        <v>ok</v>
      </c>
      <c r="C4536" s="149" t="s">
        <v>369</v>
      </c>
      <c r="D4536" t="s">
        <v>6860</v>
      </c>
      <c r="E4536" t="s">
        <v>6917</v>
      </c>
      <c r="F4536" s="150" t="s">
        <v>6917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9">
        <v>45978</v>
      </c>
      <c r="N4536" s="169"/>
      <c r="O4536" s="169"/>
      <c r="P4536" s="170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13</v>
      </c>
      <c r="R4536" s="170" t="s">
        <v>6862</v>
      </c>
      <c r="S4536" s="150"/>
    </row>
    <row r="4537" spans="1:19" hidden="1">
      <c r="A4537" s="149" t="s">
        <v>6854</v>
      </c>
      <c r="B4537" s="150" t="str">
        <f>IFERROR(VLOOKUP(Proc[[#This Row],[App]],Table2[],3,0),"open")</f>
        <v>ok</v>
      </c>
      <c r="C4537" s="149" t="s">
        <v>369</v>
      </c>
      <c r="D4537" t="s">
        <v>6861</v>
      </c>
      <c r="E4537" t="s">
        <v>6914</v>
      </c>
      <c r="F4537" s="149" t="s">
        <v>6914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9">
        <v>45978</v>
      </c>
      <c r="N4537" s="169"/>
      <c r="O4537" s="169"/>
      <c r="P4537" s="170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13</v>
      </c>
      <c r="R4537" s="170" t="s">
        <v>6862</v>
      </c>
      <c r="S4537" s="150"/>
    </row>
    <row r="4538" spans="1:19" hidden="1">
      <c r="A4538" t="s">
        <v>6864</v>
      </c>
      <c r="B4538" s="150" t="str">
        <f>IFERROR(VLOOKUP(Proc[[#This Row],[App]],Table2[],3,0),"open")</f>
        <v>ok</v>
      </c>
      <c r="C4538" s="149" t="s">
        <v>369</v>
      </c>
      <c r="D4538" t="s">
        <v>6863</v>
      </c>
      <c r="E4538" t="s">
        <v>540</v>
      </c>
      <c r="F4538" s="150" t="s">
        <v>540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MGF</v>
      </c>
      <c r="L4538" s="150" t="s">
        <v>6435</v>
      </c>
      <c r="M4538" s="169">
        <v>45978</v>
      </c>
      <c r="N4538" s="169"/>
      <c r="O4538" s="169"/>
      <c r="P4538" s="170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13</v>
      </c>
      <c r="R4538" s="170" t="s">
        <v>515</v>
      </c>
      <c r="S4538" s="150"/>
    </row>
    <row r="4539" spans="1:19" hidden="1">
      <c r="A4539" t="s">
        <v>6866</v>
      </c>
      <c r="B4539" s="150" t="str">
        <f>IFERROR(VLOOKUP(Proc[[#This Row],[App]],Table2[],3,0),"open")</f>
        <v>ok</v>
      </c>
      <c r="C4539" s="149" t="s">
        <v>369</v>
      </c>
      <c r="D4539" t="s">
        <v>6865</v>
      </c>
      <c r="E4539" t="s">
        <v>6872</v>
      </c>
      <c r="F4539" s="150" t="s">
        <v>6872</v>
      </c>
      <c r="G4539" s="149" t="s">
        <v>400</v>
      </c>
      <c r="H4539" s="150" t="str">
        <f>IF(Proc[[#This Row],[type]]="LFF (MDG-F)",MID(Proc[[#This Row],[Obj]],13,10),"")</f>
        <v/>
      </c>
      <c r="I4539" t="s">
        <v>6919</v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9">
        <v>45978</v>
      </c>
      <c r="N4539" s="169"/>
      <c r="O4539" s="169"/>
      <c r="P4539" s="170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13</v>
      </c>
      <c r="R4539" s="170" t="s">
        <v>5682</v>
      </c>
      <c r="S4539" s="150"/>
    </row>
    <row r="4540" spans="1:19" hidden="1">
      <c r="A4540" t="s">
        <v>6868</v>
      </c>
      <c r="B4540" s="150" t="str">
        <f>IFERROR(VLOOKUP(Proc[[#This Row],[App]],Table2[],3,0),"open")</f>
        <v>ok</v>
      </c>
      <c r="C4540" s="149" t="s">
        <v>369</v>
      </c>
      <c r="D4540" t="s">
        <v>6867</v>
      </c>
      <c r="E4540" t="s">
        <v>6920</v>
      </c>
      <c r="F4540" s="150" t="s">
        <v>6920</v>
      </c>
      <c r="G4540" s="149" t="s">
        <v>400</v>
      </c>
      <c r="H4540" s="150" t="str">
        <f>IF(Proc[[#This Row],[type]]="LFF (MDG-F)",MID(Proc[[#This Row],[Obj]],13,10),"")</f>
        <v/>
      </c>
      <c r="I4540" s="149" t="s">
        <v>6919</v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9">
        <v>45978</v>
      </c>
      <c r="N4540" s="169"/>
      <c r="O4540" s="169"/>
      <c r="P4540" s="170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13</v>
      </c>
      <c r="R4540" s="170" t="s">
        <v>478</v>
      </c>
      <c r="S4540" s="150"/>
    </row>
    <row r="4541" spans="1:19" hidden="1">
      <c r="A4541" t="s">
        <v>6870</v>
      </c>
      <c r="B4541" s="150" t="str">
        <f>IFERROR(VLOOKUP(Proc[[#This Row],[App]],Table2[],3,0),"open")</f>
        <v>ok</v>
      </c>
      <c r="C4541" s="149" t="s">
        <v>369</v>
      </c>
      <c r="D4541" t="s">
        <v>6869</v>
      </c>
      <c r="E4541" t="s">
        <v>6871</v>
      </c>
      <c r="F4541" s="150" t="s">
        <v>6871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9">
        <v>45978</v>
      </c>
      <c r="N4541" s="169"/>
      <c r="O4541" s="169"/>
      <c r="P4541" s="170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13</v>
      </c>
      <c r="R4541" s="170" t="s">
        <v>5682</v>
      </c>
      <c r="S4541" s="150"/>
    </row>
    <row r="4542" spans="1:19" hidden="1">
      <c r="A4542" t="s">
        <v>6884</v>
      </c>
      <c r="B4542" s="150" t="str">
        <f>IFERROR(VLOOKUP(Proc[[#This Row],[App]],Table2[],3,0),"open")</f>
        <v>ok</v>
      </c>
      <c r="C4542" s="149" t="s">
        <v>369</v>
      </c>
      <c r="D4542" t="s">
        <v>6873</v>
      </c>
      <c r="E4542" t="s">
        <v>2883</v>
      </c>
      <c r="F4542" s="150" t="s">
        <v>2883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9">
        <v>45978</v>
      </c>
      <c r="N4542" s="169"/>
      <c r="O4542" s="169"/>
      <c r="P4542" s="170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13</v>
      </c>
      <c r="R4542" s="170" t="s">
        <v>738</v>
      </c>
      <c r="S4542" s="150"/>
    </row>
    <row r="4543" spans="1:19" hidden="1">
      <c r="A4543" t="s">
        <v>6884</v>
      </c>
      <c r="B4543" s="150" t="str">
        <f>IFERROR(VLOOKUP(Proc[[#This Row],[App]],Table2[],3,0),"open")</f>
        <v>ok</v>
      </c>
      <c r="C4543" s="149" t="s">
        <v>369</v>
      </c>
      <c r="D4543" t="s">
        <v>6874</v>
      </c>
      <c r="E4543" t="s">
        <v>2117</v>
      </c>
      <c r="F4543" s="150" t="s">
        <v>2117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9">
        <v>45978</v>
      </c>
      <c r="N4543" s="169"/>
      <c r="O4543" s="169"/>
      <c r="P4543" s="170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13</v>
      </c>
      <c r="R4543" s="170" t="s">
        <v>738</v>
      </c>
      <c r="S4543" s="150"/>
    </row>
    <row r="4544" spans="1:19" hidden="1">
      <c r="A4544" s="149" t="s">
        <v>6884</v>
      </c>
      <c r="B4544" s="150" t="str">
        <f>IFERROR(VLOOKUP(Proc[[#This Row],[App]],Table2[],3,0),"open")</f>
        <v>ok</v>
      </c>
      <c r="C4544" s="149" t="s">
        <v>369</v>
      </c>
      <c r="D4544" t="s">
        <v>6875</v>
      </c>
      <c r="E4544" s="149" t="s">
        <v>2117</v>
      </c>
      <c r="F4544" s="150" t="s">
        <v>2117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9">
        <v>45978</v>
      </c>
      <c r="N4544" s="169"/>
      <c r="O4544" s="169"/>
      <c r="P4544" s="170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13</v>
      </c>
      <c r="R4544" s="170" t="s">
        <v>738</v>
      </c>
      <c r="S4544" s="150"/>
    </row>
    <row r="4545" spans="1:19" hidden="1">
      <c r="A4545" s="149" t="s">
        <v>6884</v>
      </c>
      <c r="B4545" s="150" t="str">
        <f>IFERROR(VLOOKUP(Proc[[#This Row],[App]],Table2[],3,0),"open")</f>
        <v>ok</v>
      </c>
      <c r="C4545" s="149" t="s">
        <v>369</v>
      </c>
      <c r="D4545" t="s">
        <v>6876</v>
      </c>
      <c r="E4545" s="149" t="s">
        <v>2117</v>
      </c>
      <c r="F4545" s="150" t="s">
        <v>2117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9">
        <v>45978</v>
      </c>
      <c r="N4545" s="169"/>
      <c r="O4545" s="169"/>
      <c r="P4545" s="170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13</v>
      </c>
      <c r="R4545" s="170" t="s">
        <v>738</v>
      </c>
      <c r="S4545" s="150"/>
    </row>
    <row r="4546" spans="1:19" hidden="1">
      <c r="A4546" s="149" t="s">
        <v>6884</v>
      </c>
      <c r="B4546" s="150" t="str">
        <f>IFERROR(VLOOKUP(Proc[[#This Row],[App]],Table2[],3,0),"open")</f>
        <v>ok</v>
      </c>
      <c r="C4546" s="149" t="s">
        <v>369</v>
      </c>
      <c r="D4546" t="s">
        <v>6877</v>
      </c>
      <c r="E4546" s="149" t="s">
        <v>2117</v>
      </c>
      <c r="F4546" s="150" t="s">
        <v>2117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9">
        <v>45978</v>
      </c>
      <c r="N4546" s="169"/>
      <c r="O4546" s="169"/>
      <c r="P4546" s="170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13</v>
      </c>
      <c r="R4546" s="170" t="s">
        <v>738</v>
      </c>
      <c r="S4546" s="150"/>
    </row>
    <row r="4547" spans="1:19" hidden="1">
      <c r="A4547" s="149" t="s">
        <v>6884</v>
      </c>
      <c r="B4547" s="150" t="str">
        <f>IFERROR(VLOOKUP(Proc[[#This Row],[App]],Table2[],3,0),"open")</f>
        <v>ok</v>
      </c>
      <c r="C4547" s="149" t="s">
        <v>369</v>
      </c>
      <c r="D4547" t="s">
        <v>6878</v>
      </c>
      <c r="E4547" s="149" t="s">
        <v>2117</v>
      </c>
      <c r="F4547" s="150" t="s">
        <v>2117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9">
        <v>45978</v>
      </c>
      <c r="N4547" s="169"/>
      <c r="O4547" s="169"/>
      <c r="P4547" s="170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13</v>
      </c>
      <c r="R4547" s="170" t="s">
        <v>738</v>
      </c>
      <c r="S4547" s="150"/>
    </row>
    <row r="4548" spans="1:19" hidden="1">
      <c r="A4548" s="149" t="s">
        <v>6884</v>
      </c>
      <c r="B4548" s="150" t="str">
        <f>IFERROR(VLOOKUP(Proc[[#This Row],[App]],Table2[],3,0),"open")</f>
        <v>ok</v>
      </c>
      <c r="C4548" s="149" t="s">
        <v>369</v>
      </c>
      <c r="D4548" t="s">
        <v>6879</v>
      </c>
      <c r="E4548" s="149" t="s">
        <v>2117</v>
      </c>
      <c r="F4548" s="150" t="s">
        <v>2117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9">
        <v>45978</v>
      </c>
      <c r="N4548" s="169"/>
      <c r="O4548" s="169"/>
      <c r="P4548" s="170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13</v>
      </c>
      <c r="R4548" s="170" t="s">
        <v>738</v>
      </c>
      <c r="S4548" s="150"/>
    </row>
    <row r="4549" spans="1:19" hidden="1">
      <c r="A4549" s="149" t="s">
        <v>6884</v>
      </c>
      <c r="B4549" s="150" t="str">
        <f>IFERROR(VLOOKUP(Proc[[#This Row],[App]],Table2[],3,0),"open")</f>
        <v>ok</v>
      </c>
      <c r="C4549" s="149" t="s">
        <v>369</v>
      </c>
      <c r="D4549" t="s">
        <v>6880</v>
      </c>
      <c r="E4549" t="s">
        <v>2155</v>
      </c>
      <c r="F4549" s="150" t="s">
        <v>2155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9">
        <v>45978</v>
      </c>
      <c r="N4549" s="169"/>
      <c r="O4549" s="169"/>
      <c r="P4549" s="170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13</v>
      </c>
      <c r="R4549" s="170" t="s">
        <v>738</v>
      </c>
      <c r="S4549" s="150"/>
    </row>
    <row r="4550" spans="1:19" hidden="1">
      <c r="A4550" s="149" t="s">
        <v>6884</v>
      </c>
      <c r="B4550" s="150" t="str">
        <f>IFERROR(VLOOKUP(Proc[[#This Row],[App]],Table2[],3,0),"open")</f>
        <v>ok</v>
      </c>
      <c r="C4550" s="149" t="s">
        <v>369</v>
      </c>
      <c r="D4550" t="s">
        <v>6881</v>
      </c>
      <c r="E4550" t="s">
        <v>2144</v>
      </c>
      <c r="F4550" s="150" t="s">
        <v>2144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9">
        <v>45978</v>
      </c>
      <c r="N4550" s="169"/>
      <c r="O4550" s="169"/>
      <c r="P4550" s="170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13</v>
      </c>
      <c r="R4550" s="170" t="s">
        <v>738</v>
      </c>
      <c r="S4550" s="150"/>
    </row>
    <row r="4551" spans="1:19" hidden="1">
      <c r="A4551" s="149" t="s">
        <v>6884</v>
      </c>
      <c r="B4551" s="150" t="str">
        <f>IFERROR(VLOOKUP(Proc[[#This Row],[App]],Table2[],3,0),"open")</f>
        <v>ok</v>
      </c>
      <c r="C4551" s="149" t="s">
        <v>369</v>
      </c>
      <c r="D4551" t="s">
        <v>2115</v>
      </c>
      <c r="E4551" t="s">
        <v>2109</v>
      </c>
      <c r="F4551" s="150" t="s">
        <v>2109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9">
        <v>45978</v>
      </c>
      <c r="N4551" s="169"/>
      <c r="O4551" s="169"/>
      <c r="P4551" s="170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13</v>
      </c>
      <c r="R4551" s="170" t="s">
        <v>738</v>
      </c>
      <c r="S4551" s="150"/>
    </row>
    <row r="4552" spans="1:19" hidden="1">
      <c r="A4552" s="149" t="s">
        <v>6884</v>
      </c>
      <c r="B4552" s="150" t="str">
        <f>IFERROR(VLOOKUP(Proc[[#This Row],[App]],Table2[],3,0),"open")</f>
        <v>ok</v>
      </c>
      <c r="C4552" s="149" t="s">
        <v>369</v>
      </c>
      <c r="D4552" t="s">
        <v>6882</v>
      </c>
      <c r="E4552" t="s">
        <v>5720</v>
      </c>
      <c r="F4552" s="150" t="s">
        <v>5720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9">
        <v>45978</v>
      </c>
      <c r="N4552" s="169"/>
      <c r="O4552" s="169"/>
      <c r="P4552" s="170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13</v>
      </c>
      <c r="R4552" s="170" t="s">
        <v>738</v>
      </c>
      <c r="S4552" s="150"/>
    </row>
    <row r="4553" spans="1:19" hidden="1">
      <c r="A4553" s="149" t="s">
        <v>6884</v>
      </c>
      <c r="B4553" s="150" t="str">
        <f>IFERROR(VLOOKUP(Proc[[#This Row],[App]],Table2[],3,0),"open")</f>
        <v>ok</v>
      </c>
      <c r="C4553" s="149" t="s">
        <v>369</v>
      </c>
      <c r="D4553" t="s">
        <v>6883</v>
      </c>
      <c r="E4553" t="s">
        <v>6918</v>
      </c>
      <c r="F4553" s="150" t="s">
        <v>6918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9">
        <v>45978</v>
      </c>
      <c r="N4553" s="169"/>
      <c r="O4553" s="169"/>
      <c r="P4553" s="170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13</v>
      </c>
      <c r="R4553" s="170" t="s">
        <v>738</v>
      </c>
      <c r="S4553" s="150"/>
    </row>
    <row r="4554" spans="1:19" hidden="1">
      <c r="A4554" t="s">
        <v>6885</v>
      </c>
      <c r="B4554" s="150" t="str">
        <f>IFERROR(VLOOKUP(Proc[[#This Row],[App]],Table2[],3,0),"open")</f>
        <v>ok</v>
      </c>
      <c r="C4554" s="149" t="s">
        <v>369</v>
      </c>
      <c r="D4554" t="s">
        <v>6886</v>
      </c>
      <c r="E4554" t="s">
        <v>6887</v>
      </c>
      <c r="F4554" s="150" t="s">
        <v>6887</v>
      </c>
      <c r="G4554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9">
        <v>45978</v>
      </c>
      <c r="N4554" s="169"/>
      <c r="O4554" s="169"/>
      <c r="P4554" s="170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13</v>
      </c>
      <c r="R4554" s="170" t="s">
        <v>484</v>
      </c>
      <c r="S4554" s="150"/>
    </row>
    <row r="4555" spans="1:19" hidden="1">
      <c r="A4555" t="s">
        <v>6888</v>
      </c>
      <c r="B4555" s="150" t="str">
        <f>IFERROR(VLOOKUP(Proc[[#This Row],[App]],Table2[],3,0),"open")</f>
        <v>ok</v>
      </c>
      <c r="C4555" s="149" t="s">
        <v>369</v>
      </c>
      <c r="D4555" t="s">
        <v>6889</v>
      </c>
      <c r="E4555" t="s">
        <v>3280</v>
      </c>
      <c r="F4555" s="150" t="s">
        <v>3280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9">
        <v>45979</v>
      </c>
      <c r="N4555" s="169"/>
      <c r="O4555" s="169"/>
      <c r="P4555" s="170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12</v>
      </c>
      <c r="R4555" s="170" t="s">
        <v>484</v>
      </c>
      <c r="S4555" s="150"/>
    </row>
    <row r="4556" spans="1:19" hidden="1">
      <c r="A4556" t="s">
        <v>6888</v>
      </c>
      <c r="B4556" s="150" t="str">
        <f>IFERROR(VLOOKUP(Proc[[#This Row],[App]],Table2[],3,0),"open")</f>
        <v>ok</v>
      </c>
      <c r="C4556" s="149" t="s">
        <v>369</v>
      </c>
      <c r="D4556" t="s">
        <v>6890</v>
      </c>
      <c r="E4556" t="s">
        <v>3280</v>
      </c>
      <c r="F4556" s="150" t="s">
        <v>3280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9">
        <v>45979</v>
      </c>
      <c r="N4556" s="169"/>
      <c r="O4556" s="169"/>
      <c r="P4556" s="170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12</v>
      </c>
      <c r="R4556" s="170" t="s">
        <v>484</v>
      </c>
      <c r="S4556" s="150"/>
    </row>
    <row r="4557" spans="1:19" hidden="1">
      <c r="A4557" t="s">
        <v>6892</v>
      </c>
      <c r="B4557" s="150" t="str">
        <f>IFERROR(VLOOKUP(Proc[[#This Row],[App]],Table2[],3,0),"open")</f>
        <v>ok</v>
      </c>
      <c r="C4557" s="149" t="s">
        <v>369</v>
      </c>
      <c r="D4557" t="s">
        <v>6891</v>
      </c>
      <c r="E4557" t="s">
        <v>2161</v>
      </c>
      <c r="F4557" s="150" t="s">
        <v>2161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9">
        <v>45979</v>
      </c>
      <c r="N4557" s="169"/>
      <c r="O4557" s="169"/>
      <c r="P4557" s="170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12</v>
      </c>
      <c r="R4557" s="170" t="s">
        <v>478</v>
      </c>
      <c r="S4557" s="150"/>
    </row>
    <row r="4558" spans="1:19" hidden="1">
      <c r="A4558" t="s">
        <v>6893</v>
      </c>
      <c r="B4558" s="150" t="str">
        <f>IFERROR(VLOOKUP(Proc[[#This Row],[App]],Table2[],3,0),"open")</f>
        <v>ok</v>
      </c>
      <c r="C4558" s="149" t="s">
        <v>369</v>
      </c>
      <c r="D4558" t="s">
        <v>6894</v>
      </c>
      <c r="E4558" t="s">
        <v>2161</v>
      </c>
      <c r="F4558" s="150" t="s">
        <v>2161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9">
        <v>45979</v>
      </c>
      <c r="N4558" s="169"/>
      <c r="O4558" s="169"/>
      <c r="P4558" s="170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12</v>
      </c>
      <c r="R4558" s="170" t="s">
        <v>478</v>
      </c>
      <c r="S4558" s="150"/>
    </row>
    <row r="4559" spans="1:19" hidden="1">
      <c r="A4559" t="s">
        <v>6896</v>
      </c>
      <c r="B4559" s="150" t="str">
        <f>IFERROR(VLOOKUP(Proc[[#This Row],[App]],Table2[],3,0),"open")</f>
        <v>ok</v>
      </c>
      <c r="C4559" s="149" t="s">
        <v>369</v>
      </c>
      <c r="D4559" t="s">
        <v>6895</v>
      </c>
      <c r="E4559" t="s">
        <v>2161</v>
      </c>
      <c r="F4559" s="150" t="s">
        <v>2161</v>
      </c>
      <c r="G4559" s="149" t="s">
        <v>400</v>
      </c>
      <c r="H4559" s="150" t="str">
        <f>IF(Proc[[#This Row],[type]]="LFF (MDG-F)",MID(Proc[[#This Row],[Obj]],13,10),"")</f>
        <v/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HC</v>
      </c>
      <c r="L4559" s="150" t="s">
        <v>6435</v>
      </c>
      <c r="M4559" s="169">
        <v>45979</v>
      </c>
      <c r="N4559" s="169"/>
      <c r="O4559" s="169"/>
      <c r="P4559" s="170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12</v>
      </c>
      <c r="R4559" s="170" t="s">
        <v>478</v>
      </c>
      <c r="S4559" s="150"/>
    </row>
    <row r="4560" spans="1:19" hidden="1">
      <c r="A4560" t="s">
        <v>6898</v>
      </c>
      <c r="B4560" s="150" t="str">
        <f>IFERROR(VLOOKUP(Proc[[#This Row],[App]],Table2[],3,0),"open")</f>
        <v>ok</v>
      </c>
      <c r="C4560" s="149" t="s">
        <v>369</v>
      </c>
      <c r="D4560" t="s">
        <v>6897</v>
      </c>
      <c r="E4560" t="s">
        <v>2161</v>
      </c>
      <c r="F4560" s="150" t="s">
        <v>2161</v>
      </c>
      <c r="G4560" s="149" t="s">
        <v>400</v>
      </c>
      <c r="H4560" s="150" t="str">
        <f>IF(Proc[[#This Row],[type]]="LFF (MDG-F)",MID(Proc[[#This Row],[Obj]],13,10),"")</f>
        <v/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HC</v>
      </c>
      <c r="L4560" s="150" t="s">
        <v>6435</v>
      </c>
      <c r="M4560" s="169">
        <v>45979</v>
      </c>
      <c r="N4560" s="169"/>
      <c r="O4560" s="169"/>
      <c r="P4560" s="170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12</v>
      </c>
      <c r="R4560" s="170" t="s">
        <v>478</v>
      </c>
      <c r="S4560" s="150"/>
    </row>
    <row r="4561" spans="1:19" hidden="1">
      <c r="A4561" t="s">
        <v>6899</v>
      </c>
      <c r="B4561" s="150" t="str">
        <f>IFERROR(VLOOKUP(Proc[[#This Row],[App]],Table2[],3,0),"open")</f>
        <v>ok</v>
      </c>
      <c r="C4561" s="149" t="s">
        <v>369</v>
      </c>
      <c r="D4561" t="s">
        <v>6900</v>
      </c>
      <c r="E4561" t="s">
        <v>2161</v>
      </c>
      <c r="F4561" s="150" t="s">
        <v>2161</v>
      </c>
      <c r="G4561" s="149" t="s">
        <v>400</v>
      </c>
      <c r="H4561" s="150" t="str">
        <f>IF(Proc[[#This Row],[type]]="LFF (MDG-F)",MID(Proc[[#This Row],[Obj]],13,10),"")</f>
        <v/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HC</v>
      </c>
      <c r="L4561" s="150" t="s">
        <v>6435</v>
      </c>
      <c r="M4561" s="169">
        <v>45979</v>
      </c>
      <c r="N4561" s="169"/>
      <c r="O4561" s="169"/>
      <c r="P4561" s="170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12</v>
      </c>
      <c r="R4561" s="170" t="s">
        <v>478</v>
      </c>
      <c r="S4561" s="150"/>
    </row>
    <row r="4562" spans="1:19" hidden="1">
      <c r="A4562" t="s">
        <v>6902</v>
      </c>
      <c r="B4562" s="150" t="str">
        <f>IFERROR(VLOOKUP(Proc[[#This Row],[App]],Table2[],3,0),"open")</f>
        <v>ok</v>
      </c>
      <c r="C4562" s="149" t="s">
        <v>369</v>
      </c>
      <c r="D4562" t="s">
        <v>6901</v>
      </c>
      <c r="E4562" t="s">
        <v>2161</v>
      </c>
      <c r="F4562" s="150" t="s">
        <v>2161</v>
      </c>
      <c r="G4562" s="149" t="s">
        <v>400</v>
      </c>
      <c r="H4562" s="150" t="str">
        <f>IF(Proc[[#This Row],[type]]="LFF (MDG-F)",MID(Proc[[#This Row],[Obj]],13,10),"")</f>
        <v/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HC</v>
      </c>
      <c r="L4562" s="150" t="s">
        <v>6435</v>
      </c>
      <c r="M4562" s="169">
        <v>45979</v>
      </c>
      <c r="N4562" s="169"/>
      <c r="O4562" s="169"/>
      <c r="P4562" s="170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12</v>
      </c>
      <c r="R4562" s="170" t="s">
        <v>478</v>
      </c>
      <c r="S4562" s="150"/>
    </row>
    <row r="4563" spans="1:19" hidden="1">
      <c r="A4563" t="s">
        <v>6904</v>
      </c>
      <c r="B4563" s="150" t="str">
        <f>IFERROR(VLOOKUP(Proc[[#This Row],[App]],Table2[],3,0),"open")</f>
        <v>ok</v>
      </c>
      <c r="C4563" s="149" t="s">
        <v>369</v>
      </c>
      <c r="D4563" t="s">
        <v>6903</v>
      </c>
      <c r="E4563" t="s">
        <v>2161</v>
      </c>
      <c r="F4563" s="150" t="s">
        <v>2161</v>
      </c>
      <c r="G4563" s="149" t="s">
        <v>400</v>
      </c>
      <c r="H4563" s="150" t="str">
        <f>IF(Proc[[#This Row],[type]]="LFF (MDG-F)",MID(Proc[[#This Row],[Obj]],13,10),"")</f>
        <v/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HC</v>
      </c>
      <c r="L4563" s="150" t="s">
        <v>6435</v>
      </c>
      <c r="M4563" s="169">
        <v>45979</v>
      </c>
      <c r="N4563" s="169"/>
      <c r="O4563" s="169"/>
      <c r="P4563" s="170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12</v>
      </c>
      <c r="R4563" s="170" t="s">
        <v>478</v>
      </c>
      <c r="S4563" s="150"/>
    </row>
    <row r="4564" spans="1:19" hidden="1">
      <c r="A4564" t="s">
        <v>6905</v>
      </c>
      <c r="B4564" s="150" t="str">
        <f>IFERROR(VLOOKUP(Proc[[#This Row],[App]],Table2[],3,0),"open")</f>
        <v>ok</v>
      </c>
      <c r="C4564" s="149" t="s">
        <v>369</v>
      </c>
      <c r="D4564" t="s">
        <v>6906</v>
      </c>
      <c r="E4564" t="s">
        <v>2161</v>
      </c>
      <c r="F4564" s="150" t="s">
        <v>2161</v>
      </c>
      <c r="G4564" s="149" t="s">
        <v>400</v>
      </c>
      <c r="H4564" s="150" t="str">
        <f>IF(Proc[[#This Row],[type]]="LFF (MDG-F)",MID(Proc[[#This Row],[Obj]],13,10),"")</f>
        <v/>
      </c>
      <c r="I4564" s="149"/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HC</v>
      </c>
      <c r="L4564" s="150" t="s">
        <v>6435</v>
      </c>
      <c r="M4564" s="169">
        <v>45979</v>
      </c>
      <c r="N4564" s="169"/>
      <c r="O4564" s="169"/>
      <c r="P4564" s="170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12</v>
      </c>
      <c r="R4564" s="170" t="s">
        <v>478</v>
      </c>
      <c r="S4564" s="150"/>
    </row>
    <row r="4565" spans="1:19" hidden="1">
      <c r="A4565" t="s">
        <v>6908</v>
      </c>
      <c r="B4565" s="150" t="str">
        <f>IFERROR(VLOOKUP(Proc[[#This Row],[App]],Table2[],3,0),"open")</f>
        <v>ok</v>
      </c>
      <c r="C4565" s="149" t="s">
        <v>369</v>
      </c>
      <c r="D4565" t="s">
        <v>6907</v>
      </c>
      <c r="E4565" t="s">
        <v>2161</v>
      </c>
      <c r="F4565" s="150" t="s">
        <v>2161</v>
      </c>
      <c r="G4565" s="149" t="s">
        <v>400</v>
      </c>
      <c r="H4565" s="150" t="str">
        <f>IF(Proc[[#This Row],[type]]="LFF (MDG-F)",MID(Proc[[#This Row],[Obj]],13,10),"")</f>
        <v/>
      </c>
      <c r="I4565" s="149"/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HC</v>
      </c>
      <c r="L4565" s="150" t="s">
        <v>6435</v>
      </c>
      <c r="M4565" s="169">
        <v>45979</v>
      </c>
      <c r="N4565" s="169"/>
      <c r="O4565" s="169"/>
      <c r="P4565" s="170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12</v>
      </c>
      <c r="R4565" s="170" t="s">
        <v>478</v>
      </c>
      <c r="S4565" s="150"/>
    </row>
    <row r="4566" spans="1:19" hidden="1">
      <c r="A4566" t="s">
        <v>6910</v>
      </c>
      <c r="B4566" s="150" t="str">
        <f>IFERROR(VLOOKUP(Proc[[#This Row],[App]],Table2[],3,0),"open")</f>
        <v>ok</v>
      </c>
      <c r="C4566" s="149" t="s">
        <v>369</v>
      </c>
      <c r="D4566" t="s">
        <v>6909</v>
      </c>
      <c r="E4566" t="s">
        <v>6911</v>
      </c>
      <c r="F4566" s="150" t="s">
        <v>6911</v>
      </c>
      <c r="G4566" s="149" t="s">
        <v>400</v>
      </c>
      <c r="H4566" s="150" t="str">
        <f>IF(Proc[[#This Row],[type]]="LFF (MDG-F)",MID(Proc[[#This Row],[Obj]],13,10),"")</f>
        <v/>
      </c>
      <c r="I4566" s="149"/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HC</v>
      </c>
      <c r="L4566" s="150" t="s">
        <v>6435</v>
      </c>
      <c r="M4566" s="169">
        <v>45979</v>
      </c>
      <c r="N4566" s="169"/>
      <c r="O4566" s="169"/>
      <c r="P4566" s="170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12</v>
      </c>
      <c r="R4566" s="170" t="s">
        <v>478</v>
      </c>
      <c r="S4566" s="150"/>
    </row>
    <row r="4567" spans="1:19" hidden="1">
      <c r="A4567" t="s">
        <v>6912</v>
      </c>
      <c r="B4567" s="150" t="str">
        <f>IFERROR(VLOOKUP(Proc[[#This Row],[App]],Table2[],3,0),"open")</f>
        <v>ok</v>
      </c>
      <c r="C4567" s="149" t="s">
        <v>369</v>
      </c>
      <c r="D4567" t="s">
        <v>6865</v>
      </c>
      <c r="E4567" t="s">
        <v>6872</v>
      </c>
      <c r="F4567" s="150" t="s">
        <v>6872</v>
      </c>
      <c r="G4567" s="149" t="s">
        <v>400</v>
      </c>
      <c r="H4567" s="150" t="str">
        <f>IF(Proc[[#This Row],[type]]="LFF (MDG-F)",MID(Proc[[#This Row],[Obj]],13,10),"")</f>
        <v/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HC</v>
      </c>
      <c r="L4567" s="150" t="s">
        <v>6435</v>
      </c>
      <c r="M4567" s="169">
        <v>45979</v>
      </c>
      <c r="N4567" s="169"/>
      <c r="O4567" s="169"/>
      <c r="P4567" s="170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12</v>
      </c>
      <c r="R4567" s="170" t="s">
        <v>478</v>
      </c>
      <c r="S4567" s="150"/>
    </row>
    <row r="4568" spans="1:19" hidden="1">
      <c r="A4568" t="s">
        <v>6868</v>
      </c>
      <c r="B4568" s="150" t="str">
        <f>IFERROR(VLOOKUP(Proc[[#This Row],[App]],Table2[],3,0),"open")</f>
        <v>ok</v>
      </c>
      <c r="C4568" s="149" t="s">
        <v>369</v>
      </c>
      <c r="D4568" t="s">
        <v>6867</v>
      </c>
      <c r="E4568" t="s">
        <v>6920</v>
      </c>
      <c r="F4568" s="150" t="s">
        <v>6920</v>
      </c>
      <c r="G4568" s="149" t="s">
        <v>400</v>
      </c>
      <c r="H4568" s="150" t="str">
        <f>IF(Proc[[#This Row],[type]]="LFF (MDG-F)",MID(Proc[[#This Row],[Obj]],13,10),"")</f>
        <v/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HC</v>
      </c>
      <c r="L4568" s="150" t="s">
        <v>6435</v>
      </c>
      <c r="M4568" s="169">
        <v>45979</v>
      </c>
      <c r="N4568" s="169"/>
      <c r="O4568" s="169"/>
      <c r="P4568" s="170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12</v>
      </c>
      <c r="R4568" s="170" t="s">
        <v>478</v>
      </c>
      <c r="S4568" s="150"/>
    </row>
    <row r="4569" spans="1:19" hidden="1">
      <c r="A4569" t="s">
        <v>6928</v>
      </c>
      <c r="B4569" s="150" t="str">
        <f>IFERROR(VLOOKUP(Proc[[#This Row],[App]],Table2[],3,0),"open")</f>
        <v>ok</v>
      </c>
      <c r="C4569" s="149" t="s">
        <v>369</v>
      </c>
      <c r="D4569" t="s">
        <v>6921</v>
      </c>
      <c r="E4569" t="s">
        <v>6926</v>
      </c>
      <c r="F4569" s="150" t="s">
        <v>6926</v>
      </c>
      <c r="G4569" t="s">
        <v>400</v>
      </c>
      <c r="H4569" s="150" t="str">
        <f>IF(Proc[[#This Row],[type]]="LFF (MDG-F)",MID(Proc[[#This Row],[Obj]],13,10),"")</f>
        <v/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70">
        <v>45981</v>
      </c>
      <c r="N4569" s="171"/>
      <c r="O4569" s="171"/>
      <c r="P4569" s="170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10</v>
      </c>
      <c r="R4569" s="170" t="s">
        <v>515</v>
      </c>
      <c r="S4569" s="150"/>
    </row>
    <row r="4570" spans="1:19" hidden="1">
      <c r="A4570" s="149" t="s">
        <v>6928</v>
      </c>
      <c r="B4570" s="150" t="str">
        <f>IFERROR(VLOOKUP(Proc[[#This Row],[App]],Table2[],3,0),"open")</f>
        <v>ok</v>
      </c>
      <c r="C4570" s="149" t="s">
        <v>369</v>
      </c>
      <c r="D4570" t="s">
        <v>6922</v>
      </c>
      <c r="E4570" t="s">
        <v>6927</v>
      </c>
      <c r="F4570" s="150" t="s">
        <v>6927</v>
      </c>
      <c r="G4570" s="149" t="s">
        <v>400</v>
      </c>
      <c r="H4570" s="150" t="str">
        <f>IF(Proc[[#This Row],[type]]="LFF (MDG-F)",MID(Proc[[#This Row],[Obj]],13,10),"")</f>
        <v/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70">
        <v>45981</v>
      </c>
      <c r="N4570" s="171"/>
      <c r="O4570" s="171"/>
      <c r="P4570" s="170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10</v>
      </c>
      <c r="R4570" s="170" t="s">
        <v>515</v>
      </c>
      <c r="S4570" s="150"/>
    </row>
    <row r="4571" spans="1:19" hidden="1">
      <c r="A4571" s="149" t="s">
        <v>6928</v>
      </c>
      <c r="B4571" s="150" t="str">
        <f>IFERROR(VLOOKUP(Proc[[#This Row],[App]],Table2[],3,0),"open")</f>
        <v>ok</v>
      </c>
      <c r="C4571" s="149" t="s">
        <v>369</v>
      </c>
      <c r="D4571" t="s">
        <v>6923</v>
      </c>
      <c r="E4571" t="s">
        <v>6926</v>
      </c>
      <c r="F4571" s="150" t="s">
        <v>6926</v>
      </c>
      <c r="G4571" s="149" t="s">
        <v>400</v>
      </c>
      <c r="H4571" s="150" t="str">
        <f>IF(Proc[[#This Row],[type]]="LFF (MDG-F)",MID(Proc[[#This Row],[Obj]],13,10),"")</f>
        <v/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70">
        <v>45981</v>
      </c>
      <c r="N4571" s="171"/>
      <c r="O4571" s="171"/>
      <c r="P4571" s="170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10</v>
      </c>
      <c r="R4571" s="170" t="s">
        <v>515</v>
      </c>
      <c r="S4571" s="150"/>
    </row>
    <row r="4572" spans="1:19" hidden="1">
      <c r="A4572" s="149" t="s">
        <v>6928</v>
      </c>
      <c r="B4572" s="150" t="str">
        <f>IFERROR(VLOOKUP(Proc[[#This Row],[App]],Table2[],3,0),"open")</f>
        <v>ok</v>
      </c>
      <c r="C4572" s="149" t="s">
        <v>369</v>
      </c>
      <c r="D4572" t="s">
        <v>6924</v>
      </c>
      <c r="E4572" t="s">
        <v>6926</v>
      </c>
      <c r="F4572" s="150" t="s">
        <v>6926</v>
      </c>
      <c r="G4572" s="149" t="s">
        <v>400</v>
      </c>
      <c r="H4572" s="150" t="str">
        <f>IF(Proc[[#This Row],[type]]="LFF (MDG-F)",MID(Proc[[#This Row],[Obj]],13,10),"")</f>
        <v/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70">
        <v>45981</v>
      </c>
      <c r="N4572" s="171"/>
      <c r="O4572" s="171"/>
      <c r="P4572" s="170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10</v>
      </c>
      <c r="R4572" s="170" t="s">
        <v>515</v>
      </c>
      <c r="S4572" s="150"/>
    </row>
    <row r="4573" spans="1:19" hidden="1">
      <c r="A4573" s="149" t="s">
        <v>6928</v>
      </c>
      <c r="B4573" s="150" t="str">
        <f>IFERROR(VLOOKUP(Proc[[#This Row],[App]],Table2[],3,0),"open")</f>
        <v>ok</v>
      </c>
      <c r="C4573" s="149" t="s">
        <v>369</v>
      </c>
      <c r="D4573" t="s">
        <v>1132</v>
      </c>
      <c r="E4573" t="s">
        <v>6927</v>
      </c>
      <c r="F4573" s="150" t="s">
        <v>6927</v>
      </c>
      <c r="G4573" s="149" t="s">
        <v>400</v>
      </c>
      <c r="H4573" s="150" t="str">
        <f>IF(Proc[[#This Row],[type]]="LFF (MDG-F)",MID(Proc[[#This Row],[Obj]],13,10),"")</f>
        <v/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70">
        <v>45981</v>
      </c>
      <c r="N4573" s="171"/>
      <c r="O4573" s="171"/>
      <c r="P4573" s="170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10</v>
      </c>
      <c r="R4573" s="170" t="s">
        <v>515</v>
      </c>
      <c r="S4573" s="150"/>
    </row>
    <row r="4574" spans="1:19" hidden="1">
      <c r="A4574" s="149" t="s">
        <v>6928</v>
      </c>
      <c r="B4574" s="150" t="str">
        <f>IFERROR(VLOOKUP(Proc[[#This Row],[App]],Table2[],3,0),"open")</f>
        <v>ok</v>
      </c>
      <c r="C4574" s="149" t="s">
        <v>369</v>
      </c>
      <c r="D4574" t="s">
        <v>1820</v>
      </c>
      <c r="E4574" t="s">
        <v>6927</v>
      </c>
      <c r="F4574" s="150" t="s">
        <v>6927</v>
      </c>
      <c r="G4574" s="149" t="s">
        <v>406</v>
      </c>
      <c r="H4574" s="150" t="str">
        <f>IF(Proc[[#This Row],[type]]="LFF (MDG-F)",MID(Proc[[#This Row],[Obj]],13,10),"")</f>
        <v>DE10G69660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70">
        <v>45981</v>
      </c>
      <c r="N4574" s="171"/>
      <c r="O4574" s="171"/>
      <c r="P4574" s="170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10</v>
      </c>
      <c r="R4574" s="170" t="s">
        <v>515</v>
      </c>
      <c r="S4574" s="150"/>
    </row>
    <row r="4575" spans="1:19" hidden="1">
      <c r="A4575" s="149" t="s">
        <v>6928</v>
      </c>
      <c r="B4575" s="150" t="str">
        <f>IFERROR(VLOOKUP(Proc[[#This Row],[App]],Table2[],3,0),"open")</f>
        <v>ok</v>
      </c>
      <c r="C4575" s="149" t="s">
        <v>369</v>
      </c>
      <c r="D4575" t="s">
        <v>6925</v>
      </c>
      <c r="E4575" t="s">
        <v>6926</v>
      </c>
      <c r="F4575" s="150" t="s">
        <v>6926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70">
        <v>45981</v>
      </c>
      <c r="N4575" s="171"/>
      <c r="O4575" s="171"/>
      <c r="P4575" s="170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10</v>
      </c>
      <c r="R4575" s="170" t="s">
        <v>515</v>
      </c>
      <c r="S4575" s="150"/>
    </row>
    <row r="4576" spans="1:19" hidden="1">
      <c r="A4576" t="s">
        <v>6929</v>
      </c>
      <c r="B4576" s="150" t="str">
        <f>IFERROR(VLOOKUP(Proc[[#This Row],[App]],Table2[],3,0),"open")</f>
        <v>ok</v>
      </c>
      <c r="C4576" s="149" t="s">
        <v>369</v>
      </c>
      <c r="D4576" t="s">
        <v>6847</v>
      </c>
      <c r="E4576" t="s">
        <v>6852</v>
      </c>
      <c r="F4576" s="150" t="s">
        <v>6852</v>
      </c>
      <c r="G4576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LS</v>
      </c>
      <c r="L4576" s="150" t="s">
        <v>6435</v>
      </c>
      <c r="M4576" s="170">
        <v>45983</v>
      </c>
      <c r="N4576" s="171"/>
      <c r="O4576" s="171"/>
      <c r="P4576" s="170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8</v>
      </c>
      <c r="R4576" s="170" t="s">
        <v>489</v>
      </c>
      <c r="S4576" s="150"/>
    </row>
    <row r="4577" spans="1:19" hidden="1">
      <c r="A4577" s="149" t="s">
        <v>6929</v>
      </c>
      <c r="B4577" s="150" t="str">
        <f>IFERROR(VLOOKUP(Proc[[#This Row],[App]],Table2[],3,0),"open")</f>
        <v>ok</v>
      </c>
      <c r="C4577" s="149" t="s">
        <v>369</v>
      </c>
      <c r="D4577" t="s">
        <v>6831</v>
      </c>
      <c r="E4577" t="s">
        <v>2206</v>
      </c>
      <c r="F4577" s="150" t="s">
        <v>2206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LS</v>
      </c>
      <c r="L4577" s="150" t="s">
        <v>6435</v>
      </c>
      <c r="M4577" s="170">
        <v>45983</v>
      </c>
      <c r="N4577" s="171"/>
      <c r="O4577" s="171"/>
      <c r="P4577" s="170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8</v>
      </c>
      <c r="R4577" s="170" t="s">
        <v>489</v>
      </c>
      <c r="S4577" s="150"/>
    </row>
    <row r="4578" spans="1:19" hidden="1">
      <c r="A4578" s="149" t="s">
        <v>6929</v>
      </c>
      <c r="B4578" s="150" t="str">
        <f>IFERROR(VLOOKUP(Proc[[#This Row],[App]],Table2[],3,0),"open")</f>
        <v>ok</v>
      </c>
      <c r="C4578" s="149" t="s">
        <v>369</v>
      </c>
      <c r="D4578" t="s">
        <v>6832</v>
      </c>
      <c r="E4578" t="s">
        <v>2206</v>
      </c>
      <c r="F4578" s="150" t="s">
        <v>2206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LS</v>
      </c>
      <c r="L4578" s="150" t="s">
        <v>6435</v>
      </c>
      <c r="M4578" s="170">
        <v>45983</v>
      </c>
      <c r="N4578" s="171"/>
      <c r="O4578" s="171"/>
      <c r="P4578" s="170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8</v>
      </c>
      <c r="R4578" s="170" t="s">
        <v>489</v>
      </c>
      <c r="S4578" s="150"/>
    </row>
    <row r="4579" spans="1:19" hidden="1">
      <c r="A4579" s="149" t="s">
        <v>6929</v>
      </c>
      <c r="B4579" s="150" t="str">
        <f>IFERROR(VLOOKUP(Proc[[#This Row],[App]],Table2[],3,0),"open")</f>
        <v>ok</v>
      </c>
      <c r="C4579" s="149" t="s">
        <v>369</v>
      </c>
      <c r="D4579" t="s">
        <v>6930</v>
      </c>
      <c r="E4579" t="s">
        <v>2191</v>
      </c>
      <c r="F4579" s="150" t="s">
        <v>2191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LS</v>
      </c>
      <c r="L4579" s="150" t="s">
        <v>6435</v>
      </c>
      <c r="M4579" s="170">
        <v>45983</v>
      </c>
      <c r="N4579" s="171"/>
      <c r="O4579" s="171"/>
      <c r="P4579" s="170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8</v>
      </c>
      <c r="R4579" s="170" t="s">
        <v>489</v>
      </c>
      <c r="S4579" s="150"/>
    </row>
    <row r="4580" spans="1:19" hidden="1">
      <c r="A4580" s="149" t="s">
        <v>6929</v>
      </c>
      <c r="B4580" s="150" t="str">
        <f>IFERROR(VLOOKUP(Proc[[#This Row],[App]],Table2[],3,0),"open")</f>
        <v>ok</v>
      </c>
      <c r="C4580" s="149" t="s">
        <v>369</v>
      </c>
      <c r="D4580" t="s">
        <v>6967</v>
      </c>
      <c r="E4580" t="s">
        <v>6932</v>
      </c>
      <c r="F4580" s="150" t="s">
        <v>6932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LS</v>
      </c>
      <c r="L4580" s="150" t="s">
        <v>6435</v>
      </c>
      <c r="M4580" s="170">
        <v>45983</v>
      </c>
      <c r="N4580" s="171"/>
      <c r="O4580" s="171"/>
      <c r="P4580" s="170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8</v>
      </c>
      <c r="R4580" s="170" t="s">
        <v>489</v>
      </c>
      <c r="S4580" s="150"/>
    </row>
    <row r="4581" spans="1:19" hidden="1">
      <c r="A4581" s="149" t="s">
        <v>6929</v>
      </c>
      <c r="B4581" s="150" t="str">
        <f>IFERROR(VLOOKUP(Proc[[#This Row],[App]],Table2[],3,0),"open")</f>
        <v>ok</v>
      </c>
      <c r="C4581" s="149" t="s">
        <v>369</v>
      </c>
      <c r="D4581" t="s">
        <v>6931</v>
      </c>
      <c r="E4581" t="s">
        <v>6933</v>
      </c>
      <c r="F4581" s="150" t="s">
        <v>6933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LS</v>
      </c>
      <c r="L4581" s="150" t="s">
        <v>6435</v>
      </c>
      <c r="M4581" s="170">
        <v>45983</v>
      </c>
      <c r="N4581" s="171"/>
      <c r="O4581" s="171"/>
      <c r="P4581" s="170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8</v>
      </c>
      <c r="R4581" s="170" t="s">
        <v>489</v>
      </c>
      <c r="S4581" s="150"/>
    </row>
    <row r="4582" spans="1:19" hidden="1">
      <c r="A4582" t="s">
        <v>6934</v>
      </c>
      <c r="B4582" s="150" t="str">
        <f>IFERROR(VLOOKUP(Proc[[#This Row],[App]],Table2[],3,0),"open")</f>
        <v>ok</v>
      </c>
      <c r="C4582" s="149" t="s">
        <v>369</v>
      </c>
      <c r="D4582" t="s">
        <v>3494</v>
      </c>
      <c r="E4582" t="s">
        <v>1974</v>
      </c>
      <c r="F4582" s="150" t="s">
        <v>1974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LS</v>
      </c>
      <c r="L4582" s="150" t="s">
        <v>6435</v>
      </c>
      <c r="M4582" s="170">
        <v>45983</v>
      </c>
      <c r="N4582" s="171"/>
      <c r="O4582" s="171"/>
      <c r="P4582" s="170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8</v>
      </c>
      <c r="R4582" s="170" t="s">
        <v>489</v>
      </c>
      <c r="S4582" s="150"/>
    </row>
    <row r="4583" spans="1:19" hidden="1">
      <c r="A4583" s="149" t="s">
        <v>6934</v>
      </c>
      <c r="B4583" s="150" t="str">
        <f>IFERROR(VLOOKUP(Proc[[#This Row],[App]],Table2[],3,0),"open")</f>
        <v>ok</v>
      </c>
      <c r="C4583" s="149" t="s">
        <v>369</v>
      </c>
      <c r="D4583" t="s">
        <v>6935</v>
      </c>
      <c r="E4583" t="s">
        <v>6954</v>
      </c>
      <c r="F4583" s="150" t="s">
        <v>6954</v>
      </c>
      <c r="G4583" s="149" t="s">
        <v>400</v>
      </c>
      <c r="H4583" s="150" t="str">
        <f>IF(Proc[[#This Row],[type]]="LFF (MDG-F)",MID(Proc[[#This Row],[Obj]],13,10),"")</f>
        <v/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LS</v>
      </c>
      <c r="L4583" s="150" t="s">
        <v>6435</v>
      </c>
      <c r="M4583" s="170">
        <v>45983</v>
      </c>
      <c r="N4583" s="171"/>
      <c r="O4583" s="171"/>
      <c r="P4583" s="170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8</v>
      </c>
      <c r="R4583" s="170" t="s">
        <v>489</v>
      </c>
      <c r="S4583" s="150"/>
    </row>
    <row r="4584" spans="1:19" hidden="1">
      <c r="A4584" s="149" t="s">
        <v>6934</v>
      </c>
      <c r="B4584" s="150" t="str">
        <f>IFERROR(VLOOKUP(Proc[[#This Row],[App]],Table2[],3,0),"open")</f>
        <v>ok</v>
      </c>
      <c r="C4584" s="149" t="s">
        <v>369</v>
      </c>
      <c r="D4584" t="s">
        <v>6936</v>
      </c>
      <c r="E4584" t="s">
        <v>3521</v>
      </c>
      <c r="F4584" s="150" t="s">
        <v>3521</v>
      </c>
      <c r="G4584" s="149" t="s">
        <v>400</v>
      </c>
      <c r="H4584" s="150" t="str">
        <f>IF(Proc[[#This Row],[type]]="LFF (MDG-F)",MID(Proc[[#This Row],[Obj]],13,10),"")</f>
        <v/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LS</v>
      </c>
      <c r="L4584" s="150" t="s">
        <v>6435</v>
      </c>
      <c r="M4584" s="170">
        <v>45983</v>
      </c>
      <c r="N4584" s="171"/>
      <c r="O4584" s="171"/>
      <c r="P4584" s="170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8</v>
      </c>
      <c r="R4584" s="170" t="s">
        <v>489</v>
      </c>
      <c r="S4584" s="150"/>
    </row>
    <row r="4585" spans="1:19" hidden="1">
      <c r="A4585" s="149" t="s">
        <v>6934</v>
      </c>
      <c r="B4585" s="150" t="str">
        <f>IFERROR(VLOOKUP(Proc[[#This Row],[App]],Table2[],3,0),"open")</f>
        <v>ok</v>
      </c>
      <c r="C4585" s="149" t="s">
        <v>369</v>
      </c>
      <c r="D4585" t="s">
        <v>6937</v>
      </c>
      <c r="E4585" t="s">
        <v>3521</v>
      </c>
      <c r="F4585" s="150" t="s">
        <v>3521</v>
      </c>
      <c r="G4585" s="149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LS</v>
      </c>
      <c r="L4585" s="150" t="s">
        <v>6435</v>
      </c>
      <c r="M4585" s="170">
        <v>45983</v>
      </c>
      <c r="N4585" s="171"/>
      <c r="O4585" s="171"/>
      <c r="P4585" s="170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8</v>
      </c>
      <c r="R4585" s="170" t="s">
        <v>489</v>
      </c>
      <c r="S4585" s="150"/>
    </row>
    <row r="4586" spans="1:19" hidden="1">
      <c r="A4586" s="149" t="s">
        <v>6934</v>
      </c>
      <c r="B4586" s="150" t="str">
        <f>IFERROR(VLOOKUP(Proc[[#This Row],[App]],Table2[],3,0),"open")</f>
        <v>ok</v>
      </c>
      <c r="C4586" s="149" t="s">
        <v>369</v>
      </c>
      <c r="D4586" t="s">
        <v>6938</v>
      </c>
      <c r="E4586" t="s">
        <v>3521</v>
      </c>
      <c r="F4586" s="150" t="s">
        <v>3521</v>
      </c>
      <c r="G4586" s="149" t="s">
        <v>400</v>
      </c>
      <c r="H4586" s="150" t="str">
        <f>IF(Proc[[#This Row],[type]]="LFF (MDG-F)",MID(Proc[[#This Row],[Obj]],13,10),"")</f>
        <v/>
      </c>
      <c r="J4586" s="150" t="b">
        <f>Proc[[#This Row],[Requested]]=Proc[[#This Row],[CurrentParent]]</f>
        <v>1</v>
      </c>
      <c r="K4586" s="150" t="str">
        <f>IF(Proc[[#This Row],[Author]]="Marcela Urrego",VLOOKUP(LEFT(Proc[[#This Row],[Requested]],1),Table3[#All],2,0),VLOOKUP(Proc[[#This Row],[Author]],Table4[],2,0))</f>
        <v>LS</v>
      </c>
      <c r="L4586" s="150" t="s">
        <v>6435</v>
      </c>
      <c r="M4586" s="170">
        <v>45983</v>
      </c>
      <c r="N4586" s="171"/>
      <c r="O4586" s="171"/>
      <c r="P4586" s="170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8</v>
      </c>
      <c r="R4586" s="170" t="s">
        <v>489</v>
      </c>
      <c r="S4586" s="150"/>
    </row>
    <row r="4587" spans="1:19" hidden="1">
      <c r="A4587" s="149" t="s">
        <v>6934</v>
      </c>
      <c r="B4587" s="150" t="str">
        <f>IFERROR(VLOOKUP(Proc[[#This Row],[App]],Table2[],3,0),"open")</f>
        <v>ok</v>
      </c>
      <c r="C4587" s="149" t="s">
        <v>369</v>
      </c>
      <c r="D4587" t="s">
        <v>5789</v>
      </c>
      <c r="E4587" t="s">
        <v>6955</v>
      </c>
      <c r="F4587" s="150" t="s">
        <v>6955</v>
      </c>
      <c r="G4587" s="149" t="s">
        <v>400</v>
      </c>
      <c r="H4587" s="150" t="str">
        <f>IF(Proc[[#This Row],[type]]="LFF (MDG-F)",MID(Proc[[#This Row],[Obj]],13,10),"")</f>
        <v/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LS</v>
      </c>
      <c r="L4587" s="150" t="s">
        <v>6435</v>
      </c>
      <c r="M4587" s="170">
        <v>45983</v>
      </c>
      <c r="N4587" s="171"/>
      <c r="O4587" s="171"/>
      <c r="P4587" s="170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8</v>
      </c>
      <c r="R4587" s="170" t="s">
        <v>489</v>
      </c>
      <c r="S4587" s="150"/>
    </row>
    <row r="4588" spans="1:19" hidden="1">
      <c r="A4588" s="149" t="s">
        <v>6934</v>
      </c>
      <c r="B4588" s="150" t="str">
        <f>IFERROR(VLOOKUP(Proc[[#This Row],[App]],Table2[],3,0),"open")</f>
        <v>ok</v>
      </c>
      <c r="C4588" s="149" t="s">
        <v>369</v>
      </c>
      <c r="D4588" t="s">
        <v>3485</v>
      </c>
      <c r="E4588" t="s">
        <v>3532</v>
      </c>
      <c r="F4588" s="150" t="s">
        <v>3532</v>
      </c>
      <c r="G4588" s="149" t="s">
        <v>400</v>
      </c>
      <c r="H4588" s="150" t="str">
        <f>IF(Proc[[#This Row],[type]]="LFF (MDG-F)",MID(Proc[[#This Row],[Obj]],13,10),"")</f>
        <v/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LS</v>
      </c>
      <c r="L4588" s="150" t="s">
        <v>6435</v>
      </c>
      <c r="M4588" s="170">
        <v>45983</v>
      </c>
      <c r="N4588" s="171"/>
      <c r="O4588" s="171"/>
      <c r="P4588" s="170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8</v>
      </c>
      <c r="R4588" s="170" t="s">
        <v>489</v>
      </c>
      <c r="S4588" s="150"/>
    </row>
    <row r="4589" spans="1:19" hidden="1">
      <c r="A4589" s="149" t="s">
        <v>6934</v>
      </c>
      <c r="B4589" s="150" t="str">
        <f>IFERROR(VLOOKUP(Proc[[#This Row],[App]],Table2[],3,0),"open")</f>
        <v>ok</v>
      </c>
      <c r="C4589" s="149" t="s">
        <v>369</v>
      </c>
      <c r="D4589" t="s">
        <v>3454</v>
      </c>
      <c r="E4589" t="s">
        <v>6956</v>
      </c>
      <c r="F4589" s="150" t="s">
        <v>6956</v>
      </c>
      <c r="G4589" s="149" t="s">
        <v>400</v>
      </c>
      <c r="H4589" s="150" t="str">
        <f>IF(Proc[[#This Row],[type]]="LFF (MDG-F)",MID(Proc[[#This Row],[Obj]],13,10),"")</f>
        <v/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LS</v>
      </c>
      <c r="L4589" s="150" t="s">
        <v>6435</v>
      </c>
      <c r="M4589" s="170">
        <v>45983</v>
      </c>
      <c r="N4589" s="171"/>
      <c r="O4589" s="171"/>
      <c r="P4589" s="170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8</v>
      </c>
      <c r="R4589" s="170" t="s">
        <v>489</v>
      </c>
      <c r="S4589" s="150"/>
    </row>
    <row r="4590" spans="1:19" hidden="1">
      <c r="A4590" s="149" t="s">
        <v>6934</v>
      </c>
      <c r="B4590" s="150" t="str">
        <f>IFERROR(VLOOKUP(Proc[[#This Row],[App]],Table2[],3,0),"open")</f>
        <v>ok</v>
      </c>
      <c r="C4590" s="149" t="s">
        <v>369</v>
      </c>
      <c r="D4590" t="s">
        <v>6939</v>
      </c>
      <c r="E4590" t="s">
        <v>6957</v>
      </c>
      <c r="F4590" s="150" t="s">
        <v>6957</v>
      </c>
      <c r="G4590" s="149" t="s">
        <v>400</v>
      </c>
      <c r="H4590" s="150" t="str">
        <f>IF(Proc[[#This Row],[type]]="LFF (MDG-F)",MID(Proc[[#This Row],[Obj]],13,10),"")</f>
        <v/>
      </c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LS</v>
      </c>
      <c r="L4590" s="150" t="s">
        <v>6435</v>
      </c>
      <c r="M4590" s="170">
        <v>45983</v>
      </c>
      <c r="N4590" s="171"/>
      <c r="O4590" s="171"/>
      <c r="P4590" s="170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8</v>
      </c>
      <c r="R4590" s="170" t="s">
        <v>489</v>
      </c>
      <c r="S4590" s="150"/>
    </row>
    <row r="4591" spans="1:19" hidden="1">
      <c r="A4591" s="149" t="s">
        <v>6934</v>
      </c>
      <c r="B4591" s="150" t="str">
        <f>IFERROR(VLOOKUP(Proc[[#This Row],[App]],Table2[],3,0),"open")</f>
        <v>ok</v>
      </c>
      <c r="C4591" s="149" t="s">
        <v>369</v>
      </c>
      <c r="D4591" t="s">
        <v>3427</v>
      </c>
      <c r="E4591" t="s">
        <v>6958</v>
      </c>
      <c r="F4591" s="150" t="s">
        <v>6958</v>
      </c>
      <c r="G4591" s="149" t="s">
        <v>400</v>
      </c>
      <c r="H4591" s="150" t="str">
        <f>IF(Proc[[#This Row],[type]]="LFF (MDG-F)",MID(Proc[[#This Row],[Obj]],13,10),"")</f>
        <v/>
      </c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LS</v>
      </c>
      <c r="L4591" s="150" t="s">
        <v>6435</v>
      </c>
      <c r="M4591" s="170">
        <v>45983</v>
      </c>
      <c r="N4591" s="171"/>
      <c r="O4591" s="171"/>
      <c r="P4591" s="170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8</v>
      </c>
      <c r="R4591" s="170" t="s">
        <v>489</v>
      </c>
      <c r="S4591" s="150"/>
    </row>
    <row r="4592" spans="1:19" hidden="1">
      <c r="A4592" s="149" t="s">
        <v>6934</v>
      </c>
      <c r="B4592" s="150" t="str">
        <f>IFERROR(VLOOKUP(Proc[[#This Row],[App]],Table2[],3,0),"open")</f>
        <v>ok</v>
      </c>
      <c r="C4592" s="149" t="s">
        <v>369</v>
      </c>
      <c r="D4592" t="s">
        <v>6940</v>
      </c>
      <c r="E4592" t="s">
        <v>6959</v>
      </c>
      <c r="F4592" s="150" t="s">
        <v>6959</v>
      </c>
      <c r="G4592" s="149" t="s">
        <v>400</v>
      </c>
      <c r="H4592" s="150" t="str">
        <f>IF(Proc[[#This Row],[type]]="LFF (MDG-F)",MID(Proc[[#This Row],[Obj]],13,10),"")</f>
        <v/>
      </c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LS</v>
      </c>
      <c r="L4592" s="150" t="s">
        <v>6435</v>
      </c>
      <c r="M4592" s="170">
        <v>45983</v>
      </c>
      <c r="N4592" s="171"/>
      <c r="O4592" s="171"/>
      <c r="P4592" s="170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8</v>
      </c>
      <c r="R4592" s="170" t="s">
        <v>489</v>
      </c>
      <c r="S4592" s="150"/>
    </row>
    <row r="4593" spans="1:19" hidden="1">
      <c r="A4593" s="149" t="s">
        <v>6934</v>
      </c>
      <c r="B4593" s="150" t="str">
        <f>IFERROR(VLOOKUP(Proc[[#This Row],[App]],Table2[],3,0),"open")</f>
        <v>ok</v>
      </c>
      <c r="C4593" s="149" t="s">
        <v>369</v>
      </c>
      <c r="D4593" t="s">
        <v>6941</v>
      </c>
      <c r="E4593" t="s">
        <v>6960</v>
      </c>
      <c r="F4593" s="150" t="s">
        <v>6960</v>
      </c>
      <c r="G4593" s="149" t="s">
        <v>400</v>
      </c>
      <c r="H4593" s="150" t="str">
        <f>IF(Proc[[#This Row],[type]]="LFF (MDG-F)",MID(Proc[[#This Row],[Obj]],13,10),"")</f>
        <v/>
      </c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LS</v>
      </c>
      <c r="L4593" s="150" t="s">
        <v>6435</v>
      </c>
      <c r="M4593" s="170">
        <v>45983</v>
      </c>
      <c r="N4593" s="171"/>
      <c r="O4593" s="171"/>
      <c r="P4593" s="170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8</v>
      </c>
      <c r="R4593" s="170" t="s">
        <v>489</v>
      </c>
      <c r="S4593" s="150"/>
    </row>
    <row r="4594" spans="1:19" hidden="1">
      <c r="A4594" s="149" t="s">
        <v>6934</v>
      </c>
      <c r="B4594" s="150" t="str">
        <f>IFERROR(VLOOKUP(Proc[[#This Row],[App]],Table2[],3,0),"open")</f>
        <v>ok</v>
      </c>
      <c r="C4594" s="149" t="s">
        <v>369</v>
      </c>
      <c r="D4594" t="s">
        <v>6942</v>
      </c>
      <c r="E4594" t="s">
        <v>2385</v>
      </c>
      <c r="F4594" s="150" t="s">
        <v>2385</v>
      </c>
      <c r="G4594" s="149" t="s">
        <v>400</v>
      </c>
      <c r="H4594" s="150" t="str">
        <f>IF(Proc[[#This Row],[type]]="LFF (MDG-F)",MID(Proc[[#This Row],[Obj]],13,10),"")</f>
        <v/>
      </c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LS</v>
      </c>
      <c r="L4594" s="150" t="s">
        <v>6435</v>
      </c>
      <c r="M4594" s="170">
        <v>45983</v>
      </c>
      <c r="N4594" s="171"/>
      <c r="O4594" s="171"/>
      <c r="P4594" s="170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8</v>
      </c>
      <c r="R4594" s="170" t="s">
        <v>489</v>
      </c>
      <c r="S4594" s="150"/>
    </row>
    <row r="4595" spans="1:19" hidden="1">
      <c r="A4595" s="149" t="s">
        <v>6934</v>
      </c>
      <c r="B4595" s="150" t="str">
        <f>IFERROR(VLOOKUP(Proc[[#This Row],[App]],Table2[],3,0),"open")</f>
        <v>ok</v>
      </c>
      <c r="C4595" s="149" t="s">
        <v>369</v>
      </c>
      <c r="D4595" t="s">
        <v>6943</v>
      </c>
      <c r="E4595" t="s">
        <v>6961</v>
      </c>
      <c r="F4595" s="150" t="s">
        <v>6961</v>
      </c>
      <c r="G4595" s="149" t="s">
        <v>400</v>
      </c>
      <c r="H4595" s="150" t="str">
        <f>IF(Proc[[#This Row],[type]]="LFF (MDG-F)",MID(Proc[[#This Row],[Obj]],13,10),"")</f>
        <v/>
      </c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LS</v>
      </c>
      <c r="L4595" s="150" t="s">
        <v>6435</v>
      </c>
      <c r="M4595" s="170">
        <v>45983</v>
      </c>
      <c r="N4595" s="171"/>
      <c r="O4595" s="171"/>
      <c r="P4595" s="170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8</v>
      </c>
      <c r="R4595" s="170" t="s">
        <v>489</v>
      </c>
      <c r="S4595" s="150"/>
    </row>
    <row r="4596" spans="1:19" hidden="1">
      <c r="A4596" s="149" t="s">
        <v>6934</v>
      </c>
      <c r="B4596" s="150" t="str">
        <f>IFERROR(VLOOKUP(Proc[[#This Row],[App]],Table2[],3,0),"open")</f>
        <v>ok</v>
      </c>
      <c r="C4596" s="149" t="s">
        <v>369</v>
      </c>
      <c r="D4596" t="s">
        <v>6944</v>
      </c>
      <c r="E4596" t="s">
        <v>6962</v>
      </c>
      <c r="F4596" s="150" t="s">
        <v>6962</v>
      </c>
      <c r="G4596" s="149" t="s">
        <v>400</v>
      </c>
      <c r="H4596" s="150" t="str">
        <f>IF(Proc[[#This Row],[type]]="LFF (MDG-F)",MID(Proc[[#This Row],[Obj]],13,10),"")</f>
        <v/>
      </c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LS</v>
      </c>
      <c r="L4596" s="150" t="s">
        <v>6435</v>
      </c>
      <c r="M4596" s="170">
        <v>45983</v>
      </c>
      <c r="N4596" s="171"/>
      <c r="O4596" s="171"/>
      <c r="P4596" s="170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8</v>
      </c>
      <c r="R4596" s="170" t="s">
        <v>489</v>
      </c>
      <c r="S4596" s="150"/>
    </row>
    <row r="4597" spans="1:19" hidden="1">
      <c r="A4597" s="149" t="s">
        <v>6934</v>
      </c>
      <c r="B4597" s="150" t="str">
        <f>IFERROR(VLOOKUP(Proc[[#This Row],[App]],Table2[],3,0),"open")</f>
        <v>ok</v>
      </c>
      <c r="C4597" s="149" t="s">
        <v>369</v>
      </c>
      <c r="D4597" t="s">
        <v>6945</v>
      </c>
      <c r="E4597" t="s">
        <v>6963</v>
      </c>
      <c r="F4597" s="150" t="s">
        <v>6963</v>
      </c>
      <c r="G4597" s="149" t="s">
        <v>400</v>
      </c>
      <c r="H4597" s="150" t="str">
        <f>IF(Proc[[#This Row],[type]]="LFF (MDG-F)",MID(Proc[[#This Row],[Obj]],13,10),"")</f>
        <v/>
      </c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LS</v>
      </c>
      <c r="L4597" s="150" t="s">
        <v>6435</v>
      </c>
      <c r="M4597" s="170">
        <v>45983</v>
      </c>
      <c r="N4597" s="171"/>
      <c r="O4597" s="171"/>
      <c r="P4597" s="170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8</v>
      </c>
      <c r="R4597" s="170" t="s">
        <v>489</v>
      </c>
      <c r="S4597" s="150"/>
    </row>
    <row r="4598" spans="1:19" hidden="1">
      <c r="A4598" s="149" t="s">
        <v>6934</v>
      </c>
      <c r="B4598" s="150" t="str">
        <f>IFERROR(VLOOKUP(Proc[[#This Row],[App]],Table2[],3,0),"open")</f>
        <v>ok</v>
      </c>
      <c r="C4598" s="149" t="s">
        <v>369</v>
      </c>
      <c r="D4598" t="s">
        <v>6946</v>
      </c>
      <c r="E4598" t="s">
        <v>6963</v>
      </c>
      <c r="F4598" s="150" t="s">
        <v>6963</v>
      </c>
      <c r="G4598" s="149" t="s">
        <v>400</v>
      </c>
      <c r="H4598" s="150" t="str">
        <f>IF(Proc[[#This Row],[type]]="LFF (MDG-F)",MID(Proc[[#This Row],[Obj]],13,10),"")</f>
        <v/>
      </c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LS</v>
      </c>
      <c r="L4598" s="150" t="s">
        <v>6435</v>
      </c>
      <c r="M4598" s="170">
        <v>45983</v>
      </c>
      <c r="N4598" s="171"/>
      <c r="O4598" s="171"/>
      <c r="P4598" s="170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8</v>
      </c>
      <c r="R4598" s="170" t="s">
        <v>489</v>
      </c>
      <c r="S4598" s="150"/>
    </row>
    <row r="4599" spans="1:19" hidden="1">
      <c r="A4599" s="149" t="s">
        <v>6934</v>
      </c>
      <c r="B4599" s="150" t="str">
        <f>IFERROR(VLOOKUP(Proc[[#This Row],[App]],Table2[],3,0),"open")</f>
        <v>ok</v>
      </c>
      <c r="C4599" s="149" t="s">
        <v>369</v>
      </c>
      <c r="D4599" t="s">
        <v>6947</v>
      </c>
      <c r="E4599" t="s">
        <v>6964</v>
      </c>
      <c r="F4599" s="150" t="s">
        <v>6964</v>
      </c>
      <c r="G4599" s="149" t="s">
        <v>406</v>
      </c>
      <c r="H4599" s="150" t="str">
        <f>IF(Proc[[#This Row],[type]]="LFF (MDG-F)",MID(Proc[[#This Row],[Obj]],13,10),"")</f>
        <v>2125C03326</v>
      </c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LS</v>
      </c>
      <c r="L4599" s="150" t="s">
        <v>6435</v>
      </c>
      <c r="M4599" s="170">
        <v>45983</v>
      </c>
      <c r="N4599" s="171"/>
      <c r="O4599" s="171"/>
      <c r="P4599" s="170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8</v>
      </c>
      <c r="R4599" s="170" t="s">
        <v>489</v>
      </c>
      <c r="S4599" s="150"/>
    </row>
    <row r="4600" spans="1:19" hidden="1">
      <c r="A4600" s="149" t="s">
        <v>6934</v>
      </c>
      <c r="B4600" s="150" t="str">
        <f>IFERROR(VLOOKUP(Proc[[#This Row],[App]],Table2[],3,0),"open")</f>
        <v>ok</v>
      </c>
      <c r="C4600" s="149" t="s">
        <v>369</v>
      </c>
      <c r="D4600" t="s">
        <v>6948</v>
      </c>
      <c r="E4600" t="s">
        <v>6965</v>
      </c>
      <c r="F4600" s="150" t="s">
        <v>6965</v>
      </c>
      <c r="G4600" s="149" t="s">
        <v>406</v>
      </c>
      <c r="H4600" s="150" t="str">
        <f>IF(Proc[[#This Row],[type]]="LFF (MDG-F)",MID(Proc[[#This Row],[Obj]],13,10),"")</f>
        <v>2022TQAZ93</v>
      </c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LS</v>
      </c>
      <c r="L4600" s="150" t="s">
        <v>6435</v>
      </c>
      <c r="M4600" s="170">
        <v>45983</v>
      </c>
      <c r="N4600" s="171"/>
      <c r="O4600" s="171"/>
      <c r="P4600" s="170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8</v>
      </c>
      <c r="R4600" s="170" t="s">
        <v>489</v>
      </c>
      <c r="S4600" s="150"/>
    </row>
    <row r="4601" spans="1:19" hidden="1">
      <c r="A4601" s="149" t="s">
        <v>6934</v>
      </c>
      <c r="B4601" s="150" t="str">
        <f>IFERROR(VLOOKUP(Proc[[#This Row],[App]],Table2[],3,0),"open")</f>
        <v>ok</v>
      </c>
      <c r="C4601" s="149" t="s">
        <v>369</v>
      </c>
      <c r="D4601" t="s">
        <v>6949</v>
      </c>
      <c r="E4601" t="s">
        <v>6966</v>
      </c>
      <c r="F4601" s="150" t="s">
        <v>6966</v>
      </c>
      <c r="G4601" s="149" t="s">
        <v>400</v>
      </c>
      <c r="H4601" s="150" t="str">
        <f>IF(Proc[[#This Row],[type]]="LFF (MDG-F)",MID(Proc[[#This Row],[Obj]],13,10),"")</f>
        <v/>
      </c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LS</v>
      </c>
      <c r="L4601" s="150" t="s">
        <v>6435</v>
      </c>
      <c r="M4601" s="170">
        <v>45983</v>
      </c>
      <c r="N4601" s="171"/>
      <c r="O4601" s="171"/>
      <c r="P4601" s="170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8</v>
      </c>
      <c r="R4601" s="170" t="s">
        <v>489</v>
      </c>
      <c r="S4601" s="150"/>
    </row>
    <row r="4602" spans="1:19" hidden="1">
      <c r="A4602" s="149" t="s">
        <v>6934</v>
      </c>
      <c r="B4602" s="150" t="str">
        <f>IFERROR(VLOOKUP(Proc[[#This Row],[App]],Table2[],3,0),"open")</f>
        <v>ok</v>
      </c>
      <c r="C4602" s="149" t="s">
        <v>369</v>
      </c>
      <c r="D4602" t="s">
        <v>6950</v>
      </c>
      <c r="E4602" t="s">
        <v>6966</v>
      </c>
      <c r="F4602" s="150" t="s">
        <v>6966</v>
      </c>
      <c r="G4602" s="149" t="s">
        <v>400</v>
      </c>
      <c r="H4602" s="150" t="str">
        <f>IF(Proc[[#This Row],[type]]="LFF (MDG-F)",MID(Proc[[#This Row],[Obj]],13,10),"")</f>
        <v/>
      </c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LS</v>
      </c>
      <c r="L4602" s="150" t="s">
        <v>6435</v>
      </c>
      <c r="M4602" s="170">
        <v>45983</v>
      </c>
      <c r="N4602" s="171"/>
      <c r="O4602" s="171"/>
      <c r="P4602" s="170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8</v>
      </c>
      <c r="R4602" s="170" t="s">
        <v>489</v>
      </c>
      <c r="S4602" s="150"/>
    </row>
    <row r="4603" spans="1:19" hidden="1">
      <c r="A4603" s="149" t="s">
        <v>6934</v>
      </c>
      <c r="B4603" s="150" t="str">
        <f>IFERROR(VLOOKUP(Proc[[#This Row],[App]],Table2[],3,0),"open")</f>
        <v>ok</v>
      </c>
      <c r="C4603" s="149" t="s">
        <v>369</v>
      </c>
      <c r="D4603" t="s">
        <v>6951</v>
      </c>
      <c r="E4603" t="s">
        <v>4797</v>
      </c>
      <c r="F4603" s="150" t="s">
        <v>4797</v>
      </c>
      <c r="G4603" s="149" t="s">
        <v>406</v>
      </c>
      <c r="H4603" s="150" t="str">
        <f>IF(Proc[[#This Row],[type]]="LFF (MDG-F)",MID(Proc[[#This Row],[Obj]],13,10),"")</f>
        <v>1937TQCZ91</v>
      </c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LS</v>
      </c>
      <c r="L4603" s="150" t="s">
        <v>6435</v>
      </c>
      <c r="M4603" s="170">
        <v>45983</v>
      </c>
      <c r="N4603" s="171"/>
      <c r="O4603" s="171"/>
      <c r="P4603" s="170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8</v>
      </c>
      <c r="R4603" s="170" t="s">
        <v>489</v>
      </c>
      <c r="S4603" s="150"/>
    </row>
    <row r="4604" spans="1:19" hidden="1">
      <c r="A4604" s="149" t="s">
        <v>6934</v>
      </c>
      <c r="B4604" s="150" t="str">
        <f>IFERROR(VLOOKUP(Proc[[#This Row],[App]],Table2[],3,0),"open")</f>
        <v>ok</v>
      </c>
      <c r="C4604" s="149" t="s">
        <v>369</v>
      </c>
      <c r="D4604" t="s">
        <v>6952</v>
      </c>
      <c r="E4604" t="s">
        <v>3615</v>
      </c>
      <c r="F4604" s="150" t="s">
        <v>3615</v>
      </c>
      <c r="G4604" s="149" t="s">
        <v>400</v>
      </c>
      <c r="H4604" s="150" t="str">
        <f>IF(Proc[[#This Row],[type]]="LFF (MDG-F)",MID(Proc[[#This Row],[Obj]],13,10),"")</f>
        <v/>
      </c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LS</v>
      </c>
      <c r="L4604" s="150" t="s">
        <v>6435</v>
      </c>
      <c r="M4604" s="170">
        <v>45983</v>
      </c>
      <c r="N4604" s="171"/>
      <c r="O4604" s="171"/>
      <c r="P4604" s="170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8</v>
      </c>
      <c r="R4604" s="170" t="s">
        <v>489</v>
      </c>
      <c r="S4604" s="150"/>
    </row>
    <row r="4605" spans="1:19" hidden="1">
      <c r="A4605" s="149" t="s">
        <v>6934</v>
      </c>
      <c r="B4605" s="150" t="str">
        <f>IFERROR(VLOOKUP(Proc[[#This Row],[App]],Table2[],3,0),"open")</f>
        <v>ok</v>
      </c>
      <c r="C4605" s="149" t="s">
        <v>369</v>
      </c>
      <c r="D4605" t="s">
        <v>6953</v>
      </c>
      <c r="E4605" t="s">
        <v>6473</v>
      </c>
      <c r="F4605" s="150" t="s">
        <v>6473</v>
      </c>
      <c r="G4605" s="149" t="s">
        <v>406</v>
      </c>
      <c r="H4605" s="150" t="str">
        <f>IF(Proc[[#This Row],[type]]="LFF (MDG-F)",MID(Proc[[#This Row],[Obj]],13,10),"")</f>
        <v>1937TMCZ9J</v>
      </c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LS</v>
      </c>
      <c r="L4605" s="150" t="s">
        <v>6435</v>
      </c>
      <c r="M4605" s="170">
        <v>45983</v>
      </c>
      <c r="N4605" s="171"/>
      <c r="O4605" s="171"/>
      <c r="P4605" s="170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8</v>
      </c>
      <c r="R4605" s="170" t="s">
        <v>489</v>
      </c>
      <c r="S4605" s="150"/>
    </row>
    <row r="4606" spans="1:19" hidden="1">
      <c r="A4606" t="s">
        <v>6968</v>
      </c>
      <c r="B4606" s="150" t="str">
        <f>IFERROR(VLOOKUP(Proc[[#This Row],[App]],Table2[],3,0),"open")</f>
        <v>ok</v>
      </c>
      <c r="C4606" s="149" t="s">
        <v>369</v>
      </c>
      <c r="D4606" t="s">
        <v>6969</v>
      </c>
      <c r="E4606" t="s">
        <v>6972</v>
      </c>
      <c r="F4606" s="150" t="s">
        <v>6972</v>
      </c>
      <c r="G4606" t="s">
        <v>400</v>
      </c>
      <c r="H4606" s="150" t="str">
        <f>IF(Proc[[#This Row],[type]]="LFF (MDG-F)",MID(Proc[[#This Row],[Obj]],13,10),"")</f>
        <v/>
      </c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MGF</v>
      </c>
      <c r="L4606" s="150" t="s">
        <v>6435</v>
      </c>
      <c r="M4606" s="171">
        <v>45985</v>
      </c>
      <c r="N4606" s="171"/>
      <c r="O4606" s="171"/>
      <c r="P4606" s="172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8</v>
      </c>
      <c r="R4606" s="172" t="s">
        <v>515</v>
      </c>
      <c r="S4606" s="150"/>
    </row>
    <row r="4607" spans="1:19" hidden="1">
      <c r="A4607" t="s">
        <v>6968</v>
      </c>
      <c r="B4607" s="150" t="str">
        <f>IFERROR(VLOOKUP(Proc[[#This Row],[App]],Table2[],3,0),"open")</f>
        <v>ok</v>
      </c>
      <c r="C4607" s="149" t="s">
        <v>369</v>
      </c>
      <c r="D4607" t="s">
        <v>6970</v>
      </c>
      <c r="E4607" t="s">
        <v>6973</v>
      </c>
      <c r="F4607" s="150" t="s">
        <v>6973</v>
      </c>
      <c r="G4607" t="s">
        <v>400</v>
      </c>
      <c r="H4607" s="150" t="str">
        <f>IF(Proc[[#This Row],[type]]="LFF (MDG-F)",MID(Proc[[#This Row],[Obj]],13,10),"")</f>
        <v/>
      </c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MGF</v>
      </c>
      <c r="L4607" s="150" t="s">
        <v>6435</v>
      </c>
      <c r="M4607" s="171">
        <v>45985</v>
      </c>
      <c r="N4607" s="171"/>
      <c r="O4607" s="171"/>
      <c r="P4607" s="172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8</v>
      </c>
      <c r="R4607" s="172" t="s">
        <v>515</v>
      </c>
      <c r="S4607" s="150"/>
    </row>
    <row r="4608" spans="1:19" hidden="1">
      <c r="A4608" t="s">
        <v>6968</v>
      </c>
      <c r="B4608" s="150" t="str">
        <f>IFERROR(VLOOKUP(Proc[[#This Row],[App]],Table2[],3,0),"open")</f>
        <v>ok</v>
      </c>
      <c r="C4608" s="149" t="s">
        <v>369</v>
      </c>
      <c r="D4608" t="s">
        <v>6971</v>
      </c>
      <c r="E4608" t="s">
        <v>6973</v>
      </c>
      <c r="F4608" s="150" t="s">
        <v>6973</v>
      </c>
      <c r="G4608" t="s">
        <v>400</v>
      </c>
      <c r="H4608" s="150" t="str">
        <f>IF(Proc[[#This Row],[type]]="LFF (MDG-F)",MID(Proc[[#This Row],[Obj]],13,10),"")</f>
        <v/>
      </c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MGF</v>
      </c>
      <c r="L4608" s="150" t="s">
        <v>6435</v>
      </c>
      <c r="M4608" s="171">
        <v>45985</v>
      </c>
      <c r="N4608" s="171"/>
      <c r="O4608" s="171"/>
      <c r="P4608" s="172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8</v>
      </c>
      <c r="R4608" s="172" t="s">
        <v>515</v>
      </c>
      <c r="S4608" s="150"/>
    </row>
    <row r="4609" spans="1:19" hidden="1">
      <c r="A4609" t="s">
        <v>6974</v>
      </c>
      <c r="B4609" s="150" t="str">
        <f>IFERROR(VLOOKUP(Proc[[#This Row],[App]],Table2[],3,0),"open")</f>
        <v>ok</v>
      </c>
      <c r="C4609" s="149" t="s">
        <v>369</v>
      </c>
      <c r="D4609" t="s">
        <v>6751</v>
      </c>
      <c r="E4609" t="s">
        <v>6983</v>
      </c>
      <c r="F4609" s="150" t="s">
        <v>6983</v>
      </c>
      <c r="G4609" t="s">
        <v>406</v>
      </c>
      <c r="H4609" s="150" t="str">
        <f>IF(Proc[[#This Row],[type]]="LFF (MDG-F)",MID(Proc[[#This Row],[Obj]],13,10),"")</f>
        <v>CN01TPAZ08</v>
      </c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71">
        <v>45985</v>
      </c>
      <c r="N4609" s="171"/>
      <c r="O4609" s="171"/>
      <c r="P4609" s="172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8</v>
      </c>
      <c r="R4609" s="172" t="s">
        <v>5709</v>
      </c>
      <c r="S4609" s="150"/>
    </row>
    <row r="4610" spans="1:19" hidden="1">
      <c r="A4610" t="s">
        <v>6974</v>
      </c>
      <c r="B4610" s="150" t="str">
        <f>IFERROR(VLOOKUP(Proc[[#This Row],[App]],Table2[],3,0),"open")</f>
        <v>ok</v>
      </c>
      <c r="C4610" s="149" t="s">
        <v>369</v>
      </c>
      <c r="D4610" t="s">
        <v>6752</v>
      </c>
      <c r="E4610" s="149" t="s">
        <v>6983</v>
      </c>
      <c r="F4610" s="150" t="s">
        <v>6983</v>
      </c>
      <c r="G4610" t="s">
        <v>406</v>
      </c>
      <c r="H4610" s="150" t="str">
        <f>IF(Proc[[#This Row],[type]]="LFF (MDG-F)",MID(Proc[[#This Row],[Obj]],13,10),"")</f>
        <v>CN01OF0161</v>
      </c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71">
        <v>45985</v>
      </c>
      <c r="N4610" s="171"/>
      <c r="O4610" s="171"/>
      <c r="P4610" s="172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8</v>
      </c>
      <c r="R4610" s="172" t="s">
        <v>5709</v>
      </c>
      <c r="S4610" s="150"/>
    </row>
    <row r="4611" spans="1:19" hidden="1">
      <c r="A4611" s="149" t="s">
        <v>6974</v>
      </c>
      <c r="B4611" s="150" t="str">
        <f>IFERROR(VLOOKUP(Proc[[#This Row],[App]],Table2[],3,0),"open")</f>
        <v>ok</v>
      </c>
      <c r="C4611" s="149" t="s">
        <v>369</v>
      </c>
      <c r="D4611" t="s">
        <v>6753</v>
      </c>
      <c r="E4611" s="149" t="s">
        <v>6983</v>
      </c>
      <c r="F4611" s="150" t="s">
        <v>6983</v>
      </c>
      <c r="G4611" s="149" t="s">
        <v>406</v>
      </c>
      <c r="H4611" s="150" t="str">
        <f>IF(Proc[[#This Row],[type]]="LFF (MDG-F)",MID(Proc[[#This Row],[Obj]],13,10),"")</f>
        <v>CN01TPAZ06</v>
      </c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71">
        <v>45985</v>
      </c>
      <c r="N4611" s="171"/>
      <c r="O4611" s="171"/>
      <c r="P4611" s="172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8</v>
      </c>
      <c r="R4611" s="172" t="s">
        <v>5709</v>
      </c>
      <c r="S4611" s="150"/>
    </row>
    <row r="4612" spans="1:19" hidden="1">
      <c r="A4612" s="149" t="s">
        <v>6974</v>
      </c>
      <c r="B4612" s="150" t="str">
        <f>IFERROR(VLOOKUP(Proc[[#This Row],[App]],Table2[],3,0),"open")</f>
        <v>ok</v>
      </c>
      <c r="C4612" s="149" t="s">
        <v>369</v>
      </c>
      <c r="D4612" t="s">
        <v>6754</v>
      </c>
      <c r="E4612" s="149" t="s">
        <v>6983</v>
      </c>
      <c r="F4612" s="150" t="s">
        <v>6983</v>
      </c>
      <c r="G4612" s="149" t="s">
        <v>406</v>
      </c>
      <c r="H4612" s="150" t="str">
        <f>IF(Proc[[#This Row],[type]]="LFF (MDG-F)",MID(Proc[[#This Row],[Obj]],13,10),"")</f>
        <v>CN02TPZZ05</v>
      </c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71">
        <v>45985</v>
      </c>
      <c r="N4612" s="171"/>
      <c r="O4612" s="171"/>
      <c r="P4612" s="172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8</v>
      </c>
      <c r="R4612" s="172" t="s">
        <v>5709</v>
      </c>
      <c r="S4612" s="150"/>
    </row>
    <row r="4613" spans="1:19" hidden="1">
      <c r="A4613" s="149" t="s">
        <v>6974</v>
      </c>
      <c r="B4613" s="150" t="str">
        <f>IFERROR(VLOOKUP(Proc[[#This Row],[App]],Table2[],3,0),"open")</f>
        <v>ok</v>
      </c>
      <c r="C4613" s="149" t="s">
        <v>369</v>
      </c>
      <c r="D4613" t="s">
        <v>6755</v>
      </c>
      <c r="E4613" s="149" t="s">
        <v>6983</v>
      </c>
      <c r="F4613" s="150" t="s">
        <v>6983</v>
      </c>
      <c r="G4613" s="149" t="s">
        <v>406</v>
      </c>
      <c r="H4613" s="150" t="str">
        <f>IF(Proc[[#This Row],[type]]="LFF (MDG-F)",MID(Proc[[#This Row],[Obj]],13,10),"")</f>
        <v>CN02TPZZ08</v>
      </c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71">
        <v>45985</v>
      </c>
      <c r="N4613" s="171"/>
      <c r="O4613" s="171"/>
      <c r="P4613" s="172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8</v>
      </c>
      <c r="R4613" s="172" t="s">
        <v>5709</v>
      </c>
      <c r="S4613" s="150"/>
    </row>
    <row r="4614" spans="1:19" hidden="1">
      <c r="A4614" s="149" t="s">
        <v>6974</v>
      </c>
      <c r="B4614" s="150" t="str">
        <f>IFERROR(VLOOKUP(Proc[[#This Row],[App]],Table2[],3,0),"open")</f>
        <v>ok</v>
      </c>
      <c r="C4614" s="149" t="s">
        <v>369</v>
      </c>
      <c r="D4614" t="s">
        <v>6756</v>
      </c>
      <c r="E4614" s="149" t="s">
        <v>6983</v>
      </c>
      <c r="F4614" s="150" t="s">
        <v>6983</v>
      </c>
      <c r="G4614" s="149" t="s">
        <v>406</v>
      </c>
      <c r="H4614" s="150" t="str">
        <f>IF(Proc[[#This Row],[type]]="LFF (MDG-F)",MID(Proc[[#This Row],[Obj]],13,10),"")</f>
        <v>CN03TPZZ01</v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EL</v>
      </c>
      <c r="L4614" s="150" t="s">
        <v>6435</v>
      </c>
      <c r="M4614" s="171">
        <v>45985</v>
      </c>
      <c r="N4614" s="171"/>
      <c r="O4614" s="171"/>
      <c r="P4614" s="172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8</v>
      </c>
      <c r="R4614" s="172" t="s">
        <v>5709</v>
      </c>
      <c r="S4614" s="150"/>
    </row>
    <row r="4615" spans="1:19" hidden="1">
      <c r="A4615" s="149" t="s">
        <v>6974</v>
      </c>
      <c r="B4615" s="150" t="str">
        <f>IFERROR(VLOOKUP(Proc[[#This Row],[App]],Table2[],3,0),"open")</f>
        <v>ok</v>
      </c>
      <c r="C4615" s="149" t="s">
        <v>369</v>
      </c>
      <c r="D4615" t="s">
        <v>6757</v>
      </c>
      <c r="E4615" s="149" t="s">
        <v>6983</v>
      </c>
      <c r="F4615" s="150" t="s">
        <v>6983</v>
      </c>
      <c r="G4615" s="149" t="s">
        <v>406</v>
      </c>
      <c r="H4615" s="150" t="str">
        <f>IF(Proc[[#This Row],[type]]="LFF (MDG-F)",MID(Proc[[#This Row],[Obj]],13,10),"")</f>
        <v>CN03TPZZ03</v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EL</v>
      </c>
      <c r="L4615" s="150" t="s">
        <v>6435</v>
      </c>
      <c r="M4615" s="171">
        <v>45985</v>
      </c>
      <c r="N4615" s="171"/>
      <c r="O4615" s="171"/>
      <c r="P4615" s="172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8</v>
      </c>
      <c r="R4615" s="172" t="s">
        <v>5709</v>
      </c>
      <c r="S4615" s="150"/>
    </row>
    <row r="4616" spans="1:19" hidden="1">
      <c r="A4616" s="149" t="s">
        <v>6974</v>
      </c>
      <c r="B4616" s="150" t="str">
        <f>IFERROR(VLOOKUP(Proc[[#This Row],[App]],Table2[],3,0),"open")</f>
        <v>ok</v>
      </c>
      <c r="C4616" s="149" t="s">
        <v>369</v>
      </c>
      <c r="D4616" t="s">
        <v>6758</v>
      </c>
      <c r="E4616" s="149" t="s">
        <v>6983</v>
      </c>
      <c r="F4616" s="150" t="s">
        <v>6983</v>
      </c>
      <c r="G4616" s="149" t="s">
        <v>406</v>
      </c>
      <c r="H4616" s="150" t="str">
        <f>IF(Proc[[#This Row],[type]]="LFF (MDG-F)",MID(Proc[[#This Row],[Obj]],13,10),"")</f>
        <v>CN02TPZZ02</v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EL</v>
      </c>
      <c r="L4616" s="150" t="s">
        <v>6435</v>
      </c>
      <c r="M4616" s="171">
        <v>45985</v>
      </c>
      <c r="N4616" s="171"/>
      <c r="O4616" s="171"/>
      <c r="P4616" s="172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8</v>
      </c>
      <c r="R4616" s="172" t="s">
        <v>5709</v>
      </c>
      <c r="S4616" s="150"/>
    </row>
    <row r="4617" spans="1:19" hidden="1">
      <c r="A4617" s="149" t="s">
        <v>6974</v>
      </c>
      <c r="B4617" s="150" t="str">
        <f>IFERROR(VLOOKUP(Proc[[#This Row],[App]],Table2[],3,0),"open")</f>
        <v>ok</v>
      </c>
      <c r="C4617" s="149" t="s">
        <v>369</v>
      </c>
      <c r="D4617" t="s">
        <v>6759</v>
      </c>
      <c r="E4617" s="149" t="s">
        <v>6983</v>
      </c>
      <c r="F4617" s="150" t="s">
        <v>6983</v>
      </c>
      <c r="G4617" s="149" t="s">
        <v>406</v>
      </c>
      <c r="H4617" s="150" t="str">
        <f>IF(Proc[[#This Row],[type]]="LFF (MDG-F)",MID(Proc[[#This Row],[Obj]],13,10),"")</f>
        <v>CN02TQ1001</v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EL</v>
      </c>
      <c r="L4617" s="150" t="s">
        <v>6435</v>
      </c>
      <c r="M4617" s="171">
        <v>45985</v>
      </c>
      <c r="N4617" s="171"/>
      <c r="O4617" s="171"/>
      <c r="P4617" s="172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8</v>
      </c>
      <c r="R4617" s="172" t="s">
        <v>5709</v>
      </c>
      <c r="S4617" s="150"/>
    </row>
    <row r="4618" spans="1:19" hidden="1">
      <c r="A4618" s="149" t="s">
        <v>6974</v>
      </c>
      <c r="B4618" s="150" t="str">
        <f>IFERROR(VLOOKUP(Proc[[#This Row],[App]],Table2[],3,0),"open")</f>
        <v>ok</v>
      </c>
      <c r="C4618" s="149" t="s">
        <v>369</v>
      </c>
      <c r="D4618" t="s">
        <v>6760</v>
      </c>
      <c r="E4618" s="149" t="s">
        <v>6983</v>
      </c>
      <c r="F4618" s="150" t="s">
        <v>6983</v>
      </c>
      <c r="G4618" s="149" t="s">
        <v>406</v>
      </c>
      <c r="H4618" s="150" t="str">
        <f>IF(Proc[[#This Row],[type]]="LFF (MDG-F)",MID(Proc[[#This Row],[Obj]],13,10),"")</f>
        <v>CN02TQ1002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71">
        <v>45985</v>
      </c>
      <c r="N4618" s="171"/>
      <c r="O4618" s="171"/>
      <c r="P4618" s="172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8</v>
      </c>
      <c r="R4618" s="172" t="s">
        <v>5709</v>
      </c>
      <c r="S4618" s="150"/>
    </row>
    <row r="4619" spans="1:19" hidden="1">
      <c r="A4619" s="149" t="s">
        <v>6974</v>
      </c>
      <c r="B4619" s="150" t="str">
        <f>IFERROR(VLOOKUP(Proc[[#This Row],[App]],Table2[],3,0),"open")</f>
        <v>ok</v>
      </c>
      <c r="C4619" s="149" t="s">
        <v>369</v>
      </c>
      <c r="D4619" t="s">
        <v>6761</v>
      </c>
      <c r="E4619" s="149" t="s">
        <v>6983</v>
      </c>
      <c r="F4619" s="150" t="s">
        <v>6983</v>
      </c>
      <c r="G4619" s="149" t="s">
        <v>406</v>
      </c>
      <c r="H4619" s="150" t="str">
        <f>IF(Proc[[#This Row],[type]]="LFF (MDG-F)",MID(Proc[[#This Row],[Obj]],13,10),"")</f>
        <v>CN02TQ1003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71">
        <v>45985</v>
      </c>
      <c r="N4619" s="171"/>
      <c r="O4619" s="171"/>
      <c r="P4619" s="172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8</v>
      </c>
      <c r="R4619" s="172" t="s">
        <v>5709</v>
      </c>
      <c r="S4619" s="150"/>
    </row>
    <row r="4620" spans="1:19" hidden="1">
      <c r="A4620" s="149" t="s">
        <v>6974</v>
      </c>
      <c r="B4620" s="150" t="str">
        <f>IFERROR(VLOOKUP(Proc[[#This Row],[App]],Table2[],3,0),"open")</f>
        <v>ok</v>
      </c>
      <c r="C4620" s="149" t="s">
        <v>369</v>
      </c>
      <c r="D4620" t="s">
        <v>6762</v>
      </c>
      <c r="E4620" s="149" t="s">
        <v>6983</v>
      </c>
      <c r="F4620" s="150" t="s">
        <v>6983</v>
      </c>
      <c r="G4620" s="149" t="s">
        <v>406</v>
      </c>
      <c r="H4620" s="150" t="str">
        <f>IF(Proc[[#This Row],[type]]="LFF (MDG-F)",MID(Proc[[#This Row],[Obj]],13,10),"")</f>
        <v>CN03TPZZ02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71">
        <v>45985</v>
      </c>
      <c r="N4620" s="171"/>
      <c r="O4620" s="171"/>
      <c r="P4620" s="172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8</v>
      </c>
      <c r="R4620" s="172" t="s">
        <v>5709</v>
      </c>
      <c r="S4620" s="150"/>
    </row>
    <row r="4621" spans="1:19" hidden="1">
      <c r="A4621" s="149" t="s">
        <v>6974</v>
      </c>
      <c r="B4621" s="150" t="str">
        <f>IFERROR(VLOOKUP(Proc[[#This Row],[App]],Table2[],3,0),"open")</f>
        <v>ok</v>
      </c>
      <c r="C4621" s="149" t="s">
        <v>369</v>
      </c>
      <c r="D4621" t="s">
        <v>6763</v>
      </c>
      <c r="E4621" s="149" t="s">
        <v>6983</v>
      </c>
      <c r="F4621" s="150" t="s">
        <v>6983</v>
      </c>
      <c r="G4621" s="149" t="s">
        <v>406</v>
      </c>
      <c r="H4621" s="150" t="str">
        <f>IF(Proc[[#This Row],[type]]="LFF (MDG-F)",MID(Proc[[#This Row],[Obj]],13,10),"")</f>
        <v>CN10DB1001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71">
        <v>45985</v>
      </c>
      <c r="N4621" s="171"/>
      <c r="O4621" s="171"/>
      <c r="P4621" s="172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8</v>
      </c>
      <c r="R4621" s="172" t="s">
        <v>5709</v>
      </c>
      <c r="S4621" s="150"/>
    </row>
    <row r="4622" spans="1:19" hidden="1">
      <c r="A4622" s="149" t="s">
        <v>6974</v>
      </c>
      <c r="B4622" s="150" t="str">
        <f>IFERROR(VLOOKUP(Proc[[#This Row],[App]],Table2[],3,0),"open")</f>
        <v>ok</v>
      </c>
      <c r="C4622" s="149" t="s">
        <v>369</v>
      </c>
      <c r="D4622" t="s">
        <v>6764</v>
      </c>
      <c r="E4622" s="149" t="s">
        <v>6983</v>
      </c>
      <c r="F4622" s="150" t="s">
        <v>6983</v>
      </c>
      <c r="G4622" s="149" t="s">
        <v>406</v>
      </c>
      <c r="H4622" s="150" t="str">
        <f>IF(Proc[[#This Row],[type]]="LFF (MDG-F)",MID(Proc[[#This Row],[Obj]],13,10),"")</f>
        <v>CN10DB1002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71">
        <v>45985</v>
      </c>
      <c r="N4622" s="171"/>
      <c r="O4622" s="171"/>
      <c r="P4622" s="172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8</v>
      </c>
      <c r="R4622" s="172" t="s">
        <v>5709</v>
      </c>
      <c r="S4622" s="150"/>
    </row>
    <row r="4623" spans="1:19" hidden="1">
      <c r="A4623" s="149" t="s">
        <v>6974</v>
      </c>
      <c r="B4623" s="150" t="str">
        <f>IFERROR(VLOOKUP(Proc[[#This Row],[App]],Table2[],3,0),"open")</f>
        <v>ok</v>
      </c>
      <c r="C4623" s="149" t="s">
        <v>369</v>
      </c>
      <c r="D4623" t="s">
        <v>6765</v>
      </c>
      <c r="E4623" s="149" t="s">
        <v>6983</v>
      </c>
      <c r="F4623" s="150" t="s">
        <v>6983</v>
      </c>
      <c r="G4623" s="149" t="s">
        <v>406</v>
      </c>
      <c r="H4623" s="150" t="str">
        <f>IF(Proc[[#This Row],[type]]="LFF (MDG-F)",MID(Proc[[#This Row],[Obj]],13,10),"")</f>
        <v>CN10DB1004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71">
        <v>45985</v>
      </c>
      <c r="N4623" s="171"/>
      <c r="O4623" s="171"/>
      <c r="P4623" s="172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8</v>
      </c>
      <c r="R4623" s="172" t="s">
        <v>5709</v>
      </c>
      <c r="S4623" s="150"/>
    </row>
    <row r="4624" spans="1:19" hidden="1">
      <c r="A4624" s="149" t="s">
        <v>6974</v>
      </c>
      <c r="B4624" s="150" t="str">
        <f>IFERROR(VLOOKUP(Proc[[#This Row],[App]],Table2[],3,0),"open")</f>
        <v>ok</v>
      </c>
      <c r="C4624" s="149" t="s">
        <v>369</v>
      </c>
      <c r="D4624" t="s">
        <v>6766</v>
      </c>
      <c r="E4624" s="149" t="s">
        <v>6983</v>
      </c>
      <c r="F4624" s="150" t="s">
        <v>6983</v>
      </c>
      <c r="G4624" s="149" t="s">
        <v>406</v>
      </c>
      <c r="H4624" s="150" t="str">
        <f>IF(Proc[[#This Row],[type]]="LFF (MDG-F)",MID(Proc[[#This Row],[Obj]],13,10),"")</f>
        <v>CN09DB3303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71">
        <v>45985</v>
      </c>
      <c r="N4624" s="171"/>
      <c r="O4624" s="171"/>
      <c r="P4624" s="172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8</v>
      </c>
      <c r="R4624" s="172" t="s">
        <v>5709</v>
      </c>
      <c r="S4624" s="150"/>
    </row>
    <row r="4625" spans="1:19" hidden="1">
      <c r="A4625" s="149" t="s">
        <v>6974</v>
      </c>
      <c r="B4625" s="150" t="str">
        <f>IFERROR(VLOOKUP(Proc[[#This Row],[App]],Table2[],3,0),"open")</f>
        <v>ok</v>
      </c>
      <c r="C4625" s="149" t="s">
        <v>369</v>
      </c>
      <c r="D4625" t="s">
        <v>6767</v>
      </c>
      <c r="E4625" s="149" t="s">
        <v>6983</v>
      </c>
      <c r="F4625" s="150" t="s">
        <v>6983</v>
      </c>
      <c r="G4625" s="149" t="s">
        <v>406</v>
      </c>
      <c r="H4625" s="150" t="str">
        <f>IF(Proc[[#This Row],[type]]="LFF (MDG-F)",MID(Proc[[#This Row],[Obj]],13,10),"")</f>
        <v>CN09DB3305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71">
        <v>45985</v>
      </c>
      <c r="N4625" s="171"/>
      <c r="O4625" s="171"/>
      <c r="P4625" s="172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8</v>
      </c>
      <c r="R4625" s="172" t="s">
        <v>5709</v>
      </c>
      <c r="S4625" s="150"/>
    </row>
    <row r="4626" spans="1:19" hidden="1">
      <c r="A4626" s="149" t="s">
        <v>6974</v>
      </c>
      <c r="B4626" s="150" t="str">
        <f>IFERROR(VLOOKUP(Proc[[#This Row],[App]],Table2[],3,0),"open")</f>
        <v>ok</v>
      </c>
      <c r="C4626" s="149" t="s">
        <v>369</v>
      </c>
      <c r="D4626" t="s">
        <v>6768</v>
      </c>
      <c r="E4626" s="149" t="s">
        <v>6983</v>
      </c>
      <c r="F4626" s="150" t="s">
        <v>6983</v>
      </c>
      <c r="G4626" s="149" t="s">
        <v>406</v>
      </c>
      <c r="H4626" s="150" t="str">
        <f>IF(Proc[[#This Row],[type]]="LFF (MDG-F)",MID(Proc[[#This Row],[Obj]],13,10),"")</f>
        <v>CN09TQ1001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71">
        <v>45985</v>
      </c>
      <c r="N4626" s="171"/>
      <c r="O4626" s="171"/>
      <c r="P4626" s="172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8</v>
      </c>
      <c r="R4626" s="172" t="s">
        <v>5709</v>
      </c>
      <c r="S4626" s="150"/>
    </row>
    <row r="4627" spans="1:19" hidden="1">
      <c r="A4627" s="149" t="s">
        <v>6974</v>
      </c>
      <c r="B4627" s="150" t="str">
        <f>IFERROR(VLOOKUP(Proc[[#This Row],[App]],Table2[],3,0),"open")</f>
        <v>ok</v>
      </c>
      <c r="C4627" s="149" t="s">
        <v>369</v>
      </c>
      <c r="D4627" t="s">
        <v>6769</v>
      </c>
      <c r="E4627" s="149" t="s">
        <v>6983</v>
      </c>
      <c r="F4627" s="150" t="s">
        <v>6983</v>
      </c>
      <c r="G4627" s="149" t="s">
        <v>406</v>
      </c>
      <c r="H4627" s="150" t="str">
        <f>IF(Proc[[#This Row],[type]]="LFF (MDG-F)",MID(Proc[[#This Row],[Obj]],13,10),"")</f>
        <v>CN09TQ1002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71">
        <v>45985</v>
      </c>
      <c r="N4627" s="171"/>
      <c r="O4627" s="171"/>
      <c r="P4627" s="172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8</v>
      </c>
      <c r="R4627" s="172" t="s">
        <v>5709</v>
      </c>
      <c r="S4627" s="150"/>
    </row>
    <row r="4628" spans="1:19" hidden="1">
      <c r="A4628" s="149" t="s">
        <v>6974</v>
      </c>
      <c r="B4628" s="150" t="str">
        <f>IFERROR(VLOOKUP(Proc[[#This Row],[App]],Table2[],3,0),"open")</f>
        <v>ok</v>
      </c>
      <c r="C4628" s="149" t="s">
        <v>369</v>
      </c>
      <c r="D4628" t="s">
        <v>6770</v>
      </c>
      <c r="E4628" s="149" t="s">
        <v>6983</v>
      </c>
      <c r="F4628" s="150" t="s">
        <v>6983</v>
      </c>
      <c r="G4628" s="149" t="s">
        <v>406</v>
      </c>
      <c r="H4628" s="150" t="str">
        <f>IF(Proc[[#This Row],[type]]="LFF (MDG-F)",MID(Proc[[#This Row],[Obj]],13,10),"")</f>
        <v>CN09TQ1003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71">
        <v>45985</v>
      </c>
      <c r="N4628" s="171"/>
      <c r="O4628" s="171"/>
      <c r="P4628" s="172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8</v>
      </c>
      <c r="R4628" s="172" t="s">
        <v>5709</v>
      </c>
      <c r="S4628" s="150"/>
    </row>
    <row r="4629" spans="1:19" hidden="1">
      <c r="A4629" s="149" t="s">
        <v>6974</v>
      </c>
      <c r="B4629" s="150" t="str">
        <f>IFERROR(VLOOKUP(Proc[[#This Row],[App]],Table2[],3,0),"open")</f>
        <v>ok</v>
      </c>
      <c r="C4629" s="149" t="s">
        <v>369</v>
      </c>
      <c r="D4629" t="s">
        <v>6771</v>
      </c>
      <c r="E4629" s="149" t="s">
        <v>6983</v>
      </c>
      <c r="F4629" s="150" t="s">
        <v>6983</v>
      </c>
      <c r="G4629" s="149" t="s">
        <v>406</v>
      </c>
      <c r="H4629" s="150" t="str">
        <f>IF(Proc[[#This Row],[type]]="LFF (MDG-F)",MID(Proc[[#This Row],[Obj]],13,10),"")</f>
        <v>CN09DB3309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71">
        <v>45985</v>
      </c>
      <c r="N4629" s="171"/>
      <c r="O4629" s="171"/>
      <c r="P4629" s="172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8</v>
      </c>
      <c r="R4629" s="172" t="s">
        <v>5709</v>
      </c>
      <c r="S4629" s="150"/>
    </row>
    <row r="4630" spans="1:19" hidden="1">
      <c r="A4630" s="149" t="s">
        <v>6974</v>
      </c>
      <c r="B4630" s="150" t="str">
        <f>IFERROR(VLOOKUP(Proc[[#This Row],[App]],Table2[],3,0),"open")</f>
        <v>ok</v>
      </c>
      <c r="C4630" s="149" t="s">
        <v>369</v>
      </c>
      <c r="D4630" t="s">
        <v>6772</v>
      </c>
      <c r="E4630" s="149" t="s">
        <v>6983</v>
      </c>
      <c r="F4630" s="150" t="s">
        <v>6983</v>
      </c>
      <c r="G4630" s="149" t="s">
        <v>406</v>
      </c>
      <c r="H4630" s="150" t="str">
        <f>IF(Proc[[#This Row],[type]]="LFF (MDG-F)",MID(Proc[[#This Row],[Obj]],13,10),"")</f>
        <v>CN09DB3300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71">
        <v>45985</v>
      </c>
      <c r="N4630" s="171"/>
      <c r="O4630" s="171"/>
      <c r="P4630" s="172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8</v>
      </c>
      <c r="R4630" s="172" t="s">
        <v>5709</v>
      </c>
      <c r="S4630" s="150"/>
    </row>
    <row r="4631" spans="1:19" hidden="1">
      <c r="A4631" s="149" t="s">
        <v>6974</v>
      </c>
      <c r="B4631" s="150" t="str">
        <f>IFERROR(VLOOKUP(Proc[[#This Row],[App]],Table2[],3,0),"open")</f>
        <v>ok</v>
      </c>
      <c r="C4631" s="149" t="s">
        <v>369</v>
      </c>
      <c r="D4631" t="s">
        <v>6773</v>
      </c>
      <c r="E4631" s="149" t="s">
        <v>6983</v>
      </c>
      <c r="F4631" s="150" t="s">
        <v>6983</v>
      </c>
      <c r="G4631" s="149" t="s">
        <v>406</v>
      </c>
      <c r="H4631" s="150" t="str">
        <f>IF(Proc[[#This Row],[type]]="LFF (MDG-F)",MID(Proc[[#This Row],[Obj]],13,10),"")</f>
        <v>CN09TM3000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71">
        <v>45985</v>
      </c>
      <c r="N4631" s="171"/>
      <c r="O4631" s="171"/>
      <c r="P4631" s="172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8</v>
      </c>
      <c r="R4631" s="172" t="s">
        <v>5709</v>
      </c>
      <c r="S4631" s="150"/>
    </row>
    <row r="4632" spans="1:19" hidden="1">
      <c r="A4632" s="149" t="s">
        <v>6974</v>
      </c>
      <c r="B4632" s="150" t="str">
        <f>IFERROR(VLOOKUP(Proc[[#This Row],[App]],Table2[],3,0),"open")</f>
        <v>ok</v>
      </c>
      <c r="C4632" s="149" t="s">
        <v>369</v>
      </c>
      <c r="D4632" t="s">
        <v>6774</v>
      </c>
      <c r="E4632" s="149" t="s">
        <v>6983</v>
      </c>
      <c r="F4632" s="150" t="s">
        <v>6983</v>
      </c>
      <c r="G4632" s="149" t="s">
        <v>406</v>
      </c>
      <c r="H4632" s="150" t="str">
        <f>IF(Proc[[#This Row],[type]]="LFF (MDG-F)",MID(Proc[[#This Row],[Obj]],13,10),"")</f>
        <v>CN09DB3301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71">
        <v>45985</v>
      </c>
      <c r="N4632" s="171"/>
      <c r="O4632" s="171"/>
      <c r="P4632" s="172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8</v>
      </c>
      <c r="R4632" s="172" t="s">
        <v>5709</v>
      </c>
      <c r="S4632" s="150"/>
    </row>
    <row r="4633" spans="1:19" hidden="1">
      <c r="A4633" s="149" t="s">
        <v>6974</v>
      </c>
      <c r="B4633" s="150" t="str">
        <f>IFERROR(VLOOKUP(Proc[[#This Row],[App]],Table2[],3,0),"open")</f>
        <v>ok</v>
      </c>
      <c r="C4633" s="149" t="s">
        <v>369</v>
      </c>
      <c r="D4633" t="s">
        <v>6775</v>
      </c>
      <c r="E4633" s="149" t="s">
        <v>6983</v>
      </c>
      <c r="F4633" s="150" t="s">
        <v>6983</v>
      </c>
      <c r="G4633" s="149" t="s">
        <v>406</v>
      </c>
      <c r="H4633" s="150" t="str">
        <f>IF(Proc[[#This Row],[type]]="LFF (MDG-F)",MID(Proc[[#This Row],[Obj]],13,10),"")</f>
        <v>CN09DB3307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71">
        <v>45985</v>
      </c>
      <c r="N4633" s="171"/>
      <c r="O4633" s="171"/>
      <c r="P4633" s="172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8</v>
      </c>
      <c r="R4633" s="172" t="s">
        <v>5709</v>
      </c>
      <c r="S4633" s="150"/>
    </row>
    <row r="4634" spans="1:19" hidden="1">
      <c r="A4634" t="s">
        <v>6975</v>
      </c>
      <c r="B4634" s="150" t="str">
        <f>IFERROR(VLOOKUP(Proc[[#This Row],[App]],Table2[],3,0),"open")</f>
        <v>ok</v>
      </c>
      <c r="C4634" s="149" t="s">
        <v>369</v>
      </c>
      <c r="D4634" t="s">
        <v>6976</v>
      </c>
      <c r="E4634" t="s">
        <v>1012</v>
      </c>
      <c r="F4634" s="150" t="s">
        <v>1012</v>
      </c>
      <c r="G4634" t="s">
        <v>400</v>
      </c>
      <c r="H4634" s="150" t="str">
        <f>IF(Proc[[#This Row],[type]]="LFF (MDG-F)",MID(Proc[[#This Row],[Obj]],13,10),"")</f>
        <v/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HC</v>
      </c>
      <c r="L4634" s="150" t="s">
        <v>6435</v>
      </c>
      <c r="M4634" s="171">
        <v>45985</v>
      </c>
      <c r="N4634" s="171"/>
      <c r="O4634" s="171"/>
      <c r="P4634" s="172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8</v>
      </c>
      <c r="R4634" s="172" t="s">
        <v>6982</v>
      </c>
      <c r="S4634" s="150"/>
    </row>
    <row r="4635" spans="1:19" hidden="1">
      <c r="A4635" t="s">
        <v>6975</v>
      </c>
      <c r="B4635" s="150" t="str">
        <f>IFERROR(VLOOKUP(Proc[[#This Row],[App]],Table2[],3,0),"open")</f>
        <v>ok</v>
      </c>
      <c r="C4635" s="149" t="s">
        <v>369</v>
      </c>
      <c r="D4635" t="s">
        <v>6977</v>
      </c>
      <c r="E4635" t="s">
        <v>555</v>
      </c>
      <c r="F4635" s="150" t="s">
        <v>555</v>
      </c>
      <c r="G4635" s="149" t="s">
        <v>400</v>
      </c>
      <c r="H4635" s="150" t="str">
        <f>IF(Proc[[#This Row],[type]]="LFF (MDG-F)",MID(Proc[[#This Row],[Obj]],13,10),"")</f>
        <v/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HC</v>
      </c>
      <c r="L4635" s="150" t="s">
        <v>6435</v>
      </c>
      <c r="M4635" s="171">
        <v>45985</v>
      </c>
      <c r="N4635" s="171"/>
      <c r="O4635" s="171"/>
      <c r="P4635" s="172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8</v>
      </c>
      <c r="R4635" s="172" t="s">
        <v>6982</v>
      </c>
      <c r="S4635" s="150"/>
    </row>
    <row r="4636" spans="1:19" hidden="1">
      <c r="A4636" s="149" t="s">
        <v>6975</v>
      </c>
      <c r="B4636" s="150" t="str">
        <f>IFERROR(VLOOKUP(Proc[[#This Row],[App]],Table2[],3,0),"open")</f>
        <v>ok</v>
      </c>
      <c r="C4636" s="149" t="s">
        <v>369</v>
      </c>
      <c r="D4636" t="s">
        <v>6978</v>
      </c>
      <c r="E4636" t="s">
        <v>1012</v>
      </c>
      <c r="F4636" s="150" t="s">
        <v>1012</v>
      </c>
      <c r="G4636" s="149" t="s">
        <v>400</v>
      </c>
      <c r="H4636" s="150" t="str">
        <f>IF(Proc[[#This Row],[type]]="LFF (MDG-F)",MID(Proc[[#This Row],[Obj]],13,10),"")</f>
        <v/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HC</v>
      </c>
      <c r="L4636" s="150" t="s">
        <v>6435</v>
      </c>
      <c r="M4636" s="171">
        <v>45985</v>
      </c>
      <c r="N4636" s="171"/>
      <c r="O4636" s="171"/>
      <c r="P4636" s="172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8</v>
      </c>
      <c r="R4636" s="172" t="s">
        <v>6982</v>
      </c>
      <c r="S4636" s="150"/>
    </row>
    <row r="4637" spans="1:19" hidden="1">
      <c r="A4637" s="149" t="s">
        <v>6975</v>
      </c>
      <c r="B4637" s="150" t="str">
        <f>IFERROR(VLOOKUP(Proc[[#This Row],[App]],Table2[],3,0),"open")</f>
        <v>ok</v>
      </c>
      <c r="C4637" s="149" t="s">
        <v>369</v>
      </c>
      <c r="D4637" t="s">
        <v>6979</v>
      </c>
      <c r="E4637" t="s">
        <v>1012</v>
      </c>
      <c r="F4637" s="150" t="s">
        <v>1012</v>
      </c>
      <c r="G4637" s="149" t="s">
        <v>400</v>
      </c>
      <c r="H4637" s="150" t="str">
        <f>IF(Proc[[#This Row],[type]]="LFF (MDG-F)",MID(Proc[[#This Row],[Obj]],13,10),"")</f>
        <v/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HC</v>
      </c>
      <c r="L4637" s="150" t="s">
        <v>6435</v>
      </c>
      <c r="M4637" s="171">
        <v>45985</v>
      </c>
      <c r="N4637" s="171"/>
      <c r="O4637" s="171"/>
      <c r="P4637" s="172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8</v>
      </c>
      <c r="R4637" s="172" t="s">
        <v>6982</v>
      </c>
      <c r="S4637" s="150"/>
    </row>
    <row r="4638" spans="1:19" hidden="1">
      <c r="A4638" s="149" t="s">
        <v>6975</v>
      </c>
      <c r="B4638" s="150" t="str">
        <f>IFERROR(VLOOKUP(Proc[[#This Row],[App]],Table2[],3,0),"open")</f>
        <v>ok</v>
      </c>
      <c r="C4638" s="149" t="s">
        <v>369</v>
      </c>
      <c r="D4638" t="s">
        <v>6980</v>
      </c>
      <c r="E4638" t="s">
        <v>1012</v>
      </c>
      <c r="F4638" s="150" t="s">
        <v>1012</v>
      </c>
      <c r="G4638" s="149" t="s">
        <v>400</v>
      </c>
      <c r="H4638" s="150" t="str">
        <f>IF(Proc[[#This Row],[type]]="LFF (MDG-F)",MID(Proc[[#This Row],[Obj]],13,10),"")</f>
        <v/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HC</v>
      </c>
      <c r="L4638" s="150" t="s">
        <v>6435</v>
      </c>
      <c r="M4638" s="171">
        <v>45985</v>
      </c>
      <c r="N4638" s="171"/>
      <c r="O4638" s="171"/>
      <c r="P4638" s="172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8</v>
      </c>
      <c r="R4638" s="172" t="s">
        <v>6982</v>
      </c>
      <c r="S4638" s="150"/>
    </row>
    <row r="4639" spans="1:19" hidden="1">
      <c r="A4639" s="149" t="s">
        <v>6975</v>
      </c>
      <c r="B4639" s="150" t="str">
        <f>IFERROR(VLOOKUP(Proc[[#This Row],[App]],Table2[],3,0),"open")</f>
        <v>ok</v>
      </c>
      <c r="C4639" s="149" t="s">
        <v>369</v>
      </c>
      <c r="D4639" t="s">
        <v>6981</v>
      </c>
      <c r="E4639" t="s">
        <v>554</v>
      </c>
      <c r="F4639" s="150" t="s">
        <v>554</v>
      </c>
      <c r="G4639" s="149" t="s">
        <v>400</v>
      </c>
      <c r="H4639" s="150" t="str">
        <f>IF(Proc[[#This Row],[type]]="LFF (MDG-F)",MID(Proc[[#This Row],[Obj]],13,10),"")</f>
        <v/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HC</v>
      </c>
      <c r="L4639" s="150" t="s">
        <v>6435</v>
      </c>
      <c r="M4639" s="171">
        <v>45985</v>
      </c>
      <c r="N4639" s="171"/>
      <c r="O4639" s="171"/>
      <c r="P4639" s="172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8</v>
      </c>
      <c r="R4639" s="172" t="s">
        <v>6982</v>
      </c>
      <c r="S4639" s="150"/>
    </row>
    <row r="4640" spans="1:19" hidden="1">
      <c r="A4640" t="s">
        <v>6984</v>
      </c>
      <c r="B4640" s="150" t="str">
        <f>IFERROR(VLOOKUP(Proc[[#This Row],[App]],Table2[],3,0),"open")</f>
        <v>ok</v>
      </c>
      <c r="C4640" s="149" t="s">
        <v>369</v>
      </c>
      <c r="D4640" t="s">
        <v>6985</v>
      </c>
      <c r="E4640" t="s">
        <v>812</v>
      </c>
      <c r="F4640" s="150" t="s">
        <v>812</v>
      </c>
      <c r="G4640" s="149" t="s">
        <v>400</v>
      </c>
      <c r="H4640" s="150" t="str">
        <f>IF(Proc[[#This Row],[type]]="LFF (MDG-F)",MID(Proc[[#This Row],[Obj]],13,10),"")</f>
        <v/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LS?</v>
      </c>
      <c r="L4640" s="150" t="s">
        <v>6435</v>
      </c>
      <c r="M4640" s="172">
        <v>45986</v>
      </c>
      <c r="N4640" s="172"/>
      <c r="O4640" s="172"/>
      <c r="P4640" s="173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7</v>
      </c>
      <c r="R4640" s="173" t="s">
        <v>6990</v>
      </c>
      <c r="S4640" s="150"/>
    </row>
    <row r="4641" spans="1:19" hidden="1">
      <c r="A4641" t="s">
        <v>6984</v>
      </c>
      <c r="B4641" s="150" t="str">
        <f>IFERROR(VLOOKUP(Proc[[#This Row],[App]],Table2[],3,0),"open")</f>
        <v>ok</v>
      </c>
      <c r="C4641" s="149" t="s">
        <v>369</v>
      </c>
      <c r="D4641" t="s">
        <v>6986</v>
      </c>
      <c r="E4641" t="s">
        <v>6744</v>
      </c>
      <c r="F4641" s="150" t="s">
        <v>6744</v>
      </c>
      <c r="G4641" s="149" t="s">
        <v>400</v>
      </c>
      <c r="H4641" s="150" t="str">
        <f>IF(Proc[[#This Row],[type]]="LFF (MDG-F)",MID(Proc[[#This Row],[Obj]],13,10),"")</f>
        <v/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LS?</v>
      </c>
      <c r="L4641" s="150" t="s">
        <v>6435</v>
      </c>
      <c r="M4641" s="172">
        <v>45986</v>
      </c>
      <c r="N4641" s="172"/>
      <c r="O4641" s="172"/>
      <c r="P4641" s="173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7</v>
      </c>
      <c r="R4641" s="173" t="s">
        <v>6990</v>
      </c>
      <c r="S4641" s="150"/>
    </row>
    <row r="4642" spans="1:19" hidden="1">
      <c r="A4642" s="149" t="s">
        <v>6984</v>
      </c>
      <c r="B4642" s="150" t="str">
        <f>IFERROR(VLOOKUP(Proc[[#This Row],[App]],Table2[],3,0),"open")</f>
        <v>ok</v>
      </c>
      <c r="C4642" s="149" t="s">
        <v>369</v>
      </c>
      <c r="D4642" t="s">
        <v>6987</v>
      </c>
      <c r="E4642" t="s">
        <v>6989</v>
      </c>
      <c r="F4642" s="150" t="s">
        <v>6989</v>
      </c>
      <c r="G4642" s="149" t="s">
        <v>400</v>
      </c>
      <c r="H4642" s="150" t="str">
        <f>IF(Proc[[#This Row],[type]]="LFF (MDG-F)",MID(Proc[[#This Row],[Obj]],13,10),"")</f>
        <v/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LS?</v>
      </c>
      <c r="L4642" s="150" t="s">
        <v>6435</v>
      </c>
      <c r="M4642" s="172">
        <v>45986</v>
      </c>
      <c r="N4642" s="172"/>
      <c r="O4642" s="172"/>
      <c r="P4642" s="173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7</v>
      </c>
      <c r="R4642" s="173" t="s">
        <v>6990</v>
      </c>
      <c r="S4642" s="150"/>
    </row>
    <row r="4643" spans="1:19" hidden="1">
      <c r="A4643" s="149" t="s">
        <v>6984</v>
      </c>
      <c r="B4643" s="150" t="str">
        <f>IFERROR(VLOOKUP(Proc[[#This Row],[App]],Table2[],3,0),"open")</f>
        <v>ok</v>
      </c>
      <c r="C4643" s="149" t="s">
        <v>369</v>
      </c>
      <c r="D4643" t="s">
        <v>6988</v>
      </c>
      <c r="E4643" t="s">
        <v>556</v>
      </c>
      <c r="F4643" s="150" t="s">
        <v>556</v>
      </c>
      <c r="G4643" s="149" t="s">
        <v>400</v>
      </c>
      <c r="H4643" s="150" t="str">
        <f>IF(Proc[[#This Row],[type]]="LFF (MDG-F)",MID(Proc[[#This Row],[Obj]],13,10),"")</f>
        <v/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LS?</v>
      </c>
      <c r="L4643" s="150" t="s">
        <v>6435</v>
      </c>
      <c r="M4643" s="172">
        <v>45986</v>
      </c>
      <c r="N4643" s="172"/>
      <c r="O4643" s="172"/>
      <c r="P4643" s="173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7</v>
      </c>
      <c r="R4643" s="173" t="s">
        <v>6990</v>
      </c>
      <c r="S4643" s="150"/>
    </row>
    <row r="4644" spans="1:19" hidden="1">
      <c r="A4644" t="s">
        <v>6991</v>
      </c>
      <c r="B4644" s="150" t="str">
        <f>IFERROR(VLOOKUP(Proc[[#This Row],[App]],Table2[],3,0),"open")</f>
        <v>ok</v>
      </c>
      <c r="C4644" s="149" t="s">
        <v>369</v>
      </c>
      <c r="D4644" t="s">
        <v>6992</v>
      </c>
      <c r="E4644" t="s">
        <v>6997</v>
      </c>
      <c r="F4644" s="150" t="s">
        <v>6997</v>
      </c>
      <c r="G4644" t="s">
        <v>406</v>
      </c>
      <c r="H4644" s="150" t="str">
        <f>IF(Proc[[#This Row],[type]]="LFF (MDG-F)",MID(Proc[[#This Row],[Obj]],13,10),"")</f>
        <v>ES50Y54321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MGF</v>
      </c>
      <c r="L4644" s="150" t="s">
        <v>6435</v>
      </c>
      <c r="M4644" s="172">
        <v>45986</v>
      </c>
      <c r="N4644" s="172"/>
      <c r="O4644" s="172"/>
      <c r="P4644" s="173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7</v>
      </c>
      <c r="R4644" s="172" t="s">
        <v>515</v>
      </c>
      <c r="S4644" s="150"/>
    </row>
    <row r="4645" spans="1:19" hidden="1">
      <c r="A4645" s="149" t="s">
        <v>6991</v>
      </c>
      <c r="B4645" s="150" t="str">
        <f>IFERROR(VLOOKUP(Proc[[#This Row],[App]],Table2[],3,0),"open")</f>
        <v>ok</v>
      </c>
      <c r="C4645" s="149" t="s">
        <v>369</v>
      </c>
      <c r="D4645" t="s">
        <v>6993</v>
      </c>
      <c r="E4645" t="s">
        <v>6997</v>
      </c>
      <c r="F4645" s="150" t="s">
        <v>6997</v>
      </c>
      <c r="G4645" t="s">
        <v>406</v>
      </c>
      <c r="H4645" s="150" t="str">
        <f>IF(Proc[[#This Row],[type]]="LFF (MDG-F)",MID(Proc[[#This Row],[Obj]],13,10),"")</f>
        <v>IT50Y54321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MGF</v>
      </c>
      <c r="L4645" s="150" t="s">
        <v>6435</v>
      </c>
      <c r="M4645" s="172">
        <v>45986</v>
      </c>
      <c r="N4645" s="172"/>
      <c r="O4645" s="172"/>
      <c r="P4645" s="173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7</v>
      </c>
      <c r="R4645" s="172" t="s">
        <v>515</v>
      </c>
      <c r="S4645" s="150"/>
    </row>
    <row r="4646" spans="1:19" hidden="1">
      <c r="A4646" s="149" t="s">
        <v>6991</v>
      </c>
      <c r="B4646" s="150" t="str">
        <f>IFERROR(VLOOKUP(Proc[[#This Row],[App]],Table2[],3,0),"open")</f>
        <v>ok</v>
      </c>
      <c r="C4646" s="149" t="s">
        <v>369</v>
      </c>
      <c r="D4646" t="s">
        <v>6994</v>
      </c>
      <c r="E4646" t="s">
        <v>6997</v>
      </c>
      <c r="F4646" s="150" t="s">
        <v>6997</v>
      </c>
      <c r="G4646" t="s">
        <v>406</v>
      </c>
      <c r="H4646" s="150" t="str">
        <f>IF(Proc[[#This Row],[type]]="LFF (MDG-F)",MID(Proc[[#This Row],[Obj]],13,10),"")</f>
        <v>2123Y54321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MGF</v>
      </c>
      <c r="L4646" s="150" t="s">
        <v>6435</v>
      </c>
      <c r="M4646" s="172">
        <v>45986</v>
      </c>
      <c r="N4646" s="172"/>
      <c r="O4646" s="172"/>
      <c r="P4646" s="173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7</v>
      </c>
      <c r="R4646" s="172" t="s">
        <v>515</v>
      </c>
      <c r="S4646" s="150"/>
    </row>
    <row r="4647" spans="1:19" hidden="1">
      <c r="A4647" s="149" t="s">
        <v>6991</v>
      </c>
      <c r="B4647" s="150" t="str">
        <f>IFERROR(VLOOKUP(Proc[[#This Row],[App]],Table2[],3,0),"open")</f>
        <v>ok</v>
      </c>
      <c r="C4647" s="149" t="s">
        <v>369</v>
      </c>
      <c r="D4647" t="s">
        <v>6995</v>
      </c>
      <c r="E4647" t="s">
        <v>6997</v>
      </c>
      <c r="F4647" s="150" t="s">
        <v>6997</v>
      </c>
      <c r="G4647" t="s">
        <v>400</v>
      </c>
      <c r="H4647" s="150" t="str">
        <f>IF(Proc[[#This Row],[type]]="LFF (MDG-F)",MID(Proc[[#This Row],[Obj]],13,10),"")</f>
        <v/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MGF</v>
      </c>
      <c r="L4647" s="150" t="s">
        <v>6435</v>
      </c>
      <c r="M4647" s="172">
        <v>45986</v>
      </c>
      <c r="N4647" s="172"/>
      <c r="O4647" s="172"/>
      <c r="P4647" s="173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7</v>
      </c>
      <c r="R4647" s="172" t="s">
        <v>515</v>
      </c>
      <c r="S4647" s="150"/>
    </row>
    <row r="4648" spans="1:19" hidden="1">
      <c r="A4648" s="149" t="s">
        <v>6991</v>
      </c>
      <c r="B4648" s="150" t="str">
        <f>IFERROR(VLOOKUP(Proc[[#This Row],[App]],Table2[],3,0),"open")</f>
        <v>ok</v>
      </c>
      <c r="C4648" s="149" t="s">
        <v>369</v>
      </c>
      <c r="D4648" t="s">
        <v>6996</v>
      </c>
      <c r="E4648" t="s">
        <v>6997</v>
      </c>
      <c r="F4648" s="150" t="s">
        <v>6997</v>
      </c>
      <c r="G4648" t="s">
        <v>400</v>
      </c>
      <c r="H4648" s="150" t="str">
        <f>IF(Proc[[#This Row],[type]]="LFF (MDG-F)",MID(Proc[[#This Row],[Obj]],13,10),"")</f>
        <v/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MGF</v>
      </c>
      <c r="L4648" s="150" t="s">
        <v>6435</v>
      </c>
      <c r="M4648" s="172">
        <v>45986</v>
      </c>
      <c r="N4648" s="172"/>
      <c r="O4648" s="172"/>
      <c r="P4648" s="173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7</v>
      </c>
      <c r="R4648" s="172" t="s">
        <v>515</v>
      </c>
      <c r="S4648" s="150"/>
    </row>
    <row r="4649" spans="1:19" hidden="1">
      <c r="A4649" t="s">
        <v>6999</v>
      </c>
      <c r="B4649" s="150" t="str">
        <f>IFERROR(VLOOKUP(Proc[[#This Row],[App]],Table2[],3,0),"open")</f>
        <v>ok</v>
      </c>
      <c r="C4649" s="149" t="s">
        <v>369</v>
      </c>
      <c r="D4649" t="s">
        <v>7000</v>
      </c>
      <c r="E4649" t="s">
        <v>6498</v>
      </c>
      <c r="F4649" s="150" t="s">
        <v>6498</v>
      </c>
      <c r="G4649" t="s">
        <v>400</v>
      </c>
      <c r="H4649" s="150" t="str">
        <f>IF(Proc[[#This Row],[type]]="LFF (MDG-F)",MID(Proc[[#This Row],[Obj]],13,10),"")</f>
        <v/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LS</v>
      </c>
      <c r="L4649" s="150" t="s">
        <v>6435</v>
      </c>
      <c r="M4649" s="172">
        <v>45986</v>
      </c>
      <c r="N4649" s="173"/>
      <c r="O4649" s="173"/>
      <c r="P4649" s="173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7</v>
      </c>
      <c r="R4649" s="173" t="s">
        <v>489</v>
      </c>
      <c r="S4649" s="150"/>
    </row>
    <row r="4650" spans="1:19" hidden="1">
      <c r="A4650" t="s">
        <v>7001</v>
      </c>
      <c r="B4650" s="150" t="str">
        <f>IFERROR(VLOOKUP(Proc[[#This Row],[App]],Table2[],3,0),"open")</f>
        <v>ok</v>
      </c>
      <c r="C4650" s="149" t="s">
        <v>369</v>
      </c>
      <c r="D4650" t="s">
        <v>7005</v>
      </c>
      <c r="E4650" t="s">
        <v>7002</v>
      </c>
      <c r="F4650" s="150" t="s">
        <v>7002</v>
      </c>
      <c r="G4650" s="149" t="s">
        <v>406</v>
      </c>
      <c r="H4650" s="150" t="str">
        <f>IF(Proc[[#This Row],[type]]="LFF (MDG-F)",MID(Proc[[#This Row],[Obj]],13,10),"")</f>
        <v>DE10F27300</v>
      </c>
      <c r="I4650" s="149"/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MGF</v>
      </c>
      <c r="L4650" s="150" t="s">
        <v>6435</v>
      </c>
      <c r="M4650" s="173">
        <v>45988</v>
      </c>
      <c r="N4650" s="174"/>
      <c r="O4650" s="174"/>
      <c r="P4650" s="174" t="str">
        <f ca="1">IF(Proc[[#This Row],[DaysAgeing]]&gt;5,"yep","on track")</f>
        <v>on track</v>
      </c>
      <c r="Q4650" s="3">
        <f ca="1">IF(Proc[[#This Row],[DateClosed]]="",ABS(NETWORKDAYS(Proc[[#This Row],[DateOpened]],TODAY()))-1,ABS(NETWORKDAYS(Proc[[#This Row],[DateOpened]],Proc[[#This Row],[DateClosed]]))-1)</f>
        <v>5</v>
      </c>
      <c r="R4650" s="174" t="s">
        <v>485</v>
      </c>
      <c r="S4650" s="150"/>
    </row>
    <row r="4651" spans="1:19" hidden="1">
      <c r="A4651" t="s">
        <v>7001</v>
      </c>
      <c r="B4651" s="150" t="str">
        <f>IFERROR(VLOOKUP(Proc[[#This Row],[App]],Table2[],3,0),"open")</f>
        <v>ok</v>
      </c>
      <c r="C4651" s="149" t="s">
        <v>369</v>
      </c>
      <c r="D4651" t="s">
        <v>7006</v>
      </c>
      <c r="E4651" t="s">
        <v>7003</v>
      </c>
      <c r="F4651" s="150" t="s">
        <v>7003</v>
      </c>
      <c r="G4651" s="149" t="s">
        <v>406</v>
      </c>
      <c r="H4651" s="150" t="str">
        <f>IF(Proc[[#This Row],[type]]="LFF (MDG-F)",MID(Proc[[#This Row],[Obj]],13,10),"")</f>
        <v>DE10566115</v>
      </c>
      <c r="I4651" s="149"/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MGF</v>
      </c>
      <c r="L4651" s="150" t="s">
        <v>6435</v>
      </c>
      <c r="M4651" s="173">
        <v>45988</v>
      </c>
      <c r="N4651" s="174"/>
      <c r="O4651" s="174"/>
      <c r="P4651" s="174" t="str">
        <f ca="1">IF(Proc[[#This Row],[DaysAgeing]]&gt;5,"yep","on track")</f>
        <v>on track</v>
      </c>
      <c r="Q4651" s="3">
        <f ca="1">IF(Proc[[#This Row],[DateClosed]]="",ABS(NETWORKDAYS(Proc[[#This Row],[DateOpened]],TODAY()))-1,ABS(NETWORKDAYS(Proc[[#This Row],[DateOpened]],Proc[[#This Row],[DateClosed]]))-1)</f>
        <v>5</v>
      </c>
      <c r="R4651" s="174" t="s">
        <v>485</v>
      </c>
      <c r="S4651" s="150"/>
    </row>
    <row r="4652" spans="1:19" hidden="1">
      <c r="A4652" s="149" t="s">
        <v>7001</v>
      </c>
      <c r="B4652" s="150" t="str">
        <f>IFERROR(VLOOKUP(Proc[[#This Row],[App]],Table2[],3,0),"open")</f>
        <v>ok</v>
      </c>
      <c r="C4652" s="149" t="s">
        <v>369</v>
      </c>
      <c r="D4652" t="s">
        <v>7007</v>
      </c>
      <c r="E4652" t="s">
        <v>7003</v>
      </c>
      <c r="F4652" s="150" t="s">
        <v>7003</v>
      </c>
      <c r="G4652" s="149" t="s">
        <v>406</v>
      </c>
      <c r="H4652" s="150" t="str">
        <f>IF(Proc[[#This Row],[type]]="LFF (MDG-F)",MID(Proc[[#This Row],[Obj]],13,10),"")</f>
        <v>DE10566116</v>
      </c>
      <c r="I4652" s="149"/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MGF</v>
      </c>
      <c r="L4652" s="150" t="s">
        <v>6435</v>
      </c>
      <c r="M4652" s="173">
        <v>45988</v>
      </c>
      <c r="N4652" s="174"/>
      <c r="O4652" s="174"/>
      <c r="P4652" s="174" t="str">
        <f ca="1">IF(Proc[[#This Row],[DaysAgeing]]&gt;5,"yep","on track")</f>
        <v>on track</v>
      </c>
      <c r="Q4652" s="3">
        <f ca="1">IF(Proc[[#This Row],[DateClosed]]="",ABS(NETWORKDAYS(Proc[[#This Row],[DateOpened]],TODAY()))-1,ABS(NETWORKDAYS(Proc[[#This Row],[DateOpened]],Proc[[#This Row],[DateClosed]]))-1)</f>
        <v>5</v>
      </c>
      <c r="R4652" s="174" t="s">
        <v>485</v>
      </c>
      <c r="S4652" s="150"/>
    </row>
    <row r="4653" spans="1:19" hidden="1">
      <c r="A4653" s="149" t="s">
        <v>7001</v>
      </c>
      <c r="B4653" s="150" t="str">
        <f>IFERROR(VLOOKUP(Proc[[#This Row],[App]],Table2[],3,0),"open")</f>
        <v>ok</v>
      </c>
      <c r="C4653" s="149" t="s">
        <v>369</v>
      </c>
      <c r="D4653" t="s">
        <v>7008</v>
      </c>
      <c r="E4653" t="s">
        <v>7003</v>
      </c>
      <c r="F4653" s="150" t="s">
        <v>7003</v>
      </c>
      <c r="G4653" s="149" t="s">
        <v>406</v>
      </c>
      <c r="H4653" s="150" t="str">
        <f>IF(Proc[[#This Row],[type]]="LFF (MDG-F)",MID(Proc[[#This Row],[Obj]],13,10),"")</f>
        <v>DE10566118</v>
      </c>
      <c r="I4653" s="149"/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MGF</v>
      </c>
      <c r="L4653" s="150" t="s">
        <v>6435</v>
      </c>
      <c r="M4653" s="173">
        <v>45988</v>
      </c>
      <c r="N4653" s="174"/>
      <c r="O4653" s="174"/>
      <c r="P4653" s="174" t="str">
        <f ca="1">IF(Proc[[#This Row],[DaysAgeing]]&gt;5,"yep","on track")</f>
        <v>on track</v>
      </c>
      <c r="Q4653" s="3">
        <f ca="1">IF(Proc[[#This Row],[DateClosed]]="",ABS(NETWORKDAYS(Proc[[#This Row],[DateOpened]],TODAY()))-1,ABS(NETWORKDAYS(Proc[[#This Row],[DateOpened]],Proc[[#This Row],[DateClosed]]))-1)</f>
        <v>5</v>
      </c>
      <c r="R4653" s="174" t="s">
        <v>485</v>
      </c>
      <c r="S4653" s="150"/>
    </row>
    <row r="4654" spans="1:19" hidden="1">
      <c r="A4654" s="149" t="s">
        <v>7001</v>
      </c>
      <c r="B4654" s="150" t="str">
        <f>IFERROR(VLOOKUP(Proc[[#This Row],[App]],Table2[],3,0),"open")</f>
        <v>ok</v>
      </c>
      <c r="C4654" s="149" t="s">
        <v>369</v>
      </c>
      <c r="D4654" t="s">
        <v>7009</v>
      </c>
      <c r="E4654" t="s">
        <v>7003</v>
      </c>
      <c r="F4654" s="150" t="s">
        <v>7003</v>
      </c>
      <c r="G4654" s="149" t="s">
        <v>406</v>
      </c>
      <c r="H4654" s="150" t="str">
        <f>IF(Proc[[#This Row],[type]]="LFF (MDG-F)",MID(Proc[[#This Row],[Obj]],13,10),"")</f>
        <v>DE10566120</v>
      </c>
      <c r="I4654" s="149"/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MGF</v>
      </c>
      <c r="L4654" s="150" t="s">
        <v>6435</v>
      </c>
      <c r="M4654" s="173">
        <v>45988</v>
      </c>
      <c r="N4654" s="174"/>
      <c r="O4654" s="174"/>
      <c r="P4654" s="174" t="str">
        <f ca="1">IF(Proc[[#This Row],[DaysAgeing]]&gt;5,"yep","on track")</f>
        <v>on track</v>
      </c>
      <c r="Q4654" s="3">
        <f ca="1">IF(Proc[[#This Row],[DateClosed]]="",ABS(NETWORKDAYS(Proc[[#This Row],[DateOpened]],TODAY()))-1,ABS(NETWORKDAYS(Proc[[#This Row],[DateOpened]],Proc[[#This Row],[DateClosed]]))-1)</f>
        <v>5</v>
      </c>
      <c r="R4654" s="174" t="s">
        <v>485</v>
      </c>
      <c r="S4654" s="150"/>
    </row>
    <row r="4655" spans="1:19" hidden="1">
      <c r="A4655" s="149" t="s">
        <v>7001</v>
      </c>
      <c r="B4655" s="150" t="str">
        <f>IFERROR(VLOOKUP(Proc[[#This Row],[App]],Table2[],3,0),"open")</f>
        <v>ok</v>
      </c>
      <c r="C4655" s="149" t="s">
        <v>369</v>
      </c>
      <c r="D4655" t="s">
        <v>7010</v>
      </c>
      <c r="E4655" t="s">
        <v>7003</v>
      </c>
      <c r="F4655" s="150" t="s">
        <v>7003</v>
      </c>
      <c r="G4655" s="149" t="s">
        <v>406</v>
      </c>
      <c r="H4655" s="150" t="str">
        <f>IF(Proc[[#This Row],[type]]="LFF (MDG-F)",MID(Proc[[#This Row],[Obj]],13,10),"")</f>
        <v>DE10566121</v>
      </c>
      <c r="I4655" s="149"/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MGF</v>
      </c>
      <c r="L4655" s="150" t="s">
        <v>6435</v>
      </c>
      <c r="M4655" s="173">
        <v>45988</v>
      </c>
      <c r="N4655" s="174"/>
      <c r="O4655" s="174"/>
      <c r="P4655" s="174" t="str">
        <f ca="1">IF(Proc[[#This Row],[DaysAgeing]]&gt;5,"yep","on track")</f>
        <v>on track</v>
      </c>
      <c r="Q4655" s="3">
        <f ca="1">IF(Proc[[#This Row],[DateClosed]]="",ABS(NETWORKDAYS(Proc[[#This Row],[DateOpened]],TODAY()))-1,ABS(NETWORKDAYS(Proc[[#This Row],[DateOpened]],Proc[[#This Row],[DateClosed]]))-1)</f>
        <v>5</v>
      </c>
      <c r="R4655" s="174" t="s">
        <v>485</v>
      </c>
      <c r="S4655" s="150"/>
    </row>
    <row r="4656" spans="1:19" hidden="1">
      <c r="A4656" s="149" t="s">
        <v>7001</v>
      </c>
      <c r="B4656" s="150" t="str">
        <f>IFERROR(VLOOKUP(Proc[[#This Row],[App]],Table2[],3,0),"open")</f>
        <v>ok</v>
      </c>
      <c r="C4656" s="149" t="s">
        <v>369</v>
      </c>
      <c r="D4656" t="s">
        <v>7011</v>
      </c>
      <c r="E4656" t="s">
        <v>7003</v>
      </c>
      <c r="F4656" s="150" t="s">
        <v>7003</v>
      </c>
      <c r="G4656" s="149" t="s">
        <v>406</v>
      </c>
      <c r="H4656" s="150" t="str">
        <f>IF(Proc[[#This Row],[type]]="LFF (MDG-F)",MID(Proc[[#This Row],[Obj]],13,10),"")</f>
        <v>DE10566122</v>
      </c>
      <c r="I4656" s="149"/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MGF</v>
      </c>
      <c r="L4656" s="150" t="s">
        <v>6435</v>
      </c>
      <c r="M4656" s="173">
        <v>45988</v>
      </c>
      <c r="N4656" s="174"/>
      <c r="O4656" s="174"/>
      <c r="P4656" s="174" t="str">
        <f ca="1">IF(Proc[[#This Row],[DaysAgeing]]&gt;5,"yep","on track")</f>
        <v>on track</v>
      </c>
      <c r="Q4656" s="3">
        <f ca="1">IF(Proc[[#This Row],[DateClosed]]="",ABS(NETWORKDAYS(Proc[[#This Row],[DateOpened]],TODAY()))-1,ABS(NETWORKDAYS(Proc[[#This Row],[DateOpened]],Proc[[#This Row],[DateClosed]]))-1)</f>
        <v>5</v>
      </c>
      <c r="R4656" s="174" t="s">
        <v>485</v>
      </c>
      <c r="S4656" s="150"/>
    </row>
    <row r="4657" spans="1:19" hidden="1">
      <c r="A4657" s="149" t="s">
        <v>7001</v>
      </c>
      <c r="B4657" s="150" t="str">
        <f>IFERROR(VLOOKUP(Proc[[#This Row],[App]],Table2[],3,0),"open")</f>
        <v>ok</v>
      </c>
      <c r="C4657" s="149" t="s">
        <v>369</v>
      </c>
      <c r="D4657" t="s">
        <v>7012</v>
      </c>
      <c r="E4657" t="s">
        <v>7003</v>
      </c>
      <c r="F4657" s="150" t="s">
        <v>7003</v>
      </c>
      <c r="G4657" s="149" t="s">
        <v>406</v>
      </c>
      <c r="H4657" s="150" t="str">
        <f>IF(Proc[[#This Row],[type]]="LFF (MDG-F)",MID(Proc[[#This Row],[Obj]],13,10),"")</f>
        <v>DE10566125</v>
      </c>
      <c r="I4657" s="149"/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MGF</v>
      </c>
      <c r="L4657" s="150" t="s">
        <v>6435</v>
      </c>
      <c r="M4657" s="173">
        <v>45988</v>
      </c>
      <c r="N4657" s="174"/>
      <c r="O4657" s="174"/>
      <c r="P4657" s="174" t="str">
        <f ca="1">IF(Proc[[#This Row],[DaysAgeing]]&gt;5,"yep","on track")</f>
        <v>on track</v>
      </c>
      <c r="Q4657" s="3">
        <f ca="1">IF(Proc[[#This Row],[DateClosed]]="",ABS(NETWORKDAYS(Proc[[#This Row],[DateOpened]],TODAY()))-1,ABS(NETWORKDAYS(Proc[[#This Row],[DateOpened]],Proc[[#This Row],[DateClosed]]))-1)</f>
        <v>5</v>
      </c>
      <c r="R4657" s="174" t="s">
        <v>485</v>
      </c>
      <c r="S4657" s="150"/>
    </row>
    <row r="4658" spans="1:19" hidden="1">
      <c r="A4658" s="149" t="s">
        <v>7001</v>
      </c>
      <c r="B4658" s="150" t="str">
        <f>IFERROR(VLOOKUP(Proc[[#This Row],[App]],Table2[],3,0),"open")</f>
        <v>ok</v>
      </c>
      <c r="C4658" s="149" t="s">
        <v>369</v>
      </c>
      <c r="D4658" t="s">
        <v>7013</v>
      </c>
      <c r="E4658" t="s">
        <v>7003</v>
      </c>
      <c r="F4658" s="150" t="s">
        <v>7003</v>
      </c>
      <c r="G4658" s="149" t="s">
        <v>406</v>
      </c>
      <c r="H4658" s="150" t="str">
        <f>IF(Proc[[#This Row],[type]]="LFF (MDG-F)",MID(Proc[[#This Row],[Obj]],13,10),"")</f>
        <v>DE10566127</v>
      </c>
      <c r="I4658" s="149"/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MGF</v>
      </c>
      <c r="L4658" s="150" t="s">
        <v>6435</v>
      </c>
      <c r="M4658" s="173">
        <v>45988</v>
      </c>
      <c r="N4658" s="174"/>
      <c r="O4658" s="174"/>
      <c r="P4658" s="174" t="str">
        <f ca="1">IF(Proc[[#This Row],[DaysAgeing]]&gt;5,"yep","on track")</f>
        <v>on track</v>
      </c>
      <c r="Q4658" s="3">
        <f ca="1">IF(Proc[[#This Row],[DateClosed]]="",ABS(NETWORKDAYS(Proc[[#This Row],[DateOpened]],TODAY()))-1,ABS(NETWORKDAYS(Proc[[#This Row],[DateOpened]],Proc[[#This Row],[DateClosed]]))-1)</f>
        <v>5</v>
      </c>
      <c r="R4658" s="174" t="s">
        <v>485</v>
      </c>
      <c r="S4658" s="150"/>
    </row>
    <row r="4659" spans="1:19" hidden="1">
      <c r="A4659" s="149" t="s">
        <v>7001</v>
      </c>
      <c r="B4659" s="150" t="str">
        <f>IFERROR(VLOOKUP(Proc[[#This Row],[App]],Table2[],3,0),"open")</f>
        <v>ok</v>
      </c>
      <c r="C4659" s="149" t="s">
        <v>369</v>
      </c>
      <c r="D4659" t="s">
        <v>7014</v>
      </c>
      <c r="E4659" t="s">
        <v>7002</v>
      </c>
      <c r="F4659" s="150" t="s">
        <v>7002</v>
      </c>
      <c r="G4659" s="149" t="s">
        <v>406</v>
      </c>
      <c r="H4659" s="150" t="str">
        <f>IF(Proc[[#This Row],[type]]="LFF (MDG-F)",MID(Proc[[#This Row],[Obj]],13,10),"")</f>
        <v>DE10E16300</v>
      </c>
      <c r="I4659" s="149"/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MGF</v>
      </c>
      <c r="L4659" s="150" t="s">
        <v>6435</v>
      </c>
      <c r="M4659" s="173">
        <v>45988</v>
      </c>
      <c r="N4659" s="174"/>
      <c r="O4659" s="174"/>
      <c r="P4659" s="174" t="str">
        <f ca="1">IF(Proc[[#This Row],[DaysAgeing]]&gt;5,"yep","on track")</f>
        <v>on track</v>
      </c>
      <c r="Q4659" s="3">
        <f ca="1">IF(Proc[[#This Row],[DateClosed]]="",ABS(NETWORKDAYS(Proc[[#This Row],[DateOpened]],TODAY()))-1,ABS(NETWORKDAYS(Proc[[#This Row],[DateOpened]],Proc[[#This Row],[DateClosed]]))-1)</f>
        <v>5</v>
      </c>
      <c r="R4659" s="174" t="s">
        <v>485</v>
      </c>
      <c r="S4659" s="150"/>
    </row>
    <row r="4660" spans="1:19" hidden="1">
      <c r="A4660" s="149" t="s">
        <v>7001</v>
      </c>
      <c r="B4660" s="150" t="str">
        <f>IFERROR(VLOOKUP(Proc[[#This Row],[App]],Table2[],3,0),"open")</f>
        <v>ok</v>
      </c>
      <c r="C4660" s="149" t="s">
        <v>369</v>
      </c>
      <c r="D4660" t="s">
        <v>7015</v>
      </c>
      <c r="E4660" t="s">
        <v>7002</v>
      </c>
      <c r="F4660" s="150" t="s">
        <v>7002</v>
      </c>
      <c r="G4660" s="149" t="s">
        <v>406</v>
      </c>
      <c r="H4660" s="150" t="str">
        <f>IF(Proc[[#This Row],[type]]="LFF (MDG-F)",MID(Proc[[#This Row],[Obj]],13,10),"")</f>
        <v>DE10E16600</v>
      </c>
      <c r="I4660" s="149"/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MGF</v>
      </c>
      <c r="L4660" s="150" t="s">
        <v>6435</v>
      </c>
      <c r="M4660" s="173">
        <v>45988</v>
      </c>
      <c r="N4660" s="174"/>
      <c r="O4660" s="174"/>
      <c r="P4660" s="174" t="str">
        <f ca="1">IF(Proc[[#This Row],[DaysAgeing]]&gt;5,"yep","on track")</f>
        <v>on track</v>
      </c>
      <c r="Q4660" s="3">
        <f ca="1">IF(Proc[[#This Row],[DateClosed]]="",ABS(NETWORKDAYS(Proc[[#This Row],[DateOpened]],TODAY()))-1,ABS(NETWORKDAYS(Proc[[#This Row],[DateOpened]],Proc[[#This Row],[DateClosed]]))-1)</f>
        <v>5</v>
      </c>
      <c r="R4660" s="174" t="s">
        <v>485</v>
      </c>
      <c r="S4660" s="150"/>
    </row>
    <row r="4661" spans="1:19" hidden="1">
      <c r="A4661" s="149" t="s">
        <v>7001</v>
      </c>
      <c r="B4661" s="150" t="str">
        <f>IFERROR(VLOOKUP(Proc[[#This Row],[App]],Table2[],3,0),"open")</f>
        <v>ok</v>
      </c>
      <c r="C4661" s="149" t="s">
        <v>369</v>
      </c>
      <c r="D4661" t="s">
        <v>7016</v>
      </c>
      <c r="E4661" t="s">
        <v>7002</v>
      </c>
      <c r="F4661" s="150" t="s">
        <v>7002</v>
      </c>
      <c r="G4661" s="149" t="s">
        <v>406</v>
      </c>
      <c r="H4661" s="150" t="str">
        <f>IF(Proc[[#This Row],[type]]="LFF (MDG-F)",MID(Proc[[#This Row],[Obj]],13,10),"")</f>
        <v>DE10E38020</v>
      </c>
      <c r="I4661" s="149"/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MGF</v>
      </c>
      <c r="L4661" s="150" t="s">
        <v>6435</v>
      </c>
      <c r="M4661" s="173">
        <v>45988</v>
      </c>
      <c r="N4661" s="174"/>
      <c r="O4661" s="174"/>
      <c r="P4661" s="174" t="str">
        <f ca="1">IF(Proc[[#This Row],[DaysAgeing]]&gt;5,"yep","on track")</f>
        <v>on track</v>
      </c>
      <c r="Q4661" s="3">
        <f ca="1">IF(Proc[[#This Row],[DateClosed]]="",ABS(NETWORKDAYS(Proc[[#This Row],[DateOpened]],TODAY()))-1,ABS(NETWORKDAYS(Proc[[#This Row],[DateOpened]],Proc[[#This Row],[DateClosed]]))-1)</f>
        <v>5</v>
      </c>
      <c r="R4661" s="174" t="s">
        <v>485</v>
      </c>
      <c r="S4661" s="150"/>
    </row>
    <row r="4662" spans="1:19" hidden="1">
      <c r="A4662" s="149" t="s">
        <v>7001</v>
      </c>
      <c r="B4662" s="150" t="str">
        <f>IFERROR(VLOOKUP(Proc[[#This Row],[App]],Table2[],3,0),"open")</f>
        <v>ok</v>
      </c>
      <c r="C4662" s="149" t="s">
        <v>369</v>
      </c>
      <c r="D4662" t="s">
        <v>7017</v>
      </c>
      <c r="E4662" t="s">
        <v>7004</v>
      </c>
      <c r="F4662" s="150" t="s">
        <v>7004</v>
      </c>
      <c r="G4662" s="149" t="s">
        <v>406</v>
      </c>
      <c r="H4662" s="150" t="str">
        <f>IF(Proc[[#This Row],[type]]="LFF (MDG-F)",MID(Proc[[#This Row],[Obj]],13,10),"")</f>
        <v>DE10E38800</v>
      </c>
      <c r="I4662" s="149"/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MGF</v>
      </c>
      <c r="L4662" s="150" t="s">
        <v>6435</v>
      </c>
      <c r="M4662" s="173">
        <v>45988</v>
      </c>
      <c r="N4662" s="174"/>
      <c r="O4662" s="174"/>
      <c r="P4662" s="174" t="str">
        <f ca="1">IF(Proc[[#This Row],[DaysAgeing]]&gt;5,"yep","on track")</f>
        <v>on track</v>
      </c>
      <c r="Q4662" s="3">
        <f ca="1">IF(Proc[[#This Row],[DateClosed]]="",ABS(NETWORKDAYS(Proc[[#This Row],[DateOpened]],TODAY()))-1,ABS(NETWORKDAYS(Proc[[#This Row],[DateOpened]],Proc[[#This Row],[DateClosed]]))-1)</f>
        <v>5</v>
      </c>
      <c r="R4662" s="174" t="s">
        <v>485</v>
      </c>
      <c r="S4662" s="150"/>
    </row>
    <row r="4663" spans="1:19" hidden="1">
      <c r="A4663" s="149" t="s">
        <v>7001</v>
      </c>
      <c r="B4663" s="150" t="str">
        <f>IFERROR(VLOOKUP(Proc[[#This Row],[App]],Table2[],3,0),"open")</f>
        <v>ok</v>
      </c>
      <c r="C4663" s="149" t="s">
        <v>369</v>
      </c>
      <c r="D4663" t="s">
        <v>7018</v>
      </c>
      <c r="E4663" t="s">
        <v>7002</v>
      </c>
      <c r="F4663" s="150" t="s">
        <v>7002</v>
      </c>
      <c r="G4663" s="149" t="s">
        <v>406</v>
      </c>
      <c r="H4663" s="150" t="str">
        <f>IF(Proc[[#This Row],[type]]="LFF (MDG-F)",MID(Proc[[#This Row],[Obj]],13,10),"")</f>
        <v>DE10E38810</v>
      </c>
      <c r="I4663" s="149"/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MGF</v>
      </c>
      <c r="L4663" s="150" t="s">
        <v>6435</v>
      </c>
      <c r="M4663" s="173">
        <v>45988</v>
      </c>
      <c r="N4663" s="174"/>
      <c r="O4663" s="174"/>
      <c r="P4663" s="174" t="str">
        <f ca="1">IF(Proc[[#This Row],[DaysAgeing]]&gt;5,"yep","on track")</f>
        <v>on track</v>
      </c>
      <c r="Q4663" s="3">
        <f ca="1">IF(Proc[[#This Row],[DateClosed]]="",ABS(NETWORKDAYS(Proc[[#This Row],[DateOpened]],TODAY()))-1,ABS(NETWORKDAYS(Proc[[#This Row],[DateOpened]],Proc[[#This Row],[DateClosed]]))-1)</f>
        <v>5</v>
      </c>
      <c r="R4663" s="174" t="s">
        <v>485</v>
      </c>
      <c r="S4663" s="150"/>
    </row>
    <row r="4664" spans="1:19" hidden="1">
      <c r="A4664" s="149" t="s">
        <v>7001</v>
      </c>
      <c r="B4664" s="150" t="str">
        <f>IFERROR(VLOOKUP(Proc[[#This Row],[App]],Table2[],3,0),"open")</f>
        <v>ok</v>
      </c>
      <c r="C4664" s="149" t="s">
        <v>369</v>
      </c>
      <c r="D4664" t="s">
        <v>7019</v>
      </c>
      <c r="E4664" t="s">
        <v>7002</v>
      </c>
      <c r="F4664" s="150" t="s">
        <v>7002</v>
      </c>
      <c r="G4664" s="149" t="s">
        <v>406</v>
      </c>
      <c r="H4664" s="150" t="str">
        <f>IF(Proc[[#This Row],[type]]="LFF (MDG-F)",MID(Proc[[#This Row],[Obj]],13,10),"")</f>
        <v>DE10E61000</v>
      </c>
      <c r="I4664" s="149"/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MGF</v>
      </c>
      <c r="L4664" s="150" t="s">
        <v>6435</v>
      </c>
      <c r="M4664" s="173">
        <v>45988</v>
      </c>
      <c r="N4664" s="174"/>
      <c r="O4664" s="174"/>
      <c r="P4664" s="174" t="str">
        <f ca="1">IF(Proc[[#This Row],[DaysAgeing]]&gt;5,"yep","on track")</f>
        <v>on track</v>
      </c>
      <c r="Q4664" s="3">
        <f ca="1">IF(Proc[[#This Row],[DateClosed]]="",ABS(NETWORKDAYS(Proc[[#This Row],[DateOpened]],TODAY()))-1,ABS(NETWORKDAYS(Proc[[#This Row],[DateOpened]],Proc[[#This Row],[DateClosed]]))-1)</f>
        <v>5</v>
      </c>
      <c r="R4664" s="174" t="s">
        <v>485</v>
      </c>
      <c r="S4664" s="150"/>
    </row>
    <row r="4665" spans="1:19" hidden="1">
      <c r="A4665" s="149" t="s">
        <v>7001</v>
      </c>
      <c r="B4665" s="150" t="str">
        <f>IFERROR(VLOOKUP(Proc[[#This Row],[App]],Table2[],3,0),"open")</f>
        <v>ok</v>
      </c>
      <c r="C4665" s="149" t="s">
        <v>369</v>
      </c>
      <c r="D4665" t="s">
        <v>7020</v>
      </c>
      <c r="E4665" t="s">
        <v>7002</v>
      </c>
      <c r="F4665" s="150" t="s">
        <v>7002</v>
      </c>
      <c r="G4665" s="149" t="s">
        <v>406</v>
      </c>
      <c r="H4665" s="150" t="str">
        <f>IF(Proc[[#This Row],[type]]="LFF (MDG-F)",MID(Proc[[#This Row],[Obj]],13,10),"")</f>
        <v>DE10E61100</v>
      </c>
      <c r="I4665" s="149"/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MGF</v>
      </c>
      <c r="L4665" s="150" t="s">
        <v>6435</v>
      </c>
      <c r="M4665" s="173">
        <v>45988</v>
      </c>
      <c r="N4665" s="174"/>
      <c r="O4665" s="174"/>
      <c r="P4665" s="174" t="str">
        <f ca="1">IF(Proc[[#This Row],[DaysAgeing]]&gt;5,"yep","on track")</f>
        <v>on track</v>
      </c>
      <c r="Q4665" s="3">
        <f ca="1">IF(Proc[[#This Row],[DateClosed]]="",ABS(NETWORKDAYS(Proc[[#This Row],[DateOpened]],TODAY()))-1,ABS(NETWORKDAYS(Proc[[#This Row],[DateOpened]],Proc[[#This Row],[DateClosed]]))-1)</f>
        <v>5</v>
      </c>
      <c r="R4665" s="174" t="s">
        <v>485</v>
      </c>
      <c r="S4665" s="150"/>
    </row>
    <row r="4666" spans="1:19" hidden="1">
      <c r="A4666" s="149" t="s">
        <v>7001</v>
      </c>
      <c r="B4666" s="150" t="str">
        <f>IFERROR(VLOOKUP(Proc[[#This Row],[App]],Table2[],3,0),"open")</f>
        <v>ok</v>
      </c>
      <c r="C4666" s="149" t="s">
        <v>369</v>
      </c>
      <c r="D4666" t="s">
        <v>7021</v>
      </c>
      <c r="E4666" t="s">
        <v>7002</v>
      </c>
      <c r="F4666" s="150" t="s">
        <v>7002</v>
      </c>
      <c r="G4666" s="149" t="s">
        <v>406</v>
      </c>
      <c r="H4666" s="150" t="str">
        <f>IF(Proc[[#This Row],[type]]="LFF (MDG-F)",MID(Proc[[#This Row],[Obj]],13,10),"")</f>
        <v>DE10E61200</v>
      </c>
      <c r="I4666" s="149"/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MGF</v>
      </c>
      <c r="L4666" s="150" t="s">
        <v>6435</v>
      </c>
      <c r="M4666" s="173">
        <v>45988</v>
      </c>
      <c r="N4666" s="174"/>
      <c r="O4666" s="174"/>
      <c r="P4666" s="174" t="str">
        <f ca="1">IF(Proc[[#This Row],[DaysAgeing]]&gt;5,"yep","on track")</f>
        <v>on track</v>
      </c>
      <c r="Q4666" s="3">
        <f ca="1">IF(Proc[[#This Row],[DateClosed]]="",ABS(NETWORKDAYS(Proc[[#This Row],[DateOpened]],TODAY()))-1,ABS(NETWORKDAYS(Proc[[#This Row],[DateOpened]],Proc[[#This Row],[DateClosed]]))-1)</f>
        <v>5</v>
      </c>
      <c r="R4666" s="174" t="s">
        <v>485</v>
      </c>
      <c r="S4666" s="150"/>
    </row>
    <row r="4667" spans="1:19" hidden="1">
      <c r="A4667" s="149" t="s">
        <v>7001</v>
      </c>
      <c r="B4667" s="150" t="str">
        <f>IFERROR(VLOOKUP(Proc[[#This Row],[App]],Table2[],3,0),"open")</f>
        <v>ok</v>
      </c>
      <c r="C4667" s="149" t="s">
        <v>369</v>
      </c>
      <c r="D4667" t="s">
        <v>7022</v>
      </c>
      <c r="E4667" t="s">
        <v>7002</v>
      </c>
      <c r="F4667" s="150" t="s">
        <v>7002</v>
      </c>
      <c r="G4667" s="149" t="s">
        <v>406</v>
      </c>
      <c r="H4667" s="150" t="str">
        <f>IF(Proc[[#This Row],[type]]="LFF (MDG-F)",MID(Proc[[#This Row],[Obj]],13,10),"")</f>
        <v>DE10E61900</v>
      </c>
      <c r="I4667" s="149"/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MGF</v>
      </c>
      <c r="L4667" s="150" t="s">
        <v>6435</v>
      </c>
      <c r="M4667" s="173">
        <v>45988</v>
      </c>
      <c r="N4667" s="174"/>
      <c r="O4667" s="174"/>
      <c r="P4667" s="174" t="str">
        <f ca="1">IF(Proc[[#This Row],[DaysAgeing]]&gt;5,"yep","on track")</f>
        <v>on track</v>
      </c>
      <c r="Q4667" s="3">
        <f ca="1">IF(Proc[[#This Row],[DateClosed]]="",ABS(NETWORKDAYS(Proc[[#This Row],[DateOpened]],TODAY()))-1,ABS(NETWORKDAYS(Proc[[#This Row],[DateOpened]],Proc[[#This Row],[DateClosed]]))-1)</f>
        <v>5</v>
      </c>
      <c r="R4667" s="174" t="s">
        <v>485</v>
      </c>
      <c r="S4667" s="150"/>
    </row>
    <row r="4668" spans="1:19" hidden="1">
      <c r="A4668" s="149" t="s">
        <v>7001</v>
      </c>
      <c r="B4668" s="150" t="str">
        <f>IFERROR(VLOOKUP(Proc[[#This Row],[App]],Table2[],3,0),"open")</f>
        <v>ok</v>
      </c>
      <c r="C4668" s="149" t="s">
        <v>369</v>
      </c>
      <c r="D4668" t="s">
        <v>7023</v>
      </c>
      <c r="E4668" t="s">
        <v>7002</v>
      </c>
      <c r="F4668" s="150" t="s">
        <v>7002</v>
      </c>
      <c r="G4668" s="149" t="s">
        <v>406</v>
      </c>
      <c r="H4668" s="150" t="str">
        <f>IF(Proc[[#This Row],[type]]="LFF (MDG-F)",MID(Proc[[#This Row],[Obj]],13,10),"")</f>
        <v>DE10F11900</v>
      </c>
      <c r="I4668" s="149"/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MGF</v>
      </c>
      <c r="L4668" s="150" t="s">
        <v>6435</v>
      </c>
      <c r="M4668" s="173">
        <v>45988</v>
      </c>
      <c r="N4668" s="174"/>
      <c r="O4668" s="174"/>
      <c r="P4668" s="174" t="str">
        <f ca="1">IF(Proc[[#This Row],[DaysAgeing]]&gt;5,"yep","on track")</f>
        <v>on track</v>
      </c>
      <c r="Q4668" s="3">
        <f ca="1">IF(Proc[[#This Row],[DateClosed]]="",ABS(NETWORKDAYS(Proc[[#This Row],[DateOpened]],TODAY()))-1,ABS(NETWORKDAYS(Proc[[#This Row],[DateOpened]],Proc[[#This Row],[DateClosed]]))-1)</f>
        <v>5</v>
      </c>
      <c r="R4668" s="174" t="s">
        <v>485</v>
      </c>
      <c r="S4668" s="150"/>
    </row>
    <row r="4669" spans="1:19" hidden="1">
      <c r="A4669" s="149" t="s">
        <v>7001</v>
      </c>
      <c r="B4669" s="150" t="str">
        <f>IFERROR(VLOOKUP(Proc[[#This Row],[App]],Table2[],3,0),"open")</f>
        <v>ok</v>
      </c>
      <c r="C4669" s="149" t="s">
        <v>369</v>
      </c>
      <c r="D4669" t="s">
        <v>7024</v>
      </c>
      <c r="E4669" t="s">
        <v>7004</v>
      </c>
      <c r="F4669" s="150" t="s">
        <v>7004</v>
      </c>
      <c r="G4669" s="149" t="s">
        <v>406</v>
      </c>
      <c r="H4669" s="150" t="str">
        <f>IF(Proc[[#This Row],[type]]="LFF (MDG-F)",MID(Proc[[#This Row],[Obj]],13,10),"")</f>
        <v>DE10F16000</v>
      </c>
      <c r="I4669" s="149"/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MGF</v>
      </c>
      <c r="L4669" s="150" t="s">
        <v>6435</v>
      </c>
      <c r="M4669" s="173">
        <v>45988</v>
      </c>
      <c r="N4669" s="174"/>
      <c r="O4669" s="174"/>
      <c r="P4669" s="174" t="str">
        <f ca="1">IF(Proc[[#This Row],[DaysAgeing]]&gt;5,"yep","on track")</f>
        <v>on track</v>
      </c>
      <c r="Q4669" s="3">
        <f ca="1">IF(Proc[[#This Row],[DateClosed]]="",ABS(NETWORKDAYS(Proc[[#This Row],[DateOpened]],TODAY()))-1,ABS(NETWORKDAYS(Proc[[#This Row],[DateOpened]],Proc[[#This Row],[DateClosed]]))-1)</f>
        <v>5</v>
      </c>
      <c r="R4669" s="174" t="s">
        <v>485</v>
      </c>
      <c r="S4669" s="150"/>
    </row>
    <row r="4670" spans="1:19" hidden="1">
      <c r="A4670" s="149" t="s">
        <v>7001</v>
      </c>
      <c r="B4670" s="150" t="str">
        <f>IFERROR(VLOOKUP(Proc[[#This Row],[App]],Table2[],3,0),"open")</f>
        <v>ok</v>
      </c>
      <c r="C4670" s="149" t="s">
        <v>369</v>
      </c>
      <c r="D4670" t="s">
        <v>7025</v>
      </c>
      <c r="E4670" t="s">
        <v>7002</v>
      </c>
      <c r="F4670" s="150" t="s">
        <v>7002</v>
      </c>
      <c r="G4670" s="149" t="s">
        <v>406</v>
      </c>
      <c r="H4670" s="150" t="str">
        <f>IF(Proc[[#This Row],[type]]="LFF (MDG-F)",MID(Proc[[#This Row],[Obj]],13,10),"")</f>
        <v>DE10F16010</v>
      </c>
      <c r="I4670" s="149"/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MGF</v>
      </c>
      <c r="L4670" s="150" t="s">
        <v>6435</v>
      </c>
      <c r="M4670" s="173">
        <v>45988</v>
      </c>
      <c r="N4670" s="174"/>
      <c r="O4670" s="174"/>
      <c r="P4670" s="174" t="str">
        <f ca="1">IF(Proc[[#This Row],[DaysAgeing]]&gt;5,"yep","on track")</f>
        <v>on track</v>
      </c>
      <c r="Q4670" s="3">
        <f ca="1">IF(Proc[[#This Row],[DateClosed]]="",ABS(NETWORKDAYS(Proc[[#This Row],[DateOpened]],TODAY()))-1,ABS(NETWORKDAYS(Proc[[#This Row],[DateOpened]],Proc[[#This Row],[DateClosed]]))-1)</f>
        <v>5</v>
      </c>
      <c r="R4670" s="174" t="s">
        <v>485</v>
      </c>
      <c r="S4670" s="150"/>
    </row>
    <row r="4671" spans="1:19" hidden="1">
      <c r="A4671" s="149" t="s">
        <v>7001</v>
      </c>
      <c r="B4671" s="150" t="str">
        <f>IFERROR(VLOOKUP(Proc[[#This Row],[App]],Table2[],3,0),"open")</f>
        <v>ok</v>
      </c>
      <c r="C4671" s="149" t="s">
        <v>369</v>
      </c>
      <c r="D4671" t="s">
        <v>7026</v>
      </c>
      <c r="E4671" t="s">
        <v>7002</v>
      </c>
      <c r="F4671" s="150" t="s">
        <v>7002</v>
      </c>
      <c r="G4671" s="149" t="s">
        <v>406</v>
      </c>
      <c r="H4671" s="150" t="str">
        <f>IF(Proc[[#This Row],[type]]="LFF (MDG-F)",MID(Proc[[#This Row],[Obj]],13,10),"")</f>
        <v>DE10F16100</v>
      </c>
      <c r="I4671" s="149"/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MGF</v>
      </c>
      <c r="L4671" s="150" t="s">
        <v>6435</v>
      </c>
      <c r="M4671" s="173">
        <v>45988</v>
      </c>
      <c r="N4671" s="174"/>
      <c r="O4671" s="174"/>
      <c r="P4671" s="174" t="str">
        <f ca="1">IF(Proc[[#This Row],[DaysAgeing]]&gt;5,"yep","on track")</f>
        <v>on track</v>
      </c>
      <c r="Q4671" s="3">
        <f ca="1">IF(Proc[[#This Row],[DateClosed]]="",ABS(NETWORKDAYS(Proc[[#This Row],[DateOpened]],TODAY()))-1,ABS(NETWORKDAYS(Proc[[#This Row],[DateOpened]],Proc[[#This Row],[DateClosed]]))-1)</f>
        <v>5</v>
      </c>
      <c r="R4671" s="174" t="s">
        <v>485</v>
      </c>
      <c r="S4671" s="150"/>
    </row>
    <row r="4672" spans="1:19" hidden="1">
      <c r="A4672" s="149" t="s">
        <v>7001</v>
      </c>
      <c r="B4672" s="150" t="str">
        <f>IFERROR(VLOOKUP(Proc[[#This Row],[App]],Table2[],3,0),"open")</f>
        <v>ok</v>
      </c>
      <c r="C4672" s="149" t="s">
        <v>369</v>
      </c>
      <c r="D4672" t="s">
        <v>7027</v>
      </c>
      <c r="E4672" t="s">
        <v>7002</v>
      </c>
      <c r="F4672" s="150" t="s">
        <v>7002</v>
      </c>
      <c r="G4672" s="149" t="s">
        <v>406</v>
      </c>
      <c r="H4672" s="150" t="str">
        <f>IF(Proc[[#This Row],[type]]="LFF (MDG-F)",MID(Proc[[#This Row],[Obj]],13,10),"")</f>
        <v>DE10F16200</v>
      </c>
      <c r="I4672" s="149"/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MGF</v>
      </c>
      <c r="L4672" s="150" t="s">
        <v>6435</v>
      </c>
      <c r="M4672" s="173">
        <v>45988</v>
      </c>
      <c r="N4672" s="174"/>
      <c r="O4672" s="174"/>
      <c r="P4672" s="174" t="str">
        <f ca="1">IF(Proc[[#This Row],[DaysAgeing]]&gt;5,"yep","on track")</f>
        <v>on track</v>
      </c>
      <c r="Q4672" s="3">
        <f ca="1">IF(Proc[[#This Row],[DateClosed]]="",ABS(NETWORKDAYS(Proc[[#This Row],[DateOpened]],TODAY()))-1,ABS(NETWORKDAYS(Proc[[#This Row],[DateOpened]],Proc[[#This Row],[DateClosed]]))-1)</f>
        <v>5</v>
      </c>
      <c r="R4672" s="174" t="s">
        <v>485</v>
      </c>
      <c r="S4672" s="150"/>
    </row>
    <row r="4673" spans="1:19" hidden="1">
      <c r="A4673" s="149" t="s">
        <v>7001</v>
      </c>
      <c r="B4673" s="150" t="str">
        <f>IFERROR(VLOOKUP(Proc[[#This Row],[App]],Table2[],3,0),"open")</f>
        <v>ok</v>
      </c>
      <c r="C4673" s="149" t="s">
        <v>369</v>
      </c>
      <c r="D4673" t="s">
        <v>7028</v>
      </c>
      <c r="E4673" t="s">
        <v>7002</v>
      </c>
      <c r="F4673" s="150" t="s">
        <v>7002</v>
      </c>
      <c r="G4673" s="149" t="s">
        <v>406</v>
      </c>
      <c r="H4673" s="150" t="str">
        <f>IF(Proc[[#This Row],[type]]="LFF (MDG-F)",MID(Proc[[#This Row],[Obj]],13,10),"")</f>
        <v>DE10F16300</v>
      </c>
      <c r="I4673" s="149"/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MGF</v>
      </c>
      <c r="L4673" s="150" t="s">
        <v>6435</v>
      </c>
      <c r="M4673" s="173">
        <v>45988</v>
      </c>
      <c r="N4673" s="174"/>
      <c r="O4673" s="174"/>
      <c r="P4673" s="174" t="str">
        <f ca="1">IF(Proc[[#This Row],[DaysAgeing]]&gt;5,"yep","on track")</f>
        <v>on track</v>
      </c>
      <c r="Q4673" s="3">
        <f ca="1">IF(Proc[[#This Row],[DateClosed]]="",ABS(NETWORKDAYS(Proc[[#This Row],[DateOpened]],TODAY()))-1,ABS(NETWORKDAYS(Proc[[#This Row],[DateOpened]],Proc[[#This Row],[DateClosed]]))-1)</f>
        <v>5</v>
      </c>
      <c r="R4673" s="174" t="s">
        <v>485</v>
      </c>
      <c r="S4673" s="150"/>
    </row>
    <row r="4674" spans="1:19" hidden="1">
      <c r="A4674" s="149" t="s">
        <v>7001</v>
      </c>
      <c r="B4674" s="150" t="str">
        <f>IFERROR(VLOOKUP(Proc[[#This Row],[App]],Table2[],3,0),"open")</f>
        <v>ok</v>
      </c>
      <c r="C4674" s="149" t="s">
        <v>369</v>
      </c>
      <c r="D4674" t="s">
        <v>7029</v>
      </c>
      <c r="E4674" t="s">
        <v>7002</v>
      </c>
      <c r="F4674" s="150" t="s">
        <v>7002</v>
      </c>
      <c r="G4674" s="149" t="s">
        <v>406</v>
      </c>
      <c r="H4674" s="150" t="str">
        <f>IF(Proc[[#This Row],[type]]="LFF (MDG-F)",MID(Proc[[#This Row],[Obj]],13,10),"")</f>
        <v>DE10F16500</v>
      </c>
      <c r="I4674" s="149"/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MGF</v>
      </c>
      <c r="L4674" s="150" t="s">
        <v>6435</v>
      </c>
      <c r="M4674" s="173">
        <v>45988</v>
      </c>
      <c r="N4674" s="174"/>
      <c r="O4674" s="174"/>
      <c r="P4674" s="174" t="str">
        <f ca="1">IF(Proc[[#This Row],[DaysAgeing]]&gt;5,"yep","on track")</f>
        <v>on track</v>
      </c>
      <c r="Q4674" s="3">
        <f ca="1">IF(Proc[[#This Row],[DateClosed]]="",ABS(NETWORKDAYS(Proc[[#This Row],[DateOpened]],TODAY()))-1,ABS(NETWORKDAYS(Proc[[#This Row],[DateOpened]],Proc[[#This Row],[DateClosed]]))-1)</f>
        <v>5</v>
      </c>
      <c r="R4674" s="174" t="s">
        <v>485</v>
      </c>
      <c r="S4674" s="150"/>
    </row>
    <row r="4675" spans="1:19" hidden="1">
      <c r="A4675" s="149" t="s">
        <v>7001</v>
      </c>
      <c r="B4675" s="150" t="str">
        <f>IFERROR(VLOOKUP(Proc[[#This Row],[App]],Table2[],3,0),"open")</f>
        <v>ok</v>
      </c>
      <c r="C4675" s="149" t="s">
        <v>369</v>
      </c>
      <c r="D4675" t="s">
        <v>7030</v>
      </c>
      <c r="E4675" t="s">
        <v>7002</v>
      </c>
      <c r="F4675" s="150" t="s">
        <v>7002</v>
      </c>
      <c r="G4675" s="149" t="s">
        <v>406</v>
      </c>
      <c r="H4675" s="150" t="str">
        <f>IF(Proc[[#This Row],[type]]="LFF (MDG-F)",MID(Proc[[#This Row],[Obj]],13,10),"")</f>
        <v>DE10F16600</v>
      </c>
      <c r="I4675" s="149"/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MGF</v>
      </c>
      <c r="L4675" s="150" t="s">
        <v>6435</v>
      </c>
      <c r="M4675" s="173">
        <v>45988</v>
      </c>
      <c r="N4675" s="174"/>
      <c r="O4675" s="174"/>
      <c r="P4675" s="174" t="str">
        <f ca="1">IF(Proc[[#This Row],[DaysAgeing]]&gt;5,"yep","on track")</f>
        <v>on track</v>
      </c>
      <c r="Q4675" s="3">
        <f ca="1">IF(Proc[[#This Row],[DateClosed]]="",ABS(NETWORKDAYS(Proc[[#This Row],[DateOpened]],TODAY()))-1,ABS(NETWORKDAYS(Proc[[#This Row],[DateOpened]],Proc[[#This Row],[DateClosed]]))-1)</f>
        <v>5</v>
      </c>
      <c r="R4675" s="174" t="s">
        <v>485</v>
      </c>
      <c r="S4675" s="150"/>
    </row>
    <row r="4676" spans="1:19" hidden="1">
      <c r="A4676" s="149" t="s">
        <v>7001</v>
      </c>
      <c r="B4676" s="150" t="str">
        <f>IFERROR(VLOOKUP(Proc[[#This Row],[App]],Table2[],3,0),"open")</f>
        <v>ok</v>
      </c>
      <c r="C4676" s="149" t="s">
        <v>369</v>
      </c>
      <c r="D4676" t="s">
        <v>7031</v>
      </c>
      <c r="E4676" t="s">
        <v>7002</v>
      </c>
      <c r="F4676" s="150" t="s">
        <v>7002</v>
      </c>
      <c r="G4676" s="149" t="s">
        <v>406</v>
      </c>
      <c r="H4676" s="150" t="str">
        <f>IF(Proc[[#This Row],[type]]="LFF (MDG-F)",MID(Proc[[#This Row],[Obj]],13,10),"")</f>
        <v>DE10F16700</v>
      </c>
      <c r="I4676" s="149"/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MGF</v>
      </c>
      <c r="L4676" s="150" t="s">
        <v>6435</v>
      </c>
      <c r="M4676" s="173">
        <v>45988</v>
      </c>
      <c r="N4676" s="174"/>
      <c r="O4676" s="174"/>
      <c r="P4676" s="174" t="str">
        <f ca="1">IF(Proc[[#This Row],[DaysAgeing]]&gt;5,"yep","on track")</f>
        <v>on track</v>
      </c>
      <c r="Q4676" s="3">
        <f ca="1">IF(Proc[[#This Row],[DateClosed]]="",ABS(NETWORKDAYS(Proc[[#This Row],[DateOpened]],TODAY()))-1,ABS(NETWORKDAYS(Proc[[#This Row],[DateOpened]],Proc[[#This Row],[DateClosed]]))-1)</f>
        <v>5</v>
      </c>
      <c r="R4676" s="174" t="s">
        <v>485</v>
      </c>
      <c r="S4676" s="150"/>
    </row>
    <row r="4677" spans="1:19" hidden="1">
      <c r="A4677" s="149" t="s">
        <v>7001</v>
      </c>
      <c r="B4677" s="150" t="str">
        <f>IFERROR(VLOOKUP(Proc[[#This Row],[App]],Table2[],3,0),"open")</f>
        <v>ok</v>
      </c>
      <c r="C4677" s="149" t="s">
        <v>369</v>
      </c>
      <c r="D4677" t="s">
        <v>7032</v>
      </c>
      <c r="E4677" t="s">
        <v>7004</v>
      </c>
      <c r="F4677" s="150" t="s">
        <v>7004</v>
      </c>
      <c r="G4677" s="149" t="s">
        <v>406</v>
      </c>
      <c r="H4677" s="150" t="str">
        <f>IF(Proc[[#This Row],[type]]="LFF (MDG-F)",MID(Proc[[#This Row],[Obj]],13,10),"")</f>
        <v>DE10F27301</v>
      </c>
      <c r="I4677" s="149"/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MGF</v>
      </c>
      <c r="L4677" s="150" t="s">
        <v>6435</v>
      </c>
      <c r="M4677" s="173">
        <v>45988</v>
      </c>
      <c r="N4677" s="174"/>
      <c r="O4677" s="174"/>
      <c r="P4677" s="174" t="str">
        <f ca="1">IF(Proc[[#This Row],[DaysAgeing]]&gt;5,"yep","on track")</f>
        <v>on track</v>
      </c>
      <c r="Q4677" s="3">
        <f ca="1">IF(Proc[[#This Row],[DateClosed]]="",ABS(NETWORKDAYS(Proc[[#This Row],[DateOpened]],TODAY()))-1,ABS(NETWORKDAYS(Proc[[#This Row],[DateOpened]],Proc[[#This Row],[DateClosed]]))-1)</f>
        <v>5</v>
      </c>
      <c r="R4677" s="174" t="s">
        <v>485</v>
      </c>
      <c r="S4677" s="150"/>
    </row>
    <row r="4678" spans="1:19" hidden="1">
      <c r="A4678" s="149" t="s">
        <v>7001</v>
      </c>
      <c r="B4678" s="150" t="str">
        <f>IFERROR(VLOOKUP(Proc[[#This Row],[App]],Table2[],3,0),"open")</f>
        <v>ok</v>
      </c>
      <c r="C4678" s="149" t="s">
        <v>369</v>
      </c>
      <c r="D4678" t="s">
        <v>7033</v>
      </c>
      <c r="E4678" t="s">
        <v>7004</v>
      </c>
      <c r="F4678" s="150" t="s">
        <v>7004</v>
      </c>
      <c r="G4678" s="149" t="s">
        <v>406</v>
      </c>
      <c r="H4678" s="150" t="str">
        <f>IF(Proc[[#This Row],[type]]="LFF (MDG-F)",MID(Proc[[#This Row],[Obj]],13,10),"")</f>
        <v>DE10E09200</v>
      </c>
      <c r="I4678" s="149"/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MGF</v>
      </c>
      <c r="L4678" s="150" t="s">
        <v>6435</v>
      </c>
      <c r="M4678" s="173">
        <v>45988</v>
      </c>
      <c r="N4678" s="174"/>
      <c r="O4678" s="174"/>
      <c r="P4678" s="174" t="str">
        <f ca="1">IF(Proc[[#This Row],[DaysAgeing]]&gt;5,"yep","on track")</f>
        <v>on track</v>
      </c>
      <c r="Q4678" s="3">
        <f ca="1">IF(Proc[[#This Row],[DateClosed]]="",ABS(NETWORKDAYS(Proc[[#This Row],[DateOpened]],TODAY()))-1,ABS(NETWORKDAYS(Proc[[#This Row],[DateOpened]],Proc[[#This Row],[DateClosed]]))-1)</f>
        <v>5</v>
      </c>
      <c r="R4678" s="174" t="s">
        <v>485</v>
      </c>
      <c r="S4678" s="150"/>
    </row>
    <row r="4679" spans="1:19" hidden="1">
      <c r="A4679" s="149" t="s">
        <v>7001</v>
      </c>
      <c r="B4679" s="150" t="str">
        <f>IFERROR(VLOOKUP(Proc[[#This Row],[App]],Table2[],3,0),"open")</f>
        <v>ok</v>
      </c>
      <c r="C4679" s="149" t="s">
        <v>369</v>
      </c>
      <c r="D4679" t="s">
        <v>7034</v>
      </c>
      <c r="E4679" t="s">
        <v>7002</v>
      </c>
      <c r="F4679" s="150" t="s">
        <v>7002</v>
      </c>
      <c r="G4679" s="149" t="s">
        <v>406</v>
      </c>
      <c r="H4679" s="150" t="str">
        <f>IF(Proc[[#This Row],[type]]="LFF (MDG-F)",MID(Proc[[#This Row],[Obj]],13,10),"")</f>
        <v>DE10E47200</v>
      </c>
      <c r="I4679" s="149"/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MGF</v>
      </c>
      <c r="L4679" s="150" t="s">
        <v>6435</v>
      </c>
      <c r="M4679" s="173">
        <v>45988</v>
      </c>
      <c r="N4679" s="174"/>
      <c r="O4679" s="174"/>
      <c r="P4679" s="174" t="str">
        <f ca="1">IF(Proc[[#This Row],[DaysAgeing]]&gt;5,"yep","on track")</f>
        <v>on track</v>
      </c>
      <c r="Q4679" s="3">
        <f ca="1">IF(Proc[[#This Row],[DateClosed]]="",ABS(NETWORKDAYS(Proc[[#This Row],[DateOpened]],TODAY()))-1,ABS(NETWORKDAYS(Proc[[#This Row],[DateOpened]],Proc[[#This Row],[DateClosed]]))-1)</f>
        <v>5</v>
      </c>
      <c r="R4679" s="174" t="s">
        <v>485</v>
      </c>
      <c r="S4679" s="150"/>
    </row>
    <row r="4680" spans="1:19" hidden="1">
      <c r="A4680" s="149" t="s">
        <v>7001</v>
      </c>
      <c r="B4680" s="150" t="str">
        <f>IFERROR(VLOOKUP(Proc[[#This Row],[App]],Table2[],3,0),"open")</f>
        <v>ok</v>
      </c>
      <c r="C4680" s="149" t="s">
        <v>369</v>
      </c>
      <c r="D4680" t="s">
        <v>7035</v>
      </c>
      <c r="E4680" t="s">
        <v>7002</v>
      </c>
      <c r="F4680" s="150" t="s">
        <v>7002</v>
      </c>
      <c r="G4680" s="149" t="s">
        <v>406</v>
      </c>
      <c r="H4680" s="150" t="str">
        <f>IF(Proc[[#This Row],[type]]="LFF (MDG-F)",MID(Proc[[#This Row],[Obj]],13,10),"")</f>
        <v>DE10F10600</v>
      </c>
      <c r="I4680" s="149"/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MGF</v>
      </c>
      <c r="L4680" s="150" t="s">
        <v>6435</v>
      </c>
      <c r="M4680" s="173">
        <v>45988</v>
      </c>
      <c r="N4680" s="174"/>
      <c r="O4680" s="174"/>
      <c r="P4680" s="174" t="str">
        <f ca="1">IF(Proc[[#This Row],[DaysAgeing]]&gt;5,"yep","on track")</f>
        <v>on track</v>
      </c>
      <c r="Q4680" s="3">
        <f ca="1">IF(Proc[[#This Row],[DateClosed]]="",ABS(NETWORKDAYS(Proc[[#This Row],[DateOpened]],TODAY()))-1,ABS(NETWORKDAYS(Proc[[#This Row],[DateOpened]],Proc[[#This Row],[DateClosed]]))-1)</f>
        <v>5</v>
      </c>
      <c r="R4680" s="174" t="s">
        <v>485</v>
      </c>
      <c r="S4680" s="150"/>
    </row>
    <row r="4681" spans="1:19" hidden="1">
      <c r="A4681" s="149" t="s">
        <v>7001</v>
      </c>
      <c r="B4681" s="150" t="str">
        <f>IFERROR(VLOOKUP(Proc[[#This Row],[App]],Table2[],3,0),"open")</f>
        <v>ok</v>
      </c>
      <c r="C4681" s="149" t="s">
        <v>369</v>
      </c>
      <c r="D4681" t="s">
        <v>7036</v>
      </c>
      <c r="E4681" t="s">
        <v>7002</v>
      </c>
      <c r="F4681" s="150" t="s">
        <v>7002</v>
      </c>
      <c r="G4681" s="149" t="s">
        <v>406</v>
      </c>
      <c r="H4681" s="150" t="str">
        <f>IF(Proc[[#This Row],[type]]="LFF (MDG-F)",MID(Proc[[#This Row],[Obj]],13,10),"")</f>
        <v>DE10F10900</v>
      </c>
      <c r="I4681" s="149"/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MGF</v>
      </c>
      <c r="L4681" s="150" t="s">
        <v>6435</v>
      </c>
      <c r="M4681" s="173">
        <v>45988</v>
      </c>
      <c r="N4681" s="174"/>
      <c r="O4681" s="174"/>
      <c r="P4681" s="174" t="str">
        <f ca="1">IF(Proc[[#This Row],[DaysAgeing]]&gt;5,"yep","on track")</f>
        <v>on track</v>
      </c>
      <c r="Q4681" s="3">
        <f ca="1">IF(Proc[[#This Row],[DateClosed]]="",ABS(NETWORKDAYS(Proc[[#This Row],[DateOpened]],TODAY()))-1,ABS(NETWORKDAYS(Proc[[#This Row],[DateOpened]],Proc[[#This Row],[DateClosed]]))-1)</f>
        <v>5</v>
      </c>
      <c r="R4681" s="174" t="s">
        <v>485</v>
      </c>
      <c r="S4681" s="150"/>
    </row>
    <row r="4682" spans="1:19" hidden="1">
      <c r="A4682" s="149" t="s">
        <v>7001</v>
      </c>
      <c r="B4682" s="150" t="str">
        <f>IFERROR(VLOOKUP(Proc[[#This Row],[App]],Table2[],3,0),"open")</f>
        <v>ok</v>
      </c>
      <c r="C4682" s="149" t="s">
        <v>369</v>
      </c>
      <c r="D4682" t="s">
        <v>7037</v>
      </c>
      <c r="E4682" t="s">
        <v>7004</v>
      </c>
      <c r="F4682" s="150" t="s">
        <v>7004</v>
      </c>
      <c r="G4682" s="149" t="s">
        <v>406</v>
      </c>
      <c r="H4682" s="150" t="str">
        <f>IF(Proc[[#This Row],[type]]="LFF (MDG-F)",MID(Proc[[#This Row],[Obj]],13,10),"")</f>
        <v>DE10F15400</v>
      </c>
      <c r="I4682" s="149"/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MGF</v>
      </c>
      <c r="L4682" s="150" t="s">
        <v>6435</v>
      </c>
      <c r="M4682" s="173">
        <v>45988</v>
      </c>
      <c r="N4682" s="174"/>
      <c r="O4682" s="174"/>
      <c r="P4682" s="174" t="str">
        <f ca="1">IF(Proc[[#This Row],[DaysAgeing]]&gt;5,"yep","on track")</f>
        <v>on track</v>
      </c>
      <c r="Q4682" s="3">
        <f ca="1">IF(Proc[[#This Row],[DateClosed]]="",ABS(NETWORKDAYS(Proc[[#This Row],[DateOpened]],TODAY()))-1,ABS(NETWORKDAYS(Proc[[#This Row],[DateOpened]],Proc[[#This Row],[DateClosed]]))-1)</f>
        <v>5</v>
      </c>
      <c r="R4682" s="174" t="s">
        <v>485</v>
      </c>
      <c r="S4682" s="150"/>
    </row>
    <row r="4683" spans="1:19" hidden="1">
      <c r="A4683" s="149" t="s">
        <v>7001</v>
      </c>
      <c r="B4683" s="150" t="str">
        <f>IFERROR(VLOOKUP(Proc[[#This Row],[App]],Table2[],3,0),"open")</f>
        <v>ok</v>
      </c>
      <c r="C4683" s="149" t="s">
        <v>369</v>
      </c>
      <c r="D4683" t="s">
        <v>7038</v>
      </c>
      <c r="E4683" t="s">
        <v>7002</v>
      </c>
      <c r="F4683" s="150" t="s">
        <v>7002</v>
      </c>
      <c r="G4683" s="149" t="s">
        <v>406</v>
      </c>
      <c r="H4683" s="150" t="str">
        <f>IF(Proc[[#This Row],[type]]="LFF (MDG-F)",MID(Proc[[#This Row],[Obj]],13,10),"")</f>
        <v>DE10F15410</v>
      </c>
      <c r="I4683" s="149"/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MGF</v>
      </c>
      <c r="L4683" s="150" t="s">
        <v>6435</v>
      </c>
      <c r="M4683" s="173">
        <v>45988</v>
      </c>
      <c r="N4683" s="174"/>
      <c r="O4683" s="174"/>
      <c r="P4683" s="174" t="str">
        <f ca="1">IF(Proc[[#This Row],[DaysAgeing]]&gt;5,"yep","on track")</f>
        <v>on track</v>
      </c>
      <c r="Q4683" s="3">
        <f ca="1">IF(Proc[[#This Row],[DateClosed]]="",ABS(NETWORKDAYS(Proc[[#This Row],[DateOpened]],TODAY()))-1,ABS(NETWORKDAYS(Proc[[#This Row],[DateOpened]],Proc[[#This Row],[DateClosed]]))-1)</f>
        <v>5</v>
      </c>
      <c r="R4683" s="174" t="s">
        <v>485</v>
      </c>
      <c r="S4683" s="150"/>
    </row>
    <row r="4684" spans="1:19" hidden="1">
      <c r="A4684" t="s">
        <v>7039</v>
      </c>
      <c r="B4684" s="150" t="str">
        <f>IFERROR(VLOOKUP(Proc[[#This Row],[App]],Table2[],3,0),"open")</f>
        <v>ok</v>
      </c>
      <c r="C4684" s="149" t="s">
        <v>369</v>
      </c>
      <c r="D4684" t="s">
        <v>7040</v>
      </c>
      <c r="E4684" t="s">
        <v>7228</v>
      </c>
      <c r="F4684" s="150" t="s">
        <v>7228</v>
      </c>
      <c r="G4684" s="149" t="s">
        <v>406</v>
      </c>
      <c r="H4684" s="150" t="str">
        <f>IF(Proc[[#This Row],[type]]="LFF (MDG-F)",MID(Proc[[#This Row],[Obj]],13,10),"")</f>
        <v>SG09OF0504</v>
      </c>
      <c r="I4684" t="s">
        <v>7228</v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EL</v>
      </c>
      <c r="L4684" s="150" t="s">
        <v>6435</v>
      </c>
      <c r="M4684" s="173">
        <v>45989</v>
      </c>
      <c r="N4684" s="174"/>
      <c r="O4684" s="174"/>
      <c r="P4684" s="174" t="str">
        <f ca="1">IF(Proc[[#This Row],[DaysAgeing]]&gt;5,"yep","on track")</f>
        <v>on track</v>
      </c>
      <c r="Q4684" s="3">
        <f ca="1">IF(Proc[[#This Row],[DateClosed]]="",ABS(NETWORKDAYS(Proc[[#This Row],[DateOpened]],TODAY()))-1,ABS(NETWORKDAYS(Proc[[#This Row],[DateOpened]],Proc[[#This Row],[DateClosed]]))-1)</f>
        <v>4</v>
      </c>
      <c r="R4684" s="174" t="s">
        <v>5709</v>
      </c>
      <c r="S4684" s="150"/>
    </row>
    <row r="4685" spans="1:19" hidden="1">
      <c r="A4685" t="s">
        <v>7039</v>
      </c>
      <c r="B4685" s="150" t="str">
        <f>IFERROR(VLOOKUP(Proc[[#This Row],[App]],Table2[],3,0),"open")</f>
        <v>ok</v>
      </c>
      <c r="C4685" s="149" t="s">
        <v>369</v>
      </c>
      <c r="D4685" t="s">
        <v>7041</v>
      </c>
      <c r="E4685" s="149" t="s">
        <v>7228</v>
      </c>
      <c r="F4685" s="150" t="s">
        <v>7228</v>
      </c>
      <c r="G4685" s="149" t="s">
        <v>406</v>
      </c>
      <c r="H4685" s="150" t="str">
        <f>IF(Proc[[#This Row],[type]]="LFF (MDG-F)",MID(Proc[[#This Row],[Obj]],13,10),"")</f>
        <v>TW02OF0321</v>
      </c>
      <c r="I4685" s="149" t="s">
        <v>7228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EL</v>
      </c>
      <c r="L4685" s="150" t="s">
        <v>6435</v>
      </c>
      <c r="M4685" s="173">
        <v>45989</v>
      </c>
      <c r="N4685" s="174"/>
      <c r="O4685" s="174"/>
      <c r="P4685" s="174" t="str">
        <f ca="1">IF(Proc[[#This Row],[DaysAgeing]]&gt;5,"yep","on track")</f>
        <v>on track</v>
      </c>
      <c r="Q4685" s="3">
        <f ca="1">IF(Proc[[#This Row],[DateClosed]]="",ABS(NETWORKDAYS(Proc[[#This Row],[DateOpened]],TODAY()))-1,ABS(NETWORKDAYS(Proc[[#This Row],[DateOpened]],Proc[[#This Row],[DateClosed]]))-1)</f>
        <v>4</v>
      </c>
      <c r="R4685" s="174" t="s">
        <v>5709</v>
      </c>
      <c r="S4685" s="150"/>
    </row>
    <row r="4686" spans="1:19" hidden="1">
      <c r="A4686" s="149" t="s">
        <v>7039</v>
      </c>
      <c r="B4686" s="150" t="str">
        <f>IFERROR(VLOOKUP(Proc[[#This Row],[App]],Table2[],3,0),"open")</f>
        <v>ok</v>
      </c>
      <c r="C4686" s="149" t="s">
        <v>369</v>
      </c>
      <c r="D4686" t="s">
        <v>7042</v>
      </c>
      <c r="E4686" s="149" t="s">
        <v>7228</v>
      </c>
      <c r="F4686" s="150" t="s">
        <v>7228</v>
      </c>
      <c r="G4686" s="149" t="s">
        <v>406</v>
      </c>
      <c r="H4686" s="150" t="str">
        <f>IF(Proc[[#This Row],[type]]="LFF (MDG-F)",MID(Proc[[#This Row],[Obj]],13,10),"")</f>
        <v>TW02OF0322</v>
      </c>
      <c r="I4686" s="149" t="s">
        <v>7228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EL</v>
      </c>
      <c r="L4686" s="150" t="s">
        <v>6435</v>
      </c>
      <c r="M4686" s="173">
        <v>45989</v>
      </c>
      <c r="N4686" s="174"/>
      <c r="O4686" s="174"/>
      <c r="P4686" s="174" t="str">
        <f ca="1">IF(Proc[[#This Row],[DaysAgeing]]&gt;5,"yep","on track")</f>
        <v>on track</v>
      </c>
      <c r="Q4686" s="3">
        <f ca="1">IF(Proc[[#This Row],[DateClosed]]="",ABS(NETWORKDAYS(Proc[[#This Row],[DateOpened]],TODAY()))-1,ABS(NETWORKDAYS(Proc[[#This Row],[DateOpened]],Proc[[#This Row],[DateClosed]]))-1)</f>
        <v>4</v>
      </c>
      <c r="R4686" s="174" t="s">
        <v>5709</v>
      </c>
      <c r="S4686" s="150"/>
    </row>
    <row r="4687" spans="1:19" hidden="1">
      <c r="A4687" s="149" t="s">
        <v>7039</v>
      </c>
      <c r="B4687" s="150" t="str">
        <f>IFERROR(VLOOKUP(Proc[[#This Row],[App]],Table2[],3,0),"open")</f>
        <v>ok</v>
      </c>
      <c r="C4687" s="149" t="s">
        <v>369</v>
      </c>
      <c r="D4687" t="s">
        <v>7043</v>
      </c>
      <c r="E4687" s="149" t="s">
        <v>7228</v>
      </c>
      <c r="F4687" s="150" t="s">
        <v>7228</v>
      </c>
      <c r="G4687" s="149" t="s">
        <v>406</v>
      </c>
      <c r="H4687" s="150" t="str">
        <f>IF(Proc[[#This Row],[type]]="LFF (MDG-F)",MID(Proc[[#This Row],[Obj]],13,10),"")</f>
        <v>SG10DB3305</v>
      </c>
      <c r="I4687" s="149" t="s">
        <v>7228</v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EL</v>
      </c>
      <c r="L4687" s="150" t="s">
        <v>6435</v>
      </c>
      <c r="M4687" s="173">
        <v>45989</v>
      </c>
      <c r="N4687" s="174"/>
      <c r="O4687" s="174"/>
      <c r="P4687" s="174" t="str">
        <f ca="1">IF(Proc[[#This Row],[DaysAgeing]]&gt;5,"yep","on track")</f>
        <v>on track</v>
      </c>
      <c r="Q4687" s="3">
        <f ca="1">IF(Proc[[#This Row],[DateClosed]]="",ABS(NETWORKDAYS(Proc[[#This Row],[DateOpened]],TODAY()))-1,ABS(NETWORKDAYS(Proc[[#This Row],[DateOpened]],Proc[[#This Row],[DateClosed]]))-1)</f>
        <v>4</v>
      </c>
      <c r="R4687" s="174" t="s">
        <v>5709</v>
      </c>
      <c r="S4687" s="150"/>
    </row>
    <row r="4688" spans="1:19" hidden="1">
      <c r="A4688" s="149" t="s">
        <v>7039</v>
      </c>
      <c r="B4688" s="150" t="str">
        <f>IFERROR(VLOOKUP(Proc[[#This Row],[App]],Table2[],3,0),"open")</f>
        <v>ok</v>
      </c>
      <c r="C4688" s="149" t="s">
        <v>369</v>
      </c>
      <c r="D4688" t="s">
        <v>7044</v>
      </c>
      <c r="E4688" s="149" t="s">
        <v>7228</v>
      </c>
      <c r="F4688" s="150" t="s">
        <v>7228</v>
      </c>
      <c r="G4688" s="149" t="s">
        <v>406</v>
      </c>
      <c r="H4688" s="150" t="str">
        <f>IF(Proc[[#This Row],[type]]="LFF (MDG-F)",MID(Proc[[#This Row],[Obj]],13,10),"")</f>
        <v>TW10DB3308</v>
      </c>
      <c r="I4688" s="149" t="s">
        <v>7228</v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EL</v>
      </c>
      <c r="L4688" s="150" t="s">
        <v>6435</v>
      </c>
      <c r="M4688" s="173">
        <v>45989</v>
      </c>
      <c r="N4688" s="174"/>
      <c r="O4688" s="174"/>
      <c r="P4688" s="174" t="str">
        <f ca="1">IF(Proc[[#This Row],[DaysAgeing]]&gt;5,"yep","on track")</f>
        <v>on track</v>
      </c>
      <c r="Q4688" s="3">
        <f ca="1">IF(Proc[[#This Row],[DateClosed]]="",ABS(NETWORKDAYS(Proc[[#This Row],[DateOpened]],TODAY()))-1,ABS(NETWORKDAYS(Proc[[#This Row],[DateOpened]],Proc[[#This Row],[DateClosed]]))-1)</f>
        <v>4</v>
      </c>
      <c r="R4688" s="174" t="s">
        <v>5709</v>
      </c>
      <c r="S4688" s="150"/>
    </row>
    <row r="4689" spans="1:19" hidden="1">
      <c r="A4689" s="149" t="s">
        <v>7039</v>
      </c>
      <c r="B4689" s="150" t="str">
        <f>IFERROR(VLOOKUP(Proc[[#This Row],[App]],Table2[],3,0),"open")</f>
        <v>ok</v>
      </c>
      <c r="C4689" s="149" t="s">
        <v>369</v>
      </c>
      <c r="D4689" t="s">
        <v>7045</v>
      </c>
      <c r="E4689" s="149" t="s">
        <v>7229</v>
      </c>
      <c r="F4689" s="150" t="s">
        <v>7229</v>
      </c>
      <c r="G4689" s="149" t="s">
        <v>406</v>
      </c>
      <c r="H4689" s="150" t="str">
        <f>IF(Proc[[#This Row],[type]]="LFF (MDG-F)",MID(Proc[[#This Row],[Obj]],13,10),"")</f>
        <v>SG09TPX001</v>
      </c>
      <c r="I4689" s="149" t="s">
        <v>7229</v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EL</v>
      </c>
      <c r="L4689" s="150" t="s">
        <v>6435</v>
      </c>
      <c r="M4689" s="173">
        <v>45989</v>
      </c>
      <c r="N4689" s="174"/>
      <c r="O4689" s="174"/>
      <c r="P4689" s="174" t="str">
        <f ca="1">IF(Proc[[#This Row],[DaysAgeing]]&gt;5,"yep","on track")</f>
        <v>on track</v>
      </c>
      <c r="Q4689" s="3">
        <f ca="1">IF(Proc[[#This Row],[DateClosed]]="",ABS(NETWORKDAYS(Proc[[#This Row],[DateOpened]],TODAY()))-1,ABS(NETWORKDAYS(Proc[[#This Row],[DateOpened]],Proc[[#This Row],[DateClosed]]))-1)</f>
        <v>4</v>
      </c>
      <c r="R4689" s="174" t="s">
        <v>5709</v>
      </c>
      <c r="S4689" s="150"/>
    </row>
    <row r="4690" spans="1:19" hidden="1">
      <c r="A4690" s="149" t="s">
        <v>7039</v>
      </c>
      <c r="B4690" s="150" t="str">
        <f>IFERROR(VLOOKUP(Proc[[#This Row],[App]],Table2[],3,0),"open")</f>
        <v>ok</v>
      </c>
      <c r="C4690" s="149" t="s">
        <v>369</v>
      </c>
      <c r="D4690" t="s">
        <v>7046</v>
      </c>
      <c r="E4690" s="149" t="s">
        <v>7229</v>
      </c>
      <c r="F4690" s="150" t="s">
        <v>7229</v>
      </c>
      <c r="G4690" s="149" t="s">
        <v>406</v>
      </c>
      <c r="H4690" s="150" t="str">
        <f>IF(Proc[[#This Row],[type]]="LFF (MDG-F)",MID(Proc[[#This Row],[Obj]],13,10),"")</f>
        <v>MY10DB3301</v>
      </c>
      <c r="I4690" s="149" t="s">
        <v>7229</v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EL</v>
      </c>
      <c r="L4690" s="150" t="s">
        <v>6435</v>
      </c>
      <c r="M4690" s="173">
        <v>45989</v>
      </c>
      <c r="N4690" s="174"/>
      <c r="O4690" s="174"/>
      <c r="P4690" s="174" t="str">
        <f ca="1">IF(Proc[[#This Row],[DaysAgeing]]&gt;5,"yep","on track")</f>
        <v>on track</v>
      </c>
      <c r="Q4690" s="3">
        <f ca="1">IF(Proc[[#This Row],[DateClosed]]="",ABS(NETWORKDAYS(Proc[[#This Row],[DateOpened]],TODAY()))-1,ABS(NETWORKDAYS(Proc[[#This Row],[DateOpened]],Proc[[#This Row],[DateClosed]]))-1)</f>
        <v>4</v>
      </c>
      <c r="R4690" s="174" t="s">
        <v>5709</v>
      </c>
      <c r="S4690" s="150"/>
    </row>
    <row r="4691" spans="1:19" hidden="1">
      <c r="A4691" s="149" t="s">
        <v>7039</v>
      </c>
      <c r="B4691" s="150" t="str">
        <f>IFERROR(VLOOKUP(Proc[[#This Row],[App]],Table2[],3,0),"open")</f>
        <v>ok</v>
      </c>
      <c r="C4691" s="149" t="s">
        <v>369</v>
      </c>
      <c r="D4691" t="s">
        <v>7047</v>
      </c>
      <c r="E4691" s="149" t="s">
        <v>7229</v>
      </c>
      <c r="F4691" s="150" t="s">
        <v>7229</v>
      </c>
      <c r="G4691" s="149" t="s">
        <v>406</v>
      </c>
      <c r="H4691" s="150" t="str">
        <f>IF(Proc[[#This Row],[type]]="LFF (MDG-F)",MID(Proc[[#This Row],[Obj]],13,10),"")</f>
        <v>SG10DB3300</v>
      </c>
      <c r="I4691" s="149" t="s">
        <v>7229</v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EL</v>
      </c>
      <c r="L4691" s="150" t="s">
        <v>6435</v>
      </c>
      <c r="M4691" s="173">
        <v>45989</v>
      </c>
      <c r="N4691" s="174"/>
      <c r="O4691" s="174"/>
      <c r="P4691" s="174" t="str">
        <f ca="1">IF(Proc[[#This Row],[DaysAgeing]]&gt;5,"yep","on track")</f>
        <v>on track</v>
      </c>
      <c r="Q4691" s="3">
        <f ca="1">IF(Proc[[#This Row],[DateClosed]]="",ABS(NETWORKDAYS(Proc[[#This Row],[DateOpened]],TODAY()))-1,ABS(NETWORKDAYS(Proc[[#This Row],[DateOpened]],Proc[[#This Row],[DateClosed]]))-1)</f>
        <v>4</v>
      </c>
      <c r="R4691" s="174" t="s">
        <v>5709</v>
      </c>
      <c r="S4691" s="150"/>
    </row>
    <row r="4692" spans="1:19" hidden="1">
      <c r="A4692" s="149" t="s">
        <v>7039</v>
      </c>
      <c r="B4692" s="150" t="str">
        <f>IFERROR(VLOOKUP(Proc[[#This Row],[App]],Table2[],3,0),"open")</f>
        <v>ok</v>
      </c>
      <c r="C4692" s="149" t="s">
        <v>369</v>
      </c>
      <c r="D4692" t="s">
        <v>7048</v>
      </c>
      <c r="E4692" s="149" t="s">
        <v>7229</v>
      </c>
      <c r="F4692" s="150" t="s">
        <v>7229</v>
      </c>
      <c r="G4692" s="149" t="s">
        <v>406</v>
      </c>
      <c r="H4692" s="150" t="str">
        <f>IF(Proc[[#This Row],[type]]="LFF (MDG-F)",MID(Proc[[#This Row],[Obj]],13,10),"")</f>
        <v>SG10DB3301</v>
      </c>
      <c r="I4692" s="149" t="s">
        <v>7229</v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EL</v>
      </c>
      <c r="L4692" s="150" t="s">
        <v>6435</v>
      </c>
      <c r="M4692" s="173">
        <v>45989</v>
      </c>
      <c r="N4692" s="174"/>
      <c r="O4692" s="174"/>
      <c r="P4692" s="174" t="str">
        <f ca="1">IF(Proc[[#This Row],[DaysAgeing]]&gt;5,"yep","on track")</f>
        <v>on track</v>
      </c>
      <c r="Q4692" s="3">
        <f ca="1">IF(Proc[[#This Row],[DateClosed]]="",ABS(NETWORKDAYS(Proc[[#This Row],[DateOpened]],TODAY()))-1,ABS(NETWORKDAYS(Proc[[#This Row],[DateOpened]],Proc[[#This Row],[DateClosed]]))-1)</f>
        <v>4</v>
      </c>
      <c r="R4692" s="174" t="s">
        <v>5709</v>
      </c>
      <c r="S4692" s="150"/>
    </row>
    <row r="4693" spans="1:19" hidden="1">
      <c r="A4693" s="149" t="s">
        <v>7039</v>
      </c>
      <c r="B4693" s="150" t="str">
        <f>IFERROR(VLOOKUP(Proc[[#This Row],[App]],Table2[],3,0),"open")</f>
        <v>ok</v>
      </c>
      <c r="C4693" s="149" t="s">
        <v>369</v>
      </c>
      <c r="D4693" t="s">
        <v>7049</v>
      </c>
      <c r="E4693" s="149" t="s">
        <v>7229</v>
      </c>
      <c r="F4693" s="150" t="s">
        <v>7229</v>
      </c>
      <c r="G4693" s="149" t="s">
        <v>406</v>
      </c>
      <c r="H4693" s="150" t="str">
        <f>IF(Proc[[#This Row],[type]]="LFF (MDG-F)",MID(Proc[[#This Row],[Obj]],13,10),"")</f>
        <v>SG10DB3302</v>
      </c>
      <c r="I4693" s="149" t="s">
        <v>7229</v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EL</v>
      </c>
      <c r="L4693" s="150" t="s">
        <v>6435</v>
      </c>
      <c r="M4693" s="173">
        <v>45989</v>
      </c>
      <c r="N4693" s="174"/>
      <c r="O4693" s="174"/>
      <c r="P4693" s="174" t="str">
        <f ca="1">IF(Proc[[#This Row],[DaysAgeing]]&gt;5,"yep","on track")</f>
        <v>on track</v>
      </c>
      <c r="Q4693" s="3">
        <f ca="1">IF(Proc[[#This Row],[DateClosed]]="",ABS(NETWORKDAYS(Proc[[#This Row],[DateOpened]],TODAY()))-1,ABS(NETWORKDAYS(Proc[[#This Row],[DateOpened]],Proc[[#This Row],[DateClosed]]))-1)</f>
        <v>4</v>
      </c>
      <c r="R4693" s="174" t="s">
        <v>5709</v>
      </c>
      <c r="S4693" s="150"/>
    </row>
    <row r="4694" spans="1:19" hidden="1">
      <c r="A4694" s="149" t="s">
        <v>7039</v>
      </c>
      <c r="B4694" s="150" t="str">
        <f>IFERROR(VLOOKUP(Proc[[#This Row],[App]],Table2[],3,0),"open")</f>
        <v>ok</v>
      </c>
      <c r="C4694" s="149" t="s">
        <v>369</v>
      </c>
      <c r="D4694" t="s">
        <v>7050</v>
      </c>
      <c r="E4694" s="149" t="s">
        <v>7229</v>
      </c>
      <c r="F4694" s="150" t="s">
        <v>7229</v>
      </c>
      <c r="G4694" s="149" t="s">
        <v>406</v>
      </c>
      <c r="H4694" s="150" t="str">
        <f>IF(Proc[[#This Row],[type]]="LFF (MDG-F)",MID(Proc[[#This Row],[Obj]],13,10),"")</f>
        <v>TW10DB3303</v>
      </c>
      <c r="I4694" s="149" t="s">
        <v>7229</v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EL</v>
      </c>
      <c r="L4694" s="150" t="s">
        <v>6435</v>
      </c>
      <c r="M4694" s="173">
        <v>45989</v>
      </c>
      <c r="N4694" s="174"/>
      <c r="O4694" s="174"/>
      <c r="P4694" s="174" t="str">
        <f ca="1">IF(Proc[[#This Row],[DaysAgeing]]&gt;5,"yep","on track")</f>
        <v>on track</v>
      </c>
      <c r="Q4694" s="3">
        <f ca="1">IF(Proc[[#This Row],[DateClosed]]="",ABS(NETWORKDAYS(Proc[[#This Row],[DateOpened]],TODAY()))-1,ABS(NETWORKDAYS(Proc[[#This Row],[DateOpened]],Proc[[#This Row],[DateClosed]]))-1)</f>
        <v>4</v>
      </c>
      <c r="R4694" s="174" t="s">
        <v>5709</v>
      </c>
      <c r="S4694" s="150"/>
    </row>
    <row r="4695" spans="1:19" hidden="1">
      <c r="A4695" s="149" t="s">
        <v>7039</v>
      </c>
      <c r="B4695" s="150" t="str">
        <f>IFERROR(VLOOKUP(Proc[[#This Row],[App]],Table2[],3,0),"open")</f>
        <v>ok</v>
      </c>
      <c r="C4695" s="149" t="s">
        <v>369</v>
      </c>
      <c r="D4695" t="s">
        <v>7051</v>
      </c>
      <c r="E4695" s="149" t="s">
        <v>7229</v>
      </c>
      <c r="F4695" s="150" t="s">
        <v>7229</v>
      </c>
      <c r="G4695" s="149" t="s">
        <v>406</v>
      </c>
      <c r="H4695" s="150" t="str">
        <f>IF(Proc[[#This Row],[type]]="LFF (MDG-F)",MID(Proc[[#This Row],[Obj]],13,10),"")</f>
        <v>TW10DB3307</v>
      </c>
      <c r="I4695" s="149" t="s">
        <v>7229</v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EL</v>
      </c>
      <c r="L4695" s="150" t="s">
        <v>6435</v>
      </c>
      <c r="M4695" s="173">
        <v>45989</v>
      </c>
      <c r="N4695" s="174"/>
      <c r="O4695" s="174"/>
      <c r="P4695" s="174" t="str">
        <f ca="1">IF(Proc[[#This Row],[DaysAgeing]]&gt;5,"yep","on track")</f>
        <v>on track</v>
      </c>
      <c r="Q4695" s="3">
        <f ca="1">IF(Proc[[#This Row],[DateClosed]]="",ABS(NETWORKDAYS(Proc[[#This Row],[DateOpened]],TODAY()))-1,ABS(NETWORKDAYS(Proc[[#This Row],[DateOpened]],Proc[[#This Row],[DateClosed]]))-1)</f>
        <v>4</v>
      </c>
      <c r="R4695" s="174" t="s">
        <v>5709</v>
      </c>
      <c r="S4695" s="150"/>
    </row>
    <row r="4696" spans="1:19" hidden="1">
      <c r="A4696" s="149" t="s">
        <v>7039</v>
      </c>
      <c r="B4696" s="150" t="str">
        <f>IFERROR(VLOOKUP(Proc[[#This Row],[App]],Table2[],3,0),"open")</f>
        <v>ok</v>
      </c>
      <c r="C4696" s="149" t="s">
        <v>369</v>
      </c>
      <c r="D4696" t="s">
        <v>7052</v>
      </c>
      <c r="E4696" s="149" t="s">
        <v>7229</v>
      </c>
      <c r="F4696" s="150" t="s">
        <v>7229</v>
      </c>
      <c r="G4696" s="149" t="s">
        <v>406</v>
      </c>
      <c r="H4696" s="150" t="str">
        <f>IF(Proc[[#This Row],[type]]="LFF (MDG-F)",MID(Proc[[#This Row],[Obj]],13,10),"")</f>
        <v>TW10TQ1001</v>
      </c>
      <c r="I4696" s="149" t="s">
        <v>7229</v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EL</v>
      </c>
      <c r="L4696" s="150" t="s">
        <v>6435</v>
      </c>
      <c r="M4696" s="173">
        <v>45989</v>
      </c>
      <c r="N4696" s="174"/>
      <c r="O4696" s="174"/>
      <c r="P4696" s="174" t="str">
        <f ca="1">IF(Proc[[#This Row],[DaysAgeing]]&gt;5,"yep","on track")</f>
        <v>on track</v>
      </c>
      <c r="Q4696" s="3">
        <f ca="1">IF(Proc[[#This Row],[DateClosed]]="",ABS(NETWORKDAYS(Proc[[#This Row],[DateOpened]],TODAY()))-1,ABS(NETWORKDAYS(Proc[[#This Row],[DateOpened]],Proc[[#This Row],[DateClosed]]))-1)</f>
        <v>4</v>
      </c>
      <c r="R4696" s="174" t="s">
        <v>5709</v>
      </c>
      <c r="S4696" s="150"/>
    </row>
    <row r="4697" spans="1:19" hidden="1">
      <c r="A4697" s="149" t="s">
        <v>7039</v>
      </c>
      <c r="B4697" s="150" t="str">
        <f>IFERROR(VLOOKUP(Proc[[#This Row],[App]],Table2[],3,0),"open")</f>
        <v>ok</v>
      </c>
      <c r="C4697" s="149" t="s">
        <v>369</v>
      </c>
      <c r="D4697" t="s">
        <v>7053</v>
      </c>
      <c r="E4697" s="149" t="s">
        <v>7229</v>
      </c>
      <c r="F4697" s="150" t="s">
        <v>7229</v>
      </c>
      <c r="G4697" s="149" t="s">
        <v>406</v>
      </c>
      <c r="H4697" s="150" t="str">
        <f>IF(Proc[[#This Row],[type]]="LFF (MDG-F)",MID(Proc[[#This Row],[Obj]],13,10),"")</f>
        <v>TW10TQ1002</v>
      </c>
      <c r="I4697" s="149" t="s">
        <v>7229</v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EL</v>
      </c>
      <c r="L4697" s="150" t="s">
        <v>6435</v>
      </c>
      <c r="M4697" s="173">
        <v>45989</v>
      </c>
      <c r="N4697" s="174"/>
      <c r="O4697" s="174"/>
      <c r="P4697" s="174" t="str">
        <f ca="1">IF(Proc[[#This Row],[DaysAgeing]]&gt;5,"yep","on track")</f>
        <v>on track</v>
      </c>
      <c r="Q4697" s="3">
        <f ca="1">IF(Proc[[#This Row],[DateClosed]]="",ABS(NETWORKDAYS(Proc[[#This Row],[DateOpened]],TODAY()))-1,ABS(NETWORKDAYS(Proc[[#This Row],[DateOpened]],Proc[[#This Row],[DateClosed]]))-1)</f>
        <v>4</v>
      </c>
      <c r="R4697" s="174" t="s">
        <v>5709</v>
      </c>
      <c r="S4697" s="150"/>
    </row>
    <row r="4698" spans="1:19" hidden="1">
      <c r="A4698" s="149" t="s">
        <v>7039</v>
      </c>
      <c r="B4698" s="150" t="str">
        <f>IFERROR(VLOOKUP(Proc[[#This Row],[App]],Table2[],3,0),"open")</f>
        <v>ok</v>
      </c>
      <c r="C4698" s="149" t="s">
        <v>369</v>
      </c>
      <c r="D4698" t="s">
        <v>7246</v>
      </c>
      <c r="E4698" s="149" t="s">
        <v>7229</v>
      </c>
      <c r="F4698" s="150" t="s">
        <v>7229</v>
      </c>
      <c r="G4698" s="149" t="s">
        <v>406</v>
      </c>
      <c r="H4698" s="150" t="str">
        <f>IF(Proc[[#This Row],[type]]="LFF (MDG-F)",MID(Proc[[#This Row],[Obj]],13,10),"")</f>
        <v>TW10TQ1003</v>
      </c>
      <c r="I4698" s="149" t="s">
        <v>7229</v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EL</v>
      </c>
      <c r="L4698" s="150" t="s">
        <v>6435</v>
      </c>
      <c r="M4698" s="173">
        <v>45989</v>
      </c>
      <c r="N4698" s="174"/>
      <c r="O4698" s="174"/>
      <c r="P4698" s="174" t="str">
        <f ca="1">IF(Proc[[#This Row],[DaysAgeing]]&gt;5,"yep","on track")</f>
        <v>on track</v>
      </c>
      <c r="Q4698" s="3">
        <f ca="1">IF(Proc[[#This Row],[DateClosed]]="",ABS(NETWORKDAYS(Proc[[#This Row],[DateOpened]],TODAY()))-1,ABS(NETWORKDAYS(Proc[[#This Row],[DateOpened]],Proc[[#This Row],[DateClosed]]))-1)</f>
        <v>4</v>
      </c>
      <c r="R4698" s="174" t="s">
        <v>5709</v>
      </c>
      <c r="S4698" s="150"/>
    </row>
    <row r="4699" spans="1:19" hidden="1">
      <c r="A4699" s="149" t="s">
        <v>7039</v>
      </c>
      <c r="B4699" s="150" t="str">
        <f>IFERROR(VLOOKUP(Proc[[#This Row],[App]],Table2[],3,0),"open")</f>
        <v>ok</v>
      </c>
      <c r="C4699" s="149" t="s">
        <v>369</v>
      </c>
      <c r="D4699" t="s">
        <v>7054</v>
      </c>
      <c r="E4699" s="149" t="s">
        <v>7229</v>
      </c>
      <c r="F4699" s="150" t="s">
        <v>7229</v>
      </c>
      <c r="G4699" s="149" t="s">
        <v>406</v>
      </c>
      <c r="H4699" s="150" t="str">
        <f>IF(Proc[[#This Row],[type]]="LFF (MDG-F)",MID(Proc[[#This Row],[Obj]],13,10),"")</f>
        <v>TW91DB3301</v>
      </c>
      <c r="I4699" s="149" t="s">
        <v>7229</v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EL</v>
      </c>
      <c r="L4699" s="150" t="s">
        <v>6435</v>
      </c>
      <c r="M4699" s="173">
        <v>45989</v>
      </c>
      <c r="N4699" s="174"/>
      <c r="O4699" s="174"/>
      <c r="P4699" s="174" t="str">
        <f ca="1">IF(Proc[[#This Row],[DaysAgeing]]&gt;5,"yep","on track")</f>
        <v>on track</v>
      </c>
      <c r="Q4699" s="3">
        <f ca="1">IF(Proc[[#This Row],[DateClosed]]="",ABS(NETWORKDAYS(Proc[[#This Row],[DateOpened]],TODAY()))-1,ABS(NETWORKDAYS(Proc[[#This Row],[DateOpened]],Proc[[#This Row],[DateClosed]]))-1)</f>
        <v>4</v>
      </c>
      <c r="R4699" s="174" t="s">
        <v>5709</v>
      </c>
      <c r="S4699" s="150"/>
    </row>
    <row r="4700" spans="1:19" hidden="1">
      <c r="A4700" s="149" t="s">
        <v>7039</v>
      </c>
      <c r="B4700" s="150" t="str">
        <f>IFERROR(VLOOKUP(Proc[[#This Row],[App]],Table2[],3,0),"open")</f>
        <v>ok</v>
      </c>
      <c r="C4700" s="149" t="s">
        <v>369</v>
      </c>
      <c r="D4700" t="s">
        <v>7055</v>
      </c>
      <c r="E4700" s="149" t="s">
        <v>7229</v>
      </c>
      <c r="F4700" s="150" t="s">
        <v>7229</v>
      </c>
      <c r="G4700" s="149" t="s">
        <v>406</v>
      </c>
      <c r="H4700" s="150" t="str">
        <f>IF(Proc[[#This Row],[type]]="LFF (MDG-F)",MID(Proc[[#This Row],[Obj]],13,10),"")</f>
        <v>TW91TQ1001</v>
      </c>
      <c r="I4700" s="149" t="s">
        <v>7229</v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EL</v>
      </c>
      <c r="L4700" s="150" t="s">
        <v>6435</v>
      </c>
      <c r="M4700" s="173">
        <v>45989</v>
      </c>
      <c r="N4700" s="174"/>
      <c r="O4700" s="174"/>
      <c r="P4700" s="174" t="str">
        <f ca="1">IF(Proc[[#This Row],[DaysAgeing]]&gt;5,"yep","on track")</f>
        <v>on track</v>
      </c>
      <c r="Q4700" s="3">
        <f ca="1">IF(Proc[[#This Row],[DateClosed]]="",ABS(NETWORKDAYS(Proc[[#This Row],[DateOpened]],TODAY()))-1,ABS(NETWORKDAYS(Proc[[#This Row],[DateOpened]],Proc[[#This Row],[DateClosed]]))-1)</f>
        <v>4</v>
      </c>
      <c r="R4700" s="174" t="s">
        <v>5709</v>
      </c>
      <c r="S4700" s="150"/>
    </row>
    <row r="4701" spans="1:19" hidden="1">
      <c r="A4701" s="149" t="s">
        <v>7039</v>
      </c>
      <c r="B4701" s="150" t="str">
        <f>IFERROR(VLOOKUP(Proc[[#This Row],[App]],Table2[],3,0),"open")</f>
        <v>ok</v>
      </c>
      <c r="C4701" s="149" t="s">
        <v>369</v>
      </c>
      <c r="D4701" t="s">
        <v>7056</v>
      </c>
      <c r="E4701" s="149" t="s">
        <v>7229</v>
      </c>
      <c r="F4701" s="150" t="s">
        <v>7229</v>
      </c>
      <c r="G4701" s="149" t="s">
        <v>406</v>
      </c>
      <c r="H4701" s="150" t="str">
        <f>IF(Proc[[#This Row],[type]]="LFF (MDG-F)",MID(Proc[[#This Row],[Obj]],13,10),"")</f>
        <v>TW91TQ1002</v>
      </c>
      <c r="I4701" s="149" t="s">
        <v>7229</v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EL</v>
      </c>
      <c r="L4701" s="150" t="s">
        <v>6435</v>
      </c>
      <c r="M4701" s="173">
        <v>45989</v>
      </c>
      <c r="N4701" s="174"/>
      <c r="O4701" s="174"/>
      <c r="P4701" s="174" t="str">
        <f ca="1">IF(Proc[[#This Row],[DaysAgeing]]&gt;5,"yep","on track")</f>
        <v>on track</v>
      </c>
      <c r="Q4701" s="3">
        <f ca="1">IF(Proc[[#This Row],[DateClosed]]="",ABS(NETWORKDAYS(Proc[[#This Row],[DateOpened]],TODAY()))-1,ABS(NETWORKDAYS(Proc[[#This Row],[DateOpened]],Proc[[#This Row],[DateClosed]]))-1)</f>
        <v>4</v>
      </c>
      <c r="R4701" s="174" t="s">
        <v>5709</v>
      </c>
      <c r="S4701" s="150"/>
    </row>
    <row r="4702" spans="1:19" hidden="1">
      <c r="A4702" s="149" t="s">
        <v>7039</v>
      </c>
      <c r="B4702" s="150" t="str">
        <f>IFERROR(VLOOKUP(Proc[[#This Row],[App]],Table2[],3,0),"open")</f>
        <v>ok</v>
      </c>
      <c r="C4702" s="149" t="s">
        <v>369</v>
      </c>
      <c r="D4702" t="s">
        <v>7057</v>
      </c>
      <c r="E4702" s="149" t="s">
        <v>7229</v>
      </c>
      <c r="F4702" s="150" t="s">
        <v>7229</v>
      </c>
      <c r="G4702" s="149" t="s">
        <v>406</v>
      </c>
      <c r="H4702" s="150" t="str">
        <f>IF(Proc[[#This Row],[type]]="LFF (MDG-F)",MID(Proc[[#This Row],[Obj]],13,10),"")</f>
        <v>MY10TQ1000</v>
      </c>
      <c r="I4702" s="149" t="s">
        <v>7229</v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EL</v>
      </c>
      <c r="L4702" s="150" t="s">
        <v>6435</v>
      </c>
      <c r="M4702" s="173">
        <v>45989</v>
      </c>
      <c r="N4702" s="174"/>
      <c r="O4702" s="174"/>
      <c r="P4702" s="174" t="str">
        <f ca="1">IF(Proc[[#This Row],[DaysAgeing]]&gt;5,"yep","on track")</f>
        <v>on track</v>
      </c>
      <c r="Q4702" s="3">
        <f ca="1">IF(Proc[[#This Row],[DateClosed]]="",ABS(NETWORKDAYS(Proc[[#This Row],[DateOpened]],TODAY()))-1,ABS(NETWORKDAYS(Proc[[#This Row],[DateOpened]],Proc[[#This Row],[DateClosed]]))-1)</f>
        <v>4</v>
      </c>
      <c r="R4702" s="174" t="s">
        <v>5709</v>
      </c>
      <c r="S4702" s="150"/>
    </row>
    <row r="4703" spans="1:19" hidden="1">
      <c r="A4703" s="149" t="s">
        <v>7039</v>
      </c>
      <c r="B4703" s="150" t="str">
        <f>IFERROR(VLOOKUP(Proc[[#This Row],[App]],Table2[],3,0),"open")</f>
        <v>ok</v>
      </c>
      <c r="C4703" s="149" t="s">
        <v>377</v>
      </c>
      <c r="D4703" t="s">
        <v>7058</v>
      </c>
      <c r="E4703" s="149" t="s">
        <v>7229</v>
      </c>
      <c r="F4703" s="150">
        <v>0</v>
      </c>
      <c r="G4703" s="149" t="s">
        <v>406</v>
      </c>
      <c r="H4703" s="150" t="str">
        <f>IF(Proc[[#This Row],[type]]="LFF (MDG-F)",MID(Proc[[#This Row],[Obj]],13,10),"")</f>
        <v>SG10TQ1001</v>
      </c>
      <c r="I4703" s="149" t="s">
        <v>7229</v>
      </c>
      <c r="J4703" s="150" t="b">
        <f>Proc[[#This Row],[Requested]]=Proc[[#This Row],[CurrentParent]]</f>
        <v>0</v>
      </c>
      <c r="K4703" s="150" t="str">
        <f>IF(Proc[[#This Row],[Author]]="Marcela Urrego",VLOOKUP(LEFT(Proc[[#This Row],[Requested]],1),Table3[#All],2,0),VLOOKUP(Proc[[#This Row],[Author]],Table4[],2,0))</f>
        <v>EL</v>
      </c>
      <c r="L4703" s="150" t="s">
        <v>6435</v>
      </c>
      <c r="M4703" s="173">
        <v>45989</v>
      </c>
      <c r="N4703" s="174"/>
      <c r="O4703" s="174"/>
      <c r="P4703" s="174" t="str">
        <f ca="1">IF(Proc[[#This Row],[DaysAgeing]]&gt;5,"yep","on track")</f>
        <v>on track</v>
      </c>
      <c r="Q4703" s="3">
        <f ca="1">IF(Proc[[#This Row],[DateClosed]]="",ABS(NETWORKDAYS(Proc[[#This Row],[DateOpened]],TODAY()))-1,ABS(NETWORKDAYS(Proc[[#This Row],[DateOpened]],Proc[[#This Row],[DateClosed]]))-1)</f>
        <v>4</v>
      </c>
      <c r="R4703" s="174" t="s">
        <v>5709</v>
      </c>
      <c r="S4703" s="150"/>
    </row>
    <row r="4704" spans="1:19" hidden="1">
      <c r="A4704" s="149" t="s">
        <v>7039</v>
      </c>
      <c r="B4704" s="150" t="str">
        <f>IFERROR(VLOOKUP(Proc[[#This Row],[App]],Table2[],3,0),"open")</f>
        <v>ok</v>
      </c>
      <c r="C4704" s="149" t="s">
        <v>377</v>
      </c>
      <c r="D4704" t="s">
        <v>7059</v>
      </c>
      <c r="E4704" s="149" t="s">
        <v>7229</v>
      </c>
      <c r="F4704" s="150">
        <v>0</v>
      </c>
      <c r="G4704" s="149" t="s">
        <v>406</v>
      </c>
      <c r="H4704" s="150" t="str">
        <f>IF(Proc[[#This Row],[type]]="LFF (MDG-F)",MID(Proc[[#This Row],[Obj]],13,10),"")</f>
        <v>SG10TQ1002</v>
      </c>
      <c r="I4704" s="149" t="s">
        <v>7229</v>
      </c>
      <c r="J4704" s="150" t="b">
        <f>Proc[[#This Row],[Requested]]=Proc[[#This Row],[CurrentParent]]</f>
        <v>0</v>
      </c>
      <c r="K4704" s="150" t="str">
        <f>IF(Proc[[#This Row],[Author]]="Marcela Urrego",VLOOKUP(LEFT(Proc[[#This Row],[Requested]],1),Table3[#All],2,0),VLOOKUP(Proc[[#This Row],[Author]],Table4[],2,0))</f>
        <v>EL</v>
      </c>
      <c r="L4704" s="150" t="s">
        <v>6435</v>
      </c>
      <c r="M4704" s="173">
        <v>45989</v>
      </c>
      <c r="N4704" s="174"/>
      <c r="O4704" s="174"/>
      <c r="P4704" s="174" t="str">
        <f ca="1">IF(Proc[[#This Row],[DaysAgeing]]&gt;5,"yep","on track")</f>
        <v>on track</v>
      </c>
      <c r="Q4704" s="3">
        <f ca="1">IF(Proc[[#This Row],[DateClosed]]="",ABS(NETWORKDAYS(Proc[[#This Row],[DateOpened]],TODAY()))-1,ABS(NETWORKDAYS(Proc[[#This Row],[DateOpened]],Proc[[#This Row],[DateClosed]]))-1)</f>
        <v>4</v>
      </c>
      <c r="R4704" s="174" t="s">
        <v>5709</v>
      </c>
      <c r="S4704" s="150"/>
    </row>
    <row r="4705" spans="1:19" hidden="1">
      <c r="A4705" s="149" t="s">
        <v>7039</v>
      </c>
      <c r="B4705" s="150" t="str">
        <f>IFERROR(VLOOKUP(Proc[[#This Row],[App]],Table2[],3,0),"open")</f>
        <v>ok</v>
      </c>
      <c r="C4705" s="149" t="s">
        <v>377</v>
      </c>
      <c r="D4705" t="s">
        <v>7060</v>
      </c>
      <c r="E4705" s="149" t="s">
        <v>7229</v>
      </c>
      <c r="F4705" s="150">
        <v>0</v>
      </c>
      <c r="G4705" s="149" t="s">
        <v>406</v>
      </c>
      <c r="H4705" s="150" t="str">
        <f>IF(Proc[[#This Row],[type]]="LFF (MDG-F)",MID(Proc[[#This Row],[Obj]],13,10),"")</f>
        <v>SG10TQ1003</v>
      </c>
      <c r="I4705" s="149" t="s">
        <v>7229</v>
      </c>
      <c r="J4705" s="150" t="b">
        <f>Proc[[#This Row],[Requested]]=Proc[[#This Row],[CurrentParent]]</f>
        <v>0</v>
      </c>
      <c r="K4705" s="150" t="str">
        <f>IF(Proc[[#This Row],[Author]]="Marcela Urrego",VLOOKUP(LEFT(Proc[[#This Row],[Requested]],1),Table3[#All],2,0),VLOOKUP(Proc[[#This Row],[Author]],Table4[],2,0))</f>
        <v>EL</v>
      </c>
      <c r="L4705" s="150" t="s">
        <v>6435</v>
      </c>
      <c r="M4705" s="173">
        <v>45989</v>
      </c>
      <c r="N4705" s="174"/>
      <c r="O4705" s="174"/>
      <c r="P4705" s="174" t="str">
        <f ca="1">IF(Proc[[#This Row],[DaysAgeing]]&gt;5,"yep","on track")</f>
        <v>on track</v>
      </c>
      <c r="Q4705" s="3">
        <f ca="1">IF(Proc[[#This Row],[DateClosed]]="",ABS(NETWORKDAYS(Proc[[#This Row],[DateOpened]],TODAY()))-1,ABS(NETWORKDAYS(Proc[[#This Row],[DateOpened]],Proc[[#This Row],[DateClosed]]))-1)</f>
        <v>4</v>
      </c>
      <c r="R4705" s="174" t="s">
        <v>5709</v>
      </c>
      <c r="S4705" s="150"/>
    </row>
    <row r="4706" spans="1:19" hidden="1">
      <c r="A4706" s="149" t="s">
        <v>7039</v>
      </c>
      <c r="B4706" s="150" t="str">
        <f>IFERROR(VLOOKUP(Proc[[#This Row],[App]],Table2[],3,0),"open")</f>
        <v>ok</v>
      </c>
      <c r="C4706" s="149" t="s">
        <v>369</v>
      </c>
      <c r="D4706" t="s">
        <v>7061</v>
      </c>
      <c r="E4706" s="149" t="s">
        <v>7229</v>
      </c>
      <c r="F4706" s="150" t="s">
        <v>7229</v>
      </c>
      <c r="G4706" s="149" t="s">
        <v>406</v>
      </c>
      <c r="H4706" s="150" t="str">
        <f>IF(Proc[[#This Row],[type]]="LFF (MDG-F)",MID(Proc[[#This Row],[Obj]],13,10),"")</f>
        <v>TW02TPHZ06</v>
      </c>
      <c r="I4706" s="149" t="s">
        <v>7229</v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EL</v>
      </c>
      <c r="L4706" s="150" t="s">
        <v>6435</v>
      </c>
      <c r="M4706" s="173">
        <v>45989</v>
      </c>
      <c r="N4706" s="174"/>
      <c r="O4706" s="174"/>
      <c r="P4706" s="174" t="str">
        <f ca="1">IF(Proc[[#This Row],[DaysAgeing]]&gt;5,"yep","on track")</f>
        <v>on track</v>
      </c>
      <c r="Q4706" s="3">
        <f ca="1">IF(Proc[[#This Row],[DateClosed]]="",ABS(NETWORKDAYS(Proc[[#This Row],[DateOpened]],TODAY()))-1,ABS(NETWORKDAYS(Proc[[#This Row],[DateOpened]],Proc[[#This Row],[DateClosed]]))-1)</f>
        <v>4</v>
      </c>
      <c r="R4706" s="174" t="s">
        <v>5709</v>
      </c>
      <c r="S4706" s="150"/>
    </row>
    <row r="4707" spans="1:19" hidden="1">
      <c r="A4707" s="149" t="s">
        <v>7039</v>
      </c>
      <c r="B4707" s="150" t="str">
        <f>IFERROR(VLOOKUP(Proc[[#This Row],[App]],Table2[],3,0),"open")</f>
        <v>ok</v>
      </c>
      <c r="C4707" s="149" t="s">
        <v>369</v>
      </c>
      <c r="D4707" t="s">
        <v>7062</v>
      </c>
      <c r="E4707" s="149" t="s">
        <v>7229</v>
      </c>
      <c r="F4707" s="150" t="s">
        <v>7229</v>
      </c>
      <c r="G4707" s="149" t="s">
        <v>406</v>
      </c>
      <c r="H4707" s="150" t="str">
        <f>IF(Proc[[#This Row],[type]]="LFF (MDG-F)",MID(Proc[[#This Row],[Obj]],13,10),"")</f>
        <v>TW10TQ1004</v>
      </c>
      <c r="I4707" s="149" t="s">
        <v>7229</v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EL</v>
      </c>
      <c r="L4707" s="150" t="s">
        <v>6435</v>
      </c>
      <c r="M4707" s="173">
        <v>45989</v>
      </c>
      <c r="N4707" s="174"/>
      <c r="O4707" s="174"/>
      <c r="P4707" s="174" t="str">
        <f ca="1">IF(Proc[[#This Row],[DaysAgeing]]&gt;5,"yep","on track")</f>
        <v>on track</v>
      </c>
      <c r="Q4707" s="3">
        <f ca="1">IF(Proc[[#This Row],[DateClosed]]="",ABS(NETWORKDAYS(Proc[[#This Row],[DateOpened]],TODAY()))-1,ABS(NETWORKDAYS(Proc[[#This Row],[DateOpened]],Proc[[#This Row],[DateClosed]]))-1)</f>
        <v>4</v>
      </c>
      <c r="R4707" s="174" t="s">
        <v>5709</v>
      </c>
      <c r="S4707" s="150"/>
    </row>
    <row r="4708" spans="1:19" hidden="1">
      <c r="A4708" s="149" t="s">
        <v>7039</v>
      </c>
      <c r="B4708" s="150" t="str">
        <f>IFERROR(VLOOKUP(Proc[[#This Row],[App]],Table2[],3,0),"open")</f>
        <v>ok</v>
      </c>
      <c r="C4708" s="149" t="s">
        <v>369</v>
      </c>
      <c r="D4708" t="s">
        <v>7063</v>
      </c>
      <c r="E4708" s="149" t="s">
        <v>7229</v>
      </c>
      <c r="F4708" s="150" t="s">
        <v>7229</v>
      </c>
      <c r="G4708" s="149" t="s">
        <v>406</v>
      </c>
      <c r="H4708" s="150" t="str">
        <f>IF(Proc[[#This Row],[type]]="LFF (MDG-F)",MID(Proc[[#This Row],[Obj]],13,10),"")</f>
        <v>TW10TQ1005</v>
      </c>
      <c r="I4708" s="149" t="s">
        <v>7229</v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EL</v>
      </c>
      <c r="L4708" s="150" t="s">
        <v>6435</v>
      </c>
      <c r="M4708" s="173">
        <v>45989</v>
      </c>
      <c r="N4708" s="174"/>
      <c r="O4708" s="174"/>
      <c r="P4708" s="174" t="str">
        <f ca="1">IF(Proc[[#This Row],[DaysAgeing]]&gt;5,"yep","on track")</f>
        <v>on track</v>
      </c>
      <c r="Q4708" s="3">
        <f ca="1">IF(Proc[[#This Row],[DateClosed]]="",ABS(NETWORKDAYS(Proc[[#This Row],[DateOpened]],TODAY()))-1,ABS(NETWORKDAYS(Proc[[#This Row],[DateOpened]],Proc[[#This Row],[DateClosed]]))-1)</f>
        <v>4</v>
      </c>
      <c r="R4708" s="174" t="s">
        <v>5709</v>
      </c>
      <c r="S4708" s="150"/>
    </row>
    <row r="4709" spans="1:19" hidden="1">
      <c r="A4709" s="149" t="s">
        <v>7039</v>
      </c>
      <c r="B4709" s="150" t="str">
        <f>IFERROR(VLOOKUP(Proc[[#This Row],[App]],Table2[],3,0),"open")</f>
        <v>ok</v>
      </c>
      <c r="C4709" s="149" t="s">
        <v>369</v>
      </c>
      <c r="D4709" t="s">
        <v>7064</v>
      </c>
      <c r="E4709" s="149" t="s">
        <v>7229</v>
      </c>
      <c r="F4709" s="150" t="s">
        <v>7229</v>
      </c>
      <c r="G4709" s="149" t="s">
        <v>406</v>
      </c>
      <c r="H4709" s="150" t="str">
        <f>IF(Proc[[#This Row],[type]]="LFF (MDG-F)",MID(Proc[[#This Row],[Obj]],13,10),"")</f>
        <v>TW10TQ1006</v>
      </c>
      <c r="I4709" s="149" t="s">
        <v>7229</v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EL</v>
      </c>
      <c r="L4709" s="150" t="s">
        <v>6435</v>
      </c>
      <c r="M4709" s="173">
        <v>45989</v>
      </c>
      <c r="N4709" s="174"/>
      <c r="O4709" s="174"/>
      <c r="P4709" s="174" t="str">
        <f ca="1">IF(Proc[[#This Row],[DaysAgeing]]&gt;5,"yep","on track")</f>
        <v>on track</v>
      </c>
      <c r="Q4709" s="3">
        <f ca="1">IF(Proc[[#This Row],[DateClosed]]="",ABS(NETWORKDAYS(Proc[[#This Row],[DateOpened]],TODAY()))-1,ABS(NETWORKDAYS(Proc[[#This Row],[DateOpened]],Proc[[#This Row],[DateClosed]]))-1)</f>
        <v>4</v>
      </c>
      <c r="R4709" s="174" t="s">
        <v>5709</v>
      </c>
      <c r="S4709" s="150"/>
    </row>
    <row r="4710" spans="1:19" hidden="1">
      <c r="A4710" s="149" t="s">
        <v>7039</v>
      </c>
      <c r="B4710" s="150" t="str">
        <f>IFERROR(VLOOKUP(Proc[[#This Row],[App]],Table2[],3,0),"open")</f>
        <v>ok</v>
      </c>
      <c r="C4710" s="149" t="s">
        <v>369</v>
      </c>
      <c r="D4710" t="s">
        <v>7065</v>
      </c>
      <c r="E4710" s="149" t="s">
        <v>7230</v>
      </c>
      <c r="F4710" s="150" t="s">
        <v>7230</v>
      </c>
      <c r="G4710" s="149" t="s">
        <v>406</v>
      </c>
      <c r="H4710" s="150" t="str">
        <f>IF(Proc[[#This Row],[type]]="LFF (MDG-F)",MID(Proc[[#This Row],[Obj]],13,10),"")</f>
        <v>SG09TPX003</v>
      </c>
      <c r="I4710" s="149" t="s">
        <v>7230</v>
      </c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EL</v>
      </c>
      <c r="L4710" s="150" t="s">
        <v>6435</v>
      </c>
      <c r="M4710" s="173">
        <v>45989</v>
      </c>
      <c r="N4710" s="174"/>
      <c r="O4710" s="174"/>
      <c r="P4710" s="174" t="str">
        <f ca="1">IF(Proc[[#This Row],[DaysAgeing]]&gt;5,"yep","on track")</f>
        <v>on track</v>
      </c>
      <c r="Q4710" s="3">
        <f ca="1">IF(Proc[[#This Row],[DateClosed]]="",ABS(NETWORKDAYS(Proc[[#This Row],[DateOpened]],TODAY()))-1,ABS(NETWORKDAYS(Proc[[#This Row],[DateOpened]],Proc[[#This Row],[DateClosed]]))-1)</f>
        <v>4</v>
      </c>
      <c r="R4710" s="174" t="s">
        <v>5709</v>
      </c>
      <c r="S4710" s="150"/>
    </row>
    <row r="4711" spans="1:19" hidden="1">
      <c r="A4711" s="149" t="s">
        <v>7039</v>
      </c>
      <c r="B4711" s="150" t="str">
        <f>IFERROR(VLOOKUP(Proc[[#This Row],[App]],Table2[],3,0),"open")</f>
        <v>ok</v>
      </c>
      <c r="C4711" s="149" t="s">
        <v>369</v>
      </c>
      <c r="D4711" t="s">
        <v>7066</v>
      </c>
      <c r="E4711" s="149" t="s">
        <v>7230</v>
      </c>
      <c r="F4711" s="150" t="s">
        <v>7230</v>
      </c>
      <c r="G4711" s="149" t="s">
        <v>406</v>
      </c>
      <c r="H4711" s="150" t="str">
        <f>IF(Proc[[#This Row],[type]]="LFF (MDG-F)",MID(Proc[[#This Row],[Obj]],13,10),"")</f>
        <v>TW02TPHZ21</v>
      </c>
      <c r="I4711" s="149" t="s">
        <v>7230</v>
      </c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EL</v>
      </c>
      <c r="L4711" s="150" t="s">
        <v>6435</v>
      </c>
      <c r="M4711" s="173">
        <v>45989</v>
      </c>
      <c r="N4711" s="174"/>
      <c r="O4711" s="174"/>
      <c r="P4711" s="174" t="str">
        <f ca="1">IF(Proc[[#This Row],[DaysAgeing]]&gt;5,"yep","on track")</f>
        <v>on track</v>
      </c>
      <c r="Q4711" s="3">
        <f ca="1">IF(Proc[[#This Row],[DateClosed]]="",ABS(NETWORKDAYS(Proc[[#This Row],[DateOpened]],TODAY()))-1,ABS(NETWORKDAYS(Proc[[#This Row],[DateOpened]],Proc[[#This Row],[DateClosed]]))-1)</f>
        <v>4</v>
      </c>
      <c r="R4711" s="174" t="s">
        <v>5709</v>
      </c>
      <c r="S4711" s="150"/>
    </row>
    <row r="4712" spans="1:19" hidden="1">
      <c r="A4712" s="149" t="s">
        <v>7039</v>
      </c>
      <c r="B4712" s="150" t="str">
        <f>IFERROR(VLOOKUP(Proc[[#This Row],[App]],Table2[],3,0),"open")</f>
        <v>ok</v>
      </c>
      <c r="C4712" s="149" t="s">
        <v>369</v>
      </c>
      <c r="D4712" t="s">
        <v>7067</v>
      </c>
      <c r="E4712" s="149" t="s">
        <v>7230</v>
      </c>
      <c r="F4712" s="150" t="s">
        <v>7230</v>
      </c>
      <c r="G4712" s="149" t="s">
        <v>406</v>
      </c>
      <c r="H4712" s="150" t="str">
        <f>IF(Proc[[#This Row],[type]]="LFF (MDG-F)",MID(Proc[[#This Row],[Obj]],13,10),"")</f>
        <v>TW02TPHZ22</v>
      </c>
      <c r="I4712" s="149" t="s">
        <v>7230</v>
      </c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EL</v>
      </c>
      <c r="L4712" s="150" t="s">
        <v>6435</v>
      </c>
      <c r="M4712" s="173">
        <v>45989</v>
      </c>
      <c r="N4712" s="174"/>
      <c r="O4712" s="174"/>
      <c r="P4712" s="174" t="str">
        <f ca="1">IF(Proc[[#This Row],[DaysAgeing]]&gt;5,"yep","on track")</f>
        <v>on track</v>
      </c>
      <c r="Q4712" s="3">
        <f ca="1">IF(Proc[[#This Row],[DateClosed]]="",ABS(NETWORKDAYS(Proc[[#This Row],[DateOpened]],TODAY()))-1,ABS(NETWORKDAYS(Proc[[#This Row],[DateOpened]],Proc[[#This Row],[DateClosed]]))-1)</f>
        <v>4</v>
      </c>
      <c r="R4712" s="174" t="s">
        <v>5709</v>
      </c>
      <c r="S4712" s="150"/>
    </row>
    <row r="4713" spans="1:19" hidden="1">
      <c r="A4713" s="149" t="s">
        <v>7039</v>
      </c>
      <c r="B4713" s="150" t="str">
        <f>IFERROR(VLOOKUP(Proc[[#This Row],[App]],Table2[],3,0),"open")</f>
        <v>ok</v>
      </c>
      <c r="C4713" s="149" t="s">
        <v>369</v>
      </c>
      <c r="D4713" t="s">
        <v>7068</v>
      </c>
      <c r="E4713" s="149" t="s">
        <v>7230</v>
      </c>
      <c r="F4713" s="150" t="s">
        <v>7230</v>
      </c>
      <c r="G4713" s="149" t="s">
        <v>406</v>
      </c>
      <c r="H4713" s="150" t="str">
        <f>IF(Proc[[#This Row],[type]]="LFF (MDG-F)",MID(Proc[[#This Row],[Obj]],13,10),"")</f>
        <v>TW02TPHZ23</v>
      </c>
      <c r="I4713" s="149" t="s">
        <v>7230</v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EL</v>
      </c>
      <c r="L4713" s="150" t="s">
        <v>6435</v>
      </c>
      <c r="M4713" s="173">
        <v>45989</v>
      </c>
      <c r="N4713" s="174"/>
      <c r="O4713" s="174"/>
      <c r="P4713" s="174" t="str">
        <f ca="1">IF(Proc[[#This Row],[DaysAgeing]]&gt;5,"yep","on track")</f>
        <v>on track</v>
      </c>
      <c r="Q4713" s="3">
        <f ca="1">IF(Proc[[#This Row],[DateClosed]]="",ABS(NETWORKDAYS(Proc[[#This Row],[DateOpened]],TODAY()))-1,ABS(NETWORKDAYS(Proc[[#This Row],[DateOpened]],Proc[[#This Row],[DateClosed]]))-1)</f>
        <v>4</v>
      </c>
      <c r="R4713" s="174" t="s">
        <v>5709</v>
      </c>
      <c r="S4713" s="150"/>
    </row>
    <row r="4714" spans="1:19" hidden="1">
      <c r="A4714" s="149" t="s">
        <v>7039</v>
      </c>
      <c r="B4714" s="150" t="str">
        <f>IFERROR(VLOOKUP(Proc[[#This Row],[App]],Table2[],3,0),"open")</f>
        <v>ok</v>
      </c>
      <c r="C4714" s="149" t="s">
        <v>369</v>
      </c>
      <c r="D4714" t="s">
        <v>7069</v>
      </c>
      <c r="E4714" s="149" t="s">
        <v>7230</v>
      </c>
      <c r="F4714" s="150" t="s">
        <v>7230</v>
      </c>
      <c r="G4714" s="149" t="s">
        <v>406</v>
      </c>
      <c r="H4714" s="150" t="str">
        <f>IF(Proc[[#This Row],[type]]="LFF (MDG-F)",MID(Proc[[#This Row],[Obj]],13,10),"")</f>
        <v>TW02TPTA21</v>
      </c>
      <c r="I4714" s="149" t="s">
        <v>7230</v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EL</v>
      </c>
      <c r="L4714" s="150" t="s">
        <v>6435</v>
      </c>
      <c r="M4714" s="173">
        <v>45989</v>
      </c>
      <c r="N4714" s="174"/>
      <c r="O4714" s="174"/>
      <c r="P4714" s="174" t="str">
        <f ca="1">IF(Proc[[#This Row],[DaysAgeing]]&gt;5,"yep","on track")</f>
        <v>on track</v>
      </c>
      <c r="Q4714" s="3">
        <f ca="1">IF(Proc[[#This Row],[DateClosed]]="",ABS(NETWORKDAYS(Proc[[#This Row],[DateOpened]],TODAY()))-1,ABS(NETWORKDAYS(Proc[[#This Row],[DateOpened]],Proc[[#This Row],[DateClosed]]))-1)</f>
        <v>4</v>
      </c>
      <c r="R4714" s="174" t="s">
        <v>5709</v>
      </c>
      <c r="S4714" s="150"/>
    </row>
    <row r="4715" spans="1:19" hidden="1">
      <c r="A4715" s="149" t="s">
        <v>7039</v>
      </c>
      <c r="B4715" s="150" t="str">
        <f>IFERROR(VLOOKUP(Proc[[#This Row],[App]],Table2[],3,0),"open")</f>
        <v>ok</v>
      </c>
      <c r="C4715" s="149" t="s">
        <v>369</v>
      </c>
      <c r="D4715" t="s">
        <v>7070</v>
      </c>
      <c r="E4715" s="149" t="s">
        <v>7230</v>
      </c>
      <c r="F4715" s="150" t="s">
        <v>7230</v>
      </c>
      <c r="G4715" s="149" t="s">
        <v>406</v>
      </c>
      <c r="H4715" s="150" t="str">
        <f>IF(Proc[[#This Row],[type]]="LFF (MDG-F)",MID(Proc[[#This Row],[Obj]],13,10),"")</f>
        <v>TW02TPTA22</v>
      </c>
      <c r="I4715" s="149" t="s">
        <v>7230</v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EL</v>
      </c>
      <c r="L4715" s="150" t="s">
        <v>6435</v>
      </c>
      <c r="M4715" s="173">
        <v>45989</v>
      </c>
      <c r="N4715" s="174"/>
      <c r="O4715" s="174"/>
      <c r="P4715" s="174" t="str">
        <f ca="1">IF(Proc[[#This Row],[DaysAgeing]]&gt;5,"yep","on track")</f>
        <v>on track</v>
      </c>
      <c r="Q4715" s="3">
        <f ca="1">IF(Proc[[#This Row],[DateClosed]]="",ABS(NETWORKDAYS(Proc[[#This Row],[DateOpened]],TODAY()))-1,ABS(NETWORKDAYS(Proc[[#This Row],[DateOpened]],Proc[[#This Row],[DateClosed]]))-1)</f>
        <v>4</v>
      </c>
      <c r="R4715" s="174" t="s">
        <v>5709</v>
      </c>
      <c r="S4715" s="150"/>
    </row>
    <row r="4716" spans="1:19" hidden="1">
      <c r="A4716" s="149" t="s">
        <v>7039</v>
      </c>
      <c r="B4716" s="150" t="str">
        <f>IFERROR(VLOOKUP(Proc[[#This Row],[App]],Table2[],3,0),"open")</f>
        <v>ok</v>
      </c>
      <c r="C4716" s="149" t="s">
        <v>369</v>
      </c>
      <c r="D4716" t="s">
        <v>7071</v>
      </c>
      <c r="E4716" s="149" t="s">
        <v>7230</v>
      </c>
      <c r="F4716" s="150" t="s">
        <v>7230</v>
      </c>
      <c r="G4716" s="149" t="s">
        <v>406</v>
      </c>
      <c r="H4716" s="150" t="str">
        <f>IF(Proc[[#This Row],[type]]="LFF (MDG-F)",MID(Proc[[#This Row],[Obj]],13,10),"")</f>
        <v>TW03TQKZ22</v>
      </c>
      <c r="I4716" s="149" t="s">
        <v>7230</v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EL</v>
      </c>
      <c r="L4716" s="150" t="s">
        <v>6435</v>
      </c>
      <c r="M4716" s="173">
        <v>45989</v>
      </c>
      <c r="N4716" s="174"/>
      <c r="O4716" s="174"/>
      <c r="P4716" s="174" t="str">
        <f ca="1">IF(Proc[[#This Row],[DaysAgeing]]&gt;5,"yep","on track")</f>
        <v>on track</v>
      </c>
      <c r="Q4716" s="3">
        <f ca="1">IF(Proc[[#This Row],[DateClosed]]="",ABS(NETWORKDAYS(Proc[[#This Row],[DateOpened]],TODAY()))-1,ABS(NETWORKDAYS(Proc[[#This Row],[DateOpened]],Proc[[#This Row],[DateClosed]]))-1)</f>
        <v>4</v>
      </c>
      <c r="R4716" s="174" t="s">
        <v>5709</v>
      </c>
      <c r="S4716" s="150"/>
    </row>
    <row r="4717" spans="1:19" hidden="1">
      <c r="A4717" s="149" t="s">
        <v>7039</v>
      </c>
      <c r="B4717" s="150" t="str">
        <f>IFERROR(VLOOKUP(Proc[[#This Row],[App]],Table2[],3,0),"open")</f>
        <v>ok</v>
      </c>
      <c r="C4717" s="149" t="s">
        <v>369</v>
      </c>
      <c r="D4717" t="s">
        <v>7072</v>
      </c>
      <c r="E4717" s="149" t="s">
        <v>7231</v>
      </c>
      <c r="F4717" s="150" t="s">
        <v>7231</v>
      </c>
      <c r="G4717" s="149" t="s">
        <v>406</v>
      </c>
      <c r="H4717" s="150" t="str">
        <f>IF(Proc[[#This Row],[type]]="LFF (MDG-F)",MID(Proc[[#This Row],[Obj]],13,10),"")</f>
        <v>SG09TPX004</v>
      </c>
      <c r="I4717" s="149" t="s">
        <v>7231</v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EL</v>
      </c>
      <c r="L4717" s="150" t="s">
        <v>6435</v>
      </c>
      <c r="M4717" s="173">
        <v>45989</v>
      </c>
      <c r="N4717" s="174"/>
      <c r="O4717" s="174"/>
      <c r="P4717" s="174" t="str">
        <f ca="1">IF(Proc[[#This Row],[DaysAgeing]]&gt;5,"yep","on track")</f>
        <v>on track</v>
      </c>
      <c r="Q4717" s="3">
        <f ca="1">IF(Proc[[#This Row],[DateClosed]]="",ABS(NETWORKDAYS(Proc[[#This Row],[DateOpened]],TODAY()))-1,ABS(NETWORKDAYS(Proc[[#This Row],[DateOpened]],Proc[[#This Row],[DateClosed]]))-1)</f>
        <v>4</v>
      </c>
      <c r="R4717" s="174" t="s">
        <v>5709</v>
      </c>
      <c r="S4717" s="150"/>
    </row>
    <row r="4718" spans="1:19" hidden="1">
      <c r="A4718" s="149" t="s">
        <v>7039</v>
      </c>
      <c r="B4718" s="150" t="str">
        <f>IFERROR(VLOOKUP(Proc[[#This Row],[App]],Table2[],3,0),"open")</f>
        <v>ok</v>
      </c>
      <c r="C4718" s="149" t="s">
        <v>369</v>
      </c>
      <c r="D4718" t="s">
        <v>7073</v>
      </c>
      <c r="E4718" s="149" t="s">
        <v>7231</v>
      </c>
      <c r="F4718" s="150" t="s">
        <v>7231</v>
      </c>
      <c r="G4718" s="149" t="s">
        <v>406</v>
      </c>
      <c r="H4718" s="150" t="str">
        <f>IF(Proc[[#This Row],[type]]="LFF (MDG-F)",MID(Proc[[#This Row],[Obj]],13,10),"")</f>
        <v>TW02TQMZ02</v>
      </c>
      <c r="I4718" s="149" t="s">
        <v>7231</v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EL</v>
      </c>
      <c r="L4718" s="150" t="s">
        <v>6435</v>
      </c>
      <c r="M4718" s="173">
        <v>45989</v>
      </c>
      <c r="N4718" s="174"/>
      <c r="O4718" s="174"/>
      <c r="P4718" s="174" t="str">
        <f ca="1">IF(Proc[[#This Row],[DaysAgeing]]&gt;5,"yep","on track")</f>
        <v>on track</v>
      </c>
      <c r="Q4718" s="3">
        <f ca="1">IF(Proc[[#This Row],[DateClosed]]="",ABS(NETWORKDAYS(Proc[[#This Row],[DateOpened]],TODAY()))-1,ABS(NETWORKDAYS(Proc[[#This Row],[DateOpened]],Proc[[#This Row],[DateClosed]]))-1)</f>
        <v>4</v>
      </c>
      <c r="R4718" s="174" t="s">
        <v>5709</v>
      </c>
      <c r="S4718" s="150"/>
    </row>
    <row r="4719" spans="1:19" hidden="1">
      <c r="A4719" s="149" t="s">
        <v>7039</v>
      </c>
      <c r="B4719" s="150" t="str">
        <f>IFERROR(VLOOKUP(Proc[[#This Row],[App]],Table2[],3,0),"open")</f>
        <v>ok</v>
      </c>
      <c r="C4719" s="149" t="s">
        <v>369</v>
      </c>
      <c r="D4719" t="s">
        <v>7074</v>
      </c>
      <c r="E4719" s="149" t="s">
        <v>7231</v>
      </c>
      <c r="F4719" s="150" t="s">
        <v>7231</v>
      </c>
      <c r="G4719" s="149" t="s">
        <v>406</v>
      </c>
      <c r="H4719" s="150" t="str">
        <f>IF(Proc[[#This Row],[type]]="LFF (MDG-F)",MID(Proc[[#This Row],[Obj]],13,10),"")</f>
        <v>TW03TQKZ12</v>
      </c>
      <c r="I4719" s="149" t="s">
        <v>7231</v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EL</v>
      </c>
      <c r="L4719" s="150" t="s">
        <v>6435</v>
      </c>
      <c r="M4719" s="173">
        <v>45989</v>
      </c>
      <c r="N4719" s="174"/>
      <c r="O4719" s="174"/>
      <c r="P4719" s="174" t="str">
        <f ca="1">IF(Proc[[#This Row],[DaysAgeing]]&gt;5,"yep","on track")</f>
        <v>on track</v>
      </c>
      <c r="Q4719" s="3">
        <f ca="1">IF(Proc[[#This Row],[DateClosed]]="",ABS(NETWORKDAYS(Proc[[#This Row],[DateOpened]],TODAY()))-1,ABS(NETWORKDAYS(Proc[[#This Row],[DateOpened]],Proc[[#This Row],[DateClosed]]))-1)</f>
        <v>4</v>
      </c>
      <c r="R4719" s="174" t="s">
        <v>5709</v>
      </c>
      <c r="S4719" s="150"/>
    </row>
    <row r="4720" spans="1:19" hidden="1">
      <c r="A4720" s="149" t="s">
        <v>7039</v>
      </c>
      <c r="B4720" s="150" t="str">
        <f>IFERROR(VLOOKUP(Proc[[#This Row],[App]],Table2[],3,0),"open")</f>
        <v>ok</v>
      </c>
      <c r="C4720" s="149" t="s">
        <v>369</v>
      </c>
      <c r="D4720" t="s">
        <v>7075</v>
      </c>
      <c r="E4720" s="149" t="s">
        <v>7231</v>
      </c>
      <c r="F4720" s="150" t="s">
        <v>7231</v>
      </c>
      <c r="G4720" s="149" t="s">
        <v>406</v>
      </c>
      <c r="H4720" s="150" t="str">
        <f>IF(Proc[[#This Row],[type]]="LFF (MDG-F)",MID(Proc[[#This Row],[Obj]],13,10),"")</f>
        <v>MY10DB3300</v>
      </c>
      <c r="I4720" s="149" t="s">
        <v>7231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EL</v>
      </c>
      <c r="L4720" s="150" t="s">
        <v>6435</v>
      </c>
      <c r="M4720" s="173">
        <v>45989</v>
      </c>
      <c r="N4720" s="174"/>
      <c r="O4720" s="174"/>
      <c r="P4720" s="174" t="str">
        <f ca="1">IF(Proc[[#This Row],[DaysAgeing]]&gt;5,"yep","on track")</f>
        <v>on track</v>
      </c>
      <c r="Q4720" s="3">
        <f ca="1">IF(Proc[[#This Row],[DateClosed]]="",ABS(NETWORKDAYS(Proc[[#This Row],[DateOpened]],TODAY()))-1,ABS(NETWORKDAYS(Proc[[#This Row],[DateOpened]],Proc[[#This Row],[DateClosed]]))-1)</f>
        <v>4</v>
      </c>
      <c r="R4720" s="174" t="s">
        <v>5709</v>
      </c>
      <c r="S4720" s="150"/>
    </row>
    <row r="4721" spans="1:19" hidden="1">
      <c r="A4721" s="149" t="s">
        <v>7039</v>
      </c>
      <c r="B4721" s="150" t="str">
        <f>IFERROR(VLOOKUP(Proc[[#This Row],[App]],Table2[],3,0),"open")</f>
        <v>ok</v>
      </c>
      <c r="C4721" s="149" t="s">
        <v>369</v>
      </c>
      <c r="D4721" t="s">
        <v>7076</v>
      </c>
      <c r="E4721" s="149" t="s">
        <v>7231</v>
      </c>
      <c r="F4721" s="150" t="s">
        <v>7231</v>
      </c>
      <c r="G4721" s="149" t="s">
        <v>406</v>
      </c>
      <c r="H4721" s="150" t="str">
        <f>IF(Proc[[#This Row],[type]]="LFF (MDG-F)",MID(Proc[[#This Row],[Obj]],13,10),"")</f>
        <v>SG10TM3000</v>
      </c>
      <c r="I4721" s="149" t="s">
        <v>7231</v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EL</v>
      </c>
      <c r="L4721" s="150" t="s">
        <v>6435</v>
      </c>
      <c r="M4721" s="173">
        <v>45989</v>
      </c>
      <c r="N4721" s="174"/>
      <c r="O4721" s="174"/>
      <c r="P4721" s="174" t="str">
        <f ca="1">IF(Proc[[#This Row],[DaysAgeing]]&gt;5,"yep","on track")</f>
        <v>on track</v>
      </c>
      <c r="Q4721" s="3">
        <f ca="1">IF(Proc[[#This Row],[DateClosed]]="",ABS(NETWORKDAYS(Proc[[#This Row],[DateOpened]],TODAY()))-1,ABS(NETWORKDAYS(Proc[[#This Row],[DateOpened]],Proc[[#This Row],[DateClosed]]))-1)</f>
        <v>4</v>
      </c>
      <c r="R4721" s="174" t="s">
        <v>5709</v>
      </c>
      <c r="S4721" s="150"/>
    </row>
    <row r="4722" spans="1:19" hidden="1">
      <c r="A4722" s="149" t="s">
        <v>7039</v>
      </c>
      <c r="B4722" s="150" t="str">
        <f>IFERROR(VLOOKUP(Proc[[#This Row],[App]],Table2[],3,0),"open")</f>
        <v>ok</v>
      </c>
      <c r="C4722" s="149" t="s">
        <v>369</v>
      </c>
      <c r="D4722" t="s">
        <v>7077</v>
      </c>
      <c r="E4722" s="149" t="s">
        <v>7231</v>
      </c>
      <c r="F4722" s="150" t="s">
        <v>7231</v>
      </c>
      <c r="G4722" s="149" t="s">
        <v>406</v>
      </c>
      <c r="H4722" s="150" t="str">
        <f>IF(Proc[[#This Row],[type]]="LFF (MDG-F)",MID(Proc[[#This Row],[Obj]],13,10),"")</f>
        <v>TW10DB3300</v>
      </c>
      <c r="I4722" s="149" t="s">
        <v>7231</v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EL</v>
      </c>
      <c r="L4722" s="150" t="s">
        <v>6435</v>
      </c>
      <c r="M4722" s="173">
        <v>45989</v>
      </c>
      <c r="N4722" s="174"/>
      <c r="O4722" s="174"/>
      <c r="P4722" s="174" t="str">
        <f ca="1">IF(Proc[[#This Row],[DaysAgeing]]&gt;5,"yep","on track")</f>
        <v>on track</v>
      </c>
      <c r="Q4722" s="3">
        <f ca="1">IF(Proc[[#This Row],[DateClosed]]="",ABS(NETWORKDAYS(Proc[[#This Row],[DateOpened]],TODAY()))-1,ABS(NETWORKDAYS(Proc[[#This Row],[DateOpened]],Proc[[#This Row],[DateClosed]]))-1)</f>
        <v>4</v>
      </c>
      <c r="R4722" s="174" t="s">
        <v>5709</v>
      </c>
      <c r="S4722" s="150"/>
    </row>
    <row r="4723" spans="1:19" hidden="1">
      <c r="A4723" s="149" t="s">
        <v>7039</v>
      </c>
      <c r="B4723" s="150" t="str">
        <f>IFERROR(VLOOKUP(Proc[[#This Row],[App]],Table2[],3,0),"open")</f>
        <v>ok</v>
      </c>
      <c r="C4723" s="149" t="s">
        <v>369</v>
      </c>
      <c r="D4723" t="s">
        <v>7078</v>
      </c>
      <c r="E4723" s="149" t="s">
        <v>7232</v>
      </c>
      <c r="F4723" s="150" t="s">
        <v>7232</v>
      </c>
      <c r="G4723" s="149" t="s">
        <v>406</v>
      </c>
      <c r="H4723" s="150" t="str">
        <f>IF(Proc[[#This Row],[type]]="LFF (MDG-F)",MID(Proc[[#This Row],[Obj]],13,10),"")</f>
        <v>TW10DB3301</v>
      </c>
      <c r="I4723" s="149" t="s">
        <v>7232</v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EL</v>
      </c>
      <c r="L4723" s="150" t="s">
        <v>6435</v>
      </c>
      <c r="M4723" s="173">
        <v>45989</v>
      </c>
      <c r="N4723" s="174"/>
      <c r="O4723" s="174"/>
      <c r="P4723" s="174" t="str">
        <f ca="1">IF(Proc[[#This Row],[DaysAgeing]]&gt;5,"yep","on track")</f>
        <v>on track</v>
      </c>
      <c r="Q4723" s="3">
        <f ca="1">IF(Proc[[#This Row],[DateClosed]]="",ABS(NETWORKDAYS(Proc[[#This Row],[DateOpened]],TODAY()))-1,ABS(NETWORKDAYS(Proc[[#This Row],[DateOpened]],Proc[[#This Row],[DateClosed]]))-1)</f>
        <v>4</v>
      </c>
      <c r="R4723" s="174" t="s">
        <v>5709</v>
      </c>
      <c r="S4723" s="150"/>
    </row>
    <row r="4724" spans="1:19" hidden="1">
      <c r="A4724" s="149" t="s">
        <v>7039</v>
      </c>
      <c r="B4724" s="150" t="str">
        <f>IFERROR(VLOOKUP(Proc[[#This Row],[App]],Table2[],3,0),"open")</f>
        <v>ok</v>
      </c>
      <c r="C4724" s="149" t="s">
        <v>369</v>
      </c>
      <c r="D4724" t="s">
        <v>7079</v>
      </c>
      <c r="E4724" s="149" t="s">
        <v>7232</v>
      </c>
      <c r="F4724" s="150" t="s">
        <v>7232</v>
      </c>
      <c r="G4724" s="149" t="s">
        <v>406</v>
      </c>
      <c r="H4724" s="150" t="str">
        <f>IF(Proc[[#This Row],[type]]="LFF (MDG-F)",MID(Proc[[#This Row],[Obj]],13,10),"")</f>
        <v>TW10DB3305</v>
      </c>
      <c r="I4724" s="149" t="s">
        <v>7232</v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EL</v>
      </c>
      <c r="L4724" s="150" t="s">
        <v>6435</v>
      </c>
      <c r="M4724" s="173">
        <v>45989</v>
      </c>
      <c r="N4724" s="174"/>
      <c r="O4724" s="174"/>
      <c r="P4724" s="174" t="str">
        <f ca="1">IF(Proc[[#This Row],[DaysAgeing]]&gt;5,"yep","on track")</f>
        <v>on track</v>
      </c>
      <c r="Q4724" s="3">
        <f ca="1">IF(Proc[[#This Row],[DateClosed]]="",ABS(NETWORKDAYS(Proc[[#This Row],[DateOpened]],TODAY()))-1,ABS(NETWORKDAYS(Proc[[#This Row],[DateOpened]],Proc[[#This Row],[DateClosed]]))-1)</f>
        <v>4</v>
      </c>
      <c r="R4724" s="174" t="s">
        <v>5709</v>
      </c>
      <c r="S4724" s="150"/>
    </row>
    <row r="4725" spans="1:19" hidden="1">
      <c r="A4725" s="149" t="s">
        <v>7039</v>
      </c>
      <c r="B4725" s="150" t="str">
        <f>IFERROR(VLOOKUP(Proc[[#This Row],[App]],Table2[],3,0),"open")</f>
        <v>ok</v>
      </c>
      <c r="C4725" s="149" t="s">
        <v>369</v>
      </c>
      <c r="D4725" t="s">
        <v>7080</v>
      </c>
      <c r="E4725" s="149" t="s">
        <v>7232</v>
      </c>
      <c r="F4725" s="150" t="s">
        <v>7232</v>
      </c>
      <c r="G4725" s="149" t="s">
        <v>406</v>
      </c>
      <c r="H4725" s="150" t="str">
        <f>IF(Proc[[#This Row],[type]]="LFF (MDG-F)",MID(Proc[[#This Row],[Obj]],13,10),"")</f>
        <v>MY10TM4000</v>
      </c>
      <c r="I4725" s="149" t="s">
        <v>7232</v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EL</v>
      </c>
      <c r="L4725" s="150" t="s">
        <v>6435</v>
      </c>
      <c r="M4725" s="173">
        <v>45989</v>
      </c>
      <c r="N4725" s="174"/>
      <c r="O4725" s="174"/>
      <c r="P4725" s="174" t="str">
        <f ca="1">IF(Proc[[#This Row],[DaysAgeing]]&gt;5,"yep","on track")</f>
        <v>on track</v>
      </c>
      <c r="Q4725" s="3">
        <f ca="1">IF(Proc[[#This Row],[DateClosed]]="",ABS(NETWORKDAYS(Proc[[#This Row],[DateOpened]],TODAY()))-1,ABS(NETWORKDAYS(Proc[[#This Row],[DateOpened]],Proc[[#This Row],[DateClosed]]))-1)</f>
        <v>4</v>
      </c>
      <c r="R4725" s="174" t="s">
        <v>5709</v>
      </c>
      <c r="S4725" s="150"/>
    </row>
    <row r="4726" spans="1:19" hidden="1">
      <c r="A4726" s="149" t="s">
        <v>7039</v>
      </c>
      <c r="B4726" s="150" t="str">
        <f>IFERROR(VLOOKUP(Proc[[#This Row],[App]],Table2[],3,0),"open")</f>
        <v>ok</v>
      </c>
      <c r="C4726" s="149" t="s">
        <v>369</v>
      </c>
      <c r="D4726" t="s">
        <v>7081</v>
      </c>
      <c r="E4726" s="149" t="s">
        <v>7232</v>
      </c>
      <c r="F4726" s="150" t="s">
        <v>7232</v>
      </c>
      <c r="G4726" s="149" t="s">
        <v>406</v>
      </c>
      <c r="H4726" s="150" t="str">
        <f>IF(Proc[[#This Row],[type]]="LFF (MDG-F)",MID(Proc[[#This Row],[Obj]],13,10),"")</f>
        <v>SG10TM4000</v>
      </c>
      <c r="I4726" s="149" t="s">
        <v>7232</v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EL</v>
      </c>
      <c r="L4726" s="150" t="s">
        <v>6435</v>
      </c>
      <c r="M4726" s="173">
        <v>45989</v>
      </c>
      <c r="N4726" s="174"/>
      <c r="O4726" s="174"/>
      <c r="P4726" s="174" t="str">
        <f ca="1">IF(Proc[[#This Row],[DaysAgeing]]&gt;5,"yep","on track")</f>
        <v>on track</v>
      </c>
      <c r="Q4726" s="3">
        <f ca="1">IF(Proc[[#This Row],[DateClosed]]="",ABS(NETWORKDAYS(Proc[[#This Row],[DateOpened]],TODAY()))-1,ABS(NETWORKDAYS(Proc[[#This Row],[DateOpened]],Proc[[#This Row],[DateClosed]]))-1)</f>
        <v>4</v>
      </c>
      <c r="R4726" s="174" t="s">
        <v>5709</v>
      </c>
      <c r="S4726" s="150"/>
    </row>
    <row r="4727" spans="1:19" hidden="1">
      <c r="A4727" s="149" t="s">
        <v>7039</v>
      </c>
      <c r="B4727" s="150" t="str">
        <f>IFERROR(VLOOKUP(Proc[[#This Row],[App]],Table2[],3,0),"open")</f>
        <v>ok</v>
      </c>
      <c r="C4727" s="149" t="s">
        <v>369</v>
      </c>
      <c r="D4727" t="s">
        <v>7082</v>
      </c>
      <c r="E4727" s="149" t="s">
        <v>7232</v>
      </c>
      <c r="F4727" s="150" t="s">
        <v>7232</v>
      </c>
      <c r="G4727" s="149" t="s">
        <v>406</v>
      </c>
      <c r="H4727" s="150" t="str">
        <f>IF(Proc[[#This Row],[type]]="LFF (MDG-F)",MID(Proc[[#This Row],[Obj]],13,10),"")</f>
        <v>TW10TM4001</v>
      </c>
      <c r="I4727" s="149" t="s">
        <v>7232</v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EL</v>
      </c>
      <c r="L4727" s="150" t="s">
        <v>6435</v>
      </c>
      <c r="M4727" s="173">
        <v>45989</v>
      </c>
      <c r="N4727" s="174"/>
      <c r="O4727" s="174"/>
      <c r="P4727" s="174" t="str">
        <f ca="1">IF(Proc[[#This Row],[DaysAgeing]]&gt;5,"yep","on track")</f>
        <v>on track</v>
      </c>
      <c r="Q4727" s="3">
        <f ca="1">IF(Proc[[#This Row],[DateClosed]]="",ABS(NETWORKDAYS(Proc[[#This Row],[DateOpened]],TODAY()))-1,ABS(NETWORKDAYS(Proc[[#This Row],[DateOpened]],Proc[[#This Row],[DateClosed]]))-1)</f>
        <v>4</v>
      </c>
      <c r="R4727" s="174" t="s">
        <v>5709</v>
      </c>
      <c r="S4727" s="150"/>
    </row>
    <row r="4728" spans="1:19" hidden="1">
      <c r="A4728" s="149" t="s">
        <v>7039</v>
      </c>
      <c r="B4728" s="150" t="str">
        <f>IFERROR(VLOOKUP(Proc[[#This Row],[App]],Table2[],3,0),"open")</f>
        <v>ok</v>
      </c>
      <c r="C4728" s="149" t="s">
        <v>369</v>
      </c>
      <c r="D4728" t="s">
        <v>7083</v>
      </c>
      <c r="E4728" s="149" t="s">
        <v>7232</v>
      </c>
      <c r="F4728" s="150" t="s">
        <v>7232</v>
      </c>
      <c r="G4728" s="149" t="s">
        <v>406</v>
      </c>
      <c r="H4728" s="150" t="str">
        <f>IF(Proc[[#This Row],[type]]="LFF (MDG-F)",MID(Proc[[#This Row],[Obj]],13,10),"")</f>
        <v>TW10TM4002</v>
      </c>
      <c r="I4728" s="149" t="s">
        <v>7232</v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EL</v>
      </c>
      <c r="L4728" s="150" t="s">
        <v>6435</v>
      </c>
      <c r="M4728" s="173">
        <v>45989</v>
      </c>
      <c r="N4728" s="174"/>
      <c r="O4728" s="174"/>
      <c r="P4728" s="174" t="str">
        <f ca="1">IF(Proc[[#This Row],[DaysAgeing]]&gt;5,"yep","on track")</f>
        <v>on track</v>
      </c>
      <c r="Q4728" s="3">
        <f ca="1">IF(Proc[[#This Row],[DateClosed]]="",ABS(NETWORKDAYS(Proc[[#This Row],[DateOpened]],TODAY()))-1,ABS(NETWORKDAYS(Proc[[#This Row],[DateOpened]],Proc[[#This Row],[DateClosed]]))-1)</f>
        <v>4</v>
      </c>
      <c r="R4728" s="174" t="s">
        <v>5709</v>
      </c>
      <c r="S4728" s="150"/>
    </row>
    <row r="4729" spans="1:19" hidden="1">
      <c r="A4729" s="149" t="s">
        <v>7039</v>
      </c>
      <c r="B4729" s="150" t="str">
        <f>IFERROR(VLOOKUP(Proc[[#This Row],[App]],Table2[],3,0),"open")</f>
        <v>ok</v>
      </c>
      <c r="C4729" s="149" t="s">
        <v>369</v>
      </c>
      <c r="D4729" t="s">
        <v>7084</v>
      </c>
      <c r="E4729" s="149" t="s">
        <v>7232</v>
      </c>
      <c r="F4729" s="150" t="s">
        <v>7232</v>
      </c>
      <c r="G4729" s="149" t="s">
        <v>406</v>
      </c>
      <c r="H4729" s="150" t="str">
        <f>IF(Proc[[#This Row],[type]]="LFF (MDG-F)",MID(Proc[[#This Row],[Obj]],13,10),"")</f>
        <v>TW91TM4000</v>
      </c>
      <c r="I4729" s="149" t="s">
        <v>7232</v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EL</v>
      </c>
      <c r="L4729" s="150" t="s">
        <v>6435</v>
      </c>
      <c r="M4729" s="173">
        <v>45989</v>
      </c>
      <c r="N4729" s="174"/>
      <c r="O4729" s="174"/>
      <c r="P4729" s="174" t="str">
        <f ca="1">IF(Proc[[#This Row],[DaysAgeing]]&gt;5,"yep","on track")</f>
        <v>on track</v>
      </c>
      <c r="Q4729" s="3">
        <f ca="1">IF(Proc[[#This Row],[DateClosed]]="",ABS(NETWORKDAYS(Proc[[#This Row],[DateOpened]],TODAY()))-1,ABS(NETWORKDAYS(Proc[[#This Row],[DateOpened]],Proc[[#This Row],[DateClosed]]))-1)</f>
        <v>4</v>
      </c>
      <c r="R4729" s="174" t="s">
        <v>5709</v>
      </c>
      <c r="S4729" s="150"/>
    </row>
    <row r="4730" spans="1:19" hidden="1">
      <c r="A4730" s="149" t="s">
        <v>7039</v>
      </c>
      <c r="B4730" s="150" t="str">
        <f>IFERROR(VLOOKUP(Proc[[#This Row],[App]],Table2[],3,0),"open")</f>
        <v>ok</v>
      </c>
      <c r="C4730" s="149" t="s">
        <v>369</v>
      </c>
      <c r="D4730" t="s">
        <v>7085</v>
      </c>
      <c r="E4730" s="149" t="s">
        <v>7232</v>
      </c>
      <c r="F4730" s="150" t="s">
        <v>7232</v>
      </c>
      <c r="G4730" s="149" t="s">
        <v>406</v>
      </c>
      <c r="H4730" s="150" t="str">
        <f>IF(Proc[[#This Row],[type]]="LFF (MDG-F)",MID(Proc[[#This Row],[Obj]],13,10),"")</f>
        <v>TW91TM4001</v>
      </c>
      <c r="I4730" s="149" t="s">
        <v>7232</v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EL</v>
      </c>
      <c r="L4730" s="150" t="s">
        <v>6435</v>
      </c>
      <c r="M4730" s="173">
        <v>45989</v>
      </c>
      <c r="N4730" s="174"/>
      <c r="O4730" s="174"/>
      <c r="P4730" s="174" t="str">
        <f ca="1">IF(Proc[[#This Row],[DaysAgeing]]&gt;5,"yep","on track")</f>
        <v>on track</v>
      </c>
      <c r="Q4730" s="3">
        <f ca="1">IF(Proc[[#This Row],[DateClosed]]="",ABS(NETWORKDAYS(Proc[[#This Row],[DateOpened]],TODAY()))-1,ABS(NETWORKDAYS(Proc[[#This Row],[DateOpened]],Proc[[#This Row],[DateClosed]]))-1)</f>
        <v>4</v>
      </c>
      <c r="R4730" s="174" t="s">
        <v>5709</v>
      </c>
      <c r="S4730" s="150"/>
    </row>
    <row r="4731" spans="1:19" hidden="1">
      <c r="A4731" s="149" t="s">
        <v>7039</v>
      </c>
      <c r="B4731" s="150" t="str">
        <f>IFERROR(VLOOKUP(Proc[[#This Row],[App]],Table2[],3,0),"open")</f>
        <v>ok</v>
      </c>
      <c r="C4731" s="149" t="s">
        <v>369</v>
      </c>
      <c r="D4731" t="s">
        <v>7086</v>
      </c>
      <c r="E4731" s="149" t="s">
        <v>7232</v>
      </c>
      <c r="F4731" s="150" t="s">
        <v>7232</v>
      </c>
      <c r="G4731" s="149" t="s">
        <v>406</v>
      </c>
      <c r="H4731" s="150" t="str">
        <f>IF(Proc[[#This Row],[type]]="LFF (MDG-F)",MID(Proc[[#This Row],[Obj]],13,10),"")</f>
        <v>TW91TM4002</v>
      </c>
      <c r="I4731" s="149" t="s">
        <v>7232</v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EL</v>
      </c>
      <c r="L4731" s="150" t="s">
        <v>6435</v>
      </c>
      <c r="M4731" s="173">
        <v>45989</v>
      </c>
      <c r="N4731" s="174"/>
      <c r="O4731" s="174"/>
      <c r="P4731" s="174" t="str">
        <f ca="1">IF(Proc[[#This Row],[DaysAgeing]]&gt;5,"yep","on track")</f>
        <v>on track</v>
      </c>
      <c r="Q4731" s="3">
        <f ca="1">IF(Proc[[#This Row],[DateClosed]]="",ABS(NETWORKDAYS(Proc[[#This Row],[DateOpened]],TODAY()))-1,ABS(NETWORKDAYS(Proc[[#This Row],[DateOpened]],Proc[[#This Row],[DateClosed]]))-1)</f>
        <v>4</v>
      </c>
      <c r="R4731" s="174" t="s">
        <v>5709</v>
      </c>
      <c r="S4731" s="150"/>
    </row>
    <row r="4732" spans="1:19" hidden="1">
      <c r="A4732" s="149" t="s">
        <v>7039</v>
      </c>
      <c r="B4732" s="150" t="str">
        <f>IFERROR(VLOOKUP(Proc[[#This Row],[App]],Table2[],3,0),"open")</f>
        <v>ok</v>
      </c>
      <c r="C4732" s="149" t="s">
        <v>369</v>
      </c>
      <c r="D4732" t="s">
        <v>7087</v>
      </c>
      <c r="E4732" s="149" t="s">
        <v>7230</v>
      </c>
      <c r="F4732" s="150" t="s">
        <v>7230</v>
      </c>
      <c r="G4732" s="149" t="s">
        <v>406</v>
      </c>
      <c r="H4732" s="150" t="str">
        <f>IF(Proc[[#This Row],[type]]="LFF (MDG-F)",MID(Proc[[#This Row],[Obj]],13,10),"")</f>
        <v>SG10TM2000</v>
      </c>
      <c r="I4732" s="149" t="s">
        <v>7230</v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EL</v>
      </c>
      <c r="L4732" s="150" t="s">
        <v>6435</v>
      </c>
      <c r="M4732" s="173">
        <v>45989</v>
      </c>
      <c r="N4732" s="174"/>
      <c r="O4732" s="174"/>
      <c r="P4732" s="174" t="str">
        <f ca="1">IF(Proc[[#This Row],[DaysAgeing]]&gt;5,"yep","on track")</f>
        <v>on track</v>
      </c>
      <c r="Q4732" s="3">
        <f ca="1">IF(Proc[[#This Row],[DateClosed]]="",ABS(NETWORKDAYS(Proc[[#This Row],[DateOpened]],TODAY()))-1,ABS(NETWORKDAYS(Proc[[#This Row],[DateOpened]],Proc[[#This Row],[DateClosed]]))-1)</f>
        <v>4</v>
      </c>
      <c r="R4732" s="174" t="s">
        <v>5709</v>
      </c>
      <c r="S4732" s="150"/>
    </row>
    <row r="4733" spans="1:19" hidden="1">
      <c r="A4733" s="149" t="s">
        <v>7039</v>
      </c>
      <c r="B4733" s="150" t="str">
        <f>IFERROR(VLOOKUP(Proc[[#This Row],[App]],Table2[],3,0),"open")</f>
        <v>ok</v>
      </c>
      <c r="C4733" s="149" t="s">
        <v>369</v>
      </c>
      <c r="D4733" t="s">
        <v>7088</v>
      </c>
      <c r="E4733" s="149" t="s">
        <v>7233</v>
      </c>
      <c r="F4733" s="150" t="s">
        <v>7233</v>
      </c>
      <c r="G4733" s="149" t="s">
        <v>406</v>
      </c>
      <c r="H4733" s="150" t="str">
        <f>IF(Proc[[#This Row],[type]]="LFF (MDG-F)",MID(Proc[[#This Row],[Obj]],13,10),"")</f>
        <v>JP02C0M111</v>
      </c>
      <c r="I4733" s="149" t="s">
        <v>7233</v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EL</v>
      </c>
      <c r="L4733" s="150" t="s">
        <v>6435</v>
      </c>
      <c r="M4733" s="173">
        <v>45989</v>
      </c>
      <c r="N4733" s="174"/>
      <c r="O4733" s="174"/>
      <c r="P4733" s="174" t="str">
        <f ca="1">IF(Proc[[#This Row],[DaysAgeing]]&gt;5,"yep","on track")</f>
        <v>on track</v>
      </c>
      <c r="Q4733" s="3">
        <f ca="1">IF(Proc[[#This Row],[DateClosed]]="",ABS(NETWORKDAYS(Proc[[#This Row],[DateOpened]],TODAY()))-1,ABS(NETWORKDAYS(Proc[[#This Row],[DateOpened]],Proc[[#This Row],[DateClosed]]))-1)</f>
        <v>4</v>
      </c>
      <c r="R4733" s="174" t="s">
        <v>5709</v>
      </c>
      <c r="S4733" s="150"/>
    </row>
    <row r="4734" spans="1:19" hidden="1">
      <c r="A4734" s="149" t="s">
        <v>7039</v>
      </c>
      <c r="B4734" s="150" t="str">
        <f>IFERROR(VLOOKUP(Proc[[#This Row],[App]],Table2[],3,0),"open")</f>
        <v>ok</v>
      </c>
      <c r="C4734" s="149" t="s">
        <v>369</v>
      </c>
      <c r="D4734" t="s">
        <v>7089</v>
      </c>
      <c r="E4734" s="149" t="s">
        <v>7233</v>
      </c>
      <c r="F4734" s="150" t="s">
        <v>7233</v>
      </c>
      <c r="G4734" s="149" t="s">
        <v>406</v>
      </c>
      <c r="H4734" s="150" t="str">
        <f>IF(Proc[[#This Row],[type]]="LFF (MDG-F)",MID(Proc[[#This Row],[Obj]],13,10),"")</f>
        <v>KR03OF0303</v>
      </c>
      <c r="I4734" s="149" t="s">
        <v>7233</v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EL</v>
      </c>
      <c r="L4734" s="150" t="s">
        <v>6435</v>
      </c>
      <c r="M4734" s="173">
        <v>45989</v>
      </c>
      <c r="N4734" s="174"/>
      <c r="O4734" s="174"/>
      <c r="P4734" s="174" t="str">
        <f ca="1">IF(Proc[[#This Row],[DaysAgeing]]&gt;5,"yep","on track")</f>
        <v>on track</v>
      </c>
      <c r="Q4734" s="3">
        <f ca="1">IF(Proc[[#This Row],[DateClosed]]="",ABS(NETWORKDAYS(Proc[[#This Row],[DateOpened]],TODAY()))-1,ABS(NETWORKDAYS(Proc[[#This Row],[DateOpened]],Proc[[#This Row],[DateClosed]]))-1)</f>
        <v>4</v>
      </c>
      <c r="R4734" s="174" t="s">
        <v>5709</v>
      </c>
      <c r="S4734" s="150"/>
    </row>
    <row r="4735" spans="1:19" hidden="1">
      <c r="A4735" s="149" t="s">
        <v>7039</v>
      </c>
      <c r="B4735" s="150" t="str">
        <f>IFERROR(VLOOKUP(Proc[[#This Row],[App]],Table2[],3,0),"open")</f>
        <v>ok</v>
      </c>
      <c r="C4735" s="149" t="s">
        <v>369</v>
      </c>
      <c r="D4735" t="s">
        <v>7090</v>
      </c>
      <c r="E4735" s="149" t="s">
        <v>7233</v>
      </c>
      <c r="F4735" s="150" t="s">
        <v>7233</v>
      </c>
      <c r="G4735" s="149" t="s">
        <v>406</v>
      </c>
      <c r="H4735" s="150" t="str">
        <f>IF(Proc[[#This Row],[type]]="LFF (MDG-F)",MID(Proc[[#This Row],[Obj]],13,10),"")</f>
        <v>KR07DB3310</v>
      </c>
      <c r="I4735" s="149" t="s">
        <v>7233</v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EL</v>
      </c>
      <c r="L4735" s="150" t="s">
        <v>6435</v>
      </c>
      <c r="M4735" s="173">
        <v>45989</v>
      </c>
      <c r="N4735" s="174"/>
      <c r="O4735" s="174"/>
      <c r="P4735" s="174" t="str">
        <f ca="1">IF(Proc[[#This Row],[DaysAgeing]]&gt;5,"yep","on track")</f>
        <v>on track</v>
      </c>
      <c r="Q4735" s="3">
        <f ca="1">IF(Proc[[#This Row],[DateClosed]]="",ABS(NETWORKDAYS(Proc[[#This Row],[DateOpened]],TODAY()))-1,ABS(NETWORKDAYS(Proc[[#This Row],[DateOpened]],Proc[[#This Row],[DateClosed]]))-1)</f>
        <v>4</v>
      </c>
      <c r="R4735" s="174" t="s">
        <v>5709</v>
      </c>
      <c r="S4735" s="150"/>
    </row>
    <row r="4736" spans="1:19" hidden="1">
      <c r="A4736" s="149" t="s">
        <v>7039</v>
      </c>
      <c r="B4736" s="150" t="str">
        <f>IFERROR(VLOOKUP(Proc[[#This Row],[App]],Table2[],3,0),"open")</f>
        <v>ok</v>
      </c>
      <c r="C4736" s="149" t="s">
        <v>369</v>
      </c>
      <c r="D4736" t="s">
        <v>7091</v>
      </c>
      <c r="E4736" s="149" t="s">
        <v>7234</v>
      </c>
      <c r="F4736" s="150" t="s">
        <v>7234</v>
      </c>
      <c r="G4736" s="149" t="s">
        <v>406</v>
      </c>
      <c r="H4736" s="150" t="str">
        <f>IF(Proc[[#This Row],[type]]="LFF (MDG-F)",MID(Proc[[#This Row],[Obj]],13,10),"")</f>
        <v>JP02TQAZ01</v>
      </c>
      <c r="I4736" s="149" t="s">
        <v>7234</v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EL</v>
      </c>
      <c r="L4736" s="150" t="s">
        <v>6435</v>
      </c>
      <c r="M4736" s="173">
        <v>45989</v>
      </c>
      <c r="N4736" s="174"/>
      <c r="O4736" s="174"/>
      <c r="P4736" s="174" t="str">
        <f ca="1">IF(Proc[[#This Row],[DaysAgeing]]&gt;5,"yep","on track")</f>
        <v>on track</v>
      </c>
      <c r="Q4736" s="3">
        <f ca="1">IF(Proc[[#This Row],[DateClosed]]="",ABS(NETWORKDAYS(Proc[[#This Row],[DateOpened]],TODAY()))-1,ABS(NETWORKDAYS(Proc[[#This Row],[DateOpened]],Proc[[#This Row],[DateClosed]]))-1)</f>
        <v>4</v>
      </c>
      <c r="R4736" s="174" t="s">
        <v>5709</v>
      </c>
      <c r="S4736" s="150"/>
    </row>
    <row r="4737" spans="1:19" hidden="1">
      <c r="A4737" s="149" t="s">
        <v>7039</v>
      </c>
      <c r="B4737" s="150" t="str">
        <f>IFERROR(VLOOKUP(Proc[[#This Row],[App]],Table2[],3,0),"open")</f>
        <v>ok</v>
      </c>
      <c r="C4737" s="149" t="s">
        <v>369</v>
      </c>
      <c r="D4737" t="s">
        <v>7092</v>
      </c>
      <c r="E4737" s="149" t="s">
        <v>7234</v>
      </c>
      <c r="F4737" s="150" t="s">
        <v>7234</v>
      </c>
      <c r="G4737" s="149" t="s">
        <v>406</v>
      </c>
      <c r="H4737" s="150" t="str">
        <f>IF(Proc[[#This Row],[type]]="LFF (MDG-F)",MID(Proc[[#This Row],[Obj]],13,10),"")</f>
        <v>JP02TQSZ01</v>
      </c>
      <c r="I4737" s="149" t="s">
        <v>7234</v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EL</v>
      </c>
      <c r="L4737" s="150" t="s">
        <v>6435</v>
      </c>
      <c r="M4737" s="173">
        <v>45989</v>
      </c>
      <c r="N4737" s="174"/>
      <c r="O4737" s="174"/>
      <c r="P4737" s="174" t="str">
        <f ca="1">IF(Proc[[#This Row],[DaysAgeing]]&gt;5,"yep","on track")</f>
        <v>on track</v>
      </c>
      <c r="Q4737" s="3">
        <f ca="1">IF(Proc[[#This Row],[DateClosed]]="",ABS(NETWORKDAYS(Proc[[#This Row],[DateOpened]],TODAY()))-1,ABS(NETWORKDAYS(Proc[[#This Row],[DateOpened]],Proc[[#This Row],[DateClosed]]))-1)</f>
        <v>4</v>
      </c>
      <c r="R4737" s="174" t="s">
        <v>5709</v>
      </c>
      <c r="S4737" s="150"/>
    </row>
    <row r="4738" spans="1:19" hidden="1">
      <c r="A4738" s="149" t="s">
        <v>7039</v>
      </c>
      <c r="B4738" s="150" t="str">
        <f>IFERROR(VLOOKUP(Proc[[#This Row],[App]],Table2[],3,0),"open")</f>
        <v>ok</v>
      </c>
      <c r="C4738" s="149" t="s">
        <v>369</v>
      </c>
      <c r="D4738" t="s">
        <v>7093</v>
      </c>
      <c r="E4738" s="149" t="s">
        <v>7234</v>
      </c>
      <c r="F4738" s="150" t="s">
        <v>7234</v>
      </c>
      <c r="G4738" s="149" t="s">
        <v>406</v>
      </c>
      <c r="H4738" s="150" t="str">
        <f>IF(Proc[[#This Row],[type]]="LFF (MDG-F)",MID(Proc[[#This Row],[Obj]],13,10),"")</f>
        <v>KR03TPPZ14</v>
      </c>
      <c r="I4738" s="149" t="s">
        <v>7234</v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EL</v>
      </c>
      <c r="L4738" s="150" t="s">
        <v>6435</v>
      </c>
      <c r="M4738" s="173">
        <v>45989</v>
      </c>
      <c r="N4738" s="174"/>
      <c r="O4738" s="174"/>
      <c r="P4738" s="174" t="str">
        <f ca="1">IF(Proc[[#This Row],[DaysAgeing]]&gt;5,"yep","on track")</f>
        <v>on track</v>
      </c>
      <c r="Q4738" s="3">
        <f ca="1">IF(Proc[[#This Row],[DateClosed]]="",ABS(NETWORKDAYS(Proc[[#This Row],[DateOpened]],TODAY()))-1,ABS(NETWORKDAYS(Proc[[#This Row],[DateOpened]],Proc[[#This Row],[DateClosed]]))-1)</f>
        <v>4</v>
      </c>
      <c r="R4738" s="174" t="s">
        <v>5709</v>
      </c>
      <c r="S4738" s="150"/>
    </row>
    <row r="4739" spans="1:19" hidden="1">
      <c r="A4739" s="149" t="s">
        <v>7039</v>
      </c>
      <c r="B4739" s="150" t="str">
        <f>IFERROR(VLOOKUP(Proc[[#This Row],[App]],Table2[],3,0),"open")</f>
        <v>ok</v>
      </c>
      <c r="C4739" s="149" t="s">
        <v>369</v>
      </c>
      <c r="D4739" t="s">
        <v>7094</v>
      </c>
      <c r="E4739" s="149" t="s">
        <v>7234</v>
      </c>
      <c r="F4739" s="150" t="s">
        <v>7234</v>
      </c>
      <c r="G4739" s="149" t="s">
        <v>406</v>
      </c>
      <c r="H4739" s="150" t="str">
        <f>IF(Proc[[#This Row],[type]]="LFF (MDG-F)",MID(Proc[[#This Row],[Obj]],13,10),"")</f>
        <v>KR07DB3306</v>
      </c>
      <c r="I4739" s="149" t="s">
        <v>7234</v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EL</v>
      </c>
      <c r="L4739" s="150" t="s">
        <v>6435</v>
      </c>
      <c r="M4739" s="173">
        <v>45989</v>
      </c>
      <c r="N4739" s="174"/>
      <c r="O4739" s="174"/>
      <c r="P4739" s="174" t="str">
        <f ca="1">IF(Proc[[#This Row],[DaysAgeing]]&gt;5,"yep","on track")</f>
        <v>on track</v>
      </c>
      <c r="Q4739" s="3">
        <f ca="1">IF(Proc[[#This Row],[DateClosed]]="",ABS(NETWORKDAYS(Proc[[#This Row],[DateOpened]],TODAY()))-1,ABS(NETWORKDAYS(Proc[[#This Row],[DateOpened]],Proc[[#This Row],[DateClosed]]))-1)</f>
        <v>4</v>
      </c>
      <c r="R4739" s="174" t="s">
        <v>5709</v>
      </c>
      <c r="S4739" s="150"/>
    </row>
    <row r="4740" spans="1:19" hidden="1">
      <c r="A4740" s="149" t="s">
        <v>7039</v>
      </c>
      <c r="B4740" s="150" t="str">
        <f>IFERROR(VLOOKUP(Proc[[#This Row],[App]],Table2[],3,0),"open")</f>
        <v>ok</v>
      </c>
      <c r="C4740" s="149" t="s">
        <v>369</v>
      </c>
      <c r="D4740" t="s">
        <v>7095</v>
      </c>
      <c r="E4740" s="149" t="s">
        <v>7234</v>
      </c>
      <c r="F4740" s="150" t="s">
        <v>7234</v>
      </c>
      <c r="G4740" s="149" t="s">
        <v>406</v>
      </c>
      <c r="H4740" s="150" t="str">
        <f>IF(Proc[[#This Row],[type]]="LFF (MDG-F)",MID(Proc[[#This Row],[Obj]],13,10),"")</f>
        <v>KR07DB3308</v>
      </c>
      <c r="I4740" s="149" t="s">
        <v>7234</v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EL</v>
      </c>
      <c r="L4740" s="150" t="s">
        <v>6435</v>
      </c>
      <c r="M4740" s="173">
        <v>45989</v>
      </c>
      <c r="N4740" s="174"/>
      <c r="O4740" s="174"/>
      <c r="P4740" s="174" t="str">
        <f ca="1">IF(Proc[[#This Row],[DaysAgeing]]&gt;5,"yep","on track")</f>
        <v>on track</v>
      </c>
      <c r="Q4740" s="3">
        <f ca="1">IF(Proc[[#This Row],[DateClosed]]="",ABS(NETWORKDAYS(Proc[[#This Row],[DateOpened]],TODAY()))-1,ABS(NETWORKDAYS(Proc[[#This Row],[DateOpened]],Proc[[#This Row],[DateClosed]]))-1)</f>
        <v>4</v>
      </c>
      <c r="R4740" s="174" t="s">
        <v>5709</v>
      </c>
      <c r="S4740" s="150"/>
    </row>
    <row r="4741" spans="1:19" hidden="1">
      <c r="A4741" s="149" t="s">
        <v>7039</v>
      </c>
      <c r="B4741" s="150" t="str">
        <f>IFERROR(VLOOKUP(Proc[[#This Row],[App]],Table2[],3,0),"open")</f>
        <v>ok</v>
      </c>
      <c r="C4741" s="149" t="s">
        <v>369</v>
      </c>
      <c r="D4741" t="s">
        <v>7096</v>
      </c>
      <c r="E4741" s="149" t="s">
        <v>7234</v>
      </c>
      <c r="F4741" s="150" t="s">
        <v>7234</v>
      </c>
      <c r="G4741" s="149" t="s">
        <v>406</v>
      </c>
      <c r="H4741" s="150" t="str">
        <f>IF(Proc[[#This Row],[type]]="LFF (MDG-F)",MID(Proc[[#This Row],[Obj]],13,10),"")</f>
        <v>KR15DB3301</v>
      </c>
      <c r="I4741" s="149" t="s">
        <v>7234</v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EL</v>
      </c>
      <c r="L4741" s="150" t="s">
        <v>6435</v>
      </c>
      <c r="M4741" s="173">
        <v>45989</v>
      </c>
      <c r="N4741" s="174"/>
      <c r="O4741" s="174"/>
      <c r="P4741" s="174" t="str">
        <f ca="1">IF(Proc[[#This Row],[DaysAgeing]]&gt;5,"yep","on track")</f>
        <v>on track</v>
      </c>
      <c r="Q4741" s="3">
        <f ca="1">IF(Proc[[#This Row],[DateClosed]]="",ABS(NETWORKDAYS(Proc[[#This Row],[DateOpened]],TODAY()))-1,ABS(NETWORKDAYS(Proc[[#This Row],[DateOpened]],Proc[[#This Row],[DateClosed]]))-1)</f>
        <v>4</v>
      </c>
      <c r="R4741" s="174" t="s">
        <v>5709</v>
      </c>
      <c r="S4741" s="150"/>
    </row>
    <row r="4742" spans="1:19" hidden="1">
      <c r="A4742" s="149" t="s">
        <v>7039</v>
      </c>
      <c r="B4742" s="150" t="str">
        <f>IFERROR(VLOOKUP(Proc[[#This Row],[App]],Table2[],3,0),"open")</f>
        <v>ok</v>
      </c>
      <c r="C4742" s="149" t="s">
        <v>369</v>
      </c>
      <c r="D4742" t="s">
        <v>7097</v>
      </c>
      <c r="E4742" s="149" t="s">
        <v>7234</v>
      </c>
      <c r="F4742" s="150" t="s">
        <v>7234</v>
      </c>
      <c r="G4742" s="149" t="s">
        <v>406</v>
      </c>
      <c r="H4742" s="150" t="str">
        <f>IF(Proc[[#This Row],[type]]="LFF (MDG-F)",MID(Proc[[#This Row],[Obj]],13,10),"")</f>
        <v>JP02TQ1001</v>
      </c>
      <c r="I4742" s="149" t="s">
        <v>7234</v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EL</v>
      </c>
      <c r="L4742" s="150" t="s">
        <v>6435</v>
      </c>
      <c r="M4742" s="173">
        <v>45989</v>
      </c>
      <c r="N4742" s="174"/>
      <c r="O4742" s="174"/>
      <c r="P4742" s="174" t="str">
        <f ca="1">IF(Proc[[#This Row],[DaysAgeing]]&gt;5,"yep","on track")</f>
        <v>on track</v>
      </c>
      <c r="Q4742" s="3">
        <f ca="1">IF(Proc[[#This Row],[DateClosed]]="",ABS(NETWORKDAYS(Proc[[#This Row],[DateOpened]],TODAY()))-1,ABS(NETWORKDAYS(Proc[[#This Row],[DateOpened]],Proc[[#This Row],[DateClosed]]))-1)</f>
        <v>4</v>
      </c>
      <c r="R4742" s="174" t="s">
        <v>5709</v>
      </c>
      <c r="S4742" s="150"/>
    </row>
    <row r="4743" spans="1:19" hidden="1">
      <c r="A4743" s="149" t="s">
        <v>7039</v>
      </c>
      <c r="B4743" s="150" t="str">
        <f>IFERROR(VLOOKUP(Proc[[#This Row],[App]],Table2[],3,0),"open")</f>
        <v>ok</v>
      </c>
      <c r="C4743" s="149" t="s">
        <v>369</v>
      </c>
      <c r="D4743" t="s">
        <v>7098</v>
      </c>
      <c r="E4743" s="149" t="s">
        <v>7234</v>
      </c>
      <c r="F4743" s="150" t="s">
        <v>7234</v>
      </c>
      <c r="G4743" s="149" t="s">
        <v>406</v>
      </c>
      <c r="H4743" s="150" t="str">
        <f>IF(Proc[[#This Row],[type]]="LFF (MDG-F)",MID(Proc[[#This Row],[Obj]],13,10),"")</f>
        <v>JP02TQ1002</v>
      </c>
      <c r="I4743" s="149" t="s">
        <v>7234</v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EL</v>
      </c>
      <c r="L4743" s="150" t="s">
        <v>6435</v>
      </c>
      <c r="M4743" s="173">
        <v>45989</v>
      </c>
      <c r="N4743" s="174"/>
      <c r="O4743" s="174"/>
      <c r="P4743" s="174" t="str">
        <f ca="1">IF(Proc[[#This Row],[DaysAgeing]]&gt;5,"yep","on track")</f>
        <v>on track</v>
      </c>
      <c r="Q4743" s="3">
        <f ca="1">IF(Proc[[#This Row],[DateClosed]]="",ABS(NETWORKDAYS(Proc[[#This Row],[DateOpened]],TODAY()))-1,ABS(NETWORKDAYS(Proc[[#This Row],[DateOpened]],Proc[[#This Row],[DateClosed]]))-1)</f>
        <v>4</v>
      </c>
      <c r="R4743" s="174" t="s">
        <v>5709</v>
      </c>
      <c r="S4743" s="150"/>
    </row>
    <row r="4744" spans="1:19" hidden="1">
      <c r="A4744" s="149" t="s">
        <v>7039</v>
      </c>
      <c r="B4744" s="150" t="str">
        <f>IFERROR(VLOOKUP(Proc[[#This Row],[App]],Table2[],3,0),"open")</f>
        <v>ok</v>
      </c>
      <c r="C4744" s="149" t="s">
        <v>369</v>
      </c>
      <c r="D4744" t="s">
        <v>7099</v>
      </c>
      <c r="E4744" s="149" t="s">
        <v>7234</v>
      </c>
      <c r="F4744" s="150" t="s">
        <v>7234</v>
      </c>
      <c r="G4744" s="149" t="s">
        <v>406</v>
      </c>
      <c r="H4744" s="150" t="str">
        <f>IF(Proc[[#This Row],[type]]="LFF (MDG-F)",MID(Proc[[#This Row],[Obj]],13,10),"")</f>
        <v>JP02TQ1003</v>
      </c>
      <c r="I4744" s="149" t="s">
        <v>7234</v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EL</v>
      </c>
      <c r="L4744" s="150" t="s">
        <v>6435</v>
      </c>
      <c r="M4744" s="173">
        <v>45989</v>
      </c>
      <c r="N4744" s="174"/>
      <c r="O4744" s="174"/>
      <c r="P4744" s="174" t="str">
        <f ca="1">IF(Proc[[#This Row],[DaysAgeing]]&gt;5,"yep","on track")</f>
        <v>on track</v>
      </c>
      <c r="Q4744" s="3">
        <f ca="1">IF(Proc[[#This Row],[DateClosed]]="",ABS(NETWORKDAYS(Proc[[#This Row],[DateOpened]],TODAY()))-1,ABS(NETWORKDAYS(Proc[[#This Row],[DateOpened]],Proc[[#This Row],[DateClosed]]))-1)</f>
        <v>4</v>
      </c>
      <c r="R4744" s="174" t="s">
        <v>5709</v>
      </c>
      <c r="S4744" s="150"/>
    </row>
    <row r="4745" spans="1:19" hidden="1">
      <c r="A4745" s="149" t="s">
        <v>7039</v>
      </c>
      <c r="B4745" s="150" t="str">
        <f>IFERROR(VLOOKUP(Proc[[#This Row],[App]],Table2[],3,0),"open")</f>
        <v>ok</v>
      </c>
      <c r="C4745" s="149" t="s">
        <v>369</v>
      </c>
      <c r="D4745" t="s">
        <v>7100</v>
      </c>
      <c r="E4745" s="149" t="s">
        <v>7234</v>
      </c>
      <c r="F4745" s="150" t="s">
        <v>7234</v>
      </c>
      <c r="G4745" s="149" t="s">
        <v>406</v>
      </c>
      <c r="H4745" s="150" t="str">
        <f>IF(Proc[[#This Row],[type]]="LFF (MDG-F)",MID(Proc[[#This Row],[Obj]],13,10),"")</f>
        <v>JP02TQ1004</v>
      </c>
      <c r="I4745" s="149" t="s">
        <v>7234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EL</v>
      </c>
      <c r="L4745" s="150" t="s">
        <v>6435</v>
      </c>
      <c r="M4745" s="173">
        <v>45989</v>
      </c>
      <c r="N4745" s="174"/>
      <c r="O4745" s="174"/>
      <c r="P4745" s="174" t="str">
        <f ca="1">IF(Proc[[#This Row],[DaysAgeing]]&gt;5,"yep","on track")</f>
        <v>on track</v>
      </c>
      <c r="Q4745" s="3">
        <f ca="1">IF(Proc[[#This Row],[DateClosed]]="",ABS(NETWORKDAYS(Proc[[#This Row],[DateOpened]],TODAY()))-1,ABS(NETWORKDAYS(Proc[[#This Row],[DateOpened]],Proc[[#This Row],[DateClosed]]))-1)</f>
        <v>4</v>
      </c>
      <c r="R4745" s="174" t="s">
        <v>5709</v>
      </c>
      <c r="S4745" s="150"/>
    </row>
    <row r="4746" spans="1:19" hidden="1">
      <c r="A4746" s="149" t="s">
        <v>7039</v>
      </c>
      <c r="B4746" s="150" t="str">
        <f>IFERROR(VLOOKUP(Proc[[#This Row],[App]],Table2[],3,0),"open")</f>
        <v>ok</v>
      </c>
      <c r="C4746" s="149" t="s">
        <v>369</v>
      </c>
      <c r="D4746" t="s">
        <v>7101</v>
      </c>
      <c r="E4746" s="149" t="s">
        <v>7234</v>
      </c>
      <c r="F4746" s="150" t="s">
        <v>7234</v>
      </c>
      <c r="G4746" s="149" t="s">
        <v>406</v>
      </c>
      <c r="H4746" s="150" t="str">
        <f>IF(Proc[[#This Row],[type]]="LFF (MDG-F)",MID(Proc[[#This Row],[Obj]],13,10),"")</f>
        <v>JP02TQ1005</v>
      </c>
      <c r="I4746" s="149" t="s">
        <v>7234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EL</v>
      </c>
      <c r="L4746" s="150" t="s">
        <v>6435</v>
      </c>
      <c r="M4746" s="173">
        <v>45989</v>
      </c>
      <c r="N4746" s="174"/>
      <c r="O4746" s="174"/>
      <c r="P4746" s="174" t="str">
        <f ca="1">IF(Proc[[#This Row],[DaysAgeing]]&gt;5,"yep","on track")</f>
        <v>on track</v>
      </c>
      <c r="Q4746" s="3">
        <f ca="1">IF(Proc[[#This Row],[DateClosed]]="",ABS(NETWORKDAYS(Proc[[#This Row],[DateOpened]],TODAY()))-1,ABS(NETWORKDAYS(Proc[[#This Row],[DateOpened]],Proc[[#This Row],[DateClosed]]))-1)</f>
        <v>4</v>
      </c>
      <c r="R4746" s="174" t="s">
        <v>5709</v>
      </c>
      <c r="S4746" s="150"/>
    </row>
    <row r="4747" spans="1:19" hidden="1">
      <c r="A4747" s="149" t="s">
        <v>7039</v>
      </c>
      <c r="B4747" s="150" t="str">
        <f>IFERROR(VLOOKUP(Proc[[#This Row],[App]],Table2[],3,0),"open")</f>
        <v>ok</v>
      </c>
      <c r="C4747" s="149" t="s">
        <v>369</v>
      </c>
      <c r="D4747" t="s">
        <v>7102</v>
      </c>
      <c r="E4747" s="149" t="s">
        <v>7234</v>
      </c>
      <c r="F4747" s="150" t="s">
        <v>7234</v>
      </c>
      <c r="G4747" s="149" t="s">
        <v>406</v>
      </c>
      <c r="H4747" s="150" t="str">
        <f>IF(Proc[[#This Row],[type]]="LFF (MDG-F)",MID(Proc[[#This Row],[Obj]],13,10),"")</f>
        <v>JP02TQ1006</v>
      </c>
      <c r="I4747" s="149" t="s">
        <v>7234</v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EL</v>
      </c>
      <c r="L4747" s="150" t="s">
        <v>6435</v>
      </c>
      <c r="M4747" s="173">
        <v>45989</v>
      </c>
      <c r="N4747" s="174"/>
      <c r="O4747" s="174"/>
      <c r="P4747" s="174" t="str">
        <f ca="1">IF(Proc[[#This Row],[DaysAgeing]]&gt;5,"yep","on track")</f>
        <v>on track</v>
      </c>
      <c r="Q4747" s="3">
        <f ca="1">IF(Proc[[#This Row],[DateClosed]]="",ABS(NETWORKDAYS(Proc[[#This Row],[DateOpened]],TODAY()))-1,ABS(NETWORKDAYS(Proc[[#This Row],[DateOpened]],Proc[[#This Row],[DateClosed]]))-1)</f>
        <v>4</v>
      </c>
      <c r="R4747" s="174" t="s">
        <v>5709</v>
      </c>
      <c r="S4747" s="150"/>
    </row>
    <row r="4748" spans="1:19" hidden="1">
      <c r="A4748" s="149" t="s">
        <v>7039</v>
      </c>
      <c r="B4748" s="150" t="str">
        <f>IFERROR(VLOOKUP(Proc[[#This Row],[App]],Table2[],3,0),"open")</f>
        <v>ok</v>
      </c>
      <c r="C4748" s="149" t="s">
        <v>369</v>
      </c>
      <c r="D4748" t="s">
        <v>7103</v>
      </c>
      <c r="E4748" s="149" t="s">
        <v>7234</v>
      </c>
      <c r="F4748" s="150" t="s">
        <v>7234</v>
      </c>
      <c r="G4748" s="149" t="s">
        <v>406</v>
      </c>
      <c r="H4748" s="150" t="str">
        <f>IF(Proc[[#This Row],[type]]="LFF (MDG-F)",MID(Proc[[#This Row],[Obj]],13,10),"")</f>
        <v>JP02TQ1007</v>
      </c>
      <c r="I4748" s="149" t="s">
        <v>7234</v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EL</v>
      </c>
      <c r="L4748" s="150" t="s">
        <v>6435</v>
      </c>
      <c r="M4748" s="173">
        <v>45989</v>
      </c>
      <c r="N4748" s="174"/>
      <c r="O4748" s="174"/>
      <c r="P4748" s="174" t="str">
        <f ca="1">IF(Proc[[#This Row],[DaysAgeing]]&gt;5,"yep","on track")</f>
        <v>on track</v>
      </c>
      <c r="Q4748" s="3">
        <f ca="1">IF(Proc[[#This Row],[DateClosed]]="",ABS(NETWORKDAYS(Proc[[#This Row],[DateOpened]],TODAY()))-1,ABS(NETWORKDAYS(Proc[[#This Row],[DateOpened]],Proc[[#This Row],[DateClosed]]))-1)</f>
        <v>4</v>
      </c>
      <c r="R4748" s="174" t="s">
        <v>5709</v>
      </c>
      <c r="S4748" s="150"/>
    </row>
    <row r="4749" spans="1:19" hidden="1">
      <c r="A4749" s="149" t="s">
        <v>7039</v>
      </c>
      <c r="B4749" s="150" t="str">
        <f>IFERROR(VLOOKUP(Proc[[#This Row],[App]],Table2[],3,0),"open")</f>
        <v>ok</v>
      </c>
      <c r="C4749" s="149" t="s">
        <v>369</v>
      </c>
      <c r="D4749" t="s">
        <v>7104</v>
      </c>
      <c r="E4749" s="149" t="s">
        <v>7234</v>
      </c>
      <c r="F4749" s="150" t="s">
        <v>7234</v>
      </c>
      <c r="G4749" s="149" t="s">
        <v>406</v>
      </c>
      <c r="H4749" s="150" t="str">
        <f>IF(Proc[[#This Row],[type]]="LFF (MDG-F)",MID(Proc[[#This Row],[Obj]],13,10),"")</f>
        <v>JP02TQ1008</v>
      </c>
      <c r="I4749" s="149" t="s">
        <v>7234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EL</v>
      </c>
      <c r="L4749" s="150" t="s">
        <v>6435</v>
      </c>
      <c r="M4749" s="173">
        <v>45989</v>
      </c>
      <c r="N4749" s="174"/>
      <c r="O4749" s="174"/>
      <c r="P4749" s="174" t="str">
        <f ca="1">IF(Proc[[#This Row],[DaysAgeing]]&gt;5,"yep","on track")</f>
        <v>on track</v>
      </c>
      <c r="Q4749" s="3">
        <f ca="1">IF(Proc[[#This Row],[DateClosed]]="",ABS(NETWORKDAYS(Proc[[#This Row],[DateOpened]],TODAY()))-1,ABS(NETWORKDAYS(Proc[[#This Row],[DateOpened]],Proc[[#This Row],[DateClosed]]))-1)</f>
        <v>4</v>
      </c>
      <c r="R4749" s="174" t="s">
        <v>5709</v>
      </c>
      <c r="S4749" s="150"/>
    </row>
    <row r="4750" spans="1:19" hidden="1">
      <c r="A4750" s="149" t="s">
        <v>7039</v>
      </c>
      <c r="B4750" s="150" t="str">
        <f>IFERROR(VLOOKUP(Proc[[#This Row],[App]],Table2[],3,0),"open")</f>
        <v>ok</v>
      </c>
      <c r="C4750" s="149" t="s">
        <v>369</v>
      </c>
      <c r="D4750" t="s">
        <v>7105</v>
      </c>
      <c r="E4750" s="149" t="s">
        <v>7234</v>
      </c>
      <c r="F4750" s="150" t="s">
        <v>7234</v>
      </c>
      <c r="G4750" s="149" t="s">
        <v>406</v>
      </c>
      <c r="H4750" s="150" t="str">
        <f>IF(Proc[[#This Row],[type]]="LFF (MDG-F)",MID(Proc[[#This Row],[Obj]],13,10),"")</f>
        <v>JP02TQ1009</v>
      </c>
      <c r="I4750" s="149" t="s">
        <v>7234</v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EL</v>
      </c>
      <c r="L4750" s="150" t="s">
        <v>6435</v>
      </c>
      <c r="M4750" s="173">
        <v>45989</v>
      </c>
      <c r="N4750" s="174"/>
      <c r="O4750" s="174"/>
      <c r="P4750" s="174" t="str">
        <f ca="1">IF(Proc[[#This Row],[DaysAgeing]]&gt;5,"yep","on track")</f>
        <v>on track</v>
      </c>
      <c r="Q4750" s="3">
        <f ca="1">IF(Proc[[#This Row],[DateClosed]]="",ABS(NETWORKDAYS(Proc[[#This Row],[DateOpened]],TODAY()))-1,ABS(NETWORKDAYS(Proc[[#This Row],[DateOpened]],Proc[[#This Row],[DateClosed]]))-1)</f>
        <v>4</v>
      </c>
      <c r="R4750" s="174" t="s">
        <v>5709</v>
      </c>
      <c r="S4750" s="150"/>
    </row>
    <row r="4751" spans="1:19" hidden="1">
      <c r="A4751" s="149" t="s">
        <v>7039</v>
      </c>
      <c r="B4751" s="150" t="str">
        <f>IFERROR(VLOOKUP(Proc[[#This Row],[App]],Table2[],3,0),"open")</f>
        <v>ok</v>
      </c>
      <c r="C4751" s="149" t="s">
        <v>369</v>
      </c>
      <c r="D4751" t="s">
        <v>7106</v>
      </c>
      <c r="E4751" s="149" t="s">
        <v>7234</v>
      </c>
      <c r="F4751" s="150" t="s">
        <v>7234</v>
      </c>
      <c r="G4751" s="149" t="s">
        <v>406</v>
      </c>
      <c r="H4751" s="150" t="str">
        <f>IF(Proc[[#This Row],[type]]="LFF (MDG-F)",MID(Proc[[#This Row],[Obj]],13,10),"")</f>
        <v>JP02TQ1010</v>
      </c>
      <c r="I4751" s="149" t="s">
        <v>7234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EL</v>
      </c>
      <c r="L4751" s="150" t="s">
        <v>6435</v>
      </c>
      <c r="M4751" s="173">
        <v>45989</v>
      </c>
      <c r="N4751" s="174"/>
      <c r="O4751" s="174"/>
      <c r="P4751" s="174" t="str">
        <f ca="1">IF(Proc[[#This Row],[DaysAgeing]]&gt;5,"yep","on track")</f>
        <v>on track</v>
      </c>
      <c r="Q4751" s="3">
        <f ca="1">IF(Proc[[#This Row],[DateClosed]]="",ABS(NETWORKDAYS(Proc[[#This Row],[DateOpened]],TODAY()))-1,ABS(NETWORKDAYS(Proc[[#This Row],[DateOpened]],Proc[[#This Row],[DateClosed]]))-1)</f>
        <v>4</v>
      </c>
      <c r="R4751" s="174" t="s">
        <v>5709</v>
      </c>
      <c r="S4751" s="150"/>
    </row>
    <row r="4752" spans="1:19" hidden="1">
      <c r="A4752" s="149" t="s">
        <v>7039</v>
      </c>
      <c r="B4752" s="150" t="str">
        <f>IFERROR(VLOOKUP(Proc[[#This Row],[App]],Table2[],3,0),"open")</f>
        <v>ok</v>
      </c>
      <c r="C4752" s="149" t="s">
        <v>369</v>
      </c>
      <c r="D4752" t="s">
        <v>7107</v>
      </c>
      <c r="E4752" s="149" t="s">
        <v>7234</v>
      </c>
      <c r="F4752" s="150" t="s">
        <v>7234</v>
      </c>
      <c r="G4752" s="149" t="s">
        <v>406</v>
      </c>
      <c r="H4752" s="150" t="str">
        <f>IF(Proc[[#This Row],[type]]="LFF (MDG-F)",MID(Proc[[#This Row],[Obj]],13,10),"")</f>
        <v>JP02TQ1011</v>
      </c>
      <c r="I4752" s="149" t="s">
        <v>7234</v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EL</v>
      </c>
      <c r="L4752" s="150" t="s">
        <v>6435</v>
      </c>
      <c r="M4752" s="173">
        <v>45989</v>
      </c>
      <c r="N4752" s="174"/>
      <c r="O4752" s="174"/>
      <c r="P4752" s="174" t="str">
        <f ca="1">IF(Proc[[#This Row],[DaysAgeing]]&gt;5,"yep","on track")</f>
        <v>on track</v>
      </c>
      <c r="Q4752" s="3">
        <f ca="1">IF(Proc[[#This Row],[DateClosed]]="",ABS(NETWORKDAYS(Proc[[#This Row],[DateOpened]],TODAY()))-1,ABS(NETWORKDAYS(Proc[[#This Row],[DateOpened]],Proc[[#This Row],[DateClosed]]))-1)</f>
        <v>4</v>
      </c>
      <c r="R4752" s="174" t="s">
        <v>5709</v>
      </c>
      <c r="S4752" s="150"/>
    </row>
    <row r="4753" spans="1:19" hidden="1">
      <c r="A4753" s="149" t="s">
        <v>7039</v>
      </c>
      <c r="B4753" s="150" t="str">
        <f>IFERROR(VLOOKUP(Proc[[#This Row],[App]],Table2[],3,0),"open")</f>
        <v>ok</v>
      </c>
      <c r="C4753" s="149" t="s">
        <v>369</v>
      </c>
      <c r="D4753" t="s">
        <v>7108</v>
      </c>
      <c r="E4753" s="149" t="s">
        <v>7234</v>
      </c>
      <c r="F4753" s="150" t="s">
        <v>7234</v>
      </c>
      <c r="G4753" s="149" t="s">
        <v>406</v>
      </c>
      <c r="H4753" s="150" t="str">
        <f>IF(Proc[[#This Row],[type]]="LFF (MDG-F)",MID(Proc[[#This Row],[Obj]],13,10),"")</f>
        <v>JP02TQ1012</v>
      </c>
      <c r="I4753" s="149" t="s">
        <v>7234</v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EL</v>
      </c>
      <c r="L4753" s="150" t="s">
        <v>6435</v>
      </c>
      <c r="M4753" s="173">
        <v>45989</v>
      </c>
      <c r="N4753" s="174"/>
      <c r="O4753" s="174"/>
      <c r="P4753" s="174" t="str">
        <f ca="1">IF(Proc[[#This Row],[DaysAgeing]]&gt;5,"yep","on track")</f>
        <v>on track</v>
      </c>
      <c r="Q4753" s="3">
        <f ca="1">IF(Proc[[#This Row],[DateClosed]]="",ABS(NETWORKDAYS(Proc[[#This Row],[DateOpened]],TODAY()))-1,ABS(NETWORKDAYS(Proc[[#This Row],[DateOpened]],Proc[[#This Row],[DateClosed]]))-1)</f>
        <v>4</v>
      </c>
      <c r="R4753" s="174" t="s">
        <v>5709</v>
      </c>
      <c r="S4753" s="150"/>
    </row>
    <row r="4754" spans="1:19" hidden="1">
      <c r="A4754" s="149" t="s">
        <v>7039</v>
      </c>
      <c r="B4754" s="150" t="str">
        <f>IFERROR(VLOOKUP(Proc[[#This Row],[App]],Table2[],3,0),"open")</f>
        <v>ok</v>
      </c>
      <c r="C4754" s="149" t="s">
        <v>369</v>
      </c>
      <c r="D4754" t="s">
        <v>7109</v>
      </c>
      <c r="E4754" s="149" t="s">
        <v>7234</v>
      </c>
      <c r="F4754" s="150" t="s">
        <v>7234</v>
      </c>
      <c r="G4754" s="149" t="s">
        <v>406</v>
      </c>
      <c r="H4754" s="150" t="str">
        <f>IF(Proc[[#This Row],[type]]="LFF (MDG-F)",MID(Proc[[#This Row],[Obj]],13,10),"")</f>
        <v>JP02TQ1013</v>
      </c>
      <c r="I4754" s="149" t="s">
        <v>7234</v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EL</v>
      </c>
      <c r="L4754" s="150" t="s">
        <v>6435</v>
      </c>
      <c r="M4754" s="173">
        <v>45989</v>
      </c>
      <c r="N4754" s="174"/>
      <c r="O4754" s="174"/>
      <c r="P4754" s="174" t="str">
        <f ca="1">IF(Proc[[#This Row],[DaysAgeing]]&gt;5,"yep","on track")</f>
        <v>on track</v>
      </c>
      <c r="Q4754" s="3">
        <f ca="1">IF(Proc[[#This Row],[DateClosed]]="",ABS(NETWORKDAYS(Proc[[#This Row],[DateOpened]],TODAY()))-1,ABS(NETWORKDAYS(Proc[[#This Row],[DateOpened]],Proc[[#This Row],[DateClosed]]))-1)</f>
        <v>4</v>
      </c>
      <c r="R4754" s="174" t="s">
        <v>5709</v>
      </c>
      <c r="S4754" s="150"/>
    </row>
    <row r="4755" spans="1:19" hidden="1">
      <c r="A4755" s="149" t="s">
        <v>7039</v>
      </c>
      <c r="B4755" s="150" t="str">
        <f>IFERROR(VLOOKUP(Proc[[#This Row],[App]],Table2[],3,0),"open")</f>
        <v>ok</v>
      </c>
      <c r="C4755" s="149" t="s">
        <v>369</v>
      </c>
      <c r="D4755" t="s">
        <v>7110</v>
      </c>
      <c r="E4755" s="149" t="s">
        <v>7234</v>
      </c>
      <c r="F4755" s="150" t="s">
        <v>7234</v>
      </c>
      <c r="G4755" s="149" t="s">
        <v>406</v>
      </c>
      <c r="H4755" s="150" t="str">
        <f>IF(Proc[[#This Row],[type]]="LFF (MDG-F)",MID(Proc[[#This Row],[Obj]],13,10),"")</f>
        <v>JP02TQ1014</v>
      </c>
      <c r="I4755" s="149" t="s">
        <v>7234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3">
        <v>45989</v>
      </c>
      <c r="N4755" s="174"/>
      <c r="O4755" s="174"/>
      <c r="P4755" s="174" t="str">
        <f ca="1">IF(Proc[[#This Row],[DaysAgeing]]&gt;5,"yep","on track")</f>
        <v>on track</v>
      </c>
      <c r="Q4755" s="3">
        <f ca="1">IF(Proc[[#This Row],[DateClosed]]="",ABS(NETWORKDAYS(Proc[[#This Row],[DateOpened]],TODAY()))-1,ABS(NETWORKDAYS(Proc[[#This Row],[DateOpened]],Proc[[#This Row],[DateClosed]]))-1)</f>
        <v>4</v>
      </c>
      <c r="R4755" s="174" t="s">
        <v>5709</v>
      </c>
      <c r="S4755" s="150"/>
    </row>
    <row r="4756" spans="1:19" hidden="1">
      <c r="A4756" s="149" t="s">
        <v>7039</v>
      </c>
      <c r="B4756" s="150" t="str">
        <f>IFERROR(VLOOKUP(Proc[[#This Row],[App]],Table2[],3,0),"open")</f>
        <v>ok</v>
      </c>
      <c r="C4756" s="149" t="s">
        <v>369</v>
      </c>
      <c r="D4756" t="s">
        <v>7111</v>
      </c>
      <c r="E4756" s="149" t="s">
        <v>7234</v>
      </c>
      <c r="F4756" s="150" t="s">
        <v>7234</v>
      </c>
      <c r="G4756" s="149" t="s">
        <v>406</v>
      </c>
      <c r="H4756" s="150" t="str">
        <f>IF(Proc[[#This Row],[type]]="LFF (MDG-F)",MID(Proc[[#This Row],[Obj]],13,10),"")</f>
        <v>KR02TQ1000</v>
      </c>
      <c r="I4756" s="149" t="s">
        <v>7234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3">
        <v>45989</v>
      </c>
      <c r="N4756" s="174"/>
      <c r="O4756" s="174"/>
      <c r="P4756" s="174" t="str">
        <f ca="1">IF(Proc[[#This Row],[DaysAgeing]]&gt;5,"yep","on track")</f>
        <v>on track</v>
      </c>
      <c r="Q4756" s="3">
        <f ca="1">IF(Proc[[#This Row],[DateClosed]]="",ABS(NETWORKDAYS(Proc[[#This Row],[DateOpened]],TODAY()))-1,ABS(NETWORKDAYS(Proc[[#This Row],[DateOpened]],Proc[[#This Row],[DateClosed]]))-1)</f>
        <v>4</v>
      </c>
      <c r="R4756" s="174" t="s">
        <v>5709</v>
      </c>
      <c r="S4756" s="150"/>
    </row>
    <row r="4757" spans="1:19" hidden="1">
      <c r="A4757" s="149" t="s">
        <v>7039</v>
      </c>
      <c r="B4757" s="150" t="str">
        <f>IFERROR(VLOOKUP(Proc[[#This Row],[App]],Table2[],3,0),"open")</f>
        <v>ok</v>
      </c>
      <c r="C4757" s="149" t="s">
        <v>369</v>
      </c>
      <c r="D4757" t="s">
        <v>7112</v>
      </c>
      <c r="E4757" s="149" t="s">
        <v>7234</v>
      </c>
      <c r="F4757" s="150" t="s">
        <v>7234</v>
      </c>
      <c r="G4757" s="149" t="s">
        <v>406</v>
      </c>
      <c r="H4757" s="150" t="str">
        <f>IF(Proc[[#This Row],[type]]="LFF (MDG-F)",MID(Proc[[#This Row],[Obj]],13,10),"")</f>
        <v>KR03TQ1011</v>
      </c>
      <c r="I4757" s="149" t="s">
        <v>7234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3">
        <v>45989</v>
      </c>
      <c r="N4757" s="174"/>
      <c r="O4757" s="174"/>
      <c r="P4757" s="174" t="str">
        <f ca="1">IF(Proc[[#This Row],[DaysAgeing]]&gt;5,"yep","on track")</f>
        <v>on track</v>
      </c>
      <c r="Q4757" s="3">
        <f ca="1">IF(Proc[[#This Row],[DateClosed]]="",ABS(NETWORKDAYS(Proc[[#This Row],[DateOpened]],TODAY()))-1,ABS(NETWORKDAYS(Proc[[#This Row],[DateOpened]],Proc[[#This Row],[DateClosed]]))-1)</f>
        <v>4</v>
      </c>
      <c r="R4757" s="174" t="s">
        <v>5709</v>
      </c>
      <c r="S4757" s="150"/>
    </row>
    <row r="4758" spans="1:19" hidden="1">
      <c r="A4758" s="149" t="s">
        <v>7039</v>
      </c>
      <c r="B4758" s="150" t="str">
        <f>IFERROR(VLOOKUP(Proc[[#This Row],[App]],Table2[],3,0),"open")</f>
        <v>ok</v>
      </c>
      <c r="C4758" s="149" t="s">
        <v>369</v>
      </c>
      <c r="D4758" t="s">
        <v>7113</v>
      </c>
      <c r="E4758" s="149" t="s">
        <v>7234</v>
      </c>
      <c r="F4758" s="150" t="s">
        <v>7234</v>
      </c>
      <c r="G4758" s="149" t="s">
        <v>406</v>
      </c>
      <c r="H4758" s="150" t="str">
        <f>IF(Proc[[#This Row],[type]]="LFF (MDG-F)",MID(Proc[[#This Row],[Obj]],13,10),"")</f>
        <v>KR03TQ1012</v>
      </c>
      <c r="I4758" s="149" t="s">
        <v>7234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3">
        <v>45989</v>
      </c>
      <c r="N4758" s="174"/>
      <c r="O4758" s="174"/>
      <c r="P4758" s="174" t="str">
        <f ca="1">IF(Proc[[#This Row],[DaysAgeing]]&gt;5,"yep","on track")</f>
        <v>on track</v>
      </c>
      <c r="Q4758" s="3">
        <f ca="1">IF(Proc[[#This Row],[DateClosed]]="",ABS(NETWORKDAYS(Proc[[#This Row],[DateOpened]],TODAY()))-1,ABS(NETWORKDAYS(Proc[[#This Row],[DateOpened]],Proc[[#This Row],[DateClosed]]))-1)</f>
        <v>4</v>
      </c>
      <c r="R4758" s="174" t="s">
        <v>5709</v>
      </c>
      <c r="S4758" s="150"/>
    </row>
    <row r="4759" spans="1:19" hidden="1">
      <c r="A4759" s="149" t="s">
        <v>7039</v>
      </c>
      <c r="B4759" s="150" t="str">
        <f>IFERROR(VLOOKUP(Proc[[#This Row],[App]],Table2[],3,0),"open")</f>
        <v>ok</v>
      </c>
      <c r="C4759" s="149" t="s">
        <v>369</v>
      </c>
      <c r="D4759" t="s">
        <v>7114</v>
      </c>
      <c r="E4759" s="149" t="s">
        <v>7234</v>
      </c>
      <c r="F4759" s="150" t="s">
        <v>7234</v>
      </c>
      <c r="G4759" s="149" t="s">
        <v>406</v>
      </c>
      <c r="H4759" s="150" t="str">
        <f>IF(Proc[[#This Row],[type]]="LFF (MDG-F)",MID(Proc[[#This Row],[Obj]],13,10),"")</f>
        <v>KR07TQ1001</v>
      </c>
      <c r="I4759" s="149" t="s">
        <v>7234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3">
        <v>45989</v>
      </c>
      <c r="N4759" s="174"/>
      <c r="O4759" s="174"/>
      <c r="P4759" s="174" t="str">
        <f ca="1">IF(Proc[[#This Row],[DaysAgeing]]&gt;5,"yep","on track")</f>
        <v>on track</v>
      </c>
      <c r="Q4759" s="3">
        <f ca="1">IF(Proc[[#This Row],[DateClosed]]="",ABS(NETWORKDAYS(Proc[[#This Row],[DateOpened]],TODAY()))-1,ABS(NETWORKDAYS(Proc[[#This Row],[DateOpened]],Proc[[#This Row],[DateClosed]]))-1)</f>
        <v>4</v>
      </c>
      <c r="R4759" s="174" t="s">
        <v>5709</v>
      </c>
      <c r="S4759" s="150"/>
    </row>
    <row r="4760" spans="1:19" hidden="1">
      <c r="A4760" s="149" t="s">
        <v>7039</v>
      </c>
      <c r="B4760" s="150" t="str">
        <f>IFERROR(VLOOKUP(Proc[[#This Row],[App]],Table2[],3,0),"open")</f>
        <v>ok</v>
      </c>
      <c r="C4760" s="149" t="s">
        <v>369</v>
      </c>
      <c r="D4760" t="s">
        <v>7115</v>
      </c>
      <c r="E4760" s="149" t="s">
        <v>7234</v>
      </c>
      <c r="F4760" s="150" t="s">
        <v>7234</v>
      </c>
      <c r="G4760" s="149" t="s">
        <v>406</v>
      </c>
      <c r="H4760" s="150" t="str">
        <f>IF(Proc[[#This Row],[type]]="LFF (MDG-F)",MID(Proc[[#This Row],[Obj]],13,10),"")</f>
        <v>KR07TQ1002</v>
      </c>
      <c r="I4760" s="149" t="s">
        <v>7234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3">
        <v>45989</v>
      </c>
      <c r="N4760" s="174"/>
      <c r="O4760" s="174"/>
      <c r="P4760" s="174" t="str">
        <f ca="1">IF(Proc[[#This Row],[DaysAgeing]]&gt;5,"yep","on track")</f>
        <v>on track</v>
      </c>
      <c r="Q4760" s="3">
        <f ca="1">IF(Proc[[#This Row],[DateClosed]]="",ABS(NETWORKDAYS(Proc[[#This Row],[DateOpened]],TODAY()))-1,ABS(NETWORKDAYS(Proc[[#This Row],[DateOpened]],Proc[[#This Row],[DateClosed]]))-1)</f>
        <v>4</v>
      </c>
      <c r="R4760" s="174" t="s">
        <v>5709</v>
      </c>
      <c r="S4760" s="150"/>
    </row>
    <row r="4761" spans="1:19" hidden="1">
      <c r="A4761" s="149" t="s">
        <v>7039</v>
      </c>
      <c r="B4761" s="150" t="str">
        <f>IFERROR(VLOOKUP(Proc[[#This Row],[App]],Table2[],3,0),"open")</f>
        <v>ok</v>
      </c>
      <c r="C4761" s="149" t="s">
        <v>369</v>
      </c>
      <c r="D4761" t="s">
        <v>7116</v>
      </c>
      <c r="E4761" s="149" t="s">
        <v>7234</v>
      </c>
      <c r="F4761" s="150" t="s">
        <v>7234</v>
      </c>
      <c r="G4761" s="149" t="s">
        <v>406</v>
      </c>
      <c r="H4761" s="150" t="str">
        <f>IF(Proc[[#This Row],[type]]="LFF (MDG-F)",MID(Proc[[#This Row],[Obj]],13,10),"")</f>
        <v>KR07TQ1003</v>
      </c>
      <c r="I4761" s="149" t="s">
        <v>7234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3">
        <v>45989</v>
      </c>
      <c r="N4761" s="174"/>
      <c r="O4761" s="174"/>
      <c r="P4761" s="174" t="str">
        <f ca="1">IF(Proc[[#This Row],[DaysAgeing]]&gt;5,"yep","on track")</f>
        <v>on track</v>
      </c>
      <c r="Q4761" s="3">
        <f ca="1">IF(Proc[[#This Row],[DateClosed]]="",ABS(NETWORKDAYS(Proc[[#This Row],[DateOpened]],TODAY()))-1,ABS(NETWORKDAYS(Proc[[#This Row],[DateOpened]],Proc[[#This Row],[DateClosed]]))-1)</f>
        <v>4</v>
      </c>
      <c r="R4761" s="174" t="s">
        <v>5709</v>
      </c>
      <c r="S4761" s="150"/>
    </row>
    <row r="4762" spans="1:19" hidden="1">
      <c r="A4762" s="149" t="s">
        <v>7039</v>
      </c>
      <c r="B4762" s="150" t="str">
        <f>IFERROR(VLOOKUP(Proc[[#This Row],[App]],Table2[],3,0),"open")</f>
        <v>ok</v>
      </c>
      <c r="C4762" s="149" t="s">
        <v>369</v>
      </c>
      <c r="D4762" t="s">
        <v>7117</v>
      </c>
      <c r="E4762" s="149" t="s">
        <v>7234</v>
      </c>
      <c r="F4762" s="150" t="s">
        <v>7234</v>
      </c>
      <c r="G4762" s="149" t="s">
        <v>406</v>
      </c>
      <c r="H4762" s="150" t="str">
        <f>IF(Proc[[#This Row],[type]]="LFF (MDG-F)",MID(Proc[[#This Row],[Obj]],13,10),"")</f>
        <v>KR07TQ1004</v>
      </c>
      <c r="I4762" s="149" t="s">
        <v>7234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3">
        <v>45989</v>
      </c>
      <c r="N4762" s="174"/>
      <c r="O4762" s="174"/>
      <c r="P4762" s="174" t="str">
        <f ca="1">IF(Proc[[#This Row],[DaysAgeing]]&gt;5,"yep","on track")</f>
        <v>on track</v>
      </c>
      <c r="Q4762" s="3">
        <f ca="1">IF(Proc[[#This Row],[DateClosed]]="",ABS(NETWORKDAYS(Proc[[#This Row],[DateOpened]],TODAY()))-1,ABS(NETWORKDAYS(Proc[[#This Row],[DateOpened]],Proc[[#This Row],[DateClosed]]))-1)</f>
        <v>4</v>
      </c>
      <c r="R4762" s="174" t="s">
        <v>5709</v>
      </c>
      <c r="S4762" s="150"/>
    </row>
    <row r="4763" spans="1:19" hidden="1">
      <c r="A4763" s="149" t="s">
        <v>7039</v>
      </c>
      <c r="B4763" s="150" t="str">
        <f>IFERROR(VLOOKUP(Proc[[#This Row],[App]],Table2[],3,0),"open")</f>
        <v>ok</v>
      </c>
      <c r="C4763" s="149" t="s">
        <v>369</v>
      </c>
      <c r="D4763" t="s">
        <v>7118</v>
      </c>
      <c r="E4763" s="149" t="s">
        <v>7234</v>
      </c>
      <c r="F4763" s="150" t="s">
        <v>7234</v>
      </c>
      <c r="G4763" s="149" t="s">
        <v>406</v>
      </c>
      <c r="H4763" s="150" t="str">
        <f>IF(Proc[[#This Row],[type]]="LFF (MDG-F)",MID(Proc[[#This Row],[Obj]],13,10),"")</f>
        <v>KR07TQ1005</v>
      </c>
      <c r="I4763" s="149" t="s">
        <v>7234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3">
        <v>45989</v>
      </c>
      <c r="N4763" s="174"/>
      <c r="O4763" s="174"/>
      <c r="P4763" s="174" t="str">
        <f ca="1">IF(Proc[[#This Row],[DaysAgeing]]&gt;5,"yep","on track")</f>
        <v>on track</v>
      </c>
      <c r="Q4763" s="3">
        <f ca="1">IF(Proc[[#This Row],[DateClosed]]="",ABS(NETWORKDAYS(Proc[[#This Row],[DateOpened]],TODAY()))-1,ABS(NETWORKDAYS(Proc[[#This Row],[DateOpened]],Proc[[#This Row],[DateClosed]]))-1)</f>
        <v>4</v>
      </c>
      <c r="R4763" s="174" t="s">
        <v>5709</v>
      </c>
      <c r="S4763" s="150"/>
    </row>
    <row r="4764" spans="1:19" hidden="1">
      <c r="A4764" s="149" t="s">
        <v>7039</v>
      </c>
      <c r="B4764" s="150" t="str">
        <f>IFERROR(VLOOKUP(Proc[[#This Row],[App]],Table2[],3,0),"open")</f>
        <v>ok</v>
      </c>
      <c r="C4764" s="149" t="s">
        <v>369</v>
      </c>
      <c r="D4764" t="s">
        <v>7119</v>
      </c>
      <c r="E4764" s="149" t="s">
        <v>7234</v>
      </c>
      <c r="F4764" s="150" t="s">
        <v>7234</v>
      </c>
      <c r="G4764" s="149" t="s">
        <v>406</v>
      </c>
      <c r="H4764" s="150" t="str">
        <f>IF(Proc[[#This Row],[type]]="LFF (MDG-F)",MID(Proc[[#This Row],[Obj]],13,10),"")</f>
        <v>KR07TQ1006</v>
      </c>
      <c r="I4764" s="149" t="s">
        <v>7234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3">
        <v>45989</v>
      </c>
      <c r="N4764" s="174"/>
      <c r="O4764" s="174"/>
      <c r="P4764" s="174" t="str">
        <f ca="1">IF(Proc[[#This Row],[DaysAgeing]]&gt;5,"yep","on track")</f>
        <v>on track</v>
      </c>
      <c r="Q4764" s="3">
        <f ca="1">IF(Proc[[#This Row],[DateClosed]]="",ABS(NETWORKDAYS(Proc[[#This Row],[DateOpened]],TODAY()))-1,ABS(NETWORKDAYS(Proc[[#This Row],[DateOpened]],Proc[[#This Row],[DateClosed]]))-1)</f>
        <v>4</v>
      </c>
      <c r="R4764" s="174" t="s">
        <v>5709</v>
      </c>
      <c r="S4764" s="150"/>
    </row>
    <row r="4765" spans="1:19" hidden="1">
      <c r="A4765" s="149" t="s">
        <v>7039</v>
      </c>
      <c r="B4765" s="150" t="str">
        <f>IFERROR(VLOOKUP(Proc[[#This Row],[App]],Table2[],3,0),"open")</f>
        <v>ok</v>
      </c>
      <c r="C4765" s="149" t="s">
        <v>369</v>
      </c>
      <c r="D4765" t="s">
        <v>7120</v>
      </c>
      <c r="E4765" s="149" t="s">
        <v>7234</v>
      </c>
      <c r="F4765" s="150" t="s">
        <v>7234</v>
      </c>
      <c r="G4765" s="149" t="s">
        <v>406</v>
      </c>
      <c r="H4765" s="150" t="str">
        <f>IF(Proc[[#This Row],[type]]="LFF (MDG-F)",MID(Proc[[#This Row],[Obj]],13,10),"")</f>
        <v>KR11TQ1001</v>
      </c>
      <c r="I4765" s="149" t="s">
        <v>7234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3">
        <v>45989</v>
      </c>
      <c r="N4765" s="174"/>
      <c r="O4765" s="174"/>
      <c r="P4765" s="174" t="str">
        <f ca="1">IF(Proc[[#This Row],[DaysAgeing]]&gt;5,"yep","on track")</f>
        <v>on track</v>
      </c>
      <c r="Q4765" s="3">
        <f ca="1">IF(Proc[[#This Row],[DateClosed]]="",ABS(NETWORKDAYS(Proc[[#This Row],[DateOpened]],TODAY()))-1,ABS(NETWORKDAYS(Proc[[#This Row],[DateOpened]],Proc[[#This Row],[DateClosed]]))-1)</f>
        <v>4</v>
      </c>
      <c r="R4765" s="174" t="s">
        <v>5709</v>
      </c>
      <c r="S4765" s="150"/>
    </row>
    <row r="4766" spans="1:19" hidden="1">
      <c r="A4766" s="149" t="s">
        <v>7039</v>
      </c>
      <c r="B4766" s="150" t="str">
        <f>IFERROR(VLOOKUP(Proc[[#This Row],[App]],Table2[],3,0),"open")</f>
        <v>ok</v>
      </c>
      <c r="C4766" s="149" t="s">
        <v>369</v>
      </c>
      <c r="D4766" t="s">
        <v>7121</v>
      </c>
      <c r="E4766" s="149" t="s">
        <v>7234</v>
      </c>
      <c r="F4766" s="150" t="s">
        <v>7234</v>
      </c>
      <c r="G4766" s="149" t="s">
        <v>406</v>
      </c>
      <c r="H4766" s="150" t="str">
        <f>IF(Proc[[#This Row],[type]]="LFF (MDG-F)",MID(Proc[[#This Row],[Obj]],13,10),"")</f>
        <v>KR11TQ1002</v>
      </c>
      <c r="I4766" s="149" t="s">
        <v>7234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3">
        <v>45989</v>
      </c>
      <c r="N4766" s="174"/>
      <c r="O4766" s="174"/>
      <c r="P4766" s="174" t="str">
        <f ca="1">IF(Proc[[#This Row],[DaysAgeing]]&gt;5,"yep","on track")</f>
        <v>on track</v>
      </c>
      <c r="Q4766" s="3">
        <f ca="1">IF(Proc[[#This Row],[DateClosed]]="",ABS(NETWORKDAYS(Proc[[#This Row],[DateOpened]],TODAY()))-1,ABS(NETWORKDAYS(Proc[[#This Row],[DateOpened]],Proc[[#This Row],[DateClosed]]))-1)</f>
        <v>4</v>
      </c>
      <c r="R4766" s="174" t="s">
        <v>5709</v>
      </c>
      <c r="S4766" s="150"/>
    </row>
    <row r="4767" spans="1:19" hidden="1">
      <c r="A4767" s="149" t="s">
        <v>7039</v>
      </c>
      <c r="B4767" s="150" t="str">
        <f>IFERROR(VLOOKUP(Proc[[#This Row],[App]],Table2[],3,0),"open")</f>
        <v>ok</v>
      </c>
      <c r="C4767" s="149" t="s">
        <v>369</v>
      </c>
      <c r="D4767" t="s">
        <v>7122</v>
      </c>
      <c r="E4767" s="149" t="s">
        <v>7234</v>
      </c>
      <c r="F4767" s="150" t="s">
        <v>7234</v>
      </c>
      <c r="G4767" s="149" t="s">
        <v>406</v>
      </c>
      <c r="H4767" s="150" t="str">
        <f>IF(Proc[[#This Row],[type]]="LFF (MDG-F)",MID(Proc[[#This Row],[Obj]],13,10),"")</f>
        <v>KR11TQ1003</v>
      </c>
      <c r="I4767" s="149" t="s">
        <v>7234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3">
        <v>45989</v>
      </c>
      <c r="N4767" s="174"/>
      <c r="O4767" s="174"/>
      <c r="P4767" s="174" t="str">
        <f ca="1">IF(Proc[[#This Row],[DaysAgeing]]&gt;5,"yep","on track")</f>
        <v>on track</v>
      </c>
      <c r="Q4767" s="3">
        <f ca="1">IF(Proc[[#This Row],[DateClosed]]="",ABS(NETWORKDAYS(Proc[[#This Row],[DateOpened]],TODAY()))-1,ABS(NETWORKDAYS(Proc[[#This Row],[DateOpened]],Proc[[#This Row],[DateClosed]]))-1)</f>
        <v>4</v>
      </c>
      <c r="R4767" s="174" t="s">
        <v>5709</v>
      </c>
      <c r="S4767" s="150"/>
    </row>
    <row r="4768" spans="1:19" hidden="1">
      <c r="A4768" s="149" t="s">
        <v>7039</v>
      </c>
      <c r="B4768" s="150" t="str">
        <f>IFERROR(VLOOKUP(Proc[[#This Row],[App]],Table2[],3,0),"open")</f>
        <v>ok</v>
      </c>
      <c r="C4768" s="149" t="s">
        <v>369</v>
      </c>
      <c r="D4768" t="s">
        <v>7123</v>
      </c>
      <c r="E4768" s="149" t="s">
        <v>7234</v>
      </c>
      <c r="F4768" s="150" t="s">
        <v>7234</v>
      </c>
      <c r="G4768" s="149" t="s">
        <v>406</v>
      </c>
      <c r="H4768" s="150" t="str">
        <f>IF(Proc[[#This Row],[type]]="LFF (MDG-F)",MID(Proc[[#This Row],[Obj]],13,10),"")</f>
        <v>KR11TQ1004</v>
      </c>
      <c r="I4768" s="149" t="s">
        <v>7234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3">
        <v>45989</v>
      </c>
      <c r="N4768" s="174"/>
      <c r="O4768" s="174"/>
      <c r="P4768" s="174" t="str">
        <f ca="1">IF(Proc[[#This Row],[DaysAgeing]]&gt;5,"yep","on track")</f>
        <v>on track</v>
      </c>
      <c r="Q4768" s="3">
        <f ca="1">IF(Proc[[#This Row],[DateClosed]]="",ABS(NETWORKDAYS(Proc[[#This Row],[DateOpened]],TODAY()))-1,ABS(NETWORKDAYS(Proc[[#This Row],[DateOpened]],Proc[[#This Row],[DateClosed]]))-1)</f>
        <v>4</v>
      </c>
      <c r="R4768" s="174" t="s">
        <v>5709</v>
      </c>
      <c r="S4768" s="150"/>
    </row>
    <row r="4769" spans="1:19" hidden="1">
      <c r="A4769" s="149" t="s">
        <v>7039</v>
      </c>
      <c r="B4769" s="150" t="str">
        <f>IFERROR(VLOOKUP(Proc[[#This Row],[App]],Table2[],3,0),"open")</f>
        <v>ok</v>
      </c>
      <c r="C4769" s="149" t="s">
        <v>369</v>
      </c>
      <c r="D4769" t="s">
        <v>7124</v>
      </c>
      <c r="E4769" s="149" t="s">
        <v>7234</v>
      </c>
      <c r="F4769" s="150" t="s">
        <v>7234</v>
      </c>
      <c r="G4769" s="149" t="s">
        <v>406</v>
      </c>
      <c r="H4769" s="150" t="str">
        <f>IF(Proc[[#This Row],[type]]="LFF (MDG-F)",MID(Proc[[#This Row],[Obj]],13,10),"")</f>
        <v>KR15TQ1001</v>
      </c>
      <c r="I4769" s="149" t="s">
        <v>7234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3">
        <v>45989</v>
      </c>
      <c r="N4769" s="174"/>
      <c r="O4769" s="174"/>
      <c r="P4769" s="174" t="str">
        <f ca="1">IF(Proc[[#This Row],[DaysAgeing]]&gt;5,"yep","on track")</f>
        <v>on track</v>
      </c>
      <c r="Q4769" s="3">
        <f ca="1">IF(Proc[[#This Row],[DateClosed]]="",ABS(NETWORKDAYS(Proc[[#This Row],[DateOpened]],TODAY()))-1,ABS(NETWORKDAYS(Proc[[#This Row],[DateOpened]],Proc[[#This Row],[DateClosed]]))-1)</f>
        <v>4</v>
      </c>
      <c r="R4769" s="174" t="s">
        <v>5709</v>
      </c>
      <c r="S4769" s="150"/>
    </row>
    <row r="4770" spans="1:19" hidden="1">
      <c r="A4770" s="149" t="s">
        <v>7039</v>
      </c>
      <c r="B4770" s="150" t="str">
        <f>IFERROR(VLOOKUP(Proc[[#This Row],[App]],Table2[],3,0),"open")</f>
        <v>ok</v>
      </c>
      <c r="C4770" s="149" t="s">
        <v>369</v>
      </c>
      <c r="D4770" t="s">
        <v>7125</v>
      </c>
      <c r="E4770" s="149" t="s">
        <v>7234</v>
      </c>
      <c r="F4770" s="150" t="s">
        <v>7234</v>
      </c>
      <c r="G4770" s="149" t="s">
        <v>406</v>
      </c>
      <c r="H4770" s="150" t="str">
        <f>IF(Proc[[#This Row],[type]]="LFF (MDG-F)",MID(Proc[[#This Row],[Obj]],13,10),"")</f>
        <v>KR16TQ1001</v>
      </c>
      <c r="I4770" s="149" t="s">
        <v>7234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3">
        <v>45989</v>
      </c>
      <c r="N4770" s="174"/>
      <c r="O4770" s="174"/>
      <c r="P4770" s="174" t="str">
        <f ca="1">IF(Proc[[#This Row],[DaysAgeing]]&gt;5,"yep","on track")</f>
        <v>on track</v>
      </c>
      <c r="Q4770" s="3">
        <f ca="1">IF(Proc[[#This Row],[DateClosed]]="",ABS(NETWORKDAYS(Proc[[#This Row],[DateOpened]],TODAY()))-1,ABS(NETWORKDAYS(Proc[[#This Row],[DateOpened]],Proc[[#This Row],[DateClosed]]))-1)</f>
        <v>4</v>
      </c>
      <c r="R4770" s="174" t="s">
        <v>5709</v>
      </c>
      <c r="S4770" s="150"/>
    </row>
    <row r="4771" spans="1:19" hidden="1">
      <c r="A4771" s="149" t="s">
        <v>7039</v>
      </c>
      <c r="B4771" s="150" t="str">
        <f>IFERROR(VLOOKUP(Proc[[#This Row],[App]],Table2[],3,0),"open")</f>
        <v>ok</v>
      </c>
      <c r="C4771" s="149" t="s">
        <v>369</v>
      </c>
      <c r="D4771" t="s">
        <v>7126</v>
      </c>
      <c r="E4771" s="149" t="s">
        <v>7234</v>
      </c>
      <c r="F4771" s="150" t="s">
        <v>7234</v>
      </c>
      <c r="G4771" s="149" t="s">
        <v>406</v>
      </c>
      <c r="H4771" s="150" t="str">
        <f>IF(Proc[[#This Row],[type]]="LFF (MDG-F)",MID(Proc[[#This Row],[Obj]],13,10),"")</f>
        <v>KR16TQ1002</v>
      </c>
      <c r="I4771" s="149" t="s">
        <v>7234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3">
        <v>45989</v>
      </c>
      <c r="N4771" s="174"/>
      <c r="O4771" s="174"/>
      <c r="P4771" s="174" t="str">
        <f ca="1">IF(Proc[[#This Row],[DaysAgeing]]&gt;5,"yep","on track")</f>
        <v>on track</v>
      </c>
      <c r="Q4771" s="3">
        <f ca="1">IF(Proc[[#This Row],[DateClosed]]="",ABS(NETWORKDAYS(Proc[[#This Row],[DateOpened]],TODAY()))-1,ABS(NETWORKDAYS(Proc[[#This Row],[DateOpened]],Proc[[#This Row],[DateClosed]]))-1)</f>
        <v>4</v>
      </c>
      <c r="R4771" s="174" t="s">
        <v>5709</v>
      </c>
      <c r="S4771" s="150"/>
    </row>
    <row r="4772" spans="1:19" hidden="1">
      <c r="A4772" s="149" t="s">
        <v>7039</v>
      </c>
      <c r="B4772" s="150" t="str">
        <f>IFERROR(VLOOKUP(Proc[[#This Row],[App]],Table2[],3,0),"open")</f>
        <v>ok</v>
      </c>
      <c r="C4772" s="149" t="s">
        <v>369</v>
      </c>
      <c r="D4772" t="s">
        <v>7127</v>
      </c>
      <c r="E4772" s="149" t="s">
        <v>7235</v>
      </c>
      <c r="F4772" s="150" t="s">
        <v>7235</v>
      </c>
      <c r="G4772" s="149" t="s">
        <v>406</v>
      </c>
      <c r="H4772" s="150" t="str">
        <f>IF(Proc[[#This Row],[type]]="LFF (MDG-F)",MID(Proc[[#This Row],[Obj]],13,10),"")</f>
        <v>JP02TQMZ01</v>
      </c>
      <c r="I4772" s="149" t="s">
        <v>7235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3">
        <v>45989</v>
      </c>
      <c r="N4772" s="174"/>
      <c r="O4772" s="174"/>
      <c r="P4772" s="174" t="str">
        <f ca="1">IF(Proc[[#This Row],[DaysAgeing]]&gt;5,"yep","on track")</f>
        <v>on track</v>
      </c>
      <c r="Q4772" s="3">
        <f ca="1">IF(Proc[[#This Row],[DateClosed]]="",ABS(NETWORKDAYS(Proc[[#This Row],[DateOpened]],TODAY()))-1,ABS(NETWORKDAYS(Proc[[#This Row],[DateOpened]],Proc[[#This Row],[DateClosed]]))-1)</f>
        <v>4</v>
      </c>
      <c r="R4772" s="174" t="s">
        <v>5709</v>
      </c>
      <c r="S4772" s="150"/>
    </row>
    <row r="4773" spans="1:19" hidden="1">
      <c r="A4773" s="149" t="s">
        <v>7039</v>
      </c>
      <c r="B4773" s="150" t="str">
        <f>IFERROR(VLOOKUP(Proc[[#This Row],[App]],Table2[],3,0),"open")</f>
        <v>ok</v>
      </c>
      <c r="C4773" s="149" t="s">
        <v>369</v>
      </c>
      <c r="D4773" t="s">
        <v>7128</v>
      </c>
      <c r="E4773" s="149" t="s">
        <v>7235</v>
      </c>
      <c r="F4773" s="150" t="s">
        <v>7235</v>
      </c>
      <c r="G4773" s="149" t="s">
        <v>406</v>
      </c>
      <c r="H4773" s="150" t="str">
        <f>IF(Proc[[#This Row],[type]]="LFF (MDG-F)",MID(Proc[[#This Row],[Obj]],13,10),"")</f>
        <v>KR03TPPZ04</v>
      </c>
      <c r="I4773" s="149" t="s">
        <v>7235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3">
        <v>45989</v>
      </c>
      <c r="N4773" s="174"/>
      <c r="O4773" s="174"/>
      <c r="P4773" s="174" t="str">
        <f ca="1">IF(Proc[[#This Row],[DaysAgeing]]&gt;5,"yep","on track")</f>
        <v>on track</v>
      </c>
      <c r="Q4773" s="3">
        <f ca="1">IF(Proc[[#This Row],[DateClosed]]="",ABS(NETWORKDAYS(Proc[[#This Row],[DateOpened]],TODAY()))-1,ABS(NETWORKDAYS(Proc[[#This Row],[DateOpened]],Proc[[#This Row],[DateClosed]]))-1)</f>
        <v>4</v>
      </c>
      <c r="R4773" s="174" t="s">
        <v>5709</v>
      </c>
      <c r="S4773" s="150"/>
    </row>
    <row r="4774" spans="1:19" hidden="1">
      <c r="A4774" s="149" t="s">
        <v>7039</v>
      </c>
      <c r="B4774" s="150" t="str">
        <f>IFERROR(VLOOKUP(Proc[[#This Row],[App]],Table2[],3,0),"open")</f>
        <v>ok</v>
      </c>
      <c r="C4774" s="149" t="s">
        <v>369</v>
      </c>
      <c r="D4774" t="s">
        <v>7129</v>
      </c>
      <c r="E4774" s="149" t="s">
        <v>7235</v>
      </c>
      <c r="F4774" s="150" t="s">
        <v>7235</v>
      </c>
      <c r="G4774" s="149" t="s">
        <v>406</v>
      </c>
      <c r="H4774" s="150" t="str">
        <f>IF(Proc[[#This Row],[type]]="LFF (MDG-F)",MID(Proc[[#This Row],[Obj]],13,10),"")</f>
        <v>KR07DB3300</v>
      </c>
      <c r="I4774" s="149" t="s">
        <v>7235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3">
        <v>45989</v>
      </c>
      <c r="N4774" s="174"/>
      <c r="O4774" s="174"/>
      <c r="P4774" s="174" t="str">
        <f ca="1">IF(Proc[[#This Row],[DaysAgeing]]&gt;5,"yep","on track")</f>
        <v>on track</v>
      </c>
      <c r="Q4774" s="3">
        <f ca="1">IF(Proc[[#This Row],[DateClosed]]="",ABS(NETWORKDAYS(Proc[[#This Row],[DateOpened]],TODAY()))-1,ABS(NETWORKDAYS(Proc[[#This Row],[DateOpened]],Proc[[#This Row],[DateClosed]]))-1)</f>
        <v>4</v>
      </c>
      <c r="R4774" s="174" t="s">
        <v>5709</v>
      </c>
      <c r="S4774" s="150"/>
    </row>
    <row r="4775" spans="1:19" hidden="1">
      <c r="A4775" s="149" t="s">
        <v>7039</v>
      </c>
      <c r="B4775" s="150" t="str">
        <f>IFERROR(VLOOKUP(Proc[[#This Row],[App]],Table2[],3,0),"open")</f>
        <v>ok</v>
      </c>
      <c r="C4775" s="149" t="s">
        <v>369</v>
      </c>
      <c r="D4775" t="s">
        <v>7130</v>
      </c>
      <c r="E4775" s="149" t="s">
        <v>7235</v>
      </c>
      <c r="F4775" s="150" t="s">
        <v>7235</v>
      </c>
      <c r="G4775" s="149" t="s">
        <v>406</v>
      </c>
      <c r="H4775" s="150" t="str">
        <f>IF(Proc[[#This Row],[type]]="LFF (MDG-F)",MID(Proc[[#This Row],[Obj]],13,10),"")</f>
        <v>KR15TM3000</v>
      </c>
      <c r="I4775" s="149" t="s">
        <v>7235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3">
        <v>45989</v>
      </c>
      <c r="N4775" s="174"/>
      <c r="O4775" s="174"/>
      <c r="P4775" s="174" t="str">
        <f ca="1">IF(Proc[[#This Row],[DaysAgeing]]&gt;5,"yep","on track")</f>
        <v>on track</v>
      </c>
      <c r="Q4775" s="3">
        <f ca="1">IF(Proc[[#This Row],[DateClosed]]="",ABS(NETWORKDAYS(Proc[[#This Row],[DateOpened]],TODAY()))-1,ABS(NETWORKDAYS(Proc[[#This Row],[DateOpened]],Proc[[#This Row],[DateClosed]]))-1)</f>
        <v>4</v>
      </c>
      <c r="R4775" s="174" t="s">
        <v>5709</v>
      </c>
      <c r="S4775" s="150"/>
    </row>
    <row r="4776" spans="1:19" hidden="1">
      <c r="A4776" s="149" t="s">
        <v>7039</v>
      </c>
      <c r="B4776" s="150" t="str">
        <f>IFERROR(VLOOKUP(Proc[[#This Row],[App]],Table2[],3,0),"open")</f>
        <v>ok</v>
      </c>
      <c r="C4776" s="149" t="s">
        <v>369</v>
      </c>
      <c r="D4776" t="s">
        <v>7131</v>
      </c>
      <c r="E4776" s="149" t="s">
        <v>7236</v>
      </c>
      <c r="F4776" s="150" t="s">
        <v>7236</v>
      </c>
      <c r="G4776" s="149" t="s">
        <v>406</v>
      </c>
      <c r="H4776" s="150" t="str">
        <f>IF(Proc[[#This Row],[type]]="LFF (MDG-F)",MID(Proc[[#This Row],[Obj]],13,10),"")</f>
        <v>KR02TPAZ02</v>
      </c>
      <c r="I4776" s="149" t="s">
        <v>7236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3">
        <v>45989</v>
      </c>
      <c r="N4776" s="174"/>
      <c r="O4776" s="174"/>
      <c r="P4776" s="174" t="str">
        <f ca="1">IF(Proc[[#This Row],[DaysAgeing]]&gt;5,"yep","on track")</f>
        <v>on track</v>
      </c>
      <c r="Q4776" s="3">
        <f ca="1">IF(Proc[[#This Row],[DateClosed]]="",ABS(NETWORKDAYS(Proc[[#This Row],[DateOpened]],TODAY()))-1,ABS(NETWORKDAYS(Proc[[#This Row],[DateOpened]],Proc[[#This Row],[DateClosed]]))-1)</f>
        <v>4</v>
      </c>
      <c r="R4776" s="174" t="s">
        <v>5709</v>
      </c>
      <c r="S4776" s="150"/>
    </row>
    <row r="4777" spans="1:19" hidden="1">
      <c r="A4777" s="149" t="s">
        <v>7039</v>
      </c>
      <c r="B4777" s="150" t="str">
        <f>IFERROR(VLOOKUP(Proc[[#This Row],[App]],Table2[],3,0),"open")</f>
        <v>ok</v>
      </c>
      <c r="C4777" s="149" t="s">
        <v>369</v>
      </c>
      <c r="D4777" t="s">
        <v>7132</v>
      </c>
      <c r="E4777" s="149" t="s">
        <v>7236</v>
      </c>
      <c r="F4777" s="150" t="s">
        <v>7236</v>
      </c>
      <c r="G4777" s="149" t="s">
        <v>406</v>
      </c>
      <c r="H4777" s="150" t="str">
        <f>IF(Proc[[#This Row],[type]]="LFF (MDG-F)",MID(Proc[[#This Row],[Obj]],13,10),"")</f>
        <v>KR07DB3301</v>
      </c>
      <c r="I4777" s="149" t="s">
        <v>7236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3">
        <v>45989</v>
      </c>
      <c r="N4777" s="174"/>
      <c r="O4777" s="174"/>
      <c r="P4777" s="174" t="str">
        <f ca="1">IF(Proc[[#This Row],[DaysAgeing]]&gt;5,"yep","on track")</f>
        <v>on track</v>
      </c>
      <c r="Q4777" s="3">
        <f ca="1">IF(Proc[[#This Row],[DateClosed]]="",ABS(NETWORKDAYS(Proc[[#This Row],[DateOpened]],TODAY()))-1,ABS(NETWORKDAYS(Proc[[#This Row],[DateOpened]],Proc[[#This Row],[DateClosed]]))-1)</f>
        <v>4</v>
      </c>
      <c r="R4777" s="174" t="s">
        <v>5709</v>
      </c>
      <c r="S4777" s="150"/>
    </row>
    <row r="4778" spans="1:19" hidden="1">
      <c r="A4778" s="149" t="s">
        <v>7039</v>
      </c>
      <c r="B4778" s="150" t="str">
        <f>IFERROR(VLOOKUP(Proc[[#This Row],[App]],Table2[],3,0),"open")</f>
        <v>ok</v>
      </c>
      <c r="C4778" s="149" t="s">
        <v>369</v>
      </c>
      <c r="D4778" t="s">
        <v>7133</v>
      </c>
      <c r="E4778" s="149" t="s">
        <v>7236</v>
      </c>
      <c r="F4778" s="150" t="s">
        <v>7236</v>
      </c>
      <c r="G4778" s="149" t="s">
        <v>406</v>
      </c>
      <c r="H4778" s="150" t="str">
        <f>IF(Proc[[#This Row],[type]]="LFF (MDG-F)",MID(Proc[[#This Row],[Obj]],13,10),"")</f>
        <v>KR07DB3302</v>
      </c>
      <c r="I4778" s="149" t="s">
        <v>7236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3">
        <v>45989</v>
      </c>
      <c r="N4778" s="174"/>
      <c r="O4778" s="174"/>
      <c r="P4778" s="174" t="str">
        <f ca="1">IF(Proc[[#This Row],[DaysAgeing]]&gt;5,"yep","on track")</f>
        <v>on track</v>
      </c>
      <c r="Q4778" s="3">
        <f ca="1">IF(Proc[[#This Row],[DateClosed]]="",ABS(NETWORKDAYS(Proc[[#This Row],[DateOpened]],TODAY()))-1,ABS(NETWORKDAYS(Proc[[#This Row],[DateOpened]],Proc[[#This Row],[DateClosed]]))-1)</f>
        <v>4</v>
      </c>
      <c r="R4778" s="174" t="s">
        <v>5709</v>
      </c>
      <c r="S4778" s="150"/>
    </row>
    <row r="4779" spans="1:19" hidden="1">
      <c r="A4779" s="149" t="s">
        <v>7039</v>
      </c>
      <c r="B4779" s="150" t="str">
        <f>IFERROR(VLOOKUP(Proc[[#This Row],[App]],Table2[],3,0),"open")</f>
        <v>ok</v>
      </c>
      <c r="C4779" s="149" t="s">
        <v>369</v>
      </c>
      <c r="D4779" t="s">
        <v>7134</v>
      </c>
      <c r="E4779" s="149" t="s">
        <v>7236</v>
      </c>
      <c r="F4779" s="150" t="s">
        <v>7236</v>
      </c>
      <c r="G4779" s="149" t="s">
        <v>406</v>
      </c>
      <c r="H4779" s="150" t="str">
        <f>IF(Proc[[#This Row],[type]]="LFF (MDG-F)",MID(Proc[[#This Row],[Obj]],13,10),"")</f>
        <v>KR11DB2111</v>
      </c>
      <c r="I4779" s="149" t="s">
        <v>7236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3">
        <v>45989</v>
      </c>
      <c r="N4779" s="174"/>
      <c r="O4779" s="174"/>
      <c r="P4779" s="174" t="str">
        <f ca="1">IF(Proc[[#This Row],[DaysAgeing]]&gt;5,"yep","on track")</f>
        <v>on track</v>
      </c>
      <c r="Q4779" s="3">
        <f ca="1">IF(Proc[[#This Row],[DateClosed]]="",ABS(NETWORKDAYS(Proc[[#This Row],[DateOpened]],TODAY()))-1,ABS(NETWORKDAYS(Proc[[#This Row],[DateOpened]],Proc[[#This Row],[DateClosed]]))-1)</f>
        <v>4</v>
      </c>
      <c r="R4779" s="174" t="s">
        <v>5709</v>
      </c>
      <c r="S4779" s="150"/>
    </row>
    <row r="4780" spans="1:19" hidden="1">
      <c r="A4780" s="149" t="s">
        <v>7039</v>
      </c>
      <c r="B4780" s="150" t="str">
        <f>IFERROR(VLOOKUP(Proc[[#This Row],[App]],Table2[],3,0),"open")</f>
        <v>ok</v>
      </c>
      <c r="C4780" s="149" t="s">
        <v>369</v>
      </c>
      <c r="D4780" t="s">
        <v>7135</v>
      </c>
      <c r="E4780" s="149" t="s">
        <v>7236</v>
      </c>
      <c r="F4780" s="150" t="s">
        <v>7236</v>
      </c>
      <c r="G4780" s="149" t="s">
        <v>406</v>
      </c>
      <c r="H4780" s="150" t="str">
        <f>IF(Proc[[#This Row],[type]]="LFF (MDG-F)",MID(Proc[[#This Row],[Obj]],13,10),"")</f>
        <v>KR11DB2112</v>
      </c>
      <c r="I4780" s="149" t="s">
        <v>7236</v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EL</v>
      </c>
      <c r="L4780" s="150" t="s">
        <v>6435</v>
      </c>
      <c r="M4780" s="173">
        <v>45989</v>
      </c>
      <c r="N4780" s="174"/>
      <c r="O4780" s="174"/>
      <c r="P4780" s="174" t="str">
        <f ca="1">IF(Proc[[#This Row],[DaysAgeing]]&gt;5,"yep","on track")</f>
        <v>on track</v>
      </c>
      <c r="Q4780" s="3">
        <f ca="1">IF(Proc[[#This Row],[DateClosed]]="",ABS(NETWORKDAYS(Proc[[#This Row],[DateOpened]],TODAY()))-1,ABS(NETWORKDAYS(Proc[[#This Row],[DateOpened]],Proc[[#This Row],[DateClosed]]))-1)</f>
        <v>4</v>
      </c>
      <c r="R4780" s="174" t="s">
        <v>5709</v>
      </c>
      <c r="S4780" s="150"/>
    </row>
    <row r="4781" spans="1:19" hidden="1">
      <c r="A4781" s="149" t="s">
        <v>7039</v>
      </c>
      <c r="B4781" s="150" t="str">
        <f>IFERROR(VLOOKUP(Proc[[#This Row],[App]],Table2[],3,0),"open")</f>
        <v>ok</v>
      </c>
      <c r="C4781" s="149" t="s">
        <v>369</v>
      </c>
      <c r="D4781" t="s">
        <v>7136</v>
      </c>
      <c r="E4781" s="149" t="s">
        <v>7236</v>
      </c>
      <c r="F4781" s="150" t="s">
        <v>7236</v>
      </c>
      <c r="G4781" s="149" t="s">
        <v>406</v>
      </c>
      <c r="H4781" s="150" t="str">
        <f>IF(Proc[[#This Row],[type]]="LFF (MDG-F)",MID(Proc[[#This Row],[Obj]],13,10),"")</f>
        <v>KR15DB3303</v>
      </c>
      <c r="I4781" s="149" t="s">
        <v>7236</v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EL</v>
      </c>
      <c r="L4781" s="150" t="s">
        <v>6435</v>
      </c>
      <c r="M4781" s="173">
        <v>45989</v>
      </c>
      <c r="N4781" s="174"/>
      <c r="O4781" s="174"/>
      <c r="P4781" s="174" t="str">
        <f ca="1">IF(Proc[[#This Row],[DaysAgeing]]&gt;5,"yep","on track")</f>
        <v>on track</v>
      </c>
      <c r="Q4781" s="3">
        <f ca="1">IF(Proc[[#This Row],[DateClosed]]="",ABS(NETWORKDAYS(Proc[[#This Row],[DateOpened]],TODAY()))-1,ABS(NETWORKDAYS(Proc[[#This Row],[DateOpened]],Proc[[#This Row],[DateClosed]]))-1)</f>
        <v>4</v>
      </c>
      <c r="R4781" s="174" t="s">
        <v>5709</v>
      </c>
      <c r="S4781" s="150"/>
    </row>
    <row r="4782" spans="1:19" hidden="1">
      <c r="A4782" s="149" t="s">
        <v>7039</v>
      </c>
      <c r="B4782" s="150" t="str">
        <f>IFERROR(VLOOKUP(Proc[[#This Row],[App]],Table2[],3,0),"open")</f>
        <v>ok</v>
      </c>
      <c r="C4782" s="149" t="s">
        <v>369</v>
      </c>
      <c r="D4782" t="s">
        <v>7137</v>
      </c>
      <c r="E4782" s="149" t="s">
        <v>7236</v>
      </c>
      <c r="F4782" s="150" t="s">
        <v>7236</v>
      </c>
      <c r="G4782" s="149" t="s">
        <v>406</v>
      </c>
      <c r="H4782" s="150" t="str">
        <f>IF(Proc[[#This Row],[type]]="LFF (MDG-F)",MID(Proc[[#This Row],[Obj]],13,10),"")</f>
        <v>KR16DB3300</v>
      </c>
      <c r="I4782" s="149" t="s">
        <v>7236</v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EL</v>
      </c>
      <c r="L4782" s="150" t="s">
        <v>6435</v>
      </c>
      <c r="M4782" s="173">
        <v>45989</v>
      </c>
      <c r="N4782" s="174"/>
      <c r="O4782" s="174"/>
      <c r="P4782" s="174" t="str">
        <f ca="1">IF(Proc[[#This Row],[DaysAgeing]]&gt;5,"yep","on track")</f>
        <v>on track</v>
      </c>
      <c r="Q4782" s="3">
        <f ca="1">IF(Proc[[#This Row],[DateClosed]]="",ABS(NETWORKDAYS(Proc[[#This Row],[DateOpened]],TODAY()))-1,ABS(NETWORKDAYS(Proc[[#This Row],[DateOpened]],Proc[[#This Row],[DateClosed]]))-1)</f>
        <v>4</v>
      </c>
      <c r="R4782" s="174" t="s">
        <v>5709</v>
      </c>
      <c r="S4782" s="150"/>
    </row>
    <row r="4783" spans="1:19" hidden="1">
      <c r="A4783" s="149" t="s">
        <v>7039</v>
      </c>
      <c r="B4783" s="150" t="str">
        <f>IFERROR(VLOOKUP(Proc[[#This Row],[App]],Table2[],3,0),"open")</f>
        <v>ok</v>
      </c>
      <c r="C4783" s="149" t="s">
        <v>369</v>
      </c>
      <c r="D4783" t="s">
        <v>7138</v>
      </c>
      <c r="E4783" s="149" t="s">
        <v>7237</v>
      </c>
      <c r="F4783" s="150" t="s">
        <v>7237</v>
      </c>
      <c r="G4783" s="149" t="s">
        <v>406</v>
      </c>
      <c r="H4783" s="150" t="str">
        <f>IF(Proc[[#This Row],[type]]="LFF (MDG-F)",MID(Proc[[#This Row],[Obj]],13,10),"")</f>
        <v>US01C01305</v>
      </c>
      <c r="I4783" s="149" t="s">
        <v>7237</v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EL</v>
      </c>
      <c r="L4783" s="150" t="s">
        <v>6435</v>
      </c>
      <c r="M4783" s="173">
        <v>45989</v>
      </c>
      <c r="N4783" s="174"/>
      <c r="O4783" s="174"/>
      <c r="P4783" s="174" t="str">
        <f ca="1">IF(Proc[[#This Row],[DaysAgeing]]&gt;5,"yep","on track")</f>
        <v>on track</v>
      </c>
      <c r="Q4783" s="3">
        <f ca="1">IF(Proc[[#This Row],[DateClosed]]="",ABS(NETWORKDAYS(Proc[[#This Row],[DateOpened]],TODAY()))-1,ABS(NETWORKDAYS(Proc[[#This Row],[DateOpened]],Proc[[#This Row],[DateClosed]]))-1)</f>
        <v>4</v>
      </c>
      <c r="R4783" s="174" t="s">
        <v>5709</v>
      </c>
      <c r="S4783" s="150"/>
    </row>
    <row r="4784" spans="1:19" hidden="1">
      <c r="A4784" s="149" t="s">
        <v>7039</v>
      </c>
      <c r="B4784" s="150" t="str">
        <f>IFERROR(VLOOKUP(Proc[[#This Row],[App]],Table2[],3,0),"open")</f>
        <v>ok</v>
      </c>
      <c r="C4784" s="149" t="s">
        <v>369</v>
      </c>
      <c r="D4784" t="s">
        <v>7139</v>
      </c>
      <c r="E4784" s="149" t="s">
        <v>7237</v>
      </c>
      <c r="F4784" s="150" t="s">
        <v>7237</v>
      </c>
      <c r="G4784" s="149" t="s">
        <v>406</v>
      </c>
      <c r="H4784" s="150" t="str">
        <f>IF(Proc[[#This Row],[type]]="LFF (MDG-F)",MID(Proc[[#This Row],[Obj]],13,10),"")</f>
        <v>US10DB3021</v>
      </c>
      <c r="I4784" s="149" t="s">
        <v>7237</v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EL</v>
      </c>
      <c r="L4784" s="150" t="s">
        <v>6435</v>
      </c>
      <c r="M4784" s="173">
        <v>45989</v>
      </c>
      <c r="N4784" s="174"/>
      <c r="O4784" s="174"/>
      <c r="P4784" s="174" t="str">
        <f ca="1">IF(Proc[[#This Row],[DaysAgeing]]&gt;5,"yep","on track")</f>
        <v>on track</v>
      </c>
      <c r="Q4784" s="3">
        <f ca="1">IF(Proc[[#This Row],[DateClosed]]="",ABS(NETWORKDAYS(Proc[[#This Row],[DateOpened]],TODAY()))-1,ABS(NETWORKDAYS(Proc[[#This Row],[DateOpened]],Proc[[#This Row],[DateClosed]]))-1)</f>
        <v>4</v>
      </c>
      <c r="R4784" s="174" t="s">
        <v>5709</v>
      </c>
      <c r="S4784" s="150"/>
    </row>
    <row r="4785" spans="1:19" hidden="1">
      <c r="A4785" s="149" t="s">
        <v>7039</v>
      </c>
      <c r="B4785" s="150" t="str">
        <f>IFERROR(VLOOKUP(Proc[[#This Row],[App]],Table2[],3,0),"open")</f>
        <v>ok</v>
      </c>
      <c r="C4785" s="149" t="s">
        <v>369</v>
      </c>
      <c r="D4785" t="s">
        <v>7140</v>
      </c>
      <c r="E4785" s="149" t="s">
        <v>7238</v>
      </c>
      <c r="F4785" s="150" t="s">
        <v>7238</v>
      </c>
      <c r="G4785" s="149" t="s">
        <v>406</v>
      </c>
      <c r="H4785" s="150" t="str">
        <f>IF(Proc[[#This Row],[type]]="LFF (MDG-F)",MID(Proc[[#This Row],[Obj]],13,10),"")</f>
        <v>US01TPBZ03</v>
      </c>
      <c r="I4785" s="149" t="s">
        <v>7238</v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EL</v>
      </c>
      <c r="L4785" s="150" t="s">
        <v>6435</v>
      </c>
      <c r="M4785" s="173">
        <v>45989</v>
      </c>
      <c r="N4785" s="174"/>
      <c r="O4785" s="174"/>
      <c r="P4785" s="174" t="str">
        <f ca="1">IF(Proc[[#This Row],[DaysAgeing]]&gt;5,"yep","on track")</f>
        <v>on track</v>
      </c>
      <c r="Q4785" s="3">
        <f ca="1">IF(Proc[[#This Row],[DateClosed]]="",ABS(NETWORKDAYS(Proc[[#This Row],[DateOpened]],TODAY()))-1,ABS(NETWORKDAYS(Proc[[#This Row],[DateOpened]],Proc[[#This Row],[DateClosed]]))-1)</f>
        <v>4</v>
      </c>
      <c r="R4785" s="174" t="s">
        <v>5709</v>
      </c>
      <c r="S4785" s="150"/>
    </row>
    <row r="4786" spans="1:19" hidden="1">
      <c r="A4786" s="149" t="s">
        <v>7039</v>
      </c>
      <c r="B4786" s="150" t="str">
        <f>IFERROR(VLOOKUP(Proc[[#This Row],[App]],Table2[],3,0),"open")</f>
        <v>ok</v>
      </c>
      <c r="C4786" s="149" t="s">
        <v>369</v>
      </c>
      <c r="D4786" t="s">
        <v>7141</v>
      </c>
      <c r="E4786" s="149" t="s">
        <v>7238</v>
      </c>
      <c r="F4786" s="150" t="s">
        <v>7238</v>
      </c>
      <c r="G4786" s="149" t="s">
        <v>406</v>
      </c>
      <c r="H4786" s="150" t="str">
        <f>IF(Proc[[#This Row],[type]]="LFF (MDG-F)",MID(Proc[[#This Row],[Obj]],13,10),"")</f>
        <v>US10DB3004</v>
      </c>
      <c r="I4786" s="149" t="s">
        <v>7238</v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EL</v>
      </c>
      <c r="L4786" s="150" t="s">
        <v>6435</v>
      </c>
      <c r="M4786" s="173">
        <v>45989</v>
      </c>
      <c r="N4786" s="174"/>
      <c r="O4786" s="174"/>
      <c r="P4786" s="174" t="str">
        <f ca="1">IF(Proc[[#This Row],[DaysAgeing]]&gt;5,"yep","on track")</f>
        <v>on track</v>
      </c>
      <c r="Q4786" s="3">
        <f ca="1">IF(Proc[[#This Row],[DateClosed]]="",ABS(NETWORKDAYS(Proc[[#This Row],[DateOpened]],TODAY()))-1,ABS(NETWORKDAYS(Proc[[#This Row],[DateOpened]],Proc[[#This Row],[DateClosed]]))-1)</f>
        <v>4</v>
      </c>
      <c r="R4786" s="174" t="s">
        <v>5709</v>
      </c>
      <c r="S4786" s="150"/>
    </row>
    <row r="4787" spans="1:19" hidden="1">
      <c r="A4787" s="149" t="s">
        <v>7039</v>
      </c>
      <c r="B4787" s="150" t="str">
        <f>IFERROR(VLOOKUP(Proc[[#This Row],[App]],Table2[],3,0),"open")</f>
        <v>ok</v>
      </c>
      <c r="C4787" s="149" t="s">
        <v>369</v>
      </c>
      <c r="D4787" t="s">
        <v>7142</v>
      </c>
      <c r="E4787" s="149" t="s">
        <v>7238</v>
      </c>
      <c r="F4787" s="150" t="s">
        <v>7238</v>
      </c>
      <c r="G4787" s="149" t="s">
        <v>406</v>
      </c>
      <c r="H4787" s="150" t="str">
        <f>IF(Proc[[#This Row],[type]]="LFF (MDG-F)",MID(Proc[[#This Row],[Obj]],13,10),"")</f>
        <v>US10DB3005</v>
      </c>
      <c r="I4787" s="149" t="s">
        <v>7238</v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EL</v>
      </c>
      <c r="L4787" s="150" t="s">
        <v>6435</v>
      </c>
      <c r="M4787" s="173">
        <v>45989</v>
      </c>
      <c r="N4787" s="174"/>
      <c r="O4787" s="174"/>
      <c r="P4787" s="174" t="str">
        <f ca="1">IF(Proc[[#This Row],[DaysAgeing]]&gt;5,"yep","on track")</f>
        <v>on track</v>
      </c>
      <c r="Q4787" s="3">
        <f ca="1">IF(Proc[[#This Row],[DateClosed]]="",ABS(NETWORKDAYS(Proc[[#This Row],[DateOpened]],TODAY()))-1,ABS(NETWORKDAYS(Proc[[#This Row],[DateOpened]],Proc[[#This Row],[DateClosed]]))-1)</f>
        <v>4</v>
      </c>
      <c r="R4787" s="174" t="s">
        <v>5709</v>
      </c>
      <c r="S4787" s="150"/>
    </row>
    <row r="4788" spans="1:19" hidden="1">
      <c r="A4788" s="149" t="s">
        <v>7039</v>
      </c>
      <c r="B4788" s="150" t="str">
        <f>IFERROR(VLOOKUP(Proc[[#This Row],[App]],Table2[],3,0),"open")</f>
        <v>ok</v>
      </c>
      <c r="C4788" s="149" t="s">
        <v>369</v>
      </c>
      <c r="D4788" t="s">
        <v>7143</v>
      </c>
      <c r="E4788" s="149" t="s">
        <v>7238</v>
      </c>
      <c r="F4788" s="150" t="s">
        <v>7238</v>
      </c>
      <c r="G4788" s="149" t="s">
        <v>406</v>
      </c>
      <c r="H4788" s="150" t="str">
        <f>IF(Proc[[#This Row],[type]]="LFF (MDG-F)",MID(Proc[[#This Row],[Obj]],13,10),"")</f>
        <v>US10DB3006</v>
      </c>
      <c r="I4788" s="149" t="s">
        <v>7238</v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EL</v>
      </c>
      <c r="L4788" s="150" t="s">
        <v>6435</v>
      </c>
      <c r="M4788" s="173">
        <v>45989</v>
      </c>
      <c r="N4788" s="174"/>
      <c r="O4788" s="174"/>
      <c r="P4788" s="174" t="str">
        <f ca="1">IF(Proc[[#This Row],[DaysAgeing]]&gt;5,"yep","on track")</f>
        <v>on track</v>
      </c>
      <c r="Q4788" s="3">
        <f ca="1">IF(Proc[[#This Row],[DateClosed]]="",ABS(NETWORKDAYS(Proc[[#This Row],[DateOpened]],TODAY()))-1,ABS(NETWORKDAYS(Proc[[#This Row],[DateOpened]],Proc[[#This Row],[DateClosed]]))-1)</f>
        <v>4</v>
      </c>
      <c r="R4788" s="174" t="s">
        <v>5709</v>
      </c>
      <c r="S4788" s="150"/>
    </row>
    <row r="4789" spans="1:19" hidden="1">
      <c r="A4789" s="149" t="s">
        <v>7039</v>
      </c>
      <c r="B4789" s="150" t="str">
        <f>IFERROR(VLOOKUP(Proc[[#This Row],[App]],Table2[],3,0),"open")</f>
        <v>ok</v>
      </c>
      <c r="C4789" s="149" t="s">
        <v>369</v>
      </c>
      <c r="D4789" t="s">
        <v>7144</v>
      </c>
      <c r="E4789" s="149" t="s">
        <v>7238</v>
      </c>
      <c r="F4789" s="150" t="s">
        <v>7238</v>
      </c>
      <c r="G4789" s="149" t="s">
        <v>406</v>
      </c>
      <c r="H4789" s="150" t="str">
        <f>IF(Proc[[#This Row],[type]]="LFF (MDG-F)",MID(Proc[[#This Row],[Obj]],13,10),"")</f>
        <v>US10DB3011</v>
      </c>
      <c r="I4789" s="149" t="s">
        <v>7238</v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EL</v>
      </c>
      <c r="L4789" s="150" t="s">
        <v>6435</v>
      </c>
      <c r="M4789" s="173">
        <v>45989</v>
      </c>
      <c r="N4789" s="174"/>
      <c r="O4789" s="174"/>
      <c r="P4789" s="174" t="str">
        <f ca="1">IF(Proc[[#This Row],[DaysAgeing]]&gt;5,"yep","on track")</f>
        <v>on track</v>
      </c>
      <c r="Q4789" s="3">
        <f ca="1">IF(Proc[[#This Row],[DateClosed]]="",ABS(NETWORKDAYS(Proc[[#This Row],[DateOpened]],TODAY()))-1,ABS(NETWORKDAYS(Proc[[#This Row],[DateOpened]],Proc[[#This Row],[DateClosed]]))-1)</f>
        <v>4</v>
      </c>
      <c r="R4789" s="174" t="s">
        <v>5709</v>
      </c>
      <c r="S4789" s="150"/>
    </row>
    <row r="4790" spans="1:19" hidden="1">
      <c r="A4790" s="149" t="s">
        <v>7039</v>
      </c>
      <c r="B4790" s="150" t="str">
        <f>IFERROR(VLOOKUP(Proc[[#This Row],[App]],Table2[],3,0),"open")</f>
        <v>ok</v>
      </c>
      <c r="C4790" s="149" t="s">
        <v>369</v>
      </c>
      <c r="D4790" t="s">
        <v>7145</v>
      </c>
      <c r="E4790" s="149" t="s">
        <v>7238</v>
      </c>
      <c r="F4790" s="150" t="s">
        <v>7238</v>
      </c>
      <c r="G4790" s="149" t="s">
        <v>406</v>
      </c>
      <c r="H4790" s="150" t="str">
        <f>IF(Proc[[#This Row],[type]]="LFF (MDG-F)",MID(Proc[[#This Row],[Obj]],13,10),"")</f>
        <v>US01TQ1001</v>
      </c>
      <c r="I4790" s="149" t="s">
        <v>7238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EL</v>
      </c>
      <c r="L4790" s="150" t="s">
        <v>6435</v>
      </c>
      <c r="M4790" s="173">
        <v>45989</v>
      </c>
      <c r="N4790" s="174"/>
      <c r="O4790" s="174"/>
      <c r="P4790" s="174" t="str">
        <f ca="1">IF(Proc[[#This Row],[DaysAgeing]]&gt;5,"yep","on track")</f>
        <v>on track</v>
      </c>
      <c r="Q4790" s="3">
        <f ca="1">IF(Proc[[#This Row],[DateClosed]]="",ABS(NETWORKDAYS(Proc[[#This Row],[DateOpened]],TODAY()))-1,ABS(NETWORKDAYS(Proc[[#This Row],[DateOpened]],Proc[[#This Row],[DateClosed]]))-1)</f>
        <v>4</v>
      </c>
      <c r="R4790" s="174" t="s">
        <v>5709</v>
      </c>
      <c r="S4790" s="150"/>
    </row>
    <row r="4791" spans="1:19" hidden="1">
      <c r="A4791" s="149" t="s">
        <v>7039</v>
      </c>
      <c r="B4791" s="150" t="str">
        <f>IFERROR(VLOOKUP(Proc[[#This Row],[App]],Table2[],3,0),"open")</f>
        <v>ok</v>
      </c>
      <c r="C4791" s="149" t="s">
        <v>369</v>
      </c>
      <c r="D4791" t="s">
        <v>7146</v>
      </c>
      <c r="E4791" s="149" t="s">
        <v>7238</v>
      </c>
      <c r="F4791" s="150" t="s">
        <v>7238</v>
      </c>
      <c r="G4791" s="149" t="s">
        <v>406</v>
      </c>
      <c r="H4791" s="150" t="str">
        <f>IF(Proc[[#This Row],[type]]="LFF (MDG-F)",MID(Proc[[#This Row],[Obj]],13,10),"")</f>
        <v>US01TQ1002</v>
      </c>
      <c r="I4791" s="149" t="s">
        <v>7238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EL</v>
      </c>
      <c r="L4791" s="150" t="s">
        <v>6435</v>
      </c>
      <c r="M4791" s="173">
        <v>45989</v>
      </c>
      <c r="N4791" s="174"/>
      <c r="O4791" s="174"/>
      <c r="P4791" s="174" t="str">
        <f ca="1">IF(Proc[[#This Row],[DaysAgeing]]&gt;5,"yep","on track")</f>
        <v>on track</v>
      </c>
      <c r="Q4791" s="3">
        <f ca="1">IF(Proc[[#This Row],[DateClosed]]="",ABS(NETWORKDAYS(Proc[[#This Row],[DateOpened]],TODAY()))-1,ABS(NETWORKDAYS(Proc[[#This Row],[DateOpened]],Proc[[#This Row],[DateClosed]]))-1)</f>
        <v>4</v>
      </c>
      <c r="R4791" s="174" t="s">
        <v>5709</v>
      </c>
      <c r="S4791" s="150"/>
    </row>
    <row r="4792" spans="1:19" hidden="1">
      <c r="A4792" s="149" t="s">
        <v>7039</v>
      </c>
      <c r="B4792" s="150" t="str">
        <f>IFERROR(VLOOKUP(Proc[[#This Row],[App]],Table2[],3,0),"open")</f>
        <v>ok</v>
      </c>
      <c r="C4792" s="149" t="s">
        <v>369</v>
      </c>
      <c r="D4792" t="s">
        <v>7147</v>
      </c>
      <c r="E4792" s="149" t="s">
        <v>7238</v>
      </c>
      <c r="F4792" s="150" t="s">
        <v>7238</v>
      </c>
      <c r="G4792" s="149" t="s">
        <v>406</v>
      </c>
      <c r="H4792" s="150" t="str">
        <f>IF(Proc[[#This Row],[type]]="LFF (MDG-F)",MID(Proc[[#This Row],[Obj]],13,10),"")</f>
        <v>US01TQ1003</v>
      </c>
      <c r="I4792" s="149" t="s">
        <v>7238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EL</v>
      </c>
      <c r="L4792" s="150" t="s">
        <v>6435</v>
      </c>
      <c r="M4792" s="173">
        <v>45989</v>
      </c>
      <c r="N4792" s="174"/>
      <c r="O4792" s="174"/>
      <c r="P4792" s="174" t="str">
        <f ca="1">IF(Proc[[#This Row],[DaysAgeing]]&gt;5,"yep","on track")</f>
        <v>on track</v>
      </c>
      <c r="Q4792" s="3">
        <f ca="1">IF(Proc[[#This Row],[DateClosed]]="",ABS(NETWORKDAYS(Proc[[#This Row],[DateOpened]],TODAY()))-1,ABS(NETWORKDAYS(Proc[[#This Row],[DateOpened]],Proc[[#This Row],[DateClosed]]))-1)</f>
        <v>4</v>
      </c>
      <c r="R4792" s="174" t="s">
        <v>5709</v>
      </c>
      <c r="S4792" s="150"/>
    </row>
    <row r="4793" spans="1:19" hidden="1">
      <c r="A4793" s="149" t="s">
        <v>7039</v>
      </c>
      <c r="B4793" s="150" t="str">
        <f>IFERROR(VLOOKUP(Proc[[#This Row],[App]],Table2[],3,0),"open")</f>
        <v>ok</v>
      </c>
      <c r="C4793" s="149" t="s">
        <v>369</v>
      </c>
      <c r="D4793" t="s">
        <v>7148</v>
      </c>
      <c r="E4793" s="149" t="s">
        <v>7238</v>
      </c>
      <c r="F4793" s="150" t="s">
        <v>7238</v>
      </c>
      <c r="G4793" s="149" t="s">
        <v>406</v>
      </c>
      <c r="H4793" s="150" t="str">
        <f>IF(Proc[[#This Row],[type]]="LFF (MDG-F)",MID(Proc[[#This Row],[Obj]],13,10),"")</f>
        <v>US01TQ1004</v>
      </c>
      <c r="I4793" s="149" t="s">
        <v>7238</v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EL</v>
      </c>
      <c r="L4793" s="150" t="s">
        <v>6435</v>
      </c>
      <c r="M4793" s="173">
        <v>45989</v>
      </c>
      <c r="N4793" s="174"/>
      <c r="O4793" s="174"/>
      <c r="P4793" s="174" t="str">
        <f ca="1">IF(Proc[[#This Row],[DaysAgeing]]&gt;5,"yep","on track")</f>
        <v>on track</v>
      </c>
      <c r="Q4793" s="3">
        <f ca="1">IF(Proc[[#This Row],[DateClosed]]="",ABS(NETWORKDAYS(Proc[[#This Row],[DateOpened]],TODAY()))-1,ABS(NETWORKDAYS(Proc[[#This Row],[DateOpened]],Proc[[#This Row],[DateClosed]]))-1)</f>
        <v>4</v>
      </c>
      <c r="R4793" s="174" t="s">
        <v>5709</v>
      </c>
      <c r="S4793" s="150"/>
    </row>
    <row r="4794" spans="1:19" hidden="1">
      <c r="A4794" s="149" t="s">
        <v>7039</v>
      </c>
      <c r="B4794" s="150" t="str">
        <f>IFERROR(VLOOKUP(Proc[[#This Row],[App]],Table2[],3,0),"open")</f>
        <v>ok</v>
      </c>
      <c r="C4794" s="149" t="s">
        <v>369</v>
      </c>
      <c r="D4794" t="s">
        <v>7149</v>
      </c>
      <c r="E4794" s="149" t="s">
        <v>7238</v>
      </c>
      <c r="F4794" s="150" t="s">
        <v>7238</v>
      </c>
      <c r="G4794" s="149" t="s">
        <v>406</v>
      </c>
      <c r="H4794" s="150" t="str">
        <f>IF(Proc[[#This Row],[type]]="LFF (MDG-F)",MID(Proc[[#This Row],[Obj]],13,10),"")</f>
        <v>US01TQ1005</v>
      </c>
      <c r="I4794" s="149" t="s">
        <v>7238</v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EL</v>
      </c>
      <c r="L4794" s="150" t="s">
        <v>6435</v>
      </c>
      <c r="M4794" s="173">
        <v>45989</v>
      </c>
      <c r="N4794" s="174"/>
      <c r="O4794" s="174"/>
      <c r="P4794" s="174" t="str">
        <f ca="1">IF(Proc[[#This Row],[DaysAgeing]]&gt;5,"yep","on track")</f>
        <v>on track</v>
      </c>
      <c r="Q4794" s="3">
        <f ca="1">IF(Proc[[#This Row],[DateClosed]]="",ABS(NETWORKDAYS(Proc[[#This Row],[DateOpened]],TODAY()))-1,ABS(NETWORKDAYS(Proc[[#This Row],[DateOpened]],Proc[[#This Row],[DateClosed]]))-1)</f>
        <v>4</v>
      </c>
      <c r="R4794" s="174" t="s">
        <v>5709</v>
      </c>
      <c r="S4794" s="150"/>
    </row>
    <row r="4795" spans="1:19" hidden="1">
      <c r="A4795" s="149" t="s">
        <v>7039</v>
      </c>
      <c r="B4795" s="150" t="str">
        <f>IFERROR(VLOOKUP(Proc[[#This Row],[App]],Table2[],3,0),"open")</f>
        <v>ok</v>
      </c>
      <c r="C4795" s="149" t="s">
        <v>369</v>
      </c>
      <c r="D4795" t="s">
        <v>7150</v>
      </c>
      <c r="E4795" s="149" t="s">
        <v>7238</v>
      </c>
      <c r="F4795" s="150" t="s">
        <v>7238</v>
      </c>
      <c r="G4795" s="149" t="s">
        <v>406</v>
      </c>
      <c r="H4795" s="150" t="str">
        <f>IF(Proc[[#This Row],[type]]="LFF (MDG-F)",MID(Proc[[#This Row],[Obj]],13,10),"")</f>
        <v>US01TQ1006</v>
      </c>
      <c r="I4795" s="149" t="s">
        <v>7238</v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EL</v>
      </c>
      <c r="L4795" s="150" t="s">
        <v>6435</v>
      </c>
      <c r="M4795" s="173">
        <v>45989</v>
      </c>
      <c r="N4795" s="174"/>
      <c r="O4795" s="174"/>
      <c r="P4795" s="174" t="str">
        <f ca="1">IF(Proc[[#This Row],[DaysAgeing]]&gt;5,"yep","on track")</f>
        <v>on track</v>
      </c>
      <c r="Q4795" s="3">
        <f ca="1">IF(Proc[[#This Row],[DateClosed]]="",ABS(NETWORKDAYS(Proc[[#This Row],[DateOpened]],TODAY()))-1,ABS(NETWORKDAYS(Proc[[#This Row],[DateOpened]],Proc[[#This Row],[DateClosed]]))-1)</f>
        <v>4</v>
      </c>
      <c r="R4795" s="174" t="s">
        <v>5709</v>
      </c>
      <c r="S4795" s="150"/>
    </row>
    <row r="4796" spans="1:19" hidden="1">
      <c r="A4796" s="149" t="s">
        <v>7039</v>
      </c>
      <c r="B4796" s="150" t="str">
        <f>IFERROR(VLOOKUP(Proc[[#This Row],[App]],Table2[],3,0),"open")</f>
        <v>ok</v>
      </c>
      <c r="C4796" s="149" t="s">
        <v>369</v>
      </c>
      <c r="D4796" t="s">
        <v>7151</v>
      </c>
      <c r="E4796" s="149" t="s">
        <v>7238</v>
      </c>
      <c r="F4796" s="150" t="s">
        <v>7238</v>
      </c>
      <c r="G4796" s="149" t="s">
        <v>406</v>
      </c>
      <c r="H4796" s="150" t="str">
        <f>IF(Proc[[#This Row],[type]]="LFF (MDG-F)",MID(Proc[[#This Row],[Obj]],13,10),"")</f>
        <v>US01TQ1007</v>
      </c>
      <c r="I4796" s="149" t="s">
        <v>7238</v>
      </c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EL</v>
      </c>
      <c r="L4796" s="150" t="s">
        <v>6435</v>
      </c>
      <c r="M4796" s="173">
        <v>45989</v>
      </c>
      <c r="N4796" s="174"/>
      <c r="O4796" s="174"/>
      <c r="P4796" s="174" t="str">
        <f ca="1">IF(Proc[[#This Row],[DaysAgeing]]&gt;5,"yep","on track")</f>
        <v>on track</v>
      </c>
      <c r="Q4796" s="3">
        <f ca="1">IF(Proc[[#This Row],[DateClosed]]="",ABS(NETWORKDAYS(Proc[[#This Row],[DateOpened]],TODAY()))-1,ABS(NETWORKDAYS(Proc[[#This Row],[DateOpened]],Proc[[#This Row],[DateClosed]]))-1)</f>
        <v>4</v>
      </c>
      <c r="R4796" s="174" t="s">
        <v>5709</v>
      </c>
      <c r="S4796" s="150"/>
    </row>
    <row r="4797" spans="1:19" hidden="1">
      <c r="A4797" s="149" t="s">
        <v>7039</v>
      </c>
      <c r="B4797" s="150" t="str">
        <f>IFERROR(VLOOKUP(Proc[[#This Row],[App]],Table2[],3,0),"open")</f>
        <v>ok</v>
      </c>
      <c r="C4797" s="149" t="s">
        <v>369</v>
      </c>
      <c r="D4797" t="s">
        <v>7152</v>
      </c>
      <c r="E4797" s="149" t="s">
        <v>7238</v>
      </c>
      <c r="F4797" s="150" t="s">
        <v>7238</v>
      </c>
      <c r="G4797" s="149" t="s">
        <v>406</v>
      </c>
      <c r="H4797" s="150" t="str">
        <f>IF(Proc[[#This Row],[type]]="LFF (MDG-F)",MID(Proc[[#This Row],[Obj]],13,10),"")</f>
        <v>US01TQ1008</v>
      </c>
      <c r="I4797" s="149" t="s">
        <v>7238</v>
      </c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EL</v>
      </c>
      <c r="L4797" s="150" t="s">
        <v>6435</v>
      </c>
      <c r="M4797" s="173">
        <v>45989</v>
      </c>
      <c r="N4797" s="174"/>
      <c r="O4797" s="174"/>
      <c r="P4797" s="174" t="str">
        <f ca="1">IF(Proc[[#This Row],[DaysAgeing]]&gt;5,"yep","on track")</f>
        <v>on track</v>
      </c>
      <c r="Q4797" s="3">
        <f ca="1">IF(Proc[[#This Row],[DateClosed]]="",ABS(NETWORKDAYS(Proc[[#This Row],[DateOpened]],TODAY()))-1,ABS(NETWORKDAYS(Proc[[#This Row],[DateOpened]],Proc[[#This Row],[DateClosed]]))-1)</f>
        <v>4</v>
      </c>
      <c r="R4797" s="174" t="s">
        <v>5709</v>
      </c>
      <c r="S4797" s="150"/>
    </row>
    <row r="4798" spans="1:19" hidden="1">
      <c r="A4798" s="149" t="s">
        <v>7039</v>
      </c>
      <c r="B4798" s="150" t="str">
        <f>IFERROR(VLOOKUP(Proc[[#This Row],[App]],Table2[],3,0),"open")</f>
        <v>ok</v>
      </c>
      <c r="C4798" s="149" t="s">
        <v>369</v>
      </c>
      <c r="D4798" t="s">
        <v>7153</v>
      </c>
      <c r="E4798" s="149" t="s">
        <v>7238</v>
      </c>
      <c r="F4798" s="150" t="s">
        <v>7238</v>
      </c>
      <c r="G4798" s="149" t="s">
        <v>406</v>
      </c>
      <c r="H4798" s="150" t="str">
        <f>IF(Proc[[#This Row],[type]]="LFF (MDG-F)",MID(Proc[[#This Row],[Obj]],13,10),"")</f>
        <v>US01TQ1009</v>
      </c>
      <c r="I4798" s="149" t="s">
        <v>7238</v>
      </c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EL</v>
      </c>
      <c r="L4798" s="150" t="s">
        <v>6435</v>
      </c>
      <c r="M4798" s="173">
        <v>45989</v>
      </c>
      <c r="N4798" s="174"/>
      <c r="O4798" s="174"/>
      <c r="P4798" s="174" t="str">
        <f ca="1">IF(Proc[[#This Row],[DaysAgeing]]&gt;5,"yep","on track")</f>
        <v>on track</v>
      </c>
      <c r="Q4798" s="3">
        <f ca="1">IF(Proc[[#This Row],[DateClosed]]="",ABS(NETWORKDAYS(Proc[[#This Row],[DateOpened]],TODAY()))-1,ABS(NETWORKDAYS(Proc[[#This Row],[DateOpened]],Proc[[#This Row],[DateClosed]]))-1)</f>
        <v>4</v>
      </c>
      <c r="R4798" s="174" t="s">
        <v>5709</v>
      </c>
      <c r="S4798" s="150"/>
    </row>
    <row r="4799" spans="1:19" hidden="1">
      <c r="A4799" s="149" t="s">
        <v>7039</v>
      </c>
      <c r="B4799" s="150" t="str">
        <f>IFERROR(VLOOKUP(Proc[[#This Row],[App]],Table2[],3,0),"open")</f>
        <v>ok</v>
      </c>
      <c r="C4799" s="149" t="s">
        <v>369</v>
      </c>
      <c r="D4799" t="s">
        <v>7154</v>
      </c>
      <c r="E4799" s="149" t="s">
        <v>7238</v>
      </c>
      <c r="F4799" s="150" t="s">
        <v>7238</v>
      </c>
      <c r="G4799" s="149" t="s">
        <v>406</v>
      </c>
      <c r="H4799" s="150" t="str">
        <f>IF(Proc[[#This Row],[type]]="LFF (MDG-F)",MID(Proc[[#This Row],[Obj]],13,10),"")</f>
        <v>US10TQ1001</v>
      </c>
      <c r="I4799" s="149" t="s">
        <v>7238</v>
      </c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EL</v>
      </c>
      <c r="L4799" s="150" t="s">
        <v>6435</v>
      </c>
      <c r="M4799" s="173">
        <v>45989</v>
      </c>
      <c r="N4799" s="174"/>
      <c r="O4799" s="174"/>
      <c r="P4799" s="174" t="str">
        <f ca="1">IF(Proc[[#This Row],[DaysAgeing]]&gt;5,"yep","on track")</f>
        <v>on track</v>
      </c>
      <c r="Q4799" s="3">
        <f ca="1">IF(Proc[[#This Row],[DateClosed]]="",ABS(NETWORKDAYS(Proc[[#This Row],[DateOpened]],TODAY()))-1,ABS(NETWORKDAYS(Proc[[#This Row],[DateOpened]],Proc[[#This Row],[DateClosed]]))-1)</f>
        <v>4</v>
      </c>
      <c r="R4799" s="174" t="s">
        <v>5709</v>
      </c>
      <c r="S4799" s="150"/>
    </row>
    <row r="4800" spans="1:19" hidden="1">
      <c r="A4800" s="149" t="s">
        <v>7039</v>
      </c>
      <c r="B4800" s="150" t="str">
        <f>IFERROR(VLOOKUP(Proc[[#This Row],[App]],Table2[],3,0),"open")</f>
        <v>ok</v>
      </c>
      <c r="C4800" s="149" t="s">
        <v>369</v>
      </c>
      <c r="D4800" t="s">
        <v>7155</v>
      </c>
      <c r="E4800" s="149" t="s">
        <v>7238</v>
      </c>
      <c r="F4800" s="150" t="s">
        <v>7238</v>
      </c>
      <c r="G4800" s="149" t="s">
        <v>406</v>
      </c>
      <c r="H4800" s="150" t="str">
        <f>IF(Proc[[#This Row],[type]]="LFF (MDG-F)",MID(Proc[[#This Row],[Obj]],13,10),"")</f>
        <v>US10TQ1002</v>
      </c>
      <c r="I4800" s="149" t="s">
        <v>7238</v>
      </c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EL</v>
      </c>
      <c r="L4800" s="150" t="s">
        <v>6435</v>
      </c>
      <c r="M4800" s="173">
        <v>45989</v>
      </c>
      <c r="N4800" s="174"/>
      <c r="O4800" s="174"/>
      <c r="P4800" s="174" t="str">
        <f ca="1">IF(Proc[[#This Row],[DaysAgeing]]&gt;5,"yep","on track")</f>
        <v>on track</v>
      </c>
      <c r="Q4800" s="3">
        <f ca="1">IF(Proc[[#This Row],[DateClosed]]="",ABS(NETWORKDAYS(Proc[[#This Row],[DateOpened]],TODAY()))-1,ABS(NETWORKDAYS(Proc[[#This Row],[DateOpened]],Proc[[#This Row],[DateClosed]]))-1)</f>
        <v>4</v>
      </c>
      <c r="R4800" s="174" t="s">
        <v>5709</v>
      </c>
      <c r="S4800" s="150"/>
    </row>
    <row r="4801" spans="1:19" hidden="1">
      <c r="A4801" s="149" t="s">
        <v>7039</v>
      </c>
      <c r="B4801" s="150" t="str">
        <f>IFERROR(VLOOKUP(Proc[[#This Row],[App]],Table2[],3,0),"open")</f>
        <v>ok</v>
      </c>
      <c r="C4801" s="149" t="s">
        <v>369</v>
      </c>
      <c r="D4801" t="s">
        <v>7156</v>
      </c>
      <c r="E4801" s="149" t="s">
        <v>7238</v>
      </c>
      <c r="F4801" s="150" t="s">
        <v>7238</v>
      </c>
      <c r="G4801" s="149" t="s">
        <v>406</v>
      </c>
      <c r="H4801" s="150" t="str">
        <f>IF(Proc[[#This Row],[type]]="LFF (MDG-F)",MID(Proc[[#This Row],[Obj]],13,10),"")</f>
        <v>US10TQ1003</v>
      </c>
      <c r="I4801" s="149" t="s">
        <v>7238</v>
      </c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EL</v>
      </c>
      <c r="L4801" s="150" t="s">
        <v>6435</v>
      </c>
      <c r="M4801" s="173">
        <v>45989</v>
      </c>
      <c r="N4801" s="174"/>
      <c r="O4801" s="174"/>
      <c r="P4801" s="174" t="str">
        <f ca="1">IF(Proc[[#This Row],[DaysAgeing]]&gt;5,"yep","on track")</f>
        <v>on track</v>
      </c>
      <c r="Q4801" s="3">
        <f ca="1">IF(Proc[[#This Row],[DateClosed]]="",ABS(NETWORKDAYS(Proc[[#This Row],[DateOpened]],TODAY()))-1,ABS(NETWORKDAYS(Proc[[#This Row],[DateOpened]],Proc[[#This Row],[DateClosed]]))-1)</f>
        <v>4</v>
      </c>
      <c r="R4801" s="174" t="s">
        <v>5709</v>
      </c>
      <c r="S4801" s="150"/>
    </row>
    <row r="4802" spans="1:19" hidden="1">
      <c r="A4802" s="149" t="s">
        <v>7039</v>
      </c>
      <c r="B4802" s="150" t="str">
        <f>IFERROR(VLOOKUP(Proc[[#This Row],[App]],Table2[],3,0),"open")</f>
        <v>ok</v>
      </c>
      <c r="C4802" s="149" t="s">
        <v>369</v>
      </c>
      <c r="D4802" t="s">
        <v>7157</v>
      </c>
      <c r="E4802" s="149" t="s">
        <v>7238</v>
      </c>
      <c r="F4802" s="150" t="s">
        <v>7238</v>
      </c>
      <c r="G4802" s="149" t="s">
        <v>406</v>
      </c>
      <c r="H4802" s="150" t="str">
        <f>IF(Proc[[#This Row],[type]]="LFF (MDG-F)",MID(Proc[[#This Row],[Obj]],13,10),"")</f>
        <v>US10TQ1004</v>
      </c>
      <c r="I4802" s="149" t="s">
        <v>7238</v>
      </c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EL</v>
      </c>
      <c r="L4802" s="150" t="s">
        <v>6435</v>
      </c>
      <c r="M4802" s="173">
        <v>45989</v>
      </c>
      <c r="N4802" s="174"/>
      <c r="O4802" s="174"/>
      <c r="P4802" s="174" t="str">
        <f ca="1">IF(Proc[[#This Row],[DaysAgeing]]&gt;5,"yep","on track")</f>
        <v>on track</v>
      </c>
      <c r="Q4802" s="3">
        <f ca="1">IF(Proc[[#This Row],[DateClosed]]="",ABS(NETWORKDAYS(Proc[[#This Row],[DateOpened]],TODAY()))-1,ABS(NETWORKDAYS(Proc[[#This Row],[DateOpened]],Proc[[#This Row],[DateClosed]]))-1)</f>
        <v>4</v>
      </c>
      <c r="R4802" s="174" t="s">
        <v>5709</v>
      </c>
      <c r="S4802" s="150"/>
    </row>
    <row r="4803" spans="1:19" hidden="1">
      <c r="A4803" s="149" t="s">
        <v>7039</v>
      </c>
      <c r="B4803" s="150" t="str">
        <f>IFERROR(VLOOKUP(Proc[[#This Row],[App]],Table2[],3,0),"open")</f>
        <v>ok</v>
      </c>
      <c r="C4803" s="149" t="s">
        <v>369</v>
      </c>
      <c r="D4803" t="s">
        <v>7158</v>
      </c>
      <c r="E4803" s="149" t="s">
        <v>7238</v>
      </c>
      <c r="F4803" s="150" t="s">
        <v>7238</v>
      </c>
      <c r="G4803" s="149" t="s">
        <v>406</v>
      </c>
      <c r="H4803" s="150" t="str">
        <f>IF(Proc[[#This Row],[type]]="LFF (MDG-F)",MID(Proc[[#This Row],[Obj]],13,10),"")</f>
        <v>US10TQ1005</v>
      </c>
      <c r="I4803" s="149" t="s">
        <v>7238</v>
      </c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EL</v>
      </c>
      <c r="L4803" s="150" t="s">
        <v>6435</v>
      </c>
      <c r="M4803" s="173">
        <v>45989</v>
      </c>
      <c r="N4803" s="174"/>
      <c r="O4803" s="174"/>
      <c r="P4803" s="174" t="str">
        <f ca="1">IF(Proc[[#This Row],[DaysAgeing]]&gt;5,"yep","on track")</f>
        <v>on track</v>
      </c>
      <c r="Q4803" s="3">
        <f ca="1">IF(Proc[[#This Row],[DateClosed]]="",ABS(NETWORKDAYS(Proc[[#This Row],[DateOpened]],TODAY()))-1,ABS(NETWORKDAYS(Proc[[#This Row],[DateOpened]],Proc[[#This Row],[DateClosed]]))-1)</f>
        <v>4</v>
      </c>
      <c r="R4803" s="174" t="s">
        <v>5709</v>
      </c>
      <c r="S4803" s="150"/>
    </row>
    <row r="4804" spans="1:19" hidden="1">
      <c r="A4804" s="149" t="s">
        <v>7039</v>
      </c>
      <c r="B4804" s="150" t="str">
        <f>IFERROR(VLOOKUP(Proc[[#This Row],[App]],Table2[],3,0),"open")</f>
        <v>ok</v>
      </c>
      <c r="C4804" s="149" t="s">
        <v>369</v>
      </c>
      <c r="D4804" t="s">
        <v>7159</v>
      </c>
      <c r="E4804" s="149" t="s">
        <v>7238</v>
      </c>
      <c r="F4804" s="150" t="s">
        <v>7238</v>
      </c>
      <c r="G4804" s="149" t="s">
        <v>406</v>
      </c>
      <c r="H4804" s="150" t="str">
        <f>IF(Proc[[#This Row],[type]]="LFF (MDG-F)",MID(Proc[[#This Row],[Obj]],13,10),"")</f>
        <v>US10TQ1006</v>
      </c>
      <c r="I4804" s="149" t="s">
        <v>7238</v>
      </c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EL</v>
      </c>
      <c r="L4804" s="150" t="s">
        <v>6435</v>
      </c>
      <c r="M4804" s="173">
        <v>45989</v>
      </c>
      <c r="N4804" s="174"/>
      <c r="O4804" s="174"/>
      <c r="P4804" s="174" t="str">
        <f ca="1">IF(Proc[[#This Row],[DaysAgeing]]&gt;5,"yep","on track")</f>
        <v>on track</v>
      </c>
      <c r="Q4804" s="3">
        <f ca="1">IF(Proc[[#This Row],[DateClosed]]="",ABS(NETWORKDAYS(Proc[[#This Row],[DateOpened]],TODAY()))-1,ABS(NETWORKDAYS(Proc[[#This Row],[DateOpened]],Proc[[#This Row],[DateClosed]]))-1)</f>
        <v>4</v>
      </c>
      <c r="R4804" s="174" t="s">
        <v>5709</v>
      </c>
      <c r="S4804" s="150"/>
    </row>
    <row r="4805" spans="1:19" hidden="1">
      <c r="A4805" s="149" t="s">
        <v>7039</v>
      </c>
      <c r="B4805" s="150" t="str">
        <f>IFERROR(VLOOKUP(Proc[[#This Row],[App]],Table2[],3,0),"open")</f>
        <v>ok</v>
      </c>
      <c r="C4805" s="149" t="s">
        <v>369</v>
      </c>
      <c r="D4805" t="s">
        <v>7160</v>
      </c>
      <c r="E4805" s="149" t="s">
        <v>7238</v>
      </c>
      <c r="F4805" s="150" t="s">
        <v>7238</v>
      </c>
      <c r="G4805" s="149" t="s">
        <v>406</v>
      </c>
      <c r="H4805" s="150" t="str">
        <f>IF(Proc[[#This Row],[type]]="LFF (MDG-F)",MID(Proc[[#This Row],[Obj]],13,10),"")</f>
        <v>US10TQ1007</v>
      </c>
      <c r="I4805" s="149" t="s">
        <v>7238</v>
      </c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EL</v>
      </c>
      <c r="L4805" s="150" t="s">
        <v>6435</v>
      </c>
      <c r="M4805" s="173">
        <v>45989</v>
      </c>
      <c r="N4805" s="174"/>
      <c r="O4805" s="174"/>
      <c r="P4805" s="174" t="str">
        <f ca="1">IF(Proc[[#This Row],[DaysAgeing]]&gt;5,"yep","on track")</f>
        <v>on track</v>
      </c>
      <c r="Q4805" s="3">
        <f ca="1">IF(Proc[[#This Row],[DateClosed]]="",ABS(NETWORKDAYS(Proc[[#This Row],[DateOpened]],TODAY()))-1,ABS(NETWORKDAYS(Proc[[#This Row],[DateOpened]],Proc[[#This Row],[DateClosed]]))-1)</f>
        <v>4</v>
      </c>
      <c r="R4805" s="174" t="s">
        <v>5709</v>
      </c>
      <c r="S4805" s="150"/>
    </row>
    <row r="4806" spans="1:19" hidden="1">
      <c r="A4806" s="149" t="s">
        <v>7039</v>
      </c>
      <c r="B4806" s="150" t="str">
        <f>IFERROR(VLOOKUP(Proc[[#This Row],[App]],Table2[],3,0),"open")</f>
        <v>ok</v>
      </c>
      <c r="C4806" s="149" t="s">
        <v>369</v>
      </c>
      <c r="D4806" t="s">
        <v>7161</v>
      </c>
      <c r="E4806" s="149" t="s">
        <v>7238</v>
      </c>
      <c r="F4806" s="150" t="s">
        <v>7238</v>
      </c>
      <c r="G4806" s="149" t="s">
        <v>406</v>
      </c>
      <c r="H4806" s="150" t="str">
        <f>IF(Proc[[#This Row],[type]]="LFF (MDG-F)",MID(Proc[[#This Row],[Obj]],13,10),"")</f>
        <v>US10TQ1008</v>
      </c>
      <c r="I4806" s="149" t="s">
        <v>7238</v>
      </c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EL</v>
      </c>
      <c r="L4806" s="150" t="s">
        <v>6435</v>
      </c>
      <c r="M4806" s="173">
        <v>45989</v>
      </c>
      <c r="N4806" s="174"/>
      <c r="O4806" s="174"/>
      <c r="P4806" s="174" t="str">
        <f ca="1">IF(Proc[[#This Row],[DaysAgeing]]&gt;5,"yep","on track")</f>
        <v>on track</v>
      </c>
      <c r="Q4806" s="3">
        <f ca="1">IF(Proc[[#This Row],[DateClosed]]="",ABS(NETWORKDAYS(Proc[[#This Row],[DateOpened]],TODAY()))-1,ABS(NETWORKDAYS(Proc[[#This Row],[DateOpened]],Proc[[#This Row],[DateClosed]]))-1)</f>
        <v>4</v>
      </c>
      <c r="R4806" s="174" t="s">
        <v>5709</v>
      </c>
      <c r="S4806" s="150"/>
    </row>
    <row r="4807" spans="1:19" hidden="1">
      <c r="A4807" s="149" t="s">
        <v>7039</v>
      </c>
      <c r="B4807" s="150" t="str">
        <f>IFERROR(VLOOKUP(Proc[[#This Row],[App]],Table2[],3,0),"open")</f>
        <v>ok</v>
      </c>
      <c r="C4807" s="149" t="s">
        <v>369</v>
      </c>
      <c r="D4807" t="s">
        <v>7162</v>
      </c>
      <c r="E4807" s="149" t="s">
        <v>7238</v>
      </c>
      <c r="F4807" s="150" t="s">
        <v>7238</v>
      </c>
      <c r="G4807" s="149" t="s">
        <v>406</v>
      </c>
      <c r="H4807" s="150" t="str">
        <f>IF(Proc[[#This Row],[type]]="LFF (MDG-F)",MID(Proc[[#This Row],[Obj]],13,10),"")</f>
        <v>US10TQ1009</v>
      </c>
      <c r="I4807" s="149" t="s">
        <v>7238</v>
      </c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EL</v>
      </c>
      <c r="L4807" s="150" t="s">
        <v>6435</v>
      </c>
      <c r="M4807" s="173">
        <v>45989</v>
      </c>
      <c r="N4807" s="174"/>
      <c r="O4807" s="174"/>
      <c r="P4807" s="174" t="str">
        <f ca="1">IF(Proc[[#This Row],[DaysAgeing]]&gt;5,"yep","on track")</f>
        <v>on track</v>
      </c>
      <c r="Q4807" s="3">
        <f ca="1">IF(Proc[[#This Row],[DateClosed]]="",ABS(NETWORKDAYS(Proc[[#This Row],[DateOpened]],TODAY()))-1,ABS(NETWORKDAYS(Proc[[#This Row],[DateOpened]],Proc[[#This Row],[DateClosed]]))-1)</f>
        <v>4</v>
      </c>
      <c r="R4807" s="174" t="s">
        <v>5709</v>
      </c>
      <c r="S4807" s="150"/>
    </row>
    <row r="4808" spans="1:19" hidden="1">
      <c r="A4808" s="149" t="s">
        <v>7039</v>
      </c>
      <c r="B4808" s="150" t="str">
        <f>IFERROR(VLOOKUP(Proc[[#This Row],[App]],Table2[],3,0),"open")</f>
        <v>ok</v>
      </c>
      <c r="C4808" s="149" t="s">
        <v>369</v>
      </c>
      <c r="D4808" t="s">
        <v>7163</v>
      </c>
      <c r="E4808" s="149" t="s">
        <v>7238</v>
      </c>
      <c r="F4808" s="150" t="s">
        <v>7238</v>
      </c>
      <c r="G4808" s="149" t="s">
        <v>406</v>
      </c>
      <c r="H4808" s="150" t="str">
        <f>IF(Proc[[#This Row],[type]]="LFF (MDG-F)",MID(Proc[[#This Row],[Obj]],13,10),"")</f>
        <v>US10TQ1010</v>
      </c>
      <c r="I4808" s="149" t="s">
        <v>7238</v>
      </c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EL</v>
      </c>
      <c r="L4808" s="150" t="s">
        <v>6435</v>
      </c>
      <c r="M4808" s="173">
        <v>45989</v>
      </c>
      <c r="N4808" s="174"/>
      <c r="O4808" s="174"/>
      <c r="P4808" s="174" t="str">
        <f ca="1">IF(Proc[[#This Row],[DaysAgeing]]&gt;5,"yep","on track")</f>
        <v>on track</v>
      </c>
      <c r="Q4808" s="3">
        <f ca="1">IF(Proc[[#This Row],[DateClosed]]="",ABS(NETWORKDAYS(Proc[[#This Row],[DateOpened]],TODAY()))-1,ABS(NETWORKDAYS(Proc[[#This Row],[DateOpened]],Proc[[#This Row],[DateClosed]]))-1)</f>
        <v>4</v>
      </c>
      <c r="R4808" s="174" t="s">
        <v>5709</v>
      </c>
      <c r="S4808" s="150"/>
    </row>
    <row r="4809" spans="1:19" hidden="1">
      <c r="A4809" s="149" t="s">
        <v>7039</v>
      </c>
      <c r="B4809" s="150" t="str">
        <f>IFERROR(VLOOKUP(Proc[[#This Row],[App]],Table2[],3,0),"open")</f>
        <v>ok</v>
      </c>
      <c r="C4809" s="149" t="s">
        <v>369</v>
      </c>
      <c r="D4809" t="s">
        <v>7164</v>
      </c>
      <c r="E4809" s="149" t="s">
        <v>7238</v>
      </c>
      <c r="F4809" s="150" t="s">
        <v>7238</v>
      </c>
      <c r="G4809" s="149" t="s">
        <v>406</v>
      </c>
      <c r="H4809" s="150" t="str">
        <f>IF(Proc[[#This Row],[type]]="LFF (MDG-F)",MID(Proc[[#This Row],[Obj]],13,10),"")</f>
        <v>US10TQ1011</v>
      </c>
      <c r="I4809" s="149" t="s">
        <v>7238</v>
      </c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EL</v>
      </c>
      <c r="L4809" s="150" t="s">
        <v>6435</v>
      </c>
      <c r="M4809" s="173">
        <v>45989</v>
      </c>
      <c r="N4809" s="174"/>
      <c r="O4809" s="174"/>
      <c r="P4809" s="174" t="str">
        <f ca="1">IF(Proc[[#This Row],[DaysAgeing]]&gt;5,"yep","on track")</f>
        <v>on track</v>
      </c>
      <c r="Q4809" s="3">
        <f ca="1">IF(Proc[[#This Row],[DateClosed]]="",ABS(NETWORKDAYS(Proc[[#This Row],[DateOpened]],TODAY()))-1,ABS(NETWORKDAYS(Proc[[#This Row],[DateOpened]],Proc[[#This Row],[DateClosed]]))-1)</f>
        <v>4</v>
      </c>
      <c r="R4809" s="174" t="s">
        <v>5709</v>
      </c>
      <c r="S4809" s="150"/>
    </row>
    <row r="4810" spans="1:19" hidden="1">
      <c r="A4810" s="149" t="s">
        <v>7039</v>
      </c>
      <c r="B4810" s="150" t="str">
        <f>IFERROR(VLOOKUP(Proc[[#This Row],[App]],Table2[],3,0),"open")</f>
        <v>ok</v>
      </c>
      <c r="C4810" s="149" t="s">
        <v>369</v>
      </c>
      <c r="D4810" t="s">
        <v>7165</v>
      </c>
      <c r="E4810" s="149" t="s">
        <v>7238</v>
      </c>
      <c r="F4810" s="150" t="s">
        <v>7238</v>
      </c>
      <c r="G4810" s="149" t="s">
        <v>406</v>
      </c>
      <c r="H4810" s="150" t="str">
        <f>IF(Proc[[#This Row],[type]]="LFF (MDG-F)",MID(Proc[[#This Row],[Obj]],13,10),"")</f>
        <v>US10TQ1012</v>
      </c>
      <c r="I4810" s="149" t="s">
        <v>7238</v>
      </c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EL</v>
      </c>
      <c r="L4810" s="150" t="s">
        <v>6435</v>
      </c>
      <c r="M4810" s="173">
        <v>45989</v>
      </c>
      <c r="N4810" s="174"/>
      <c r="O4810" s="174"/>
      <c r="P4810" s="174" t="str">
        <f ca="1">IF(Proc[[#This Row],[DaysAgeing]]&gt;5,"yep","on track")</f>
        <v>on track</v>
      </c>
      <c r="Q4810" s="3">
        <f ca="1">IF(Proc[[#This Row],[DateClosed]]="",ABS(NETWORKDAYS(Proc[[#This Row],[DateOpened]],TODAY()))-1,ABS(NETWORKDAYS(Proc[[#This Row],[DateOpened]],Proc[[#This Row],[DateClosed]]))-1)</f>
        <v>4</v>
      </c>
      <c r="R4810" s="174" t="s">
        <v>5709</v>
      </c>
      <c r="S4810" s="150"/>
    </row>
    <row r="4811" spans="1:19" hidden="1">
      <c r="A4811" s="149" t="s">
        <v>7039</v>
      </c>
      <c r="B4811" s="150" t="str">
        <f>IFERROR(VLOOKUP(Proc[[#This Row],[App]],Table2[],3,0),"open")</f>
        <v>ok</v>
      </c>
      <c r="C4811" s="149" t="s">
        <v>369</v>
      </c>
      <c r="D4811" t="s">
        <v>7166</v>
      </c>
      <c r="E4811" s="149" t="s">
        <v>7238</v>
      </c>
      <c r="F4811" s="150" t="s">
        <v>7238</v>
      </c>
      <c r="G4811" s="149" t="s">
        <v>406</v>
      </c>
      <c r="H4811" s="150" t="str">
        <f>IF(Proc[[#This Row],[type]]="LFF (MDG-F)",MID(Proc[[#This Row],[Obj]],13,10),"")</f>
        <v>US10TQ1013</v>
      </c>
      <c r="I4811" s="149" t="s">
        <v>7238</v>
      </c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EL</v>
      </c>
      <c r="L4811" s="150" t="s">
        <v>6435</v>
      </c>
      <c r="M4811" s="173">
        <v>45989</v>
      </c>
      <c r="N4811" s="174"/>
      <c r="O4811" s="174"/>
      <c r="P4811" s="174" t="str">
        <f ca="1">IF(Proc[[#This Row],[DaysAgeing]]&gt;5,"yep","on track")</f>
        <v>on track</v>
      </c>
      <c r="Q4811" s="3">
        <f ca="1">IF(Proc[[#This Row],[DateClosed]]="",ABS(NETWORKDAYS(Proc[[#This Row],[DateOpened]],TODAY()))-1,ABS(NETWORKDAYS(Proc[[#This Row],[DateOpened]],Proc[[#This Row],[DateClosed]]))-1)</f>
        <v>4</v>
      </c>
      <c r="R4811" s="174" t="s">
        <v>5709</v>
      </c>
      <c r="S4811" s="150"/>
    </row>
    <row r="4812" spans="1:19" hidden="1">
      <c r="A4812" s="149" t="s">
        <v>7039</v>
      </c>
      <c r="B4812" s="150" t="str">
        <f>IFERROR(VLOOKUP(Proc[[#This Row],[App]],Table2[],3,0),"open")</f>
        <v>ok</v>
      </c>
      <c r="C4812" s="149" t="s">
        <v>369</v>
      </c>
      <c r="D4812" t="s">
        <v>7167</v>
      </c>
      <c r="E4812" s="149" t="s">
        <v>7239</v>
      </c>
      <c r="F4812" s="150" t="s">
        <v>7239</v>
      </c>
      <c r="G4812" s="149" t="s">
        <v>406</v>
      </c>
      <c r="H4812" s="150" t="str">
        <f>IF(Proc[[#This Row],[type]]="LFF (MDG-F)",MID(Proc[[#This Row],[Obj]],13,10),"")</f>
        <v>US01TPBZ01</v>
      </c>
      <c r="I4812" s="149" t="s">
        <v>7239</v>
      </c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EL</v>
      </c>
      <c r="L4812" s="150" t="s">
        <v>6435</v>
      </c>
      <c r="M4812" s="173">
        <v>45989</v>
      </c>
      <c r="N4812" s="174"/>
      <c r="O4812" s="174"/>
      <c r="P4812" s="174" t="str">
        <f ca="1">IF(Proc[[#This Row],[DaysAgeing]]&gt;5,"yep","on track")</f>
        <v>on track</v>
      </c>
      <c r="Q4812" s="3">
        <f ca="1">IF(Proc[[#This Row],[DateClosed]]="",ABS(NETWORKDAYS(Proc[[#This Row],[DateOpened]],TODAY()))-1,ABS(NETWORKDAYS(Proc[[#This Row],[DateOpened]],Proc[[#This Row],[DateClosed]]))-1)</f>
        <v>4</v>
      </c>
      <c r="R4812" s="174" t="s">
        <v>5709</v>
      </c>
      <c r="S4812" s="150"/>
    </row>
    <row r="4813" spans="1:19" hidden="1">
      <c r="A4813" s="149" t="s">
        <v>7039</v>
      </c>
      <c r="B4813" s="150" t="str">
        <f>IFERROR(VLOOKUP(Proc[[#This Row],[App]],Table2[],3,0),"open")</f>
        <v>ok</v>
      </c>
      <c r="C4813" s="149" t="s">
        <v>369</v>
      </c>
      <c r="D4813" t="s">
        <v>7168</v>
      </c>
      <c r="E4813" s="149" t="s">
        <v>7239</v>
      </c>
      <c r="F4813" s="150" t="s">
        <v>7239</v>
      </c>
      <c r="G4813" s="149" t="s">
        <v>406</v>
      </c>
      <c r="H4813" s="150" t="str">
        <f>IF(Proc[[#This Row],[type]]="LFF (MDG-F)",MID(Proc[[#This Row],[Obj]],13,10),"")</f>
        <v>US01TPBZ02</v>
      </c>
      <c r="I4813" s="149" t="s">
        <v>7239</v>
      </c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EL</v>
      </c>
      <c r="L4813" s="150" t="s">
        <v>6435</v>
      </c>
      <c r="M4813" s="173">
        <v>45989</v>
      </c>
      <c r="N4813" s="174"/>
      <c r="O4813" s="174"/>
      <c r="P4813" s="174" t="str">
        <f ca="1">IF(Proc[[#This Row],[DaysAgeing]]&gt;5,"yep","on track")</f>
        <v>on track</v>
      </c>
      <c r="Q4813" s="3">
        <f ca="1">IF(Proc[[#This Row],[DateClosed]]="",ABS(NETWORKDAYS(Proc[[#This Row],[DateOpened]],TODAY()))-1,ABS(NETWORKDAYS(Proc[[#This Row],[DateOpened]],Proc[[#This Row],[DateClosed]]))-1)</f>
        <v>4</v>
      </c>
      <c r="R4813" s="174" t="s">
        <v>5709</v>
      </c>
      <c r="S4813" s="150"/>
    </row>
    <row r="4814" spans="1:19" hidden="1">
      <c r="A4814" s="149" t="s">
        <v>7039</v>
      </c>
      <c r="B4814" s="150" t="str">
        <f>IFERROR(VLOOKUP(Proc[[#This Row],[App]],Table2[],3,0),"open")</f>
        <v>ok</v>
      </c>
      <c r="C4814" s="149" t="s">
        <v>369</v>
      </c>
      <c r="D4814" t="s">
        <v>7169</v>
      </c>
      <c r="E4814" s="149" t="s">
        <v>7239</v>
      </c>
      <c r="F4814" s="150" t="s">
        <v>7239</v>
      </c>
      <c r="G4814" s="149" t="s">
        <v>406</v>
      </c>
      <c r="H4814" s="150" t="str">
        <f>IF(Proc[[#This Row],[type]]="LFF (MDG-F)",MID(Proc[[#This Row],[Obj]],13,10),"")</f>
        <v>US01TQBZ01</v>
      </c>
      <c r="I4814" s="149" t="s">
        <v>7239</v>
      </c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EL</v>
      </c>
      <c r="L4814" s="150" t="s">
        <v>6435</v>
      </c>
      <c r="M4814" s="173">
        <v>45989</v>
      </c>
      <c r="N4814" s="174"/>
      <c r="O4814" s="174"/>
      <c r="P4814" s="174" t="str">
        <f ca="1">IF(Proc[[#This Row],[DaysAgeing]]&gt;5,"yep","on track")</f>
        <v>on track</v>
      </c>
      <c r="Q4814" s="3">
        <f ca="1">IF(Proc[[#This Row],[DateClosed]]="",ABS(NETWORKDAYS(Proc[[#This Row],[DateOpened]],TODAY()))-1,ABS(NETWORKDAYS(Proc[[#This Row],[DateOpened]],Proc[[#This Row],[DateClosed]]))-1)</f>
        <v>4</v>
      </c>
      <c r="R4814" s="174" t="s">
        <v>5709</v>
      </c>
      <c r="S4814" s="150"/>
    </row>
    <row r="4815" spans="1:19" hidden="1">
      <c r="A4815" s="149" t="s">
        <v>7039</v>
      </c>
      <c r="B4815" s="150" t="str">
        <f>IFERROR(VLOOKUP(Proc[[#This Row],[App]],Table2[],3,0),"open")</f>
        <v>ok</v>
      </c>
      <c r="C4815" s="149" t="s">
        <v>369</v>
      </c>
      <c r="D4815" t="s">
        <v>7170</v>
      </c>
      <c r="E4815" s="149" t="s">
        <v>7239</v>
      </c>
      <c r="F4815" s="150" t="s">
        <v>7239</v>
      </c>
      <c r="G4815" s="149" t="s">
        <v>406</v>
      </c>
      <c r="H4815" s="150" t="str">
        <f>IF(Proc[[#This Row],[type]]="LFF (MDG-F)",MID(Proc[[#This Row],[Obj]],13,10),"")</f>
        <v>US01TQHZ01</v>
      </c>
      <c r="I4815" s="149" t="s">
        <v>7239</v>
      </c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EL</v>
      </c>
      <c r="L4815" s="150" t="s">
        <v>6435</v>
      </c>
      <c r="M4815" s="173">
        <v>45989</v>
      </c>
      <c r="N4815" s="174"/>
      <c r="O4815" s="174"/>
      <c r="P4815" s="174" t="str">
        <f ca="1">IF(Proc[[#This Row],[DaysAgeing]]&gt;5,"yep","on track")</f>
        <v>on track</v>
      </c>
      <c r="Q4815" s="3">
        <f ca="1">IF(Proc[[#This Row],[DateClosed]]="",ABS(NETWORKDAYS(Proc[[#This Row],[DateOpened]],TODAY()))-1,ABS(NETWORKDAYS(Proc[[#This Row],[DateOpened]],Proc[[#This Row],[DateClosed]]))-1)</f>
        <v>4</v>
      </c>
      <c r="R4815" s="174" t="s">
        <v>5709</v>
      </c>
      <c r="S4815" s="150"/>
    </row>
    <row r="4816" spans="1:19" hidden="1">
      <c r="A4816" s="149" t="s">
        <v>7039</v>
      </c>
      <c r="B4816" s="150" t="str">
        <f>IFERROR(VLOOKUP(Proc[[#This Row],[App]],Table2[],3,0),"open")</f>
        <v>ok</v>
      </c>
      <c r="C4816" s="149" t="s">
        <v>369</v>
      </c>
      <c r="D4816" t="s">
        <v>7171</v>
      </c>
      <c r="E4816" s="149" t="s">
        <v>7239</v>
      </c>
      <c r="F4816" s="150" t="s">
        <v>7239</v>
      </c>
      <c r="G4816" s="149" t="s">
        <v>406</v>
      </c>
      <c r="H4816" s="150" t="str">
        <f>IF(Proc[[#This Row],[type]]="LFF (MDG-F)",MID(Proc[[#This Row],[Obj]],13,10),"")</f>
        <v>US01TQHZ03</v>
      </c>
      <c r="I4816" s="149" t="s">
        <v>7239</v>
      </c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EL</v>
      </c>
      <c r="L4816" s="150" t="s">
        <v>6435</v>
      </c>
      <c r="M4816" s="173">
        <v>45989</v>
      </c>
      <c r="N4816" s="174"/>
      <c r="O4816" s="174"/>
      <c r="P4816" s="174" t="str">
        <f ca="1">IF(Proc[[#This Row],[DaysAgeing]]&gt;5,"yep","on track")</f>
        <v>on track</v>
      </c>
      <c r="Q4816" s="3">
        <f ca="1">IF(Proc[[#This Row],[DateClosed]]="",ABS(NETWORKDAYS(Proc[[#This Row],[DateOpened]],TODAY()))-1,ABS(NETWORKDAYS(Proc[[#This Row],[DateOpened]],Proc[[#This Row],[DateClosed]]))-1)</f>
        <v>4</v>
      </c>
      <c r="R4816" s="174" t="s">
        <v>5709</v>
      </c>
      <c r="S4816" s="150"/>
    </row>
    <row r="4817" spans="1:19" hidden="1">
      <c r="A4817" s="149" t="s">
        <v>7039</v>
      </c>
      <c r="B4817" s="150" t="str">
        <f>IFERROR(VLOOKUP(Proc[[#This Row],[App]],Table2[],3,0),"open")</f>
        <v>ok</v>
      </c>
      <c r="C4817" s="149" t="s">
        <v>369</v>
      </c>
      <c r="D4817" t="s">
        <v>7172</v>
      </c>
      <c r="E4817" s="149" t="s">
        <v>7239</v>
      </c>
      <c r="F4817" s="150" t="s">
        <v>7239</v>
      </c>
      <c r="G4817" s="149" t="s">
        <v>406</v>
      </c>
      <c r="H4817" s="150" t="str">
        <f>IF(Proc[[#This Row],[type]]="LFF (MDG-F)",MID(Proc[[#This Row],[Obj]],13,10),"")</f>
        <v>US10DB3000</v>
      </c>
      <c r="I4817" s="149" t="s">
        <v>7239</v>
      </c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EL</v>
      </c>
      <c r="L4817" s="150" t="s">
        <v>6435</v>
      </c>
      <c r="M4817" s="173">
        <v>45989</v>
      </c>
      <c r="N4817" s="174"/>
      <c r="O4817" s="174"/>
      <c r="P4817" s="174" t="str">
        <f ca="1">IF(Proc[[#This Row],[DaysAgeing]]&gt;5,"yep","on track")</f>
        <v>on track</v>
      </c>
      <c r="Q4817" s="3">
        <f ca="1">IF(Proc[[#This Row],[DateClosed]]="",ABS(NETWORKDAYS(Proc[[#This Row],[DateOpened]],TODAY()))-1,ABS(NETWORKDAYS(Proc[[#This Row],[DateOpened]],Proc[[#This Row],[DateClosed]]))-1)</f>
        <v>4</v>
      </c>
      <c r="R4817" s="174" t="s">
        <v>5709</v>
      </c>
      <c r="S4817" s="150"/>
    </row>
    <row r="4818" spans="1:19" hidden="1">
      <c r="A4818" s="149" t="s">
        <v>7039</v>
      </c>
      <c r="B4818" s="150" t="str">
        <f>IFERROR(VLOOKUP(Proc[[#This Row],[App]],Table2[],3,0),"open")</f>
        <v>ok</v>
      </c>
      <c r="C4818" s="149" t="s">
        <v>369</v>
      </c>
      <c r="D4818" t="s">
        <v>7173</v>
      </c>
      <c r="E4818" s="149" t="s">
        <v>7239</v>
      </c>
      <c r="F4818" s="150" t="s">
        <v>7239</v>
      </c>
      <c r="G4818" s="149" t="s">
        <v>406</v>
      </c>
      <c r="H4818" s="150" t="str">
        <f>IF(Proc[[#This Row],[type]]="LFF (MDG-F)",MID(Proc[[#This Row],[Obj]],13,10),"")</f>
        <v>US10DB3012</v>
      </c>
      <c r="I4818" s="149" t="s">
        <v>7239</v>
      </c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EL</v>
      </c>
      <c r="L4818" s="150" t="s">
        <v>6435</v>
      </c>
      <c r="M4818" s="173">
        <v>45989</v>
      </c>
      <c r="N4818" s="174"/>
      <c r="O4818" s="174"/>
      <c r="P4818" s="174" t="str">
        <f ca="1">IF(Proc[[#This Row],[DaysAgeing]]&gt;5,"yep","on track")</f>
        <v>on track</v>
      </c>
      <c r="Q4818" s="3">
        <f ca="1">IF(Proc[[#This Row],[DateClosed]]="",ABS(NETWORKDAYS(Proc[[#This Row],[DateOpened]],TODAY()))-1,ABS(NETWORKDAYS(Proc[[#This Row],[DateOpened]],Proc[[#This Row],[DateClosed]]))-1)</f>
        <v>4</v>
      </c>
      <c r="R4818" s="174" t="s">
        <v>5709</v>
      </c>
      <c r="S4818" s="150"/>
    </row>
    <row r="4819" spans="1:19" hidden="1">
      <c r="A4819" s="149" t="s">
        <v>7039</v>
      </c>
      <c r="B4819" s="150" t="str">
        <f>IFERROR(VLOOKUP(Proc[[#This Row],[App]],Table2[],3,0),"open")</f>
        <v>ok</v>
      </c>
      <c r="C4819" s="149" t="s">
        <v>369</v>
      </c>
      <c r="D4819" t="s">
        <v>7174</v>
      </c>
      <c r="E4819" s="149" t="s">
        <v>7239</v>
      </c>
      <c r="F4819" s="150" t="s">
        <v>7239</v>
      </c>
      <c r="G4819" s="149" t="s">
        <v>406</v>
      </c>
      <c r="H4819" s="150" t="str">
        <f>IF(Proc[[#This Row],[type]]="LFF (MDG-F)",MID(Proc[[#This Row],[Obj]],13,10),"")</f>
        <v>US10DB3013</v>
      </c>
      <c r="I4819" s="149" t="s">
        <v>7239</v>
      </c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EL</v>
      </c>
      <c r="L4819" s="150" t="s">
        <v>6435</v>
      </c>
      <c r="M4819" s="173">
        <v>45989</v>
      </c>
      <c r="N4819" s="174"/>
      <c r="O4819" s="174"/>
      <c r="P4819" s="174" t="str">
        <f ca="1">IF(Proc[[#This Row],[DaysAgeing]]&gt;5,"yep","on track")</f>
        <v>on track</v>
      </c>
      <c r="Q4819" s="3">
        <f ca="1">IF(Proc[[#This Row],[DateClosed]]="",ABS(NETWORKDAYS(Proc[[#This Row],[DateOpened]],TODAY()))-1,ABS(NETWORKDAYS(Proc[[#This Row],[DateOpened]],Proc[[#This Row],[DateClosed]]))-1)</f>
        <v>4</v>
      </c>
      <c r="R4819" s="174" t="s">
        <v>5709</v>
      </c>
      <c r="S4819" s="150"/>
    </row>
    <row r="4820" spans="1:19" hidden="1">
      <c r="A4820" s="149" t="s">
        <v>7039</v>
      </c>
      <c r="B4820" s="150" t="str">
        <f>IFERROR(VLOOKUP(Proc[[#This Row],[App]],Table2[],3,0),"open")</f>
        <v>ok</v>
      </c>
      <c r="C4820" s="149" t="s">
        <v>369</v>
      </c>
      <c r="D4820" t="s">
        <v>7175</v>
      </c>
      <c r="E4820" s="149" t="s">
        <v>7239</v>
      </c>
      <c r="F4820" s="150" t="s">
        <v>7239</v>
      </c>
      <c r="G4820" s="149" t="s">
        <v>406</v>
      </c>
      <c r="H4820" s="150" t="str">
        <f>IF(Proc[[#This Row],[type]]="LFF (MDG-F)",MID(Proc[[#This Row],[Obj]],13,10),"")</f>
        <v>US10DB3016</v>
      </c>
      <c r="I4820" s="149" t="s">
        <v>7239</v>
      </c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EL</v>
      </c>
      <c r="L4820" s="150" t="s">
        <v>6435</v>
      </c>
      <c r="M4820" s="173">
        <v>45989</v>
      </c>
      <c r="N4820" s="174"/>
      <c r="O4820" s="174"/>
      <c r="P4820" s="174" t="str">
        <f ca="1">IF(Proc[[#This Row],[DaysAgeing]]&gt;5,"yep","on track")</f>
        <v>on track</v>
      </c>
      <c r="Q4820" s="3">
        <f ca="1">IF(Proc[[#This Row],[DateClosed]]="",ABS(NETWORKDAYS(Proc[[#This Row],[DateOpened]],TODAY()))-1,ABS(NETWORKDAYS(Proc[[#This Row],[DateOpened]],Proc[[#This Row],[DateClosed]]))-1)</f>
        <v>4</v>
      </c>
      <c r="R4820" s="174" t="s">
        <v>5709</v>
      </c>
      <c r="S4820" s="150"/>
    </row>
    <row r="4821" spans="1:19" hidden="1">
      <c r="A4821" s="149" t="s">
        <v>7039</v>
      </c>
      <c r="B4821" s="150" t="str">
        <f>IFERROR(VLOOKUP(Proc[[#This Row],[App]],Table2[],3,0),"open")</f>
        <v>ok</v>
      </c>
      <c r="C4821" s="149" t="s">
        <v>369</v>
      </c>
      <c r="D4821" t="s">
        <v>7176</v>
      </c>
      <c r="E4821" s="149" t="s">
        <v>7239</v>
      </c>
      <c r="F4821" s="150" t="s">
        <v>7239</v>
      </c>
      <c r="G4821" s="149" t="s">
        <v>406</v>
      </c>
      <c r="H4821" s="150" t="str">
        <f>IF(Proc[[#This Row],[type]]="LFF (MDG-F)",MID(Proc[[#This Row],[Obj]],13,10),"")</f>
        <v>US10DB3017</v>
      </c>
      <c r="I4821" s="149" t="s">
        <v>7239</v>
      </c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EL</v>
      </c>
      <c r="L4821" s="150" t="s">
        <v>6435</v>
      </c>
      <c r="M4821" s="173">
        <v>45989</v>
      </c>
      <c r="N4821" s="174"/>
      <c r="O4821" s="174"/>
      <c r="P4821" s="174" t="str">
        <f ca="1">IF(Proc[[#This Row],[DaysAgeing]]&gt;5,"yep","on track")</f>
        <v>on track</v>
      </c>
      <c r="Q4821" s="3">
        <f ca="1">IF(Proc[[#This Row],[DateClosed]]="",ABS(NETWORKDAYS(Proc[[#This Row],[DateOpened]],TODAY()))-1,ABS(NETWORKDAYS(Proc[[#This Row],[DateOpened]],Proc[[#This Row],[DateClosed]]))-1)</f>
        <v>4</v>
      </c>
      <c r="R4821" s="174" t="s">
        <v>5709</v>
      </c>
      <c r="S4821" s="150"/>
    </row>
    <row r="4822" spans="1:19" hidden="1">
      <c r="A4822" s="149" t="s">
        <v>7039</v>
      </c>
      <c r="B4822" s="150" t="str">
        <f>IFERROR(VLOOKUP(Proc[[#This Row],[App]],Table2[],3,0),"open")</f>
        <v>ok</v>
      </c>
      <c r="C4822" s="149" t="s">
        <v>369</v>
      </c>
      <c r="D4822" t="s">
        <v>7177</v>
      </c>
      <c r="E4822" s="149" t="s">
        <v>7239</v>
      </c>
      <c r="F4822" s="150" t="s">
        <v>7239</v>
      </c>
      <c r="G4822" s="149" t="s">
        <v>406</v>
      </c>
      <c r="H4822" s="150" t="str">
        <f>IF(Proc[[#This Row],[type]]="LFF (MDG-F)",MID(Proc[[#This Row],[Obj]],13,10),"")</f>
        <v>US01TM2001</v>
      </c>
      <c r="I4822" s="149" t="s">
        <v>7239</v>
      </c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EL</v>
      </c>
      <c r="L4822" s="150" t="s">
        <v>6435</v>
      </c>
      <c r="M4822" s="173">
        <v>45989</v>
      </c>
      <c r="N4822" s="174"/>
      <c r="O4822" s="174"/>
      <c r="P4822" s="174" t="str">
        <f ca="1">IF(Proc[[#This Row],[DaysAgeing]]&gt;5,"yep","on track")</f>
        <v>on track</v>
      </c>
      <c r="Q4822" s="3">
        <f ca="1">IF(Proc[[#This Row],[DateClosed]]="",ABS(NETWORKDAYS(Proc[[#This Row],[DateOpened]],TODAY()))-1,ABS(NETWORKDAYS(Proc[[#This Row],[DateOpened]],Proc[[#This Row],[DateClosed]]))-1)</f>
        <v>4</v>
      </c>
      <c r="R4822" s="174" t="s">
        <v>5709</v>
      </c>
      <c r="S4822" s="150"/>
    </row>
    <row r="4823" spans="1:19" hidden="1">
      <c r="A4823" s="149" t="s">
        <v>7039</v>
      </c>
      <c r="B4823" s="150" t="str">
        <f>IFERROR(VLOOKUP(Proc[[#This Row],[App]],Table2[],3,0),"open")</f>
        <v>ok</v>
      </c>
      <c r="C4823" s="149" t="s">
        <v>369</v>
      </c>
      <c r="D4823" t="s">
        <v>7178</v>
      </c>
      <c r="E4823" s="149" t="s">
        <v>7239</v>
      </c>
      <c r="F4823" s="150" t="s">
        <v>7239</v>
      </c>
      <c r="G4823" s="149" t="s">
        <v>406</v>
      </c>
      <c r="H4823" s="150" t="str">
        <f>IF(Proc[[#This Row],[type]]="LFF (MDG-F)",MID(Proc[[#This Row],[Obj]],13,10),"")</f>
        <v>US10TM2010</v>
      </c>
      <c r="I4823" s="149" t="s">
        <v>7239</v>
      </c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EL</v>
      </c>
      <c r="L4823" s="150" t="s">
        <v>6435</v>
      </c>
      <c r="M4823" s="173">
        <v>45989</v>
      </c>
      <c r="N4823" s="174"/>
      <c r="O4823" s="174"/>
      <c r="P4823" s="174" t="str">
        <f ca="1">IF(Proc[[#This Row],[DaysAgeing]]&gt;5,"yep","on track")</f>
        <v>on track</v>
      </c>
      <c r="Q4823" s="3">
        <f ca="1">IF(Proc[[#This Row],[DateClosed]]="",ABS(NETWORKDAYS(Proc[[#This Row],[DateOpened]],TODAY()))-1,ABS(NETWORKDAYS(Proc[[#This Row],[DateOpened]],Proc[[#This Row],[DateClosed]]))-1)</f>
        <v>4</v>
      </c>
      <c r="R4823" s="174" t="s">
        <v>5709</v>
      </c>
      <c r="S4823" s="150"/>
    </row>
    <row r="4824" spans="1:19" hidden="1">
      <c r="A4824" s="149" t="s">
        <v>7039</v>
      </c>
      <c r="B4824" s="150" t="str">
        <f>IFERROR(VLOOKUP(Proc[[#This Row],[App]],Table2[],3,0),"open")</f>
        <v>ok</v>
      </c>
      <c r="C4824" s="149" t="s">
        <v>369</v>
      </c>
      <c r="D4824" t="s">
        <v>7179</v>
      </c>
      <c r="E4824" s="149" t="s">
        <v>7240</v>
      </c>
      <c r="F4824" s="150" t="s">
        <v>7240</v>
      </c>
      <c r="G4824" s="149" t="s">
        <v>406</v>
      </c>
      <c r="H4824" s="150" t="str">
        <f>IF(Proc[[#This Row],[type]]="LFF (MDG-F)",MID(Proc[[#This Row],[Obj]],13,10),"")</f>
        <v>US01TPPZ04</v>
      </c>
      <c r="I4824" s="149" t="s">
        <v>7240</v>
      </c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EL</v>
      </c>
      <c r="L4824" s="150" t="s">
        <v>6435</v>
      </c>
      <c r="M4824" s="173">
        <v>45989</v>
      </c>
      <c r="N4824" s="174"/>
      <c r="O4824" s="174"/>
      <c r="P4824" s="174" t="str">
        <f ca="1">IF(Proc[[#This Row],[DaysAgeing]]&gt;5,"yep","on track")</f>
        <v>on track</v>
      </c>
      <c r="Q4824" s="3">
        <f ca="1">IF(Proc[[#This Row],[DateClosed]]="",ABS(NETWORKDAYS(Proc[[#This Row],[DateOpened]],TODAY()))-1,ABS(NETWORKDAYS(Proc[[#This Row],[DateOpened]],Proc[[#This Row],[DateClosed]]))-1)</f>
        <v>4</v>
      </c>
      <c r="R4824" s="174" t="s">
        <v>5709</v>
      </c>
      <c r="S4824" s="150"/>
    </row>
    <row r="4825" spans="1:19" hidden="1">
      <c r="A4825" s="149" t="s">
        <v>7039</v>
      </c>
      <c r="B4825" s="150" t="str">
        <f>IFERROR(VLOOKUP(Proc[[#This Row],[App]],Table2[],3,0),"open")</f>
        <v>ok</v>
      </c>
      <c r="C4825" s="149" t="s">
        <v>369</v>
      </c>
      <c r="D4825" t="s">
        <v>7180</v>
      </c>
      <c r="E4825" s="149" t="s">
        <v>7240</v>
      </c>
      <c r="F4825" s="150" t="s">
        <v>7240</v>
      </c>
      <c r="G4825" s="149" t="s">
        <v>406</v>
      </c>
      <c r="H4825" s="150" t="str">
        <f>IF(Proc[[#This Row],[type]]="LFF (MDG-F)",MID(Proc[[#This Row],[Obj]],13,10),"")</f>
        <v>US10DB3003</v>
      </c>
      <c r="I4825" s="149" t="s">
        <v>7240</v>
      </c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EL</v>
      </c>
      <c r="L4825" s="150" t="s">
        <v>6435</v>
      </c>
      <c r="M4825" s="173">
        <v>45989</v>
      </c>
      <c r="N4825" s="174"/>
      <c r="O4825" s="174"/>
      <c r="P4825" s="174" t="str">
        <f ca="1">IF(Proc[[#This Row],[DaysAgeing]]&gt;5,"yep","on track")</f>
        <v>on track</v>
      </c>
      <c r="Q4825" s="3">
        <f ca="1">IF(Proc[[#This Row],[DateClosed]]="",ABS(NETWORKDAYS(Proc[[#This Row],[DateOpened]],TODAY()))-1,ABS(NETWORKDAYS(Proc[[#This Row],[DateOpened]],Proc[[#This Row],[DateClosed]]))-1)</f>
        <v>4</v>
      </c>
      <c r="R4825" s="174" t="s">
        <v>5709</v>
      </c>
      <c r="S4825" s="150"/>
    </row>
    <row r="4826" spans="1:19" hidden="1">
      <c r="A4826" s="149" t="s">
        <v>7039</v>
      </c>
      <c r="B4826" s="150" t="str">
        <f>IFERROR(VLOOKUP(Proc[[#This Row],[App]],Table2[],3,0),"open")</f>
        <v>ok</v>
      </c>
      <c r="C4826" s="149" t="s">
        <v>369</v>
      </c>
      <c r="D4826" t="s">
        <v>7181</v>
      </c>
      <c r="E4826" s="149" t="s">
        <v>7240</v>
      </c>
      <c r="F4826" s="150" t="s">
        <v>7240</v>
      </c>
      <c r="G4826" s="149" t="s">
        <v>406</v>
      </c>
      <c r="H4826" s="150" t="str">
        <f>IF(Proc[[#This Row],[type]]="LFF (MDG-F)",MID(Proc[[#This Row],[Obj]],13,10),"")</f>
        <v>US10TM3001</v>
      </c>
      <c r="I4826" s="149" t="s">
        <v>7240</v>
      </c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EL</v>
      </c>
      <c r="L4826" s="150" t="s">
        <v>6435</v>
      </c>
      <c r="M4826" s="173">
        <v>45989</v>
      </c>
      <c r="N4826" s="174"/>
      <c r="O4826" s="174"/>
      <c r="P4826" s="174" t="str">
        <f ca="1">IF(Proc[[#This Row],[DaysAgeing]]&gt;5,"yep","on track")</f>
        <v>on track</v>
      </c>
      <c r="Q4826" s="3">
        <f ca="1">IF(Proc[[#This Row],[DateClosed]]="",ABS(NETWORKDAYS(Proc[[#This Row],[DateOpened]],TODAY()))-1,ABS(NETWORKDAYS(Proc[[#This Row],[DateOpened]],Proc[[#This Row],[DateClosed]]))-1)</f>
        <v>4</v>
      </c>
      <c r="R4826" s="174" t="s">
        <v>5709</v>
      </c>
      <c r="S4826" s="150"/>
    </row>
    <row r="4827" spans="1:19" hidden="1">
      <c r="A4827" s="149" t="s">
        <v>7039</v>
      </c>
      <c r="B4827" s="150" t="str">
        <f>IFERROR(VLOOKUP(Proc[[#This Row],[App]],Table2[],3,0),"open")</f>
        <v>ok</v>
      </c>
      <c r="C4827" s="149" t="s">
        <v>369</v>
      </c>
      <c r="D4827" t="s">
        <v>7182</v>
      </c>
      <c r="E4827" s="149" t="s">
        <v>7240</v>
      </c>
      <c r="F4827" s="150" t="s">
        <v>7240</v>
      </c>
      <c r="G4827" s="149" t="s">
        <v>406</v>
      </c>
      <c r="H4827" s="150" t="str">
        <f>IF(Proc[[#This Row],[type]]="LFF (MDG-F)",MID(Proc[[#This Row],[Obj]],13,10),"")</f>
        <v>US10TM3002</v>
      </c>
      <c r="I4827" s="149" t="s">
        <v>7240</v>
      </c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EL</v>
      </c>
      <c r="L4827" s="150" t="s">
        <v>6435</v>
      </c>
      <c r="M4827" s="173">
        <v>45989</v>
      </c>
      <c r="N4827" s="174"/>
      <c r="O4827" s="174"/>
      <c r="P4827" s="174" t="str">
        <f ca="1">IF(Proc[[#This Row],[DaysAgeing]]&gt;5,"yep","on track")</f>
        <v>on track</v>
      </c>
      <c r="Q4827" s="3">
        <f ca="1">IF(Proc[[#This Row],[DateClosed]]="",ABS(NETWORKDAYS(Proc[[#This Row],[DateOpened]],TODAY()))-1,ABS(NETWORKDAYS(Proc[[#This Row],[DateOpened]],Proc[[#This Row],[DateClosed]]))-1)</f>
        <v>4</v>
      </c>
      <c r="R4827" s="174" t="s">
        <v>5709</v>
      </c>
      <c r="S4827" s="150"/>
    </row>
    <row r="4828" spans="1:19" hidden="1">
      <c r="A4828" s="149" t="s">
        <v>7039</v>
      </c>
      <c r="B4828" s="150" t="str">
        <f>IFERROR(VLOOKUP(Proc[[#This Row],[App]],Table2[],3,0),"open")</f>
        <v>ok</v>
      </c>
      <c r="C4828" s="149" t="s">
        <v>369</v>
      </c>
      <c r="D4828" t="s">
        <v>7183</v>
      </c>
      <c r="E4828" s="149" t="s">
        <v>7241</v>
      </c>
      <c r="F4828" s="150" t="s">
        <v>7241</v>
      </c>
      <c r="G4828" s="149" t="s">
        <v>406</v>
      </c>
      <c r="H4828" s="150" t="str">
        <f>IF(Proc[[#This Row],[type]]="LFF (MDG-F)",MID(Proc[[#This Row],[Obj]],13,10),"")</f>
        <v>US10DB3014</v>
      </c>
      <c r="I4828" s="149" t="s">
        <v>7241</v>
      </c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EL</v>
      </c>
      <c r="L4828" s="150" t="s">
        <v>6435</v>
      </c>
      <c r="M4828" s="173">
        <v>45989</v>
      </c>
      <c r="N4828" s="174"/>
      <c r="O4828" s="174"/>
      <c r="P4828" s="174" t="str">
        <f ca="1">IF(Proc[[#This Row],[DaysAgeing]]&gt;5,"yep","on track")</f>
        <v>on track</v>
      </c>
      <c r="Q4828" s="3">
        <f ca="1">IF(Proc[[#This Row],[DateClosed]]="",ABS(NETWORKDAYS(Proc[[#This Row],[DateOpened]],TODAY()))-1,ABS(NETWORKDAYS(Proc[[#This Row],[DateOpened]],Proc[[#This Row],[DateClosed]]))-1)</f>
        <v>4</v>
      </c>
      <c r="R4828" s="174" t="s">
        <v>5709</v>
      </c>
      <c r="S4828" s="150"/>
    </row>
    <row r="4829" spans="1:19" hidden="1">
      <c r="A4829" t="s">
        <v>7192</v>
      </c>
      <c r="B4829" s="150" t="str">
        <f>IFERROR(VLOOKUP(Proc[[#This Row],[App]],Table2[],3,0),"open")</f>
        <v>ok</v>
      </c>
      <c r="C4829" s="149" t="s">
        <v>369</v>
      </c>
      <c r="D4829" t="s">
        <v>7184</v>
      </c>
      <c r="E4829" t="s">
        <v>7189</v>
      </c>
      <c r="F4829" s="150" t="s">
        <v>7189</v>
      </c>
      <c r="G4829" s="149" t="s">
        <v>406</v>
      </c>
      <c r="H4829" s="150" t="str">
        <f>IF(Proc[[#This Row],[type]]="LFF (MDG-F)",MID(Proc[[#This Row],[Obj]],13,10),"")</f>
        <v>DE10B08450</v>
      </c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???</v>
      </c>
      <c r="L4829" s="150" t="s">
        <v>6435</v>
      </c>
      <c r="M4829" s="173">
        <v>45992</v>
      </c>
      <c r="N4829" s="174"/>
      <c r="O4829" s="174"/>
      <c r="P4829" s="174" t="str">
        <f ca="1">IF(Proc[[#This Row],[DaysAgeing]]&gt;5,"yep","on track")</f>
        <v>on track</v>
      </c>
      <c r="Q4829" s="3">
        <f ca="1">IF(Proc[[#This Row],[DateClosed]]="",ABS(NETWORKDAYS(Proc[[#This Row],[DateOpened]],TODAY()))-1,ABS(NETWORKDAYS(Proc[[#This Row],[DateOpened]],Proc[[#This Row],[DateClosed]]))-1)</f>
        <v>3</v>
      </c>
      <c r="R4829" s="174" t="s">
        <v>7193</v>
      </c>
      <c r="S4829" s="150"/>
    </row>
    <row r="4830" spans="1:19" hidden="1">
      <c r="A4830" t="s">
        <v>7192</v>
      </c>
      <c r="B4830" s="150" t="str">
        <f>IFERROR(VLOOKUP(Proc[[#This Row],[App]],Table2[],3,0),"open")</f>
        <v>ok</v>
      </c>
      <c r="C4830" s="149" t="s">
        <v>369</v>
      </c>
      <c r="D4830" t="s">
        <v>7185</v>
      </c>
      <c r="E4830" t="s">
        <v>7190</v>
      </c>
      <c r="F4830" s="150" t="s">
        <v>7190</v>
      </c>
      <c r="G4830" s="149" t="s">
        <v>406</v>
      </c>
      <c r="H4830" s="150" t="str">
        <f>IF(Proc[[#This Row],[type]]="LFF (MDG-F)",MID(Proc[[#This Row],[Obj]],13,10),"")</f>
        <v>DE10A48610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???</v>
      </c>
      <c r="L4830" s="150" t="s">
        <v>6435</v>
      </c>
      <c r="M4830" s="173">
        <v>45992</v>
      </c>
      <c r="N4830" s="174"/>
      <c r="O4830" s="174"/>
      <c r="P4830" s="174" t="str">
        <f ca="1">IF(Proc[[#This Row],[DaysAgeing]]&gt;5,"yep","on track")</f>
        <v>on track</v>
      </c>
      <c r="Q4830" s="3">
        <f ca="1">IF(Proc[[#This Row],[DateClosed]]="",ABS(NETWORKDAYS(Proc[[#This Row],[DateOpened]],TODAY()))-1,ABS(NETWORKDAYS(Proc[[#This Row],[DateOpened]],Proc[[#This Row],[DateClosed]]))-1)</f>
        <v>3</v>
      </c>
      <c r="R4830" s="174" t="s">
        <v>7193</v>
      </c>
      <c r="S4830" s="150"/>
    </row>
    <row r="4831" spans="1:19" hidden="1">
      <c r="A4831" s="149" t="s">
        <v>7192</v>
      </c>
      <c r="B4831" s="150" t="str">
        <f>IFERROR(VLOOKUP(Proc[[#This Row],[App]],Table2[],3,0),"open")</f>
        <v>ok</v>
      </c>
      <c r="C4831" s="149" t="s">
        <v>369</v>
      </c>
      <c r="D4831" t="s">
        <v>7186</v>
      </c>
      <c r="E4831" t="s">
        <v>7190</v>
      </c>
      <c r="F4831" s="150" t="s">
        <v>7190</v>
      </c>
      <c r="G4831" s="149" t="s">
        <v>406</v>
      </c>
      <c r="H4831" s="150" t="str">
        <f>IF(Proc[[#This Row],[type]]="LFF (MDG-F)",MID(Proc[[#This Row],[Obj]],13,10),"")</f>
        <v>DE10A48607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???</v>
      </c>
      <c r="L4831" s="150" t="s">
        <v>6435</v>
      </c>
      <c r="M4831" s="173">
        <v>45992</v>
      </c>
      <c r="N4831" s="174"/>
      <c r="O4831" s="174"/>
      <c r="P4831" s="174" t="str">
        <f ca="1">IF(Proc[[#This Row],[DaysAgeing]]&gt;5,"yep","on track")</f>
        <v>on track</v>
      </c>
      <c r="Q4831" s="3">
        <f ca="1">IF(Proc[[#This Row],[DateClosed]]="",ABS(NETWORKDAYS(Proc[[#This Row],[DateOpened]],TODAY()))-1,ABS(NETWORKDAYS(Proc[[#This Row],[DateOpened]],Proc[[#This Row],[DateClosed]]))-1)</f>
        <v>3</v>
      </c>
      <c r="R4831" s="174" t="s">
        <v>7193</v>
      </c>
      <c r="S4831" s="150"/>
    </row>
    <row r="4832" spans="1:19" hidden="1">
      <c r="A4832" s="149" t="s">
        <v>7192</v>
      </c>
      <c r="B4832" s="150" t="str">
        <f>IFERROR(VLOOKUP(Proc[[#This Row],[App]],Table2[],3,0),"open")</f>
        <v>ok</v>
      </c>
      <c r="C4832" s="149" t="s">
        <v>369</v>
      </c>
      <c r="D4832" t="s">
        <v>7187</v>
      </c>
      <c r="E4832" t="s">
        <v>4114</v>
      </c>
      <c r="F4832" s="150" t="s">
        <v>4114</v>
      </c>
      <c r="G4832" s="149" t="s">
        <v>406</v>
      </c>
      <c r="H4832" s="150" t="str">
        <f>IF(Proc[[#This Row],[type]]="LFF (MDG-F)",MID(Proc[[#This Row],[Obj]],13,10),"")</f>
        <v>DE10538392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???</v>
      </c>
      <c r="L4832" s="150" t="s">
        <v>6435</v>
      </c>
      <c r="M4832" s="173">
        <v>45992</v>
      </c>
      <c r="N4832" s="174"/>
      <c r="O4832" s="174"/>
      <c r="P4832" s="174" t="str">
        <f ca="1">IF(Proc[[#This Row],[DaysAgeing]]&gt;5,"yep","on track")</f>
        <v>on track</v>
      </c>
      <c r="Q4832" s="3">
        <f ca="1">IF(Proc[[#This Row],[DateClosed]]="",ABS(NETWORKDAYS(Proc[[#This Row],[DateOpened]],TODAY()))-1,ABS(NETWORKDAYS(Proc[[#This Row],[DateOpened]],Proc[[#This Row],[DateClosed]]))-1)</f>
        <v>3</v>
      </c>
      <c r="R4832" s="174" t="s">
        <v>7193</v>
      </c>
      <c r="S4832" s="150"/>
    </row>
    <row r="4833" spans="1:19" hidden="1">
      <c r="A4833" s="149" t="s">
        <v>7192</v>
      </c>
      <c r="B4833" s="150" t="str">
        <f>IFERROR(VLOOKUP(Proc[[#This Row],[App]],Table2[],3,0),"open")</f>
        <v>ok</v>
      </c>
      <c r="C4833" s="149" t="s">
        <v>369</v>
      </c>
      <c r="D4833" t="s">
        <v>7188</v>
      </c>
      <c r="E4833" t="s">
        <v>7191</v>
      </c>
      <c r="F4833" s="150" t="s">
        <v>7191</v>
      </c>
      <c r="G4833" s="149" t="s">
        <v>406</v>
      </c>
      <c r="H4833" s="150" t="str">
        <f>IF(Proc[[#This Row],[type]]="LFF (MDG-F)",MID(Proc[[#This Row],[Obj]],13,10),"")</f>
        <v>DE20700060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???</v>
      </c>
      <c r="L4833" s="150" t="s">
        <v>6435</v>
      </c>
      <c r="M4833" s="173">
        <v>45992</v>
      </c>
      <c r="N4833" s="174"/>
      <c r="O4833" s="174"/>
      <c r="P4833" s="174" t="str">
        <f ca="1">IF(Proc[[#This Row],[DaysAgeing]]&gt;5,"yep","on track")</f>
        <v>on track</v>
      </c>
      <c r="Q4833" s="3">
        <f ca="1">IF(Proc[[#This Row],[DateClosed]]="",ABS(NETWORKDAYS(Proc[[#This Row],[DateOpened]],TODAY()))-1,ABS(NETWORKDAYS(Proc[[#This Row],[DateOpened]],Proc[[#This Row],[DateClosed]]))-1)</f>
        <v>3</v>
      </c>
      <c r="R4833" s="174" t="s">
        <v>7193</v>
      </c>
      <c r="S4833" s="150"/>
    </row>
    <row r="4834" spans="1:19" hidden="1">
      <c r="A4834" t="s">
        <v>7195</v>
      </c>
      <c r="B4834" s="150" t="str">
        <f>IFERROR(VLOOKUP(Proc[[#This Row],[App]],Table2[],3,0),"open")</f>
        <v>ok</v>
      </c>
      <c r="C4834" s="149" t="s">
        <v>369</v>
      </c>
      <c r="D4834" t="s">
        <v>7196</v>
      </c>
      <c r="E4834" s="149" t="s">
        <v>7242</v>
      </c>
      <c r="F4834" s="150" t="s">
        <v>7242</v>
      </c>
      <c r="G4834" t="s">
        <v>400</v>
      </c>
      <c r="H4834" s="150" t="str">
        <f>IF(Proc[[#This Row],[type]]="LFF (MDG-F)",MID(Proc[[#This Row],[Obj]],13,10),"")</f>
        <v/>
      </c>
      <c r="I4834" s="149" t="s">
        <v>7242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HC</v>
      </c>
      <c r="L4834" s="150" t="s">
        <v>6435</v>
      </c>
      <c r="M4834" s="173">
        <v>45992</v>
      </c>
      <c r="N4834" s="174"/>
      <c r="O4834" s="174"/>
      <c r="P4834" s="174" t="str">
        <f ca="1">IF(Proc[[#This Row],[DaysAgeing]]&gt;5,"yep","on track")</f>
        <v>on track</v>
      </c>
      <c r="Q4834" s="3">
        <f ca="1">IF(Proc[[#This Row],[DateClosed]]="",ABS(NETWORKDAYS(Proc[[#This Row],[DateOpened]],TODAY()))-1,ABS(NETWORKDAYS(Proc[[#This Row],[DateOpened]],Proc[[#This Row],[DateClosed]]))-1)</f>
        <v>3</v>
      </c>
      <c r="R4834" s="174" t="s">
        <v>1013</v>
      </c>
      <c r="S4834" s="150"/>
    </row>
    <row r="4835" spans="1:19" hidden="1">
      <c r="A4835" t="s">
        <v>7195</v>
      </c>
      <c r="B4835" s="150" t="str">
        <f>IFERROR(VLOOKUP(Proc[[#This Row],[App]],Table2[],3,0),"open")</f>
        <v>ok</v>
      </c>
      <c r="C4835" s="149" t="s">
        <v>369</v>
      </c>
      <c r="D4835" t="s">
        <v>7197</v>
      </c>
      <c r="E4835" s="149" t="s">
        <v>7243</v>
      </c>
      <c r="F4835" s="150" t="s">
        <v>7243</v>
      </c>
      <c r="G4835" t="s">
        <v>400</v>
      </c>
      <c r="H4835" s="150" t="str">
        <f>IF(Proc[[#This Row],[type]]="LFF (MDG-F)",MID(Proc[[#This Row],[Obj]],13,10),"")</f>
        <v/>
      </c>
      <c r="I4835" s="149" t="s">
        <v>7243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HC</v>
      </c>
      <c r="L4835" s="150" t="s">
        <v>6435</v>
      </c>
      <c r="M4835" s="173">
        <v>45992</v>
      </c>
      <c r="N4835" s="174"/>
      <c r="O4835" s="174"/>
      <c r="P4835" s="174" t="str">
        <f ca="1">IF(Proc[[#This Row],[DaysAgeing]]&gt;5,"yep","on track")</f>
        <v>on track</v>
      </c>
      <c r="Q4835" s="3">
        <f ca="1">IF(Proc[[#This Row],[DateClosed]]="",ABS(NETWORKDAYS(Proc[[#This Row],[DateOpened]],TODAY()))-1,ABS(NETWORKDAYS(Proc[[#This Row],[DateOpened]],Proc[[#This Row],[DateClosed]]))-1)</f>
        <v>3</v>
      </c>
      <c r="R4835" s="174" t="s">
        <v>1013</v>
      </c>
      <c r="S4835" s="150"/>
    </row>
    <row r="4836" spans="1:19" hidden="1">
      <c r="A4836" s="149" t="s">
        <v>7195</v>
      </c>
      <c r="B4836" s="150" t="str">
        <f>IFERROR(VLOOKUP(Proc[[#This Row],[App]],Table2[],3,0),"open")</f>
        <v>ok</v>
      </c>
      <c r="C4836" s="149" t="s">
        <v>369</v>
      </c>
      <c r="D4836" t="s">
        <v>7198</v>
      </c>
      <c r="E4836" t="s">
        <v>3004</v>
      </c>
      <c r="F4836" s="150" t="s">
        <v>3004</v>
      </c>
      <c r="G4836" s="149" t="s">
        <v>400</v>
      </c>
      <c r="H4836" s="150" t="str">
        <f>IF(Proc[[#This Row],[type]]="LFF (MDG-F)",MID(Proc[[#This Row],[Obj]],13,10),"")</f>
        <v/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HC</v>
      </c>
      <c r="L4836" s="150" t="s">
        <v>6435</v>
      </c>
      <c r="M4836" s="173">
        <v>45992</v>
      </c>
      <c r="N4836" s="174"/>
      <c r="O4836" s="174"/>
      <c r="P4836" s="174" t="str">
        <f ca="1">IF(Proc[[#This Row],[DaysAgeing]]&gt;5,"yep","on track")</f>
        <v>on track</v>
      </c>
      <c r="Q4836" s="3">
        <f ca="1">IF(Proc[[#This Row],[DateClosed]]="",ABS(NETWORKDAYS(Proc[[#This Row],[DateOpened]],TODAY()))-1,ABS(NETWORKDAYS(Proc[[#This Row],[DateOpened]],Proc[[#This Row],[DateClosed]]))-1)</f>
        <v>3</v>
      </c>
      <c r="R4836" s="174" t="s">
        <v>1013</v>
      </c>
      <c r="S4836" s="150"/>
    </row>
    <row r="4837" spans="1:19" hidden="1">
      <c r="A4837" s="149" t="s">
        <v>7195</v>
      </c>
      <c r="B4837" s="150" t="str">
        <f>IFERROR(VLOOKUP(Proc[[#This Row],[App]],Table2[],3,0),"open")</f>
        <v>ok</v>
      </c>
      <c r="C4837" s="149" t="s">
        <v>369</v>
      </c>
      <c r="D4837" t="s">
        <v>7245</v>
      </c>
      <c r="E4837" s="149" t="s">
        <v>7217</v>
      </c>
      <c r="F4837" s="149" t="s">
        <v>7217</v>
      </c>
      <c r="G4837" s="149" t="s">
        <v>400</v>
      </c>
      <c r="H4837" s="150" t="str">
        <f>IF(Proc[[#This Row],[type]]="LFF (MDG-F)",MID(Proc[[#This Row],[Obj]],13,10),"")</f>
        <v/>
      </c>
      <c r="I4837" s="149" t="s">
        <v>7217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HC</v>
      </c>
      <c r="L4837" s="150" t="s">
        <v>6435</v>
      </c>
      <c r="M4837" s="173">
        <v>45992</v>
      </c>
      <c r="N4837" s="174"/>
      <c r="O4837" s="174"/>
      <c r="P4837" s="174" t="str">
        <f ca="1">IF(Proc[[#This Row],[DaysAgeing]]&gt;5,"yep","on track")</f>
        <v>on track</v>
      </c>
      <c r="Q4837" s="3">
        <f ca="1">IF(Proc[[#This Row],[DateClosed]]="",ABS(NETWORKDAYS(Proc[[#This Row],[DateOpened]],TODAY()))-1,ABS(NETWORKDAYS(Proc[[#This Row],[DateOpened]],Proc[[#This Row],[DateClosed]]))-1)</f>
        <v>3</v>
      </c>
      <c r="R4837" s="174" t="s">
        <v>1013</v>
      </c>
      <c r="S4837" s="150"/>
    </row>
    <row r="4838" spans="1:19" hidden="1">
      <c r="A4838" s="149" t="s">
        <v>7195</v>
      </c>
      <c r="B4838" s="150" t="str">
        <f>IFERROR(VLOOKUP(Proc[[#This Row],[App]],Table2[],3,0),"open")</f>
        <v>ok</v>
      </c>
      <c r="C4838" s="149" t="s">
        <v>369</v>
      </c>
      <c r="D4838" t="s">
        <v>7244</v>
      </c>
      <c r="E4838" s="149" t="s">
        <v>7218</v>
      </c>
      <c r="F4838" s="149" t="s">
        <v>7218</v>
      </c>
      <c r="G4838" s="149" t="s">
        <v>400</v>
      </c>
      <c r="H4838" s="150" t="str">
        <f>IF(Proc[[#This Row],[type]]="LFF (MDG-F)",MID(Proc[[#This Row],[Obj]],13,10),"")</f>
        <v/>
      </c>
      <c r="I4838" s="149" t="s">
        <v>7218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HC</v>
      </c>
      <c r="L4838" s="150" t="s">
        <v>6435</v>
      </c>
      <c r="M4838" s="173">
        <v>45992</v>
      </c>
      <c r="N4838" s="174"/>
      <c r="O4838" s="174"/>
      <c r="P4838" s="174" t="str">
        <f ca="1">IF(Proc[[#This Row],[DaysAgeing]]&gt;5,"yep","on track")</f>
        <v>on track</v>
      </c>
      <c r="Q4838" s="3">
        <f ca="1">IF(Proc[[#This Row],[DateClosed]]="",ABS(NETWORKDAYS(Proc[[#This Row],[DateOpened]],TODAY()))-1,ABS(NETWORKDAYS(Proc[[#This Row],[DateOpened]],Proc[[#This Row],[DateClosed]]))-1)</f>
        <v>3</v>
      </c>
      <c r="R4838" s="174" t="s">
        <v>1013</v>
      </c>
      <c r="S4838" s="150"/>
    </row>
    <row r="4839" spans="1:19" hidden="1">
      <c r="A4839" s="149" t="s">
        <v>7195</v>
      </c>
      <c r="B4839" s="150" t="str">
        <f>IFERROR(VLOOKUP(Proc[[#This Row],[App]],Table2[],3,0),"open")</f>
        <v>ok</v>
      </c>
      <c r="C4839" s="149" t="s">
        <v>369</v>
      </c>
      <c r="D4839" t="s">
        <v>7199</v>
      </c>
      <c r="E4839" t="s">
        <v>7219</v>
      </c>
      <c r="F4839" s="150" t="s">
        <v>7219</v>
      </c>
      <c r="G4839" s="149" t="s">
        <v>400</v>
      </c>
      <c r="H4839" s="150" t="str">
        <f>IF(Proc[[#This Row],[type]]="LFF (MDG-F)",MID(Proc[[#This Row],[Obj]],13,10),"")</f>
        <v/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HC</v>
      </c>
      <c r="L4839" s="150" t="s">
        <v>6435</v>
      </c>
      <c r="M4839" s="173">
        <v>45992</v>
      </c>
      <c r="N4839" s="174"/>
      <c r="O4839" s="174"/>
      <c r="P4839" s="174" t="str">
        <f ca="1">IF(Proc[[#This Row],[DaysAgeing]]&gt;5,"yep","on track")</f>
        <v>on track</v>
      </c>
      <c r="Q4839" s="3">
        <f ca="1">IF(Proc[[#This Row],[DateClosed]]="",ABS(NETWORKDAYS(Proc[[#This Row],[DateOpened]],TODAY()))-1,ABS(NETWORKDAYS(Proc[[#This Row],[DateOpened]],Proc[[#This Row],[DateClosed]]))-1)</f>
        <v>3</v>
      </c>
      <c r="R4839" s="174" t="s">
        <v>1013</v>
      </c>
      <c r="S4839" s="150"/>
    </row>
    <row r="4840" spans="1:19" hidden="1">
      <c r="A4840" s="149" t="s">
        <v>7195</v>
      </c>
      <c r="B4840" s="150" t="str">
        <f>IFERROR(VLOOKUP(Proc[[#This Row],[App]],Table2[],3,0),"open")</f>
        <v>ok</v>
      </c>
      <c r="C4840" s="149" t="s">
        <v>369</v>
      </c>
      <c r="D4840" t="s">
        <v>7200</v>
      </c>
      <c r="E4840" t="s">
        <v>7220</v>
      </c>
      <c r="F4840" s="150" t="s">
        <v>7220</v>
      </c>
      <c r="G4840" s="149" t="s">
        <v>400</v>
      </c>
      <c r="H4840" s="150" t="str">
        <f>IF(Proc[[#This Row],[type]]="LFF (MDG-F)",MID(Proc[[#This Row],[Obj]],13,10),"")</f>
        <v/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HC</v>
      </c>
      <c r="L4840" s="150" t="s">
        <v>6435</v>
      </c>
      <c r="M4840" s="173">
        <v>45992</v>
      </c>
      <c r="N4840" s="174"/>
      <c r="O4840" s="174"/>
      <c r="P4840" s="174" t="str">
        <f ca="1">IF(Proc[[#This Row],[DaysAgeing]]&gt;5,"yep","on track")</f>
        <v>on track</v>
      </c>
      <c r="Q4840" s="3">
        <f ca="1">IF(Proc[[#This Row],[DateClosed]]="",ABS(NETWORKDAYS(Proc[[#This Row],[DateOpened]],TODAY()))-1,ABS(NETWORKDAYS(Proc[[#This Row],[DateOpened]],Proc[[#This Row],[DateClosed]]))-1)</f>
        <v>3</v>
      </c>
      <c r="R4840" s="174" t="s">
        <v>1013</v>
      </c>
      <c r="S4840" s="150"/>
    </row>
    <row r="4841" spans="1:19" hidden="1">
      <c r="A4841" s="149" t="s">
        <v>7195</v>
      </c>
      <c r="B4841" s="150" t="str">
        <f>IFERROR(VLOOKUP(Proc[[#This Row],[App]],Table2[],3,0),"open")</f>
        <v>ok</v>
      </c>
      <c r="C4841" s="149" t="s">
        <v>369</v>
      </c>
      <c r="D4841" t="s">
        <v>7201</v>
      </c>
      <c r="E4841" t="s">
        <v>4068</v>
      </c>
      <c r="F4841" s="150" t="s">
        <v>4068</v>
      </c>
      <c r="G4841" s="149" t="s">
        <v>400</v>
      </c>
      <c r="H4841" s="150" t="str">
        <f>IF(Proc[[#This Row],[type]]="LFF (MDG-F)",MID(Proc[[#This Row],[Obj]],13,10),"")</f>
        <v/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HC</v>
      </c>
      <c r="L4841" s="150" t="s">
        <v>6435</v>
      </c>
      <c r="M4841" s="173">
        <v>45992</v>
      </c>
      <c r="N4841" s="174"/>
      <c r="O4841" s="174"/>
      <c r="P4841" s="174" t="str">
        <f ca="1">IF(Proc[[#This Row],[DaysAgeing]]&gt;5,"yep","on track")</f>
        <v>on track</v>
      </c>
      <c r="Q4841" s="3">
        <f ca="1">IF(Proc[[#This Row],[DateClosed]]="",ABS(NETWORKDAYS(Proc[[#This Row],[DateOpened]],TODAY()))-1,ABS(NETWORKDAYS(Proc[[#This Row],[DateOpened]],Proc[[#This Row],[DateClosed]]))-1)</f>
        <v>3</v>
      </c>
      <c r="R4841" s="174" t="s">
        <v>1013</v>
      </c>
      <c r="S4841" s="150"/>
    </row>
    <row r="4842" spans="1:19" hidden="1">
      <c r="A4842" s="149" t="s">
        <v>7195</v>
      </c>
      <c r="B4842" s="150" t="str">
        <f>IFERROR(VLOOKUP(Proc[[#This Row],[App]],Table2[],3,0),"open")</f>
        <v>ok</v>
      </c>
      <c r="C4842" s="149" t="s">
        <v>369</v>
      </c>
      <c r="D4842" t="s">
        <v>7202</v>
      </c>
      <c r="E4842" t="s">
        <v>4068</v>
      </c>
      <c r="F4842" s="150" t="s">
        <v>4068</v>
      </c>
      <c r="G4842" s="149" t="s">
        <v>400</v>
      </c>
      <c r="H4842" s="150" t="str">
        <f>IF(Proc[[#This Row],[type]]="LFF (MDG-F)",MID(Proc[[#This Row],[Obj]],13,10),"")</f>
        <v/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HC</v>
      </c>
      <c r="L4842" s="150" t="s">
        <v>6435</v>
      </c>
      <c r="M4842" s="173">
        <v>45992</v>
      </c>
      <c r="N4842" s="174"/>
      <c r="O4842" s="174"/>
      <c r="P4842" s="174" t="str">
        <f ca="1">IF(Proc[[#This Row],[DaysAgeing]]&gt;5,"yep","on track")</f>
        <v>on track</v>
      </c>
      <c r="Q4842" s="3">
        <f ca="1">IF(Proc[[#This Row],[DateClosed]]="",ABS(NETWORKDAYS(Proc[[#This Row],[DateOpened]],TODAY()))-1,ABS(NETWORKDAYS(Proc[[#This Row],[DateOpened]],Proc[[#This Row],[DateClosed]]))-1)</f>
        <v>3</v>
      </c>
      <c r="R4842" s="174" t="s">
        <v>1013</v>
      </c>
      <c r="S4842" s="150"/>
    </row>
    <row r="4843" spans="1:19" hidden="1">
      <c r="A4843" s="149" t="s">
        <v>7195</v>
      </c>
      <c r="B4843" s="150" t="str">
        <f>IFERROR(VLOOKUP(Proc[[#This Row],[App]],Table2[],3,0),"open")</f>
        <v>ok</v>
      </c>
      <c r="C4843" s="149" t="s">
        <v>369</v>
      </c>
      <c r="D4843" t="s">
        <v>7203</v>
      </c>
      <c r="E4843" t="s">
        <v>4068</v>
      </c>
      <c r="F4843" s="150" t="s">
        <v>4068</v>
      </c>
      <c r="G4843" s="149" t="s">
        <v>400</v>
      </c>
      <c r="H4843" s="150" t="str">
        <f>IF(Proc[[#This Row],[type]]="LFF (MDG-F)",MID(Proc[[#This Row],[Obj]],13,10),"")</f>
        <v/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HC</v>
      </c>
      <c r="L4843" s="150" t="s">
        <v>6435</v>
      </c>
      <c r="M4843" s="173">
        <v>45992</v>
      </c>
      <c r="N4843" s="174"/>
      <c r="O4843" s="174"/>
      <c r="P4843" s="174" t="str">
        <f ca="1">IF(Proc[[#This Row],[DaysAgeing]]&gt;5,"yep","on track")</f>
        <v>on track</v>
      </c>
      <c r="Q4843" s="3">
        <f ca="1">IF(Proc[[#This Row],[DateClosed]]="",ABS(NETWORKDAYS(Proc[[#This Row],[DateOpened]],TODAY()))-1,ABS(NETWORKDAYS(Proc[[#This Row],[DateOpened]],Proc[[#This Row],[DateClosed]]))-1)</f>
        <v>3</v>
      </c>
      <c r="R4843" s="174" t="s">
        <v>1013</v>
      </c>
      <c r="S4843" s="150"/>
    </row>
    <row r="4844" spans="1:19" hidden="1">
      <c r="A4844" s="149" t="s">
        <v>7195</v>
      </c>
      <c r="B4844" s="150" t="str">
        <f>IFERROR(VLOOKUP(Proc[[#This Row],[App]],Table2[],3,0),"open")</f>
        <v>ok</v>
      </c>
      <c r="C4844" s="149" t="s">
        <v>369</v>
      </c>
      <c r="D4844" t="s">
        <v>7204</v>
      </c>
      <c r="E4844" t="s">
        <v>4068</v>
      </c>
      <c r="F4844" s="150" t="s">
        <v>4068</v>
      </c>
      <c r="G4844" s="149" t="s">
        <v>400</v>
      </c>
      <c r="H4844" s="150" t="str">
        <f>IF(Proc[[#This Row],[type]]="LFF (MDG-F)",MID(Proc[[#This Row],[Obj]],13,10),"")</f>
        <v/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HC</v>
      </c>
      <c r="L4844" s="150" t="s">
        <v>6435</v>
      </c>
      <c r="M4844" s="173">
        <v>45992</v>
      </c>
      <c r="N4844" s="174"/>
      <c r="O4844" s="174"/>
      <c r="P4844" s="174" t="str">
        <f ca="1">IF(Proc[[#This Row],[DaysAgeing]]&gt;5,"yep","on track")</f>
        <v>on track</v>
      </c>
      <c r="Q4844" s="3">
        <f ca="1">IF(Proc[[#This Row],[DateClosed]]="",ABS(NETWORKDAYS(Proc[[#This Row],[DateOpened]],TODAY()))-1,ABS(NETWORKDAYS(Proc[[#This Row],[DateOpened]],Proc[[#This Row],[DateClosed]]))-1)</f>
        <v>3</v>
      </c>
      <c r="R4844" s="174" t="s">
        <v>1013</v>
      </c>
      <c r="S4844" s="150"/>
    </row>
    <row r="4845" spans="1:19" hidden="1">
      <c r="A4845" s="149" t="s">
        <v>7195</v>
      </c>
      <c r="B4845" s="150" t="str">
        <f>IFERROR(VLOOKUP(Proc[[#This Row],[App]],Table2[],3,0),"open")</f>
        <v>ok</v>
      </c>
      <c r="C4845" s="149" t="s">
        <v>369</v>
      </c>
      <c r="D4845" t="s">
        <v>7205</v>
      </c>
      <c r="E4845" t="s">
        <v>4068</v>
      </c>
      <c r="F4845" s="150" t="s">
        <v>4068</v>
      </c>
      <c r="G4845" s="149" t="s">
        <v>400</v>
      </c>
      <c r="H4845" s="150" t="str">
        <f>IF(Proc[[#This Row],[type]]="LFF (MDG-F)",MID(Proc[[#This Row],[Obj]],13,10),"")</f>
        <v/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HC</v>
      </c>
      <c r="L4845" s="150" t="s">
        <v>6435</v>
      </c>
      <c r="M4845" s="173">
        <v>45992</v>
      </c>
      <c r="N4845" s="174"/>
      <c r="O4845" s="174"/>
      <c r="P4845" s="174" t="str">
        <f ca="1">IF(Proc[[#This Row],[DaysAgeing]]&gt;5,"yep","on track")</f>
        <v>on track</v>
      </c>
      <c r="Q4845" s="3">
        <f ca="1">IF(Proc[[#This Row],[DateClosed]]="",ABS(NETWORKDAYS(Proc[[#This Row],[DateOpened]],TODAY()))-1,ABS(NETWORKDAYS(Proc[[#This Row],[DateOpened]],Proc[[#This Row],[DateClosed]]))-1)</f>
        <v>3</v>
      </c>
      <c r="R4845" s="174" t="s">
        <v>1013</v>
      </c>
      <c r="S4845" s="150"/>
    </row>
    <row r="4846" spans="1:19" hidden="1">
      <c r="A4846" s="149" t="s">
        <v>7195</v>
      </c>
      <c r="B4846" s="150" t="str">
        <f>IFERROR(VLOOKUP(Proc[[#This Row],[App]],Table2[],3,0),"open")</f>
        <v>ok</v>
      </c>
      <c r="C4846" s="149" t="s">
        <v>369</v>
      </c>
      <c r="D4846" t="s">
        <v>7206</v>
      </c>
      <c r="E4846" t="s">
        <v>4068</v>
      </c>
      <c r="F4846" s="150" t="s">
        <v>4068</v>
      </c>
      <c r="G4846" s="149" t="s">
        <v>400</v>
      </c>
      <c r="H4846" s="150" t="str">
        <f>IF(Proc[[#This Row],[type]]="LFF (MDG-F)",MID(Proc[[#This Row],[Obj]],13,10),"")</f>
        <v/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HC</v>
      </c>
      <c r="L4846" s="150" t="s">
        <v>6435</v>
      </c>
      <c r="M4846" s="173">
        <v>45992</v>
      </c>
      <c r="N4846" s="174"/>
      <c r="O4846" s="174"/>
      <c r="P4846" s="174" t="str">
        <f ca="1">IF(Proc[[#This Row],[DaysAgeing]]&gt;5,"yep","on track")</f>
        <v>on track</v>
      </c>
      <c r="Q4846" s="3">
        <f ca="1">IF(Proc[[#This Row],[DateClosed]]="",ABS(NETWORKDAYS(Proc[[#This Row],[DateOpened]],TODAY()))-1,ABS(NETWORKDAYS(Proc[[#This Row],[DateOpened]],Proc[[#This Row],[DateClosed]]))-1)</f>
        <v>3</v>
      </c>
      <c r="R4846" s="174" t="s">
        <v>1013</v>
      </c>
      <c r="S4846" s="150"/>
    </row>
    <row r="4847" spans="1:19" hidden="1">
      <c r="A4847" s="149" t="s">
        <v>7195</v>
      </c>
      <c r="B4847" s="150" t="str">
        <f>IFERROR(VLOOKUP(Proc[[#This Row],[App]],Table2[],3,0),"open")</f>
        <v>ok</v>
      </c>
      <c r="C4847" s="149" t="s">
        <v>369</v>
      </c>
      <c r="D4847" t="s">
        <v>7207</v>
      </c>
      <c r="E4847" t="s">
        <v>4068</v>
      </c>
      <c r="F4847" s="150" t="s">
        <v>4068</v>
      </c>
      <c r="G4847" s="149" t="s">
        <v>400</v>
      </c>
      <c r="H4847" s="150" t="str">
        <f>IF(Proc[[#This Row],[type]]="LFF (MDG-F)",MID(Proc[[#This Row],[Obj]],13,10),"")</f>
        <v/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HC</v>
      </c>
      <c r="L4847" s="150" t="s">
        <v>6435</v>
      </c>
      <c r="M4847" s="173">
        <v>45992</v>
      </c>
      <c r="N4847" s="174"/>
      <c r="O4847" s="174"/>
      <c r="P4847" s="174" t="str">
        <f ca="1">IF(Proc[[#This Row],[DaysAgeing]]&gt;5,"yep","on track")</f>
        <v>on track</v>
      </c>
      <c r="Q4847" s="3">
        <f ca="1">IF(Proc[[#This Row],[DateClosed]]="",ABS(NETWORKDAYS(Proc[[#This Row],[DateOpened]],TODAY()))-1,ABS(NETWORKDAYS(Proc[[#This Row],[DateOpened]],Proc[[#This Row],[DateClosed]]))-1)</f>
        <v>3</v>
      </c>
      <c r="R4847" s="174" t="s">
        <v>1013</v>
      </c>
      <c r="S4847" s="150"/>
    </row>
    <row r="4848" spans="1:19" hidden="1">
      <c r="A4848" s="149" t="s">
        <v>7195</v>
      </c>
      <c r="B4848" s="150" t="str">
        <f>IFERROR(VLOOKUP(Proc[[#This Row],[App]],Table2[],3,0),"open")</f>
        <v>ok</v>
      </c>
      <c r="C4848" s="149" t="s">
        <v>369</v>
      </c>
      <c r="D4848" t="s">
        <v>7208</v>
      </c>
      <c r="E4848" t="s">
        <v>4068</v>
      </c>
      <c r="F4848" s="150" t="s">
        <v>4068</v>
      </c>
      <c r="G4848" s="149" t="s">
        <v>400</v>
      </c>
      <c r="H4848" s="150" t="str">
        <f>IF(Proc[[#This Row],[type]]="LFF (MDG-F)",MID(Proc[[#This Row],[Obj]],13,10),"")</f>
        <v/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HC</v>
      </c>
      <c r="L4848" s="150" t="s">
        <v>6435</v>
      </c>
      <c r="M4848" s="173">
        <v>45992</v>
      </c>
      <c r="N4848" s="174"/>
      <c r="O4848" s="174"/>
      <c r="P4848" s="174" t="str">
        <f ca="1">IF(Proc[[#This Row],[DaysAgeing]]&gt;5,"yep","on track")</f>
        <v>on track</v>
      </c>
      <c r="Q4848" s="3">
        <f ca="1">IF(Proc[[#This Row],[DateClosed]]="",ABS(NETWORKDAYS(Proc[[#This Row],[DateOpened]],TODAY()))-1,ABS(NETWORKDAYS(Proc[[#This Row],[DateOpened]],Proc[[#This Row],[DateClosed]]))-1)</f>
        <v>3</v>
      </c>
      <c r="R4848" s="174" t="s">
        <v>1013</v>
      </c>
      <c r="S4848" s="150"/>
    </row>
    <row r="4849" spans="1:19" hidden="1">
      <c r="A4849" s="149" t="s">
        <v>7195</v>
      </c>
      <c r="B4849" s="150" t="str">
        <f>IFERROR(VLOOKUP(Proc[[#This Row],[App]],Table2[],3,0),"open")</f>
        <v>ok</v>
      </c>
      <c r="C4849" s="149" t="s">
        <v>369</v>
      </c>
      <c r="D4849" t="s">
        <v>7209</v>
      </c>
      <c r="E4849" t="s">
        <v>4068</v>
      </c>
      <c r="F4849" s="150" t="s">
        <v>4068</v>
      </c>
      <c r="G4849" s="149" t="s">
        <v>400</v>
      </c>
      <c r="H4849" s="150" t="str">
        <f>IF(Proc[[#This Row],[type]]="LFF (MDG-F)",MID(Proc[[#This Row],[Obj]],13,10),"")</f>
        <v/>
      </c>
      <c r="J4849" s="150" t="b">
        <f>Proc[[#This Row],[Requested]]=Proc[[#This Row],[CurrentParent]]</f>
        <v>1</v>
      </c>
      <c r="K4849" s="150" t="str">
        <f>IF(Proc[[#This Row],[Author]]="Marcela Urrego",VLOOKUP(LEFT(Proc[[#This Row],[Requested]],1),Table3[#All],2,0),VLOOKUP(Proc[[#This Row],[Author]],Table4[],2,0))</f>
        <v>HC</v>
      </c>
      <c r="L4849" s="150" t="s">
        <v>6435</v>
      </c>
      <c r="M4849" s="173">
        <v>45992</v>
      </c>
      <c r="N4849" s="174"/>
      <c r="O4849" s="174"/>
      <c r="P4849" s="174" t="str">
        <f ca="1">IF(Proc[[#This Row],[DaysAgeing]]&gt;5,"yep","on track")</f>
        <v>on track</v>
      </c>
      <c r="Q4849" s="3">
        <f ca="1">IF(Proc[[#This Row],[DateClosed]]="",ABS(NETWORKDAYS(Proc[[#This Row],[DateOpened]],TODAY()))-1,ABS(NETWORKDAYS(Proc[[#This Row],[DateOpened]],Proc[[#This Row],[DateClosed]]))-1)</f>
        <v>3</v>
      </c>
      <c r="R4849" s="174" t="s">
        <v>1013</v>
      </c>
      <c r="S4849" s="150"/>
    </row>
    <row r="4850" spans="1:19" hidden="1">
      <c r="A4850" s="149" t="s">
        <v>7195</v>
      </c>
      <c r="B4850" s="150" t="str">
        <f>IFERROR(VLOOKUP(Proc[[#This Row],[App]],Table2[],3,0),"open")</f>
        <v>ok</v>
      </c>
      <c r="C4850" s="149" t="s">
        <v>369</v>
      </c>
      <c r="D4850" t="s">
        <v>7210</v>
      </c>
      <c r="E4850" t="s">
        <v>4068</v>
      </c>
      <c r="F4850" s="150" t="s">
        <v>4068</v>
      </c>
      <c r="G4850" s="149" t="s">
        <v>400</v>
      </c>
      <c r="H4850" s="150" t="str">
        <f>IF(Proc[[#This Row],[type]]="LFF (MDG-F)",MID(Proc[[#This Row],[Obj]],13,10),"")</f>
        <v/>
      </c>
      <c r="J4850" s="150" t="b">
        <f>Proc[[#This Row],[Requested]]=Proc[[#This Row],[CurrentParent]]</f>
        <v>1</v>
      </c>
      <c r="K4850" s="150" t="str">
        <f>IF(Proc[[#This Row],[Author]]="Marcela Urrego",VLOOKUP(LEFT(Proc[[#This Row],[Requested]],1),Table3[#All],2,0),VLOOKUP(Proc[[#This Row],[Author]],Table4[],2,0))</f>
        <v>HC</v>
      </c>
      <c r="L4850" s="150" t="s">
        <v>6435</v>
      </c>
      <c r="M4850" s="173">
        <v>45992</v>
      </c>
      <c r="N4850" s="174"/>
      <c r="O4850" s="174"/>
      <c r="P4850" s="174" t="str">
        <f ca="1">IF(Proc[[#This Row],[DaysAgeing]]&gt;5,"yep","on track")</f>
        <v>on track</v>
      </c>
      <c r="Q4850" s="3">
        <f ca="1">IF(Proc[[#This Row],[DateClosed]]="",ABS(NETWORKDAYS(Proc[[#This Row],[DateOpened]],TODAY()))-1,ABS(NETWORKDAYS(Proc[[#This Row],[DateOpened]],Proc[[#This Row],[DateClosed]]))-1)</f>
        <v>3</v>
      </c>
      <c r="R4850" s="174" t="s">
        <v>1013</v>
      </c>
      <c r="S4850" s="150"/>
    </row>
    <row r="4851" spans="1:19" hidden="1">
      <c r="A4851" s="149" t="s">
        <v>7195</v>
      </c>
      <c r="B4851" s="150" t="str">
        <f>IFERROR(VLOOKUP(Proc[[#This Row],[App]],Table2[],3,0),"open")</f>
        <v>ok</v>
      </c>
      <c r="C4851" s="149" t="s">
        <v>369</v>
      </c>
      <c r="D4851" t="s">
        <v>7211</v>
      </c>
      <c r="E4851" t="s">
        <v>4068</v>
      </c>
      <c r="F4851" s="150" t="s">
        <v>4068</v>
      </c>
      <c r="G4851" s="149" t="s">
        <v>400</v>
      </c>
      <c r="H4851" s="150" t="str">
        <f>IF(Proc[[#This Row],[type]]="LFF (MDG-F)",MID(Proc[[#This Row],[Obj]],13,10),"")</f>
        <v/>
      </c>
      <c r="J4851" s="150" t="b">
        <f>Proc[[#This Row],[Requested]]=Proc[[#This Row],[CurrentParent]]</f>
        <v>1</v>
      </c>
      <c r="K4851" s="150" t="str">
        <f>IF(Proc[[#This Row],[Author]]="Marcela Urrego",VLOOKUP(LEFT(Proc[[#This Row],[Requested]],1),Table3[#All],2,0),VLOOKUP(Proc[[#This Row],[Author]],Table4[],2,0))</f>
        <v>HC</v>
      </c>
      <c r="L4851" s="150" t="s">
        <v>6435</v>
      </c>
      <c r="M4851" s="173">
        <v>45992</v>
      </c>
      <c r="N4851" s="174"/>
      <c r="O4851" s="174"/>
      <c r="P4851" s="174" t="str">
        <f ca="1">IF(Proc[[#This Row],[DaysAgeing]]&gt;5,"yep","on track")</f>
        <v>on track</v>
      </c>
      <c r="Q4851" s="3">
        <f ca="1">IF(Proc[[#This Row],[DateClosed]]="",ABS(NETWORKDAYS(Proc[[#This Row],[DateOpened]],TODAY()))-1,ABS(NETWORKDAYS(Proc[[#This Row],[DateOpened]],Proc[[#This Row],[DateClosed]]))-1)</f>
        <v>3</v>
      </c>
      <c r="R4851" s="174" t="s">
        <v>1013</v>
      </c>
      <c r="S4851" s="150"/>
    </row>
    <row r="4852" spans="1:19" hidden="1">
      <c r="A4852" s="149" t="s">
        <v>7195</v>
      </c>
      <c r="B4852" s="150" t="str">
        <f>IFERROR(VLOOKUP(Proc[[#This Row],[App]],Table2[],3,0),"open")</f>
        <v>ok</v>
      </c>
      <c r="C4852" s="149" t="s">
        <v>369</v>
      </c>
      <c r="D4852" t="s">
        <v>7212</v>
      </c>
      <c r="E4852" t="s">
        <v>4068</v>
      </c>
      <c r="F4852" s="150" t="s">
        <v>4068</v>
      </c>
      <c r="G4852" s="149" t="s">
        <v>400</v>
      </c>
      <c r="H4852" s="150" t="str">
        <f>IF(Proc[[#This Row],[type]]="LFF (MDG-F)",MID(Proc[[#This Row],[Obj]],13,10),"")</f>
        <v/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HC</v>
      </c>
      <c r="L4852" s="150" t="s">
        <v>6435</v>
      </c>
      <c r="M4852" s="173">
        <v>45992</v>
      </c>
      <c r="N4852" s="174"/>
      <c r="O4852" s="174"/>
      <c r="P4852" s="174" t="str">
        <f ca="1">IF(Proc[[#This Row],[DaysAgeing]]&gt;5,"yep","on track")</f>
        <v>on track</v>
      </c>
      <c r="Q4852" s="3">
        <f ca="1">IF(Proc[[#This Row],[DateClosed]]="",ABS(NETWORKDAYS(Proc[[#This Row],[DateOpened]],TODAY()))-1,ABS(NETWORKDAYS(Proc[[#This Row],[DateOpened]],Proc[[#This Row],[DateClosed]]))-1)</f>
        <v>3</v>
      </c>
      <c r="R4852" s="174" t="s">
        <v>1013</v>
      </c>
      <c r="S4852" s="150"/>
    </row>
    <row r="4853" spans="1:19" hidden="1">
      <c r="A4853" s="149" t="s">
        <v>7195</v>
      </c>
      <c r="B4853" s="150" t="str">
        <f>IFERROR(VLOOKUP(Proc[[#This Row],[App]],Table2[],3,0),"open")</f>
        <v>ok</v>
      </c>
      <c r="C4853" s="149" t="s">
        <v>369</v>
      </c>
      <c r="D4853" t="s">
        <v>7213</v>
      </c>
      <c r="E4853" t="s">
        <v>4068</v>
      </c>
      <c r="F4853" s="150" t="s">
        <v>4068</v>
      </c>
      <c r="G4853" s="149" t="s">
        <v>400</v>
      </c>
      <c r="H4853" s="150" t="str">
        <f>IF(Proc[[#This Row],[type]]="LFF (MDG-F)",MID(Proc[[#This Row],[Obj]],13,10),"")</f>
        <v/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HC</v>
      </c>
      <c r="L4853" s="150" t="s">
        <v>6435</v>
      </c>
      <c r="M4853" s="173">
        <v>45992</v>
      </c>
      <c r="N4853" s="174"/>
      <c r="O4853" s="174"/>
      <c r="P4853" s="174" t="str">
        <f ca="1">IF(Proc[[#This Row],[DaysAgeing]]&gt;5,"yep","on track")</f>
        <v>on track</v>
      </c>
      <c r="Q4853" s="3">
        <f ca="1">IF(Proc[[#This Row],[DateClosed]]="",ABS(NETWORKDAYS(Proc[[#This Row],[DateOpened]],TODAY()))-1,ABS(NETWORKDAYS(Proc[[#This Row],[DateOpened]],Proc[[#This Row],[DateClosed]]))-1)</f>
        <v>3</v>
      </c>
      <c r="R4853" s="174" t="s">
        <v>1013</v>
      </c>
      <c r="S4853" s="150"/>
    </row>
    <row r="4854" spans="1:19" hidden="1">
      <c r="A4854" s="149" t="s">
        <v>7195</v>
      </c>
      <c r="B4854" s="150" t="str">
        <f>IFERROR(VLOOKUP(Proc[[#This Row],[App]],Table2[],3,0),"open")</f>
        <v>ok</v>
      </c>
      <c r="C4854" s="149" t="s">
        <v>369</v>
      </c>
      <c r="D4854" t="s">
        <v>7214</v>
      </c>
      <c r="E4854" t="s">
        <v>4068</v>
      </c>
      <c r="F4854" s="150" t="s">
        <v>4068</v>
      </c>
      <c r="G4854" s="149" t="s">
        <v>400</v>
      </c>
      <c r="H4854" s="150" t="str">
        <f>IF(Proc[[#This Row],[type]]="LFF (MDG-F)",MID(Proc[[#This Row],[Obj]],13,10),"")</f>
        <v/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HC</v>
      </c>
      <c r="L4854" s="150" t="s">
        <v>6435</v>
      </c>
      <c r="M4854" s="173">
        <v>45992</v>
      </c>
      <c r="N4854" s="174"/>
      <c r="O4854" s="174"/>
      <c r="P4854" s="174" t="str">
        <f ca="1">IF(Proc[[#This Row],[DaysAgeing]]&gt;5,"yep","on track")</f>
        <v>on track</v>
      </c>
      <c r="Q4854" s="3">
        <f ca="1">IF(Proc[[#This Row],[DateClosed]]="",ABS(NETWORKDAYS(Proc[[#This Row],[DateOpened]],TODAY()))-1,ABS(NETWORKDAYS(Proc[[#This Row],[DateOpened]],Proc[[#This Row],[DateClosed]]))-1)</f>
        <v>3</v>
      </c>
      <c r="R4854" s="174" t="s">
        <v>1013</v>
      </c>
      <c r="S4854" s="150"/>
    </row>
    <row r="4855" spans="1:19" hidden="1">
      <c r="A4855" s="149" t="s">
        <v>7195</v>
      </c>
      <c r="B4855" s="150" t="str">
        <f>IFERROR(VLOOKUP(Proc[[#This Row],[App]],Table2[],3,0),"open")</f>
        <v>ok</v>
      </c>
      <c r="C4855" s="149" t="s">
        <v>369</v>
      </c>
      <c r="D4855" t="s">
        <v>7215</v>
      </c>
      <c r="E4855" t="s">
        <v>4068</v>
      </c>
      <c r="F4855" s="150" t="s">
        <v>4068</v>
      </c>
      <c r="G4855" s="149" t="s">
        <v>400</v>
      </c>
      <c r="H4855" s="150" t="str">
        <f>IF(Proc[[#This Row],[type]]="LFF (MDG-F)",MID(Proc[[#This Row],[Obj]],13,10),"")</f>
        <v/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HC</v>
      </c>
      <c r="L4855" s="150" t="s">
        <v>6435</v>
      </c>
      <c r="M4855" s="173">
        <v>45992</v>
      </c>
      <c r="N4855" s="174"/>
      <c r="O4855" s="174"/>
      <c r="P4855" s="174" t="str">
        <f ca="1">IF(Proc[[#This Row],[DaysAgeing]]&gt;5,"yep","on track")</f>
        <v>on track</v>
      </c>
      <c r="Q4855" s="3">
        <f ca="1">IF(Proc[[#This Row],[DateClosed]]="",ABS(NETWORKDAYS(Proc[[#This Row],[DateOpened]],TODAY()))-1,ABS(NETWORKDAYS(Proc[[#This Row],[DateOpened]],Proc[[#This Row],[DateClosed]]))-1)</f>
        <v>3</v>
      </c>
      <c r="R4855" s="174" t="s">
        <v>1013</v>
      </c>
      <c r="S4855" s="150"/>
    </row>
    <row r="4856" spans="1:19" hidden="1">
      <c r="A4856" s="149" t="s">
        <v>7195</v>
      </c>
      <c r="B4856" s="150" t="str">
        <f>IFERROR(VLOOKUP(Proc[[#This Row],[App]],Table2[],3,0),"open")</f>
        <v>ok</v>
      </c>
      <c r="C4856" s="149" t="s">
        <v>369</v>
      </c>
      <c r="D4856" t="s">
        <v>7216</v>
      </c>
      <c r="E4856" t="s">
        <v>4068</v>
      </c>
      <c r="F4856" s="150" t="s">
        <v>4068</v>
      </c>
      <c r="G4856" s="149" t="s">
        <v>400</v>
      </c>
      <c r="H4856" s="150" t="str">
        <f>IF(Proc[[#This Row],[type]]="LFF (MDG-F)",MID(Proc[[#This Row],[Obj]],13,10),"")</f>
        <v/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HC</v>
      </c>
      <c r="L4856" s="150" t="s">
        <v>6435</v>
      </c>
      <c r="M4856" s="173">
        <v>45992</v>
      </c>
      <c r="N4856" s="174"/>
      <c r="O4856" s="174"/>
      <c r="P4856" s="174" t="str">
        <f ca="1">IF(Proc[[#This Row],[DaysAgeing]]&gt;5,"yep","on track")</f>
        <v>on track</v>
      </c>
      <c r="Q4856" s="3">
        <f ca="1">IF(Proc[[#This Row],[DateClosed]]="",ABS(NETWORKDAYS(Proc[[#This Row],[DateOpened]],TODAY()))-1,ABS(NETWORKDAYS(Proc[[#This Row],[DateOpened]],Proc[[#This Row],[DateClosed]]))-1)</f>
        <v>3</v>
      </c>
      <c r="R4856" s="174" t="s">
        <v>1013</v>
      </c>
      <c r="S4856" s="150"/>
    </row>
    <row r="4857" spans="1:19" hidden="1">
      <c r="A4857" t="s">
        <v>7221</v>
      </c>
      <c r="B4857" s="150" t="str">
        <f>IFERROR(VLOOKUP(Proc[[#This Row],[App]],Table2[],3,0),"open")</f>
        <v>ok</v>
      </c>
      <c r="C4857" s="149" t="s">
        <v>369</v>
      </c>
      <c r="D4857" t="s">
        <v>6783</v>
      </c>
      <c r="E4857" t="s">
        <v>759</v>
      </c>
      <c r="F4857" s="150" t="s">
        <v>759</v>
      </c>
      <c r="G4857" t="s">
        <v>400</v>
      </c>
      <c r="H4857" s="150" t="str">
        <f>IF(Proc[[#This Row],[type]]="LFF (MDG-F)",MID(Proc[[#This Row],[Obj]],13,10),"")</f>
        <v/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MGF</v>
      </c>
      <c r="L4857" s="150" t="s">
        <v>6435</v>
      </c>
      <c r="M4857" s="173">
        <v>45993</v>
      </c>
      <c r="N4857" s="174"/>
      <c r="O4857" s="174"/>
      <c r="P4857" s="174" t="str">
        <f ca="1">IF(Proc[[#This Row],[DaysAgeing]]&gt;5,"yep","on track")</f>
        <v>on track</v>
      </c>
      <c r="Q4857" s="3">
        <f ca="1">IF(Proc[[#This Row],[DateClosed]]="",ABS(NETWORKDAYS(Proc[[#This Row],[DateOpened]],TODAY()))-1,ABS(NETWORKDAYS(Proc[[#This Row],[DateOpened]],Proc[[#This Row],[DateClosed]]))-1)</f>
        <v>2</v>
      </c>
      <c r="R4857" s="174" t="s">
        <v>1459</v>
      </c>
      <c r="S4857" s="150"/>
    </row>
    <row r="4858" spans="1:19" hidden="1">
      <c r="A4858" t="s">
        <v>7221</v>
      </c>
      <c r="B4858" s="150" t="str">
        <f>IFERROR(VLOOKUP(Proc[[#This Row],[App]],Table2[],3,0),"open")</f>
        <v>ok</v>
      </c>
      <c r="C4858" s="149" t="s">
        <v>369</v>
      </c>
      <c r="D4858" t="s">
        <v>5278</v>
      </c>
      <c r="E4858" s="149" t="s">
        <v>7223</v>
      </c>
      <c r="F4858" s="150" t="s">
        <v>7223</v>
      </c>
      <c r="G4858" t="s">
        <v>406</v>
      </c>
      <c r="H4858" s="150" t="str">
        <f>IF(Proc[[#This Row],[type]]="LFF (MDG-F)",MID(Proc[[#This Row],[Obj]],13,10),"")</f>
        <v>CN90GM4004</v>
      </c>
      <c r="I4858" s="149" t="s">
        <v>7223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MGF</v>
      </c>
      <c r="L4858" s="150" t="s">
        <v>6435</v>
      </c>
      <c r="M4858" s="173">
        <v>45993</v>
      </c>
      <c r="N4858" s="174"/>
      <c r="O4858" s="174"/>
      <c r="P4858" s="174" t="str">
        <f ca="1">IF(Proc[[#This Row],[DaysAgeing]]&gt;5,"yep","on track")</f>
        <v>on track</v>
      </c>
      <c r="Q4858" s="3">
        <f ca="1">IF(Proc[[#This Row],[DateClosed]]="",ABS(NETWORKDAYS(Proc[[#This Row],[DateOpened]],TODAY()))-1,ABS(NETWORKDAYS(Proc[[#This Row],[DateOpened]],Proc[[#This Row],[DateClosed]]))-1)</f>
        <v>2</v>
      </c>
      <c r="R4858" s="174" t="s">
        <v>1459</v>
      </c>
      <c r="S4858" s="150"/>
    </row>
    <row r="4859" spans="1:19" hidden="1">
      <c r="A4859" s="149" t="s">
        <v>7221</v>
      </c>
      <c r="B4859" s="150" t="str">
        <f>IFERROR(VLOOKUP(Proc[[#This Row],[App]],Table2[],3,0),"open")</f>
        <v>ok</v>
      </c>
      <c r="C4859" s="149" t="s">
        <v>369</v>
      </c>
      <c r="D4859" t="s">
        <v>5293</v>
      </c>
      <c r="E4859" s="149" t="s">
        <v>7224</v>
      </c>
      <c r="F4859" s="150" t="s">
        <v>7224</v>
      </c>
      <c r="G4859" t="s">
        <v>400</v>
      </c>
      <c r="H4859" s="150" t="str">
        <f>IF(Proc[[#This Row],[type]]="LFF (MDG-F)",MID(Proc[[#This Row],[Obj]],13,10),"")</f>
        <v/>
      </c>
      <c r="I4859" s="149" t="s">
        <v>7224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MGF</v>
      </c>
      <c r="L4859" s="150" t="s">
        <v>6435</v>
      </c>
      <c r="M4859" s="173">
        <v>45993</v>
      </c>
      <c r="N4859" s="174"/>
      <c r="O4859" s="174"/>
      <c r="P4859" s="174" t="str">
        <f ca="1">IF(Proc[[#This Row],[DaysAgeing]]&gt;5,"yep","on track")</f>
        <v>on track</v>
      </c>
      <c r="Q4859" s="3">
        <f ca="1">IF(Proc[[#This Row],[DateClosed]]="",ABS(NETWORKDAYS(Proc[[#This Row],[DateOpened]],TODAY()))-1,ABS(NETWORKDAYS(Proc[[#This Row],[DateOpened]],Proc[[#This Row],[DateClosed]]))-1)</f>
        <v>2</v>
      </c>
      <c r="R4859" s="174" t="s">
        <v>1459</v>
      </c>
      <c r="S4859" s="150"/>
    </row>
    <row r="4860" spans="1:19" hidden="1">
      <c r="A4860" s="149" t="s">
        <v>7221</v>
      </c>
      <c r="B4860" s="150" t="str">
        <f>IFERROR(VLOOKUP(Proc[[#This Row],[App]],Table2[],3,0),"open")</f>
        <v>ok</v>
      </c>
      <c r="C4860" s="149" t="s">
        <v>369</v>
      </c>
      <c r="D4860" t="s">
        <v>5297</v>
      </c>
      <c r="E4860" s="149" t="s">
        <v>7225</v>
      </c>
      <c r="F4860" s="150" t="s">
        <v>7225</v>
      </c>
      <c r="G4860" t="s">
        <v>400</v>
      </c>
      <c r="H4860" s="150" t="str">
        <f>IF(Proc[[#This Row],[type]]="LFF (MDG-F)",MID(Proc[[#This Row],[Obj]],13,10),"")</f>
        <v/>
      </c>
      <c r="I4860" s="149" t="s">
        <v>7225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MGF</v>
      </c>
      <c r="L4860" s="150" t="s">
        <v>6435</v>
      </c>
      <c r="M4860" s="173">
        <v>45993</v>
      </c>
      <c r="N4860" s="174"/>
      <c r="O4860" s="174"/>
      <c r="P4860" s="174" t="str">
        <f ca="1">IF(Proc[[#This Row],[DaysAgeing]]&gt;5,"yep","on track")</f>
        <v>on track</v>
      </c>
      <c r="Q4860" s="3">
        <f ca="1">IF(Proc[[#This Row],[DateClosed]]="",ABS(NETWORKDAYS(Proc[[#This Row],[DateOpened]],TODAY()))-1,ABS(NETWORKDAYS(Proc[[#This Row],[DateOpened]],Proc[[#This Row],[DateClosed]]))-1)</f>
        <v>2</v>
      </c>
      <c r="R4860" s="174" t="s">
        <v>1459</v>
      </c>
      <c r="S4860" s="150"/>
    </row>
    <row r="4861" spans="1:19" hidden="1">
      <c r="A4861" s="149" t="s">
        <v>7221</v>
      </c>
      <c r="B4861" s="150" t="str">
        <f>IFERROR(VLOOKUP(Proc[[#This Row],[App]],Table2[],3,0),"open")</f>
        <v>ok</v>
      </c>
      <c r="C4861" s="149" t="s">
        <v>369</v>
      </c>
      <c r="D4861" t="s">
        <v>5440</v>
      </c>
      <c r="E4861" s="149" t="s">
        <v>7226</v>
      </c>
      <c r="F4861" s="150" t="s">
        <v>7226</v>
      </c>
      <c r="G4861" s="149" t="s">
        <v>400</v>
      </c>
      <c r="H4861" s="150" t="str">
        <f>IF(Proc[[#This Row],[type]]="LFF (MDG-F)",MID(Proc[[#This Row],[Obj]],13,10),"")</f>
        <v/>
      </c>
      <c r="I4861" s="149" t="s">
        <v>7226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MGF</v>
      </c>
      <c r="L4861" s="150" t="s">
        <v>6435</v>
      </c>
      <c r="M4861" s="173">
        <v>45993</v>
      </c>
      <c r="N4861" s="174"/>
      <c r="O4861" s="174"/>
      <c r="P4861" s="174" t="str">
        <f ca="1">IF(Proc[[#This Row],[DaysAgeing]]&gt;5,"yep","on track")</f>
        <v>on track</v>
      </c>
      <c r="Q4861" s="3">
        <f ca="1">IF(Proc[[#This Row],[DateClosed]]="",ABS(NETWORKDAYS(Proc[[#This Row],[DateOpened]],TODAY()))-1,ABS(NETWORKDAYS(Proc[[#This Row],[DateOpened]],Proc[[#This Row],[DateClosed]]))-1)</f>
        <v>2</v>
      </c>
      <c r="R4861" s="174" t="s">
        <v>1459</v>
      </c>
      <c r="S4861" s="150"/>
    </row>
    <row r="4862" spans="1:19" hidden="1">
      <c r="A4862" s="149" t="s">
        <v>7221</v>
      </c>
      <c r="B4862" s="150" t="str">
        <f>IFERROR(VLOOKUP(Proc[[#This Row],[App]],Table2[],3,0),"open")</f>
        <v>ok</v>
      </c>
      <c r="C4862" s="149" t="s">
        <v>369</v>
      </c>
      <c r="D4862" t="s">
        <v>5305</v>
      </c>
      <c r="E4862" s="149" t="s">
        <v>7223</v>
      </c>
      <c r="F4862" s="150" t="s">
        <v>7223</v>
      </c>
      <c r="G4862" s="149" t="s">
        <v>400</v>
      </c>
      <c r="H4862" s="150" t="str">
        <f>IF(Proc[[#This Row],[type]]="LFF (MDG-F)",MID(Proc[[#This Row],[Obj]],13,10),"")</f>
        <v/>
      </c>
      <c r="I4862" s="149" t="s">
        <v>7223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MGF</v>
      </c>
      <c r="L4862" s="150" t="s">
        <v>6435</v>
      </c>
      <c r="M4862" s="173">
        <v>45993</v>
      </c>
      <c r="N4862" s="174"/>
      <c r="O4862" s="174"/>
      <c r="P4862" s="174" t="str">
        <f ca="1">IF(Proc[[#This Row],[DaysAgeing]]&gt;5,"yep","on track")</f>
        <v>on track</v>
      </c>
      <c r="Q4862" s="3">
        <f ca="1">IF(Proc[[#This Row],[DateClosed]]="",ABS(NETWORKDAYS(Proc[[#This Row],[DateOpened]],TODAY()))-1,ABS(NETWORKDAYS(Proc[[#This Row],[DateOpened]],Proc[[#This Row],[DateClosed]]))-1)</f>
        <v>2</v>
      </c>
      <c r="R4862" s="174" t="s">
        <v>1459</v>
      </c>
      <c r="S4862" s="150"/>
    </row>
    <row r="4863" spans="1:19" hidden="1">
      <c r="A4863" s="149" t="s">
        <v>7221</v>
      </c>
      <c r="B4863" s="150" t="str">
        <f>IFERROR(VLOOKUP(Proc[[#This Row],[App]],Table2[],3,0),"open")</f>
        <v>ok</v>
      </c>
      <c r="C4863" s="149" t="s">
        <v>369</v>
      </c>
      <c r="D4863" t="s">
        <v>5350</v>
      </c>
      <c r="E4863" s="149" t="s">
        <v>7225</v>
      </c>
      <c r="F4863" s="150" t="s">
        <v>7225</v>
      </c>
      <c r="G4863" t="s">
        <v>406</v>
      </c>
      <c r="H4863" s="150" t="str">
        <f>IF(Proc[[#This Row],[type]]="LFF (MDG-F)",MID(Proc[[#This Row],[Obj]],13,10),"")</f>
        <v>DE10GMS041</v>
      </c>
      <c r="I4863" s="149" t="s">
        <v>7225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MGF</v>
      </c>
      <c r="L4863" s="150" t="s">
        <v>6435</v>
      </c>
      <c r="M4863" s="173">
        <v>45993</v>
      </c>
      <c r="N4863" s="174"/>
      <c r="O4863" s="174"/>
      <c r="P4863" s="174" t="str">
        <f ca="1">IF(Proc[[#This Row],[DaysAgeing]]&gt;5,"yep","on track")</f>
        <v>on track</v>
      </c>
      <c r="Q4863" s="3">
        <f ca="1">IF(Proc[[#This Row],[DateClosed]]="",ABS(NETWORKDAYS(Proc[[#This Row],[DateOpened]],TODAY()))-1,ABS(NETWORKDAYS(Proc[[#This Row],[DateOpened]],Proc[[#This Row],[DateClosed]]))-1)</f>
        <v>2</v>
      </c>
      <c r="R4863" s="174" t="s">
        <v>1459</v>
      </c>
      <c r="S4863" s="150"/>
    </row>
    <row r="4864" spans="1:19" hidden="1">
      <c r="A4864" s="149" t="s">
        <v>7221</v>
      </c>
      <c r="B4864" s="150" t="str">
        <f>IFERROR(VLOOKUP(Proc[[#This Row],[App]],Table2[],3,0),"open")</f>
        <v>ok</v>
      </c>
      <c r="C4864" s="149" t="s">
        <v>369</v>
      </c>
      <c r="D4864" t="s">
        <v>5438</v>
      </c>
      <c r="E4864" s="149" t="s">
        <v>7226</v>
      </c>
      <c r="F4864" s="150" t="s">
        <v>7226</v>
      </c>
      <c r="G4864" t="s">
        <v>406</v>
      </c>
      <c r="H4864" s="150" t="str">
        <f>IF(Proc[[#This Row],[type]]="LFF (MDG-F)",MID(Proc[[#This Row],[Obj]],13,10),"")</f>
        <v>DE10GMS070</v>
      </c>
      <c r="I4864" s="149" t="s">
        <v>7226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MGF</v>
      </c>
      <c r="L4864" s="150" t="s">
        <v>6435</v>
      </c>
      <c r="M4864" s="173">
        <v>45993</v>
      </c>
      <c r="N4864" s="174"/>
      <c r="O4864" s="174"/>
      <c r="P4864" s="174" t="str">
        <f ca="1">IF(Proc[[#This Row],[DaysAgeing]]&gt;5,"yep","on track")</f>
        <v>on track</v>
      </c>
      <c r="Q4864" s="3">
        <f ca="1">IF(Proc[[#This Row],[DateClosed]]="",ABS(NETWORKDAYS(Proc[[#This Row],[DateOpened]],TODAY()))-1,ABS(NETWORKDAYS(Proc[[#This Row],[DateOpened]],Proc[[#This Row],[DateClosed]]))-1)</f>
        <v>2</v>
      </c>
      <c r="R4864" s="174" t="s">
        <v>1459</v>
      </c>
      <c r="S4864" s="150"/>
    </row>
    <row r="4865" spans="1:19" hidden="1">
      <c r="A4865" s="149" t="s">
        <v>7221</v>
      </c>
      <c r="B4865" s="150" t="str">
        <f>IFERROR(VLOOKUP(Proc[[#This Row],[App]],Table2[],3,0),"open")</f>
        <v>ok</v>
      </c>
      <c r="C4865" s="149" t="s">
        <v>369</v>
      </c>
      <c r="D4865" t="s">
        <v>5338</v>
      </c>
      <c r="E4865" s="149" t="s">
        <v>7225</v>
      </c>
      <c r="F4865" s="150" t="s">
        <v>7225</v>
      </c>
      <c r="G4865" t="s">
        <v>406</v>
      </c>
      <c r="H4865" s="150" t="str">
        <f>IF(Proc[[#This Row],[type]]="LFF (MDG-F)",MID(Proc[[#This Row],[Obj]],13,10),"")</f>
        <v>DE10669632</v>
      </c>
      <c r="I4865" s="149" t="s">
        <v>7225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MGF</v>
      </c>
      <c r="L4865" s="150" t="s">
        <v>6435</v>
      </c>
      <c r="M4865" s="173">
        <v>45993</v>
      </c>
      <c r="N4865" s="174"/>
      <c r="O4865" s="174"/>
      <c r="P4865" s="174" t="str">
        <f ca="1">IF(Proc[[#This Row],[DaysAgeing]]&gt;5,"yep","on track")</f>
        <v>on track</v>
      </c>
      <c r="Q4865" s="3">
        <f ca="1">IF(Proc[[#This Row],[DateClosed]]="",ABS(NETWORKDAYS(Proc[[#This Row],[DateOpened]],TODAY()))-1,ABS(NETWORKDAYS(Proc[[#This Row],[DateOpened]],Proc[[#This Row],[DateClosed]]))-1)</f>
        <v>2</v>
      </c>
      <c r="R4865" s="174" t="s">
        <v>1459</v>
      </c>
      <c r="S4865" s="150"/>
    </row>
    <row r="4866" spans="1:19" hidden="1">
      <c r="A4866" s="149" t="s">
        <v>7221</v>
      </c>
      <c r="B4866" s="150" t="str">
        <f>IFERROR(VLOOKUP(Proc[[#This Row],[App]],Table2[],3,0),"open")</f>
        <v>ok</v>
      </c>
      <c r="C4866" s="149" t="s">
        <v>369</v>
      </c>
      <c r="D4866" t="s">
        <v>5361</v>
      </c>
      <c r="E4866" s="149" t="s">
        <v>7223</v>
      </c>
      <c r="F4866" s="150" t="s">
        <v>7223</v>
      </c>
      <c r="G4866" t="s">
        <v>400</v>
      </c>
      <c r="H4866" s="150" t="str">
        <f>IF(Proc[[#This Row],[type]]="LFF (MDG-F)",MID(Proc[[#This Row],[Obj]],13,10),"")</f>
        <v/>
      </c>
      <c r="I4866" s="149" t="s">
        <v>7223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MGF</v>
      </c>
      <c r="L4866" s="150" t="s">
        <v>6435</v>
      </c>
      <c r="M4866" s="173">
        <v>45993</v>
      </c>
      <c r="N4866" s="174"/>
      <c r="O4866" s="174"/>
      <c r="P4866" s="174" t="str">
        <f ca="1">IF(Proc[[#This Row],[DaysAgeing]]&gt;5,"yep","on track")</f>
        <v>on track</v>
      </c>
      <c r="Q4866" s="3">
        <f ca="1">IF(Proc[[#This Row],[DateClosed]]="",ABS(NETWORKDAYS(Proc[[#This Row],[DateOpened]],TODAY()))-1,ABS(NETWORKDAYS(Proc[[#This Row],[DateOpened]],Proc[[#This Row],[DateClosed]]))-1)</f>
        <v>2</v>
      </c>
      <c r="R4866" s="174" t="s">
        <v>1459</v>
      </c>
      <c r="S4866" s="150"/>
    </row>
    <row r="4867" spans="1:19" hidden="1">
      <c r="A4867" s="149" t="s">
        <v>7221</v>
      </c>
      <c r="B4867" s="150" t="str">
        <f>IFERROR(VLOOKUP(Proc[[#This Row],[App]],Table2[],3,0),"open")</f>
        <v>ok</v>
      </c>
      <c r="C4867" s="149" t="s">
        <v>369</v>
      </c>
      <c r="D4867" t="s">
        <v>7222</v>
      </c>
      <c r="E4867" s="149" t="s">
        <v>7227</v>
      </c>
      <c r="F4867" s="150" t="s">
        <v>7227</v>
      </c>
      <c r="G4867" t="s">
        <v>400</v>
      </c>
      <c r="H4867" s="150" t="str">
        <f>IF(Proc[[#This Row],[type]]="LFF (MDG-F)",MID(Proc[[#This Row],[Obj]],13,10),"")</f>
        <v/>
      </c>
      <c r="I4867" s="149" t="s">
        <v>7227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MGF</v>
      </c>
      <c r="L4867" s="150" t="s">
        <v>6435</v>
      </c>
      <c r="M4867" s="173">
        <v>45993</v>
      </c>
      <c r="N4867" s="174"/>
      <c r="O4867" s="174"/>
      <c r="P4867" s="174" t="str">
        <f ca="1">IF(Proc[[#This Row],[DaysAgeing]]&gt;5,"yep","on track")</f>
        <v>on track</v>
      </c>
      <c r="Q4867" s="3">
        <f ca="1">IF(Proc[[#This Row],[DateClosed]]="",ABS(NETWORKDAYS(Proc[[#This Row],[DateOpened]],TODAY()))-1,ABS(NETWORKDAYS(Proc[[#This Row],[DateOpened]],Proc[[#This Row],[DateClosed]]))-1)</f>
        <v>2</v>
      </c>
      <c r="R4867" s="174" t="s">
        <v>1459</v>
      </c>
      <c r="S4867" s="150"/>
    </row>
  </sheetData>
  <phoneticPr fontId="0" type="noConversion"/>
  <conditionalFormatting sqref="D496">
    <cfRule type="duplicateValues" dxfId="27" priority="3"/>
  </conditionalFormatting>
  <conditionalFormatting sqref="D871:D896">
    <cfRule type="duplicateValues" dxfId="2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G2:G4867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4D462-D1EB-40FD-86BC-BBA97A9FF464}">
  <dimension ref="A1:B28"/>
  <sheetViews>
    <sheetView workbookViewId="0"/>
  </sheetViews>
  <sheetFormatPr defaultRowHeight="15"/>
  <sheetData>
    <row r="1" spans="1:2">
      <c r="A1" t="s">
        <v>6742</v>
      </c>
    </row>
    <row r="2" spans="1:2">
      <c r="A2" t="s">
        <v>6743</v>
      </c>
    </row>
    <row r="3" spans="1:2">
      <c r="A3" t="s">
        <v>7021</v>
      </c>
      <c r="B3" t="s">
        <v>7002</v>
      </c>
    </row>
    <row r="4" spans="1:2">
      <c r="A4" t="s">
        <v>7246</v>
      </c>
      <c r="B4" t="s">
        <v>7229</v>
      </c>
    </row>
    <row r="5" spans="1:2">
      <c r="A5" t="s">
        <v>7058</v>
      </c>
    </row>
    <row r="6" spans="1:2">
      <c r="A6" t="s">
        <v>7059</v>
      </c>
    </row>
    <row r="7" spans="1:2">
      <c r="A7" t="s">
        <v>7060</v>
      </c>
    </row>
    <row r="8" spans="1:2">
      <c r="A8" t="s">
        <v>7075</v>
      </c>
      <c r="B8" t="s">
        <v>7231</v>
      </c>
    </row>
    <row r="9" spans="1:2">
      <c r="A9" t="s">
        <v>7076</v>
      </c>
      <c r="B9" t="s">
        <v>7231</v>
      </c>
    </row>
    <row r="10" spans="1:2">
      <c r="A10" t="s">
        <v>7077</v>
      </c>
      <c r="B10" t="s">
        <v>7231</v>
      </c>
    </row>
    <row r="11" spans="1:2">
      <c r="A11" t="s">
        <v>7078</v>
      </c>
      <c r="B11" t="s">
        <v>7232</v>
      </c>
    </row>
    <row r="12" spans="1:2">
      <c r="A12" t="s">
        <v>7079</v>
      </c>
      <c r="B12" t="s">
        <v>7232</v>
      </c>
    </row>
    <row r="13" spans="1:2">
      <c r="A13" t="s">
        <v>7089</v>
      </c>
      <c r="B13" t="s">
        <v>7233</v>
      </c>
    </row>
    <row r="14" spans="1:2">
      <c r="A14" t="s">
        <v>7093</v>
      </c>
      <c r="B14" t="s">
        <v>7234</v>
      </c>
    </row>
    <row r="15" spans="1:2">
      <c r="A15" t="s">
        <v>7128</v>
      </c>
      <c r="B15" t="s">
        <v>7235</v>
      </c>
    </row>
    <row r="16" spans="1:2">
      <c r="A16" t="s">
        <v>7165</v>
      </c>
      <c r="B16" t="s">
        <v>7238</v>
      </c>
    </row>
    <row r="17" spans="1:2">
      <c r="A17" t="s">
        <v>7171</v>
      </c>
      <c r="B17" t="s">
        <v>7239</v>
      </c>
    </row>
    <row r="18" spans="1:2">
      <c r="A18" t="s">
        <v>7177</v>
      </c>
      <c r="B18" t="s">
        <v>7239</v>
      </c>
    </row>
    <row r="19" spans="1:2">
      <c r="A19" t="s">
        <v>5278</v>
      </c>
      <c r="B19" t="s">
        <v>7223</v>
      </c>
    </row>
    <row r="20" spans="1:2">
      <c r="A20" t="s">
        <v>5293</v>
      </c>
      <c r="B20" t="s">
        <v>7224</v>
      </c>
    </row>
    <row r="21" spans="1:2">
      <c r="A21" t="s">
        <v>5297</v>
      </c>
      <c r="B21" t="s">
        <v>7225</v>
      </c>
    </row>
    <row r="22" spans="1:2">
      <c r="A22" t="s">
        <v>5440</v>
      </c>
      <c r="B22" t="s">
        <v>7226</v>
      </c>
    </row>
    <row r="23" spans="1:2">
      <c r="A23" t="s">
        <v>5305</v>
      </c>
      <c r="B23" t="s">
        <v>7223</v>
      </c>
    </row>
    <row r="24" spans="1:2">
      <c r="A24" t="s">
        <v>5350</v>
      </c>
      <c r="B24" t="s">
        <v>7225</v>
      </c>
    </row>
    <row r="25" spans="1:2">
      <c r="A25" t="s">
        <v>5438</v>
      </c>
      <c r="B25" t="s">
        <v>7226</v>
      </c>
    </row>
    <row r="26" spans="1:2">
      <c r="A26" t="s">
        <v>5338</v>
      </c>
      <c r="B26" t="s">
        <v>7225</v>
      </c>
    </row>
    <row r="27" spans="1:2">
      <c r="A27" t="s">
        <v>5361</v>
      </c>
      <c r="B27" t="s">
        <v>7223</v>
      </c>
    </row>
    <row r="28" spans="1:2">
      <c r="A28" t="s">
        <v>7222</v>
      </c>
      <c r="B28" t="s">
        <v>7227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5"/>
  <sheetViews>
    <sheetView topLeftCell="A93" workbookViewId="0">
      <selection activeCell="B148" sqref="B148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DA0D1-FD6B-41D9-B101-DA584BEB1AC1}">
  <dimension ref="A1:S147"/>
  <sheetViews>
    <sheetView workbookViewId="0">
      <selection sqref="A1:S147"/>
    </sheetView>
  </sheetViews>
  <sheetFormatPr defaultRowHeight="15"/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1289</v>
      </c>
      <c r="B2" t="s">
        <v>4</v>
      </c>
      <c r="C2" t="s">
        <v>369</v>
      </c>
      <c r="D2" t="s">
        <v>1288</v>
      </c>
      <c r="E2" t="s">
        <v>1249</v>
      </c>
      <c r="F2" t="s">
        <v>1249</v>
      </c>
      <c r="G2" t="s">
        <v>406</v>
      </c>
      <c r="H2" t="s">
        <v>7247</v>
      </c>
      <c r="J2" t="b">
        <v>1</v>
      </c>
      <c r="K2" t="s">
        <v>567</v>
      </c>
      <c r="L2" t="s">
        <v>401</v>
      </c>
      <c r="M2">
        <v>45644.604386574072</v>
      </c>
      <c r="N2">
        <v>45646</v>
      </c>
      <c r="O2">
        <v>45646</v>
      </c>
      <c r="P2" t="s">
        <v>6532</v>
      </c>
      <c r="Q2">
        <v>2</v>
      </c>
      <c r="R2" t="s">
        <v>549</v>
      </c>
    </row>
    <row r="3" spans="1:19">
      <c r="A3" t="s">
        <v>1287</v>
      </c>
      <c r="B3" t="s">
        <v>4</v>
      </c>
      <c r="C3" t="s">
        <v>369</v>
      </c>
      <c r="D3" t="s">
        <v>1282</v>
      </c>
      <c r="E3" t="s">
        <v>2416</v>
      </c>
      <c r="F3" t="s">
        <v>2416</v>
      </c>
      <c r="G3" t="s">
        <v>400</v>
      </c>
      <c r="H3" t="s">
        <v>7248</v>
      </c>
      <c r="J3" t="b">
        <v>1</v>
      </c>
      <c r="K3" t="s">
        <v>567</v>
      </c>
      <c r="L3" t="s">
        <v>401</v>
      </c>
      <c r="M3">
        <v>45645.37572916667</v>
      </c>
      <c r="N3">
        <v>45646</v>
      </c>
      <c r="O3">
        <v>45646</v>
      </c>
      <c r="P3" t="s">
        <v>6532</v>
      </c>
      <c r="Q3">
        <v>1</v>
      </c>
      <c r="R3" t="s">
        <v>515</v>
      </c>
    </row>
    <row r="4" spans="1:19">
      <c r="A4" t="s">
        <v>1287</v>
      </c>
      <c r="B4" t="s">
        <v>4</v>
      </c>
      <c r="C4" t="s">
        <v>369</v>
      </c>
      <c r="D4" t="s">
        <v>1283</v>
      </c>
      <c r="E4" t="s">
        <v>784</v>
      </c>
      <c r="F4" t="s">
        <v>784</v>
      </c>
      <c r="G4" t="s">
        <v>400</v>
      </c>
      <c r="H4" t="s">
        <v>7248</v>
      </c>
      <c r="J4" t="b">
        <v>1</v>
      </c>
      <c r="K4" t="s">
        <v>567</v>
      </c>
      <c r="L4" t="s">
        <v>401</v>
      </c>
      <c r="M4">
        <v>45645.37572916667</v>
      </c>
      <c r="N4">
        <v>45646</v>
      </c>
      <c r="O4">
        <v>45646</v>
      </c>
      <c r="P4" t="s">
        <v>6532</v>
      </c>
      <c r="Q4">
        <v>1</v>
      </c>
      <c r="R4" t="s">
        <v>515</v>
      </c>
    </row>
    <row r="5" spans="1:19">
      <c r="A5" t="s">
        <v>1287</v>
      </c>
      <c r="B5" t="s">
        <v>4</v>
      </c>
      <c r="C5" t="s">
        <v>369</v>
      </c>
      <c r="D5" t="s">
        <v>1284</v>
      </c>
      <c r="E5" t="s">
        <v>413</v>
      </c>
      <c r="F5" t="s">
        <v>413</v>
      </c>
      <c r="G5" t="s">
        <v>400</v>
      </c>
      <c r="H5" t="s">
        <v>7248</v>
      </c>
      <c r="J5" t="b">
        <v>1</v>
      </c>
      <c r="K5" t="s">
        <v>567</v>
      </c>
      <c r="L5" t="s">
        <v>401</v>
      </c>
      <c r="M5">
        <v>45645.37572916667</v>
      </c>
      <c r="N5">
        <v>45646</v>
      </c>
      <c r="O5">
        <v>45646</v>
      </c>
      <c r="P5" t="s">
        <v>6532</v>
      </c>
      <c r="Q5">
        <v>1</v>
      </c>
      <c r="R5" t="s">
        <v>515</v>
      </c>
    </row>
    <row r="6" spans="1:19">
      <c r="A6" t="s">
        <v>1287</v>
      </c>
      <c r="B6" t="s">
        <v>4</v>
      </c>
      <c r="C6" t="s">
        <v>369</v>
      </c>
      <c r="D6" t="s">
        <v>1285</v>
      </c>
      <c r="E6" t="s">
        <v>413</v>
      </c>
      <c r="F6" t="s">
        <v>413</v>
      </c>
      <c r="G6" t="s">
        <v>400</v>
      </c>
      <c r="H6" t="s">
        <v>7248</v>
      </c>
      <c r="J6" t="b">
        <v>1</v>
      </c>
      <c r="K6" t="s">
        <v>567</v>
      </c>
      <c r="L6" t="s">
        <v>401</v>
      </c>
      <c r="M6">
        <v>45645.37572916667</v>
      </c>
      <c r="N6">
        <v>45646</v>
      </c>
      <c r="O6">
        <v>45646</v>
      </c>
      <c r="P6" t="s">
        <v>6532</v>
      </c>
      <c r="Q6">
        <v>1</v>
      </c>
      <c r="R6" t="s">
        <v>515</v>
      </c>
    </row>
    <row r="7" spans="1:19">
      <c r="A7" t="s">
        <v>1287</v>
      </c>
      <c r="B7" t="s">
        <v>4</v>
      </c>
      <c r="C7" t="s">
        <v>369</v>
      </c>
      <c r="D7" t="s">
        <v>1286</v>
      </c>
      <c r="E7" t="s">
        <v>413</v>
      </c>
      <c r="F7" t="s">
        <v>413</v>
      </c>
      <c r="G7" t="s">
        <v>400</v>
      </c>
      <c r="H7" t="s">
        <v>7248</v>
      </c>
      <c r="J7" t="b">
        <v>1</v>
      </c>
      <c r="K7" t="s">
        <v>567</v>
      </c>
      <c r="L7" t="s">
        <v>401</v>
      </c>
      <c r="M7">
        <v>45645.37572916667</v>
      </c>
      <c r="N7">
        <v>45646</v>
      </c>
      <c r="O7">
        <v>45646</v>
      </c>
      <c r="P7" t="s">
        <v>6532</v>
      </c>
      <c r="Q7">
        <v>1</v>
      </c>
      <c r="R7" t="s">
        <v>515</v>
      </c>
    </row>
    <row r="8" spans="1:19">
      <c r="A8" t="s">
        <v>1298</v>
      </c>
      <c r="B8" t="s">
        <v>4</v>
      </c>
      <c r="C8" t="s">
        <v>369</v>
      </c>
      <c r="D8" t="s">
        <v>1294</v>
      </c>
      <c r="E8" t="s">
        <v>504</v>
      </c>
      <c r="F8" t="s">
        <v>504</v>
      </c>
      <c r="G8" t="s">
        <v>406</v>
      </c>
      <c r="H8" t="s">
        <v>7249</v>
      </c>
      <c r="J8" t="b">
        <v>1</v>
      </c>
      <c r="K8" t="s">
        <v>569</v>
      </c>
      <c r="L8" t="s">
        <v>401</v>
      </c>
      <c r="M8">
        <v>45645.662499999999</v>
      </c>
      <c r="N8">
        <v>45649</v>
      </c>
      <c r="O8">
        <v>45649</v>
      </c>
      <c r="P8" t="s">
        <v>6532</v>
      </c>
      <c r="Q8">
        <v>2</v>
      </c>
      <c r="R8" t="s">
        <v>1013</v>
      </c>
    </row>
    <row r="9" spans="1:19">
      <c r="A9" t="s">
        <v>1298</v>
      </c>
      <c r="B9" t="s">
        <v>4</v>
      </c>
      <c r="C9" t="s">
        <v>369</v>
      </c>
      <c r="D9" t="s">
        <v>1295</v>
      </c>
      <c r="E9" t="s">
        <v>504</v>
      </c>
      <c r="F9" t="s">
        <v>504</v>
      </c>
      <c r="G9" t="s">
        <v>406</v>
      </c>
      <c r="H9" t="s">
        <v>7250</v>
      </c>
      <c r="J9" t="b">
        <v>1</v>
      </c>
      <c r="K9" t="s">
        <v>569</v>
      </c>
      <c r="L9" t="s">
        <v>401</v>
      </c>
      <c r="M9">
        <v>45645.662499999999</v>
      </c>
      <c r="N9">
        <v>45649</v>
      </c>
      <c r="O9">
        <v>45649</v>
      </c>
      <c r="P9" t="s">
        <v>6532</v>
      </c>
      <c r="Q9">
        <v>2</v>
      </c>
      <c r="R9" t="s">
        <v>1013</v>
      </c>
    </row>
    <row r="10" spans="1:19">
      <c r="A10" t="s">
        <v>1298</v>
      </c>
      <c r="B10" t="s">
        <v>4</v>
      </c>
      <c r="C10" t="s">
        <v>369</v>
      </c>
      <c r="D10" t="s">
        <v>1296</v>
      </c>
      <c r="E10" t="s">
        <v>504</v>
      </c>
      <c r="F10" t="s">
        <v>504</v>
      </c>
      <c r="G10" t="s">
        <v>406</v>
      </c>
      <c r="H10" t="s">
        <v>7251</v>
      </c>
      <c r="J10" t="b">
        <v>1</v>
      </c>
      <c r="K10" t="s">
        <v>569</v>
      </c>
      <c r="L10" t="s">
        <v>401</v>
      </c>
      <c r="M10">
        <v>45645.662499999999</v>
      </c>
      <c r="N10">
        <v>45649</v>
      </c>
      <c r="O10">
        <v>45649</v>
      </c>
      <c r="P10" t="s">
        <v>6532</v>
      </c>
      <c r="Q10">
        <v>2</v>
      </c>
      <c r="R10" t="s">
        <v>1013</v>
      </c>
    </row>
    <row r="11" spans="1:19">
      <c r="A11" t="s">
        <v>1298</v>
      </c>
      <c r="B11" t="s">
        <v>4</v>
      </c>
      <c r="C11" t="s">
        <v>369</v>
      </c>
      <c r="D11" t="s">
        <v>1297</v>
      </c>
      <c r="E11" t="s">
        <v>504</v>
      </c>
      <c r="F11" t="s">
        <v>504</v>
      </c>
      <c r="G11" t="s">
        <v>406</v>
      </c>
      <c r="H11" t="s">
        <v>7252</v>
      </c>
      <c r="J11" t="b">
        <v>1</v>
      </c>
      <c r="K11" t="s">
        <v>569</v>
      </c>
      <c r="L11" t="s">
        <v>401</v>
      </c>
      <c r="M11">
        <v>45645.662499999999</v>
      </c>
      <c r="N11">
        <v>45649</v>
      </c>
      <c r="O11">
        <v>45649</v>
      </c>
      <c r="P11" t="s">
        <v>6532</v>
      </c>
      <c r="Q11">
        <v>2</v>
      </c>
      <c r="R11" t="s">
        <v>1013</v>
      </c>
    </row>
    <row r="12" spans="1:19">
      <c r="A12" t="s">
        <v>1290</v>
      </c>
      <c r="B12" t="s">
        <v>4</v>
      </c>
      <c r="C12" t="s">
        <v>369</v>
      </c>
      <c r="D12" t="s">
        <v>1291</v>
      </c>
      <c r="E12" t="s">
        <v>2416</v>
      </c>
      <c r="F12" t="s">
        <v>2416</v>
      </c>
      <c r="G12" t="s">
        <v>400</v>
      </c>
      <c r="H12" t="s">
        <v>7248</v>
      </c>
      <c r="J12" t="b">
        <v>1</v>
      </c>
      <c r="K12" t="s">
        <v>567</v>
      </c>
      <c r="L12" t="s">
        <v>401</v>
      </c>
      <c r="M12">
        <v>45645.671296296299</v>
      </c>
      <c r="N12">
        <v>45649</v>
      </c>
      <c r="O12">
        <v>45649</v>
      </c>
      <c r="P12" t="s">
        <v>6532</v>
      </c>
      <c r="Q12">
        <v>2</v>
      </c>
      <c r="R12" t="s">
        <v>515</v>
      </c>
    </row>
    <row r="13" spans="1:19">
      <c r="A13" t="s">
        <v>1290</v>
      </c>
      <c r="B13" t="s">
        <v>4</v>
      </c>
      <c r="C13" t="s">
        <v>369</v>
      </c>
      <c r="D13" t="s">
        <v>1292</v>
      </c>
      <c r="E13" t="s">
        <v>476</v>
      </c>
      <c r="F13" t="s">
        <v>476</v>
      </c>
      <c r="G13" t="s">
        <v>400</v>
      </c>
      <c r="H13" t="s">
        <v>7248</v>
      </c>
      <c r="J13" t="b">
        <v>1</v>
      </c>
      <c r="K13" t="s">
        <v>567</v>
      </c>
      <c r="L13" t="s">
        <v>401</v>
      </c>
      <c r="M13">
        <v>45645.671296296299</v>
      </c>
      <c r="N13">
        <v>45649</v>
      </c>
      <c r="O13">
        <v>45649</v>
      </c>
      <c r="P13" t="s">
        <v>6532</v>
      </c>
      <c r="Q13">
        <v>2</v>
      </c>
      <c r="R13" t="s">
        <v>515</v>
      </c>
    </row>
    <row r="14" spans="1:19">
      <c r="A14" t="s">
        <v>1290</v>
      </c>
      <c r="B14" t="s">
        <v>4</v>
      </c>
      <c r="C14" t="s">
        <v>369</v>
      </c>
      <c r="D14" t="s">
        <v>1293</v>
      </c>
      <c r="E14" t="s">
        <v>1221</v>
      </c>
      <c r="F14" t="s">
        <v>1221</v>
      </c>
      <c r="G14" t="s">
        <v>400</v>
      </c>
      <c r="H14" t="s">
        <v>7248</v>
      </c>
      <c r="J14" t="b">
        <v>1</v>
      </c>
      <c r="K14" t="s">
        <v>567</v>
      </c>
      <c r="L14" t="s">
        <v>401</v>
      </c>
      <c r="M14">
        <v>45645.671296296299</v>
      </c>
      <c r="N14">
        <v>45649</v>
      </c>
      <c r="O14">
        <v>45649</v>
      </c>
      <c r="P14" t="s">
        <v>6532</v>
      </c>
      <c r="Q14">
        <v>2</v>
      </c>
      <c r="R14" t="s">
        <v>515</v>
      </c>
    </row>
    <row r="15" spans="1:19">
      <c r="A15" t="s">
        <v>1365</v>
      </c>
      <c r="B15" t="s">
        <v>4</v>
      </c>
      <c r="C15" t="s">
        <v>369</v>
      </c>
      <c r="D15" t="s">
        <v>1299</v>
      </c>
      <c r="E15" t="s">
        <v>1358</v>
      </c>
      <c r="F15" t="s">
        <v>1358</v>
      </c>
      <c r="G15" t="s">
        <v>406</v>
      </c>
      <c r="H15" t="s">
        <v>7253</v>
      </c>
      <c r="J15" t="b">
        <v>1</v>
      </c>
      <c r="K15" t="s">
        <v>567</v>
      </c>
      <c r="L15" t="s">
        <v>401</v>
      </c>
      <c r="M15">
        <v>45646.435798611114</v>
      </c>
      <c r="N15">
        <v>45652</v>
      </c>
      <c r="O15">
        <v>45652</v>
      </c>
      <c r="P15" t="s">
        <v>6532</v>
      </c>
      <c r="Q15">
        <v>4</v>
      </c>
      <c r="R15" t="s">
        <v>481</v>
      </c>
    </row>
    <row r="16" spans="1:19">
      <c r="A16" t="s">
        <v>1365</v>
      </c>
      <c r="B16" t="s">
        <v>4</v>
      </c>
      <c r="C16" t="s">
        <v>369</v>
      </c>
      <c r="D16" t="s">
        <v>451</v>
      </c>
      <c r="E16" t="s">
        <v>1359</v>
      </c>
      <c r="F16" t="s">
        <v>1359</v>
      </c>
      <c r="G16" t="s">
        <v>406</v>
      </c>
      <c r="H16" t="s">
        <v>7254</v>
      </c>
      <c r="J16" t="b">
        <v>1</v>
      </c>
      <c r="K16" t="s">
        <v>567</v>
      </c>
      <c r="L16" t="s">
        <v>401</v>
      </c>
      <c r="M16">
        <v>45646.435798611114</v>
      </c>
      <c r="N16">
        <v>45652</v>
      </c>
      <c r="O16">
        <v>45652</v>
      </c>
      <c r="P16" t="s">
        <v>6532</v>
      </c>
      <c r="Q16">
        <v>4</v>
      </c>
      <c r="R16" t="s">
        <v>481</v>
      </c>
    </row>
    <row r="17" spans="1:18">
      <c r="A17" t="s">
        <v>1365</v>
      </c>
      <c r="B17" t="s">
        <v>4</v>
      </c>
      <c r="C17" t="s">
        <v>369</v>
      </c>
      <c r="D17" t="s">
        <v>1300</v>
      </c>
      <c r="E17" t="s">
        <v>1360</v>
      </c>
      <c r="F17" t="s">
        <v>1360</v>
      </c>
      <c r="G17" t="s">
        <v>406</v>
      </c>
      <c r="H17" t="s">
        <v>7255</v>
      </c>
      <c r="J17" t="b">
        <v>1</v>
      </c>
      <c r="K17" t="s">
        <v>567</v>
      </c>
      <c r="L17" t="s">
        <v>401</v>
      </c>
      <c r="M17">
        <v>45646.435798611114</v>
      </c>
      <c r="N17">
        <v>45652</v>
      </c>
      <c r="O17">
        <v>45652</v>
      </c>
      <c r="P17" t="s">
        <v>6532</v>
      </c>
      <c r="Q17">
        <v>4</v>
      </c>
      <c r="R17" t="s">
        <v>481</v>
      </c>
    </row>
    <row r="18" spans="1:18">
      <c r="A18" t="s">
        <v>1365</v>
      </c>
      <c r="B18" t="s">
        <v>4</v>
      </c>
      <c r="C18" t="s">
        <v>369</v>
      </c>
      <c r="D18" t="s">
        <v>1301</v>
      </c>
      <c r="E18" t="s">
        <v>1360</v>
      </c>
      <c r="F18" t="s">
        <v>1360</v>
      </c>
      <c r="G18" t="s">
        <v>406</v>
      </c>
      <c r="H18" t="s">
        <v>7256</v>
      </c>
      <c r="J18" t="b">
        <v>1</v>
      </c>
      <c r="K18" t="s">
        <v>567</v>
      </c>
      <c r="L18" t="s">
        <v>401</v>
      </c>
      <c r="M18">
        <v>45646.435798611114</v>
      </c>
      <c r="N18">
        <v>45652</v>
      </c>
      <c r="O18">
        <v>45652</v>
      </c>
      <c r="P18" t="s">
        <v>6532</v>
      </c>
      <c r="Q18">
        <v>4</v>
      </c>
      <c r="R18" t="s">
        <v>481</v>
      </c>
    </row>
    <row r="19" spans="1:18">
      <c r="A19" t="s">
        <v>1365</v>
      </c>
      <c r="B19" t="s">
        <v>4</v>
      </c>
      <c r="C19" t="s">
        <v>369</v>
      </c>
      <c r="D19" t="s">
        <v>1302</v>
      </c>
      <c r="E19" t="s">
        <v>1360</v>
      </c>
      <c r="F19" t="s">
        <v>1360</v>
      </c>
      <c r="G19" t="s">
        <v>406</v>
      </c>
      <c r="H19" t="s">
        <v>7257</v>
      </c>
      <c r="J19" t="b">
        <v>1</v>
      </c>
      <c r="K19" t="s">
        <v>567</v>
      </c>
      <c r="L19" t="s">
        <v>401</v>
      </c>
      <c r="M19">
        <v>45646.435798611114</v>
      </c>
      <c r="N19">
        <v>45652</v>
      </c>
      <c r="O19">
        <v>45652</v>
      </c>
      <c r="P19" t="s">
        <v>6532</v>
      </c>
      <c r="Q19">
        <v>4</v>
      </c>
      <c r="R19" t="s">
        <v>481</v>
      </c>
    </row>
    <row r="20" spans="1:18">
      <c r="A20" t="s">
        <v>1365</v>
      </c>
      <c r="B20" t="s">
        <v>4</v>
      </c>
      <c r="C20" t="s">
        <v>369</v>
      </c>
      <c r="D20" t="s">
        <v>1303</v>
      </c>
      <c r="E20" t="s">
        <v>1360</v>
      </c>
      <c r="F20" t="s">
        <v>1360</v>
      </c>
      <c r="G20" t="s">
        <v>406</v>
      </c>
      <c r="H20" t="s">
        <v>7258</v>
      </c>
      <c r="J20" t="b">
        <v>1</v>
      </c>
      <c r="K20" t="s">
        <v>567</v>
      </c>
      <c r="L20" t="s">
        <v>401</v>
      </c>
      <c r="M20">
        <v>45646.435798611114</v>
      </c>
      <c r="N20">
        <v>45652</v>
      </c>
      <c r="O20">
        <v>45652</v>
      </c>
      <c r="P20" t="s">
        <v>6532</v>
      </c>
      <c r="Q20">
        <v>4</v>
      </c>
      <c r="R20" t="s">
        <v>481</v>
      </c>
    </row>
    <row r="21" spans="1:18">
      <c r="A21" t="s">
        <v>1365</v>
      </c>
      <c r="B21" t="s">
        <v>4</v>
      </c>
      <c r="C21" t="s">
        <v>369</v>
      </c>
      <c r="D21" t="s">
        <v>453</v>
      </c>
      <c r="E21" t="s">
        <v>1360</v>
      </c>
      <c r="F21" t="s">
        <v>1360</v>
      </c>
      <c r="G21" t="s">
        <v>406</v>
      </c>
      <c r="H21" t="s">
        <v>7259</v>
      </c>
      <c r="J21" t="b">
        <v>1</v>
      </c>
      <c r="K21" t="s">
        <v>567</v>
      </c>
      <c r="L21" t="s">
        <v>401</v>
      </c>
      <c r="M21">
        <v>45646.435798611114</v>
      </c>
      <c r="N21">
        <v>45652</v>
      </c>
      <c r="O21">
        <v>45652</v>
      </c>
      <c r="P21" t="s">
        <v>6532</v>
      </c>
      <c r="Q21">
        <v>4</v>
      </c>
      <c r="R21" t="s">
        <v>481</v>
      </c>
    </row>
    <row r="22" spans="1:18">
      <c r="A22" t="s">
        <v>1365</v>
      </c>
      <c r="B22" t="s">
        <v>4</v>
      </c>
      <c r="C22" t="s">
        <v>369</v>
      </c>
      <c r="D22" t="s">
        <v>1304</v>
      </c>
      <c r="E22" t="s">
        <v>1360</v>
      </c>
      <c r="F22" t="s">
        <v>1360</v>
      </c>
      <c r="G22" t="s">
        <v>406</v>
      </c>
      <c r="H22" t="s">
        <v>7260</v>
      </c>
      <c r="J22" t="b">
        <v>1</v>
      </c>
      <c r="K22" t="s">
        <v>567</v>
      </c>
      <c r="L22" t="s">
        <v>401</v>
      </c>
      <c r="M22">
        <v>45646.435798611114</v>
      </c>
      <c r="N22">
        <v>45652</v>
      </c>
      <c r="O22">
        <v>45652</v>
      </c>
      <c r="P22" t="s">
        <v>6532</v>
      </c>
      <c r="Q22">
        <v>4</v>
      </c>
      <c r="R22" t="s">
        <v>481</v>
      </c>
    </row>
    <row r="23" spans="1:18">
      <c r="A23" t="s">
        <v>1365</v>
      </c>
      <c r="B23" t="s">
        <v>4</v>
      </c>
      <c r="C23" t="s">
        <v>369</v>
      </c>
      <c r="D23" t="s">
        <v>1305</v>
      </c>
      <c r="E23" t="s">
        <v>1360</v>
      </c>
      <c r="F23" t="s">
        <v>1360</v>
      </c>
      <c r="G23" t="s">
        <v>406</v>
      </c>
      <c r="H23" t="s">
        <v>7261</v>
      </c>
      <c r="J23" t="b">
        <v>1</v>
      </c>
      <c r="K23" t="s">
        <v>567</v>
      </c>
      <c r="L23" t="s">
        <v>401</v>
      </c>
      <c r="M23">
        <v>45646.435798611114</v>
      </c>
      <c r="N23">
        <v>45652</v>
      </c>
      <c r="O23">
        <v>45652</v>
      </c>
      <c r="P23" t="s">
        <v>6532</v>
      </c>
      <c r="Q23">
        <v>4</v>
      </c>
      <c r="R23" t="s">
        <v>481</v>
      </c>
    </row>
    <row r="24" spans="1:18">
      <c r="A24" t="s">
        <v>1365</v>
      </c>
      <c r="B24" t="s">
        <v>4</v>
      </c>
      <c r="C24" t="s">
        <v>369</v>
      </c>
      <c r="D24" t="s">
        <v>1306</v>
      </c>
      <c r="E24" t="s">
        <v>1360</v>
      </c>
      <c r="F24" t="s">
        <v>1360</v>
      </c>
      <c r="G24" t="s">
        <v>406</v>
      </c>
      <c r="H24" t="s">
        <v>7262</v>
      </c>
      <c r="J24" t="b">
        <v>1</v>
      </c>
      <c r="K24" t="s">
        <v>567</v>
      </c>
      <c r="L24" t="s">
        <v>401</v>
      </c>
      <c r="M24">
        <v>45646.435798611114</v>
      </c>
      <c r="N24">
        <v>45652</v>
      </c>
      <c r="O24">
        <v>45652</v>
      </c>
      <c r="P24" t="s">
        <v>6532</v>
      </c>
      <c r="Q24">
        <v>4</v>
      </c>
      <c r="R24" t="s">
        <v>481</v>
      </c>
    </row>
    <row r="25" spans="1:18">
      <c r="A25" t="s">
        <v>1365</v>
      </c>
      <c r="B25" t="s">
        <v>4</v>
      </c>
      <c r="C25" t="s">
        <v>369</v>
      </c>
      <c r="D25" t="s">
        <v>1307</v>
      </c>
      <c r="E25" t="s">
        <v>1360</v>
      </c>
      <c r="F25" t="s">
        <v>1360</v>
      </c>
      <c r="G25" t="s">
        <v>406</v>
      </c>
      <c r="H25" t="s">
        <v>7263</v>
      </c>
      <c r="J25" t="b">
        <v>1</v>
      </c>
      <c r="K25" t="s">
        <v>567</v>
      </c>
      <c r="L25" t="s">
        <v>401</v>
      </c>
      <c r="M25">
        <v>45646.435798611114</v>
      </c>
      <c r="N25">
        <v>45652</v>
      </c>
      <c r="O25">
        <v>45652</v>
      </c>
      <c r="P25" t="s">
        <v>6532</v>
      </c>
      <c r="Q25">
        <v>4</v>
      </c>
      <c r="R25" t="s">
        <v>481</v>
      </c>
    </row>
    <row r="26" spans="1:18">
      <c r="A26" t="s">
        <v>1365</v>
      </c>
      <c r="B26" t="s">
        <v>4</v>
      </c>
      <c r="C26" t="s">
        <v>369</v>
      </c>
      <c r="D26" t="s">
        <v>1308</v>
      </c>
      <c r="E26" t="s">
        <v>1360</v>
      </c>
      <c r="F26" t="s">
        <v>1360</v>
      </c>
      <c r="G26" t="s">
        <v>406</v>
      </c>
      <c r="H26" t="s">
        <v>7264</v>
      </c>
      <c r="J26" t="b">
        <v>1</v>
      </c>
      <c r="K26" t="s">
        <v>567</v>
      </c>
      <c r="L26" t="s">
        <v>401</v>
      </c>
      <c r="M26">
        <v>45646.435798611114</v>
      </c>
      <c r="N26">
        <v>45652</v>
      </c>
      <c r="O26">
        <v>45652</v>
      </c>
      <c r="P26" t="s">
        <v>6532</v>
      </c>
      <c r="Q26">
        <v>4</v>
      </c>
      <c r="R26" t="s">
        <v>481</v>
      </c>
    </row>
    <row r="27" spans="1:18">
      <c r="A27" t="s">
        <v>1365</v>
      </c>
      <c r="B27" t="s">
        <v>4</v>
      </c>
      <c r="C27" t="s">
        <v>369</v>
      </c>
      <c r="D27" t="s">
        <v>1309</v>
      </c>
      <c r="E27" t="s">
        <v>1360</v>
      </c>
      <c r="F27" t="s">
        <v>1360</v>
      </c>
      <c r="G27" t="s">
        <v>406</v>
      </c>
      <c r="H27" t="s">
        <v>7265</v>
      </c>
      <c r="J27" t="b">
        <v>1</v>
      </c>
      <c r="K27" t="s">
        <v>567</v>
      </c>
      <c r="L27" t="s">
        <v>401</v>
      </c>
      <c r="M27">
        <v>45646.435798611114</v>
      </c>
      <c r="N27">
        <v>45652</v>
      </c>
      <c r="O27">
        <v>45652</v>
      </c>
      <c r="P27" t="s">
        <v>6532</v>
      </c>
      <c r="Q27">
        <v>4</v>
      </c>
      <c r="R27" t="s">
        <v>481</v>
      </c>
    </row>
    <row r="28" spans="1:18">
      <c r="A28" t="s">
        <v>1365</v>
      </c>
      <c r="B28" t="s">
        <v>4</v>
      </c>
      <c r="C28" t="s">
        <v>369</v>
      </c>
      <c r="D28" t="s">
        <v>1310</v>
      </c>
      <c r="E28" t="s">
        <v>1361</v>
      </c>
      <c r="F28" t="s">
        <v>1361</v>
      </c>
      <c r="G28" t="s">
        <v>406</v>
      </c>
      <c r="H28" t="s">
        <v>7266</v>
      </c>
      <c r="J28" t="b">
        <v>1</v>
      </c>
      <c r="K28" t="s">
        <v>567</v>
      </c>
      <c r="L28" t="s">
        <v>401</v>
      </c>
      <c r="M28">
        <v>45646.435798611114</v>
      </c>
      <c r="N28">
        <v>45652</v>
      </c>
      <c r="O28">
        <v>45652</v>
      </c>
      <c r="P28" t="s">
        <v>6532</v>
      </c>
      <c r="Q28">
        <v>4</v>
      </c>
      <c r="R28" t="s">
        <v>481</v>
      </c>
    </row>
    <row r="29" spans="1:18">
      <c r="A29" t="s">
        <v>1365</v>
      </c>
      <c r="B29" t="s">
        <v>4</v>
      </c>
      <c r="C29" t="s">
        <v>369</v>
      </c>
      <c r="D29" t="s">
        <v>1311</v>
      </c>
      <c r="E29" t="s">
        <v>1361</v>
      </c>
      <c r="F29" t="s">
        <v>1361</v>
      </c>
      <c r="G29" t="s">
        <v>406</v>
      </c>
      <c r="H29" t="s">
        <v>7267</v>
      </c>
      <c r="J29" t="b">
        <v>1</v>
      </c>
      <c r="K29" t="s">
        <v>567</v>
      </c>
      <c r="L29" t="s">
        <v>401</v>
      </c>
      <c r="M29">
        <v>45646.435798611114</v>
      </c>
      <c r="N29">
        <v>45652</v>
      </c>
      <c r="O29">
        <v>45652</v>
      </c>
      <c r="P29" t="s">
        <v>6532</v>
      </c>
      <c r="Q29">
        <v>4</v>
      </c>
      <c r="R29" t="s">
        <v>481</v>
      </c>
    </row>
    <row r="30" spans="1:18">
      <c r="A30" t="s">
        <v>1365</v>
      </c>
      <c r="B30" t="s">
        <v>4</v>
      </c>
      <c r="C30" t="s">
        <v>369</v>
      </c>
      <c r="D30" t="s">
        <v>1312</v>
      </c>
      <c r="E30" t="s">
        <v>1361</v>
      </c>
      <c r="F30" t="s">
        <v>1361</v>
      </c>
      <c r="G30" t="s">
        <v>406</v>
      </c>
      <c r="H30" t="s">
        <v>7268</v>
      </c>
      <c r="J30" t="b">
        <v>1</v>
      </c>
      <c r="K30" t="s">
        <v>567</v>
      </c>
      <c r="L30" t="s">
        <v>401</v>
      </c>
      <c r="M30">
        <v>45646.435798611114</v>
      </c>
      <c r="N30">
        <v>45652</v>
      </c>
      <c r="O30">
        <v>45652</v>
      </c>
      <c r="P30" t="s">
        <v>6532</v>
      </c>
      <c r="Q30">
        <v>4</v>
      </c>
      <c r="R30" t="s">
        <v>481</v>
      </c>
    </row>
    <row r="31" spans="1:18">
      <c r="A31" t="s">
        <v>1365</v>
      </c>
      <c r="B31" t="s">
        <v>4</v>
      </c>
      <c r="C31" t="s">
        <v>369</v>
      </c>
      <c r="D31" t="s">
        <v>1313</v>
      </c>
      <c r="E31" t="s">
        <v>1361</v>
      </c>
      <c r="F31" t="s">
        <v>1361</v>
      </c>
      <c r="G31" t="s">
        <v>406</v>
      </c>
      <c r="H31" t="s">
        <v>7269</v>
      </c>
      <c r="J31" t="b">
        <v>1</v>
      </c>
      <c r="K31" t="s">
        <v>567</v>
      </c>
      <c r="L31" t="s">
        <v>401</v>
      </c>
      <c r="M31">
        <v>45646.435798611114</v>
      </c>
      <c r="N31">
        <v>45652</v>
      </c>
      <c r="O31">
        <v>45652</v>
      </c>
      <c r="P31" t="s">
        <v>6532</v>
      </c>
      <c r="Q31">
        <v>4</v>
      </c>
      <c r="R31" t="s">
        <v>481</v>
      </c>
    </row>
    <row r="32" spans="1:18">
      <c r="A32" t="s">
        <v>1365</v>
      </c>
      <c r="B32" t="s">
        <v>4</v>
      </c>
      <c r="C32" t="s">
        <v>369</v>
      </c>
      <c r="D32" t="s">
        <v>1314</v>
      </c>
      <c r="E32" t="s">
        <v>1361</v>
      </c>
      <c r="F32" t="s">
        <v>1361</v>
      </c>
      <c r="G32" t="s">
        <v>406</v>
      </c>
      <c r="H32" t="s">
        <v>7270</v>
      </c>
      <c r="J32" t="b">
        <v>1</v>
      </c>
      <c r="K32" t="s">
        <v>567</v>
      </c>
      <c r="L32" t="s">
        <v>401</v>
      </c>
      <c r="M32">
        <v>45646.435798611114</v>
      </c>
      <c r="N32">
        <v>45652</v>
      </c>
      <c r="O32">
        <v>45652</v>
      </c>
      <c r="P32" t="s">
        <v>6532</v>
      </c>
      <c r="Q32">
        <v>4</v>
      </c>
      <c r="R32" t="s">
        <v>481</v>
      </c>
    </row>
    <row r="33" spans="1:18">
      <c r="A33" t="s">
        <v>1365</v>
      </c>
      <c r="B33" t="s">
        <v>4</v>
      </c>
      <c r="C33" t="s">
        <v>369</v>
      </c>
      <c r="D33" t="s">
        <v>1315</v>
      </c>
      <c r="E33" t="s">
        <v>1361</v>
      </c>
      <c r="F33" t="s">
        <v>1361</v>
      </c>
      <c r="G33" t="s">
        <v>406</v>
      </c>
      <c r="H33" t="s">
        <v>7271</v>
      </c>
      <c r="J33" t="b">
        <v>1</v>
      </c>
      <c r="K33" t="s">
        <v>567</v>
      </c>
      <c r="L33" t="s">
        <v>401</v>
      </c>
      <c r="M33">
        <v>45646.435798611114</v>
      </c>
      <c r="N33">
        <v>45652</v>
      </c>
      <c r="O33">
        <v>45652</v>
      </c>
      <c r="P33" t="s">
        <v>6532</v>
      </c>
      <c r="Q33">
        <v>4</v>
      </c>
      <c r="R33" t="s">
        <v>481</v>
      </c>
    </row>
    <row r="34" spans="1:18">
      <c r="A34" t="s">
        <v>1365</v>
      </c>
      <c r="B34" t="s">
        <v>4</v>
      </c>
      <c r="C34" t="s">
        <v>369</v>
      </c>
      <c r="D34" t="s">
        <v>1316</v>
      </c>
      <c r="E34" t="s">
        <v>1361</v>
      </c>
      <c r="F34" t="s">
        <v>1361</v>
      </c>
      <c r="G34" t="s">
        <v>406</v>
      </c>
      <c r="H34" t="s">
        <v>7272</v>
      </c>
      <c r="J34" t="b">
        <v>1</v>
      </c>
      <c r="K34" t="s">
        <v>567</v>
      </c>
      <c r="L34" t="s">
        <v>401</v>
      </c>
      <c r="M34">
        <v>45646.435798611114</v>
      </c>
      <c r="N34">
        <v>45652</v>
      </c>
      <c r="O34">
        <v>45652</v>
      </c>
      <c r="P34" t="s">
        <v>6532</v>
      </c>
      <c r="Q34">
        <v>4</v>
      </c>
      <c r="R34" t="s">
        <v>481</v>
      </c>
    </row>
    <row r="35" spans="1:18">
      <c r="A35" t="s">
        <v>1365</v>
      </c>
      <c r="B35" t="s">
        <v>4</v>
      </c>
      <c r="C35" t="s">
        <v>369</v>
      </c>
      <c r="D35" t="s">
        <v>1317</v>
      </c>
      <c r="E35" t="s">
        <v>1361</v>
      </c>
      <c r="F35" t="s">
        <v>1361</v>
      </c>
      <c r="G35" t="s">
        <v>406</v>
      </c>
      <c r="H35" t="s">
        <v>7273</v>
      </c>
      <c r="J35" t="b">
        <v>1</v>
      </c>
      <c r="K35" t="s">
        <v>567</v>
      </c>
      <c r="L35" t="s">
        <v>401</v>
      </c>
      <c r="M35">
        <v>45646.435798611114</v>
      </c>
      <c r="N35">
        <v>45652</v>
      </c>
      <c r="O35">
        <v>45652</v>
      </c>
      <c r="P35" t="s">
        <v>6532</v>
      </c>
      <c r="Q35">
        <v>4</v>
      </c>
      <c r="R35" t="s">
        <v>481</v>
      </c>
    </row>
    <row r="36" spans="1:18">
      <c r="A36" t="s">
        <v>1365</v>
      </c>
      <c r="B36" t="s">
        <v>4</v>
      </c>
      <c r="C36" t="s">
        <v>369</v>
      </c>
      <c r="D36" t="s">
        <v>1318</v>
      </c>
      <c r="E36" t="s">
        <v>1362</v>
      </c>
      <c r="F36" t="s">
        <v>1362</v>
      </c>
      <c r="G36" t="s">
        <v>406</v>
      </c>
      <c r="H36" t="s">
        <v>7274</v>
      </c>
      <c r="J36" t="b">
        <v>1</v>
      </c>
      <c r="K36" t="s">
        <v>567</v>
      </c>
      <c r="L36" t="s">
        <v>401</v>
      </c>
      <c r="M36">
        <v>45646.435798611114</v>
      </c>
      <c r="N36">
        <v>45652</v>
      </c>
      <c r="O36">
        <v>45652</v>
      </c>
      <c r="P36" t="s">
        <v>6532</v>
      </c>
      <c r="Q36">
        <v>4</v>
      </c>
      <c r="R36" t="s">
        <v>481</v>
      </c>
    </row>
    <row r="37" spans="1:18">
      <c r="A37" t="s">
        <v>1365</v>
      </c>
      <c r="B37" t="s">
        <v>4</v>
      </c>
      <c r="C37" t="s">
        <v>369</v>
      </c>
      <c r="D37" t="s">
        <v>1319</v>
      </c>
      <c r="E37" t="s">
        <v>1362</v>
      </c>
      <c r="F37" t="s">
        <v>1362</v>
      </c>
      <c r="G37" t="s">
        <v>406</v>
      </c>
      <c r="H37" t="s">
        <v>7275</v>
      </c>
      <c r="J37" t="b">
        <v>1</v>
      </c>
      <c r="K37" t="s">
        <v>567</v>
      </c>
      <c r="L37" t="s">
        <v>401</v>
      </c>
      <c r="M37">
        <v>45646.435798611114</v>
      </c>
      <c r="N37">
        <v>45652</v>
      </c>
      <c r="O37">
        <v>45652</v>
      </c>
      <c r="P37" t="s">
        <v>6532</v>
      </c>
      <c r="Q37">
        <v>4</v>
      </c>
      <c r="R37" t="s">
        <v>481</v>
      </c>
    </row>
    <row r="38" spans="1:18">
      <c r="A38" t="s">
        <v>1365</v>
      </c>
      <c r="B38" t="s">
        <v>4</v>
      </c>
      <c r="C38" t="s">
        <v>369</v>
      </c>
      <c r="D38" t="s">
        <v>1320</v>
      </c>
      <c r="E38" t="s">
        <v>1362</v>
      </c>
      <c r="F38" t="s">
        <v>1362</v>
      </c>
      <c r="G38" t="s">
        <v>406</v>
      </c>
      <c r="H38" t="s">
        <v>7276</v>
      </c>
      <c r="J38" t="b">
        <v>1</v>
      </c>
      <c r="K38" t="s">
        <v>567</v>
      </c>
      <c r="L38" t="s">
        <v>401</v>
      </c>
      <c r="M38">
        <v>45646.435798611114</v>
      </c>
      <c r="N38">
        <v>45652</v>
      </c>
      <c r="O38">
        <v>45652</v>
      </c>
      <c r="P38" t="s">
        <v>6532</v>
      </c>
      <c r="Q38">
        <v>4</v>
      </c>
      <c r="R38" t="s">
        <v>481</v>
      </c>
    </row>
    <row r="39" spans="1:18">
      <c r="A39" t="s">
        <v>1365</v>
      </c>
      <c r="B39" t="s">
        <v>4</v>
      </c>
      <c r="C39" t="s">
        <v>369</v>
      </c>
      <c r="D39" t="s">
        <v>1321</v>
      </c>
      <c r="E39" t="s">
        <v>1362</v>
      </c>
      <c r="F39" t="s">
        <v>1362</v>
      </c>
      <c r="G39" t="s">
        <v>406</v>
      </c>
      <c r="H39" t="s">
        <v>7277</v>
      </c>
      <c r="J39" t="b">
        <v>1</v>
      </c>
      <c r="K39" t="s">
        <v>567</v>
      </c>
      <c r="L39" t="s">
        <v>401</v>
      </c>
      <c r="M39">
        <v>45646.435798611114</v>
      </c>
      <c r="N39">
        <v>45652</v>
      </c>
      <c r="O39">
        <v>45652</v>
      </c>
      <c r="P39" t="s">
        <v>6532</v>
      </c>
      <c r="Q39">
        <v>4</v>
      </c>
      <c r="R39" t="s">
        <v>481</v>
      </c>
    </row>
    <row r="40" spans="1:18">
      <c r="A40" t="s">
        <v>1365</v>
      </c>
      <c r="B40" t="s">
        <v>4</v>
      </c>
      <c r="C40" t="s">
        <v>369</v>
      </c>
      <c r="D40" t="s">
        <v>1322</v>
      </c>
      <c r="E40" t="s">
        <v>1363</v>
      </c>
      <c r="F40" t="s">
        <v>1363</v>
      </c>
      <c r="G40" t="s">
        <v>406</v>
      </c>
      <c r="H40" t="s">
        <v>7278</v>
      </c>
      <c r="J40" t="b">
        <v>1</v>
      </c>
      <c r="K40" t="s">
        <v>567</v>
      </c>
      <c r="L40" t="s">
        <v>401</v>
      </c>
      <c r="M40">
        <v>45646.435798611114</v>
      </c>
      <c r="N40">
        <v>45652</v>
      </c>
      <c r="O40">
        <v>45652</v>
      </c>
      <c r="P40" t="s">
        <v>6532</v>
      </c>
      <c r="Q40">
        <v>4</v>
      </c>
      <c r="R40" t="s">
        <v>481</v>
      </c>
    </row>
    <row r="41" spans="1:18">
      <c r="A41" t="s">
        <v>1365</v>
      </c>
      <c r="B41" t="s">
        <v>4</v>
      </c>
      <c r="C41" t="s">
        <v>369</v>
      </c>
      <c r="D41" t="s">
        <v>1323</v>
      </c>
      <c r="E41" t="s">
        <v>1363</v>
      </c>
      <c r="F41" t="s">
        <v>1363</v>
      </c>
      <c r="G41" t="s">
        <v>406</v>
      </c>
      <c r="H41" t="s">
        <v>7279</v>
      </c>
      <c r="J41" t="b">
        <v>1</v>
      </c>
      <c r="K41" t="s">
        <v>567</v>
      </c>
      <c r="L41" t="s">
        <v>401</v>
      </c>
      <c r="M41">
        <v>45646.435798611114</v>
      </c>
      <c r="N41">
        <v>45652</v>
      </c>
      <c r="O41">
        <v>45652</v>
      </c>
      <c r="P41" t="s">
        <v>6532</v>
      </c>
      <c r="Q41">
        <v>4</v>
      </c>
      <c r="R41" t="s">
        <v>481</v>
      </c>
    </row>
    <row r="42" spans="1:18">
      <c r="A42" t="s">
        <v>1365</v>
      </c>
      <c r="B42" t="s">
        <v>4</v>
      </c>
      <c r="C42" t="s">
        <v>369</v>
      </c>
      <c r="D42" t="s">
        <v>1324</v>
      </c>
      <c r="E42" t="s">
        <v>1360</v>
      </c>
      <c r="F42" t="s">
        <v>1360</v>
      </c>
      <c r="G42" t="s">
        <v>406</v>
      </c>
      <c r="H42" t="s">
        <v>7280</v>
      </c>
      <c r="J42" t="b">
        <v>1</v>
      </c>
      <c r="K42" t="s">
        <v>567</v>
      </c>
      <c r="L42" t="s">
        <v>401</v>
      </c>
      <c r="M42">
        <v>45646.435798611114</v>
      </c>
      <c r="N42">
        <v>45652</v>
      </c>
      <c r="O42">
        <v>45652</v>
      </c>
      <c r="P42" t="s">
        <v>6532</v>
      </c>
      <c r="Q42">
        <v>4</v>
      </c>
      <c r="R42" t="s">
        <v>481</v>
      </c>
    </row>
    <row r="43" spans="1:18">
      <c r="A43" t="s">
        <v>1365</v>
      </c>
      <c r="B43" t="s">
        <v>4</v>
      </c>
      <c r="C43" t="s">
        <v>369</v>
      </c>
      <c r="D43" t="s">
        <v>1325</v>
      </c>
      <c r="E43" t="s">
        <v>1363</v>
      </c>
      <c r="F43" t="s">
        <v>1363</v>
      </c>
      <c r="G43" t="s">
        <v>406</v>
      </c>
      <c r="H43" t="s">
        <v>7281</v>
      </c>
      <c r="J43" t="b">
        <v>1</v>
      </c>
      <c r="K43" t="s">
        <v>567</v>
      </c>
      <c r="L43" t="s">
        <v>401</v>
      </c>
      <c r="M43">
        <v>45646.435798611114</v>
      </c>
      <c r="N43">
        <v>45652</v>
      </c>
      <c r="O43">
        <v>45652</v>
      </c>
      <c r="P43" t="s">
        <v>6532</v>
      </c>
      <c r="Q43">
        <v>4</v>
      </c>
      <c r="R43" t="s">
        <v>481</v>
      </c>
    </row>
    <row r="44" spans="1:18">
      <c r="A44" t="s">
        <v>1365</v>
      </c>
      <c r="B44" t="s">
        <v>4</v>
      </c>
      <c r="C44" t="s">
        <v>369</v>
      </c>
      <c r="D44" t="s">
        <v>1326</v>
      </c>
      <c r="E44" t="s">
        <v>1363</v>
      </c>
      <c r="F44" t="s">
        <v>1363</v>
      </c>
      <c r="G44" t="s">
        <v>406</v>
      </c>
      <c r="H44" t="s">
        <v>7282</v>
      </c>
      <c r="J44" t="b">
        <v>1</v>
      </c>
      <c r="K44" t="s">
        <v>567</v>
      </c>
      <c r="L44" t="s">
        <v>401</v>
      </c>
      <c r="M44">
        <v>45646.435798611114</v>
      </c>
      <c r="N44">
        <v>45652</v>
      </c>
      <c r="O44">
        <v>45652</v>
      </c>
      <c r="P44" t="s">
        <v>6532</v>
      </c>
      <c r="Q44">
        <v>4</v>
      </c>
      <c r="R44" t="s">
        <v>481</v>
      </c>
    </row>
    <row r="45" spans="1:18">
      <c r="A45" t="s">
        <v>1365</v>
      </c>
      <c r="B45" t="s">
        <v>4</v>
      </c>
      <c r="C45" t="s">
        <v>369</v>
      </c>
      <c r="D45" t="s">
        <v>1327</v>
      </c>
      <c r="E45" t="s">
        <v>1364</v>
      </c>
      <c r="F45" t="s">
        <v>1364</v>
      </c>
      <c r="G45" t="s">
        <v>406</v>
      </c>
      <c r="H45" t="s">
        <v>7283</v>
      </c>
      <c r="J45" t="b">
        <v>1</v>
      </c>
      <c r="K45" t="s">
        <v>567</v>
      </c>
      <c r="L45" t="s">
        <v>401</v>
      </c>
      <c r="M45">
        <v>45646.435798611114</v>
      </c>
      <c r="N45">
        <v>45652</v>
      </c>
      <c r="O45">
        <v>45652</v>
      </c>
      <c r="P45" t="s">
        <v>6532</v>
      </c>
      <c r="Q45">
        <v>4</v>
      </c>
      <c r="R45" t="s">
        <v>481</v>
      </c>
    </row>
    <row r="46" spans="1:18">
      <c r="A46" t="s">
        <v>1365</v>
      </c>
      <c r="B46" t="s">
        <v>4</v>
      </c>
      <c r="C46" t="s">
        <v>369</v>
      </c>
      <c r="D46" t="s">
        <v>1328</v>
      </c>
      <c r="E46" t="s">
        <v>1358</v>
      </c>
      <c r="F46" t="s">
        <v>1358</v>
      </c>
      <c r="G46" t="s">
        <v>406</v>
      </c>
      <c r="H46" t="s">
        <v>7284</v>
      </c>
      <c r="J46" t="b">
        <v>1</v>
      </c>
      <c r="K46" t="s">
        <v>567</v>
      </c>
      <c r="L46" t="s">
        <v>401</v>
      </c>
      <c r="M46">
        <v>45646.435798611114</v>
      </c>
      <c r="N46">
        <v>45652</v>
      </c>
      <c r="O46">
        <v>45652</v>
      </c>
      <c r="P46" t="s">
        <v>6532</v>
      </c>
      <c r="Q46">
        <v>4</v>
      </c>
      <c r="R46" t="s">
        <v>481</v>
      </c>
    </row>
    <row r="47" spans="1:18">
      <c r="A47" t="s">
        <v>1365</v>
      </c>
      <c r="B47" t="s">
        <v>4</v>
      </c>
      <c r="C47" t="s">
        <v>369</v>
      </c>
      <c r="D47" t="s">
        <v>1329</v>
      </c>
      <c r="E47" t="s">
        <v>1359</v>
      </c>
      <c r="F47" t="s">
        <v>1359</v>
      </c>
      <c r="G47" t="s">
        <v>406</v>
      </c>
      <c r="H47" t="s">
        <v>7285</v>
      </c>
      <c r="J47" t="b">
        <v>1</v>
      </c>
      <c r="K47" t="s">
        <v>567</v>
      </c>
      <c r="L47" t="s">
        <v>401</v>
      </c>
      <c r="M47">
        <v>45646.435798611114</v>
      </c>
      <c r="N47">
        <v>45652</v>
      </c>
      <c r="O47">
        <v>45652</v>
      </c>
      <c r="P47" t="s">
        <v>6532</v>
      </c>
      <c r="Q47">
        <v>4</v>
      </c>
      <c r="R47" t="s">
        <v>481</v>
      </c>
    </row>
    <row r="48" spans="1:18">
      <c r="A48" t="s">
        <v>1365</v>
      </c>
      <c r="B48" t="s">
        <v>4</v>
      </c>
      <c r="C48" t="s">
        <v>369</v>
      </c>
      <c r="D48" t="s">
        <v>1330</v>
      </c>
      <c r="E48" t="s">
        <v>1360</v>
      </c>
      <c r="F48" t="s">
        <v>1360</v>
      </c>
      <c r="G48" t="s">
        <v>406</v>
      </c>
      <c r="H48" t="s">
        <v>7286</v>
      </c>
      <c r="J48" t="b">
        <v>1</v>
      </c>
      <c r="K48" t="s">
        <v>567</v>
      </c>
      <c r="L48" t="s">
        <v>401</v>
      </c>
      <c r="M48">
        <v>45646.435798611114</v>
      </c>
      <c r="N48">
        <v>45652</v>
      </c>
      <c r="O48">
        <v>45652</v>
      </c>
      <c r="P48" t="s">
        <v>6532</v>
      </c>
      <c r="Q48">
        <v>4</v>
      </c>
      <c r="R48" t="s">
        <v>481</v>
      </c>
    </row>
    <row r="49" spans="1:18">
      <c r="A49" t="s">
        <v>1365</v>
      </c>
      <c r="B49" t="s">
        <v>4</v>
      </c>
      <c r="C49" t="s">
        <v>369</v>
      </c>
      <c r="D49" t="s">
        <v>1331</v>
      </c>
      <c r="E49" t="s">
        <v>1360</v>
      </c>
      <c r="F49" t="s">
        <v>1360</v>
      </c>
      <c r="G49" t="s">
        <v>406</v>
      </c>
      <c r="H49" t="s">
        <v>7287</v>
      </c>
      <c r="J49" t="b">
        <v>1</v>
      </c>
      <c r="K49" t="s">
        <v>567</v>
      </c>
      <c r="L49" t="s">
        <v>401</v>
      </c>
      <c r="M49">
        <v>45646.435798611114</v>
      </c>
      <c r="N49">
        <v>45652</v>
      </c>
      <c r="O49">
        <v>45652</v>
      </c>
      <c r="P49" t="s">
        <v>6532</v>
      </c>
      <c r="Q49">
        <v>4</v>
      </c>
      <c r="R49" t="s">
        <v>481</v>
      </c>
    </row>
    <row r="50" spans="1:18">
      <c r="A50" t="s">
        <v>1365</v>
      </c>
      <c r="B50" t="s">
        <v>4</v>
      </c>
      <c r="C50" t="s">
        <v>369</v>
      </c>
      <c r="D50" t="s">
        <v>1332</v>
      </c>
      <c r="E50" t="s">
        <v>1360</v>
      </c>
      <c r="F50" t="s">
        <v>1360</v>
      </c>
      <c r="G50" t="s">
        <v>406</v>
      </c>
      <c r="H50" t="s">
        <v>7288</v>
      </c>
      <c r="J50" t="b">
        <v>1</v>
      </c>
      <c r="K50" t="s">
        <v>567</v>
      </c>
      <c r="L50" t="s">
        <v>401</v>
      </c>
      <c r="M50">
        <v>45646.435798611114</v>
      </c>
      <c r="N50">
        <v>45652</v>
      </c>
      <c r="O50">
        <v>45652</v>
      </c>
      <c r="P50" t="s">
        <v>6532</v>
      </c>
      <c r="Q50">
        <v>4</v>
      </c>
      <c r="R50" t="s">
        <v>481</v>
      </c>
    </row>
    <row r="51" spans="1:18">
      <c r="A51" t="s">
        <v>1365</v>
      </c>
      <c r="B51" t="s">
        <v>4</v>
      </c>
      <c r="C51" t="s">
        <v>369</v>
      </c>
      <c r="D51" t="s">
        <v>1333</v>
      </c>
      <c r="E51" t="s">
        <v>1360</v>
      </c>
      <c r="F51" t="s">
        <v>1360</v>
      </c>
      <c r="G51" t="s">
        <v>406</v>
      </c>
      <c r="H51" t="s">
        <v>7289</v>
      </c>
      <c r="J51" t="b">
        <v>1</v>
      </c>
      <c r="K51" t="s">
        <v>567</v>
      </c>
      <c r="L51" t="s">
        <v>401</v>
      </c>
      <c r="M51">
        <v>45646.435798611114</v>
      </c>
      <c r="N51">
        <v>45652</v>
      </c>
      <c r="O51">
        <v>45652</v>
      </c>
      <c r="P51" t="s">
        <v>6532</v>
      </c>
      <c r="Q51">
        <v>4</v>
      </c>
      <c r="R51" t="s">
        <v>481</v>
      </c>
    </row>
    <row r="52" spans="1:18">
      <c r="A52" t="s">
        <v>1365</v>
      </c>
      <c r="B52" t="s">
        <v>4</v>
      </c>
      <c r="C52" t="s">
        <v>369</v>
      </c>
      <c r="D52" t="s">
        <v>1334</v>
      </c>
      <c r="E52" t="s">
        <v>1360</v>
      </c>
      <c r="F52" t="s">
        <v>1360</v>
      </c>
      <c r="G52" t="s">
        <v>406</v>
      </c>
      <c r="H52" t="s">
        <v>7290</v>
      </c>
      <c r="J52" t="b">
        <v>1</v>
      </c>
      <c r="K52" t="s">
        <v>567</v>
      </c>
      <c r="L52" t="s">
        <v>401</v>
      </c>
      <c r="M52">
        <v>45646.435798611114</v>
      </c>
      <c r="N52">
        <v>45652</v>
      </c>
      <c r="O52">
        <v>45652</v>
      </c>
      <c r="P52" t="s">
        <v>6532</v>
      </c>
      <c r="Q52">
        <v>4</v>
      </c>
      <c r="R52" t="s">
        <v>481</v>
      </c>
    </row>
    <row r="53" spans="1:18">
      <c r="A53" t="s">
        <v>1365</v>
      </c>
      <c r="B53" t="s">
        <v>4</v>
      </c>
      <c r="C53" t="s">
        <v>369</v>
      </c>
      <c r="D53" t="s">
        <v>1335</v>
      </c>
      <c r="E53" t="s">
        <v>1360</v>
      </c>
      <c r="F53" t="s">
        <v>1360</v>
      </c>
      <c r="G53" t="s">
        <v>406</v>
      </c>
      <c r="H53" t="s">
        <v>7291</v>
      </c>
      <c r="I53" t="s">
        <v>1421</v>
      </c>
      <c r="J53" t="b">
        <v>1</v>
      </c>
      <c r="K53" t="s">
        <v>567</v>
      </c>
      <c r="L53" t="s">
        <v>401</v>
      </c>
      <c r="M53">
        <v>45646.435798611114</v>
      </c>
      <c r="N53">
        <v>45652</v>
      </c>
      <c r="O53">
        <v>45652</v>
      </c>
      <c r="P53" t="s">
        <v>6532</v>
      </c>
      <c r="Q53">
        <v>4</v>
      </c>
      <c r="R53" t="s">
        <v>481</v>
      </c>
    </row>
    <row r="54" spans="1:18">
      <c r="A54" t="s">
        <v>1365</v>
      </c>
      <c r="B54" t="s">
        <v>4</v>
      </c>
      <c r="C54" t="s">
        <v>369</v>
      </c>
      <c r="D54" t="s">
        <v>1336</v>
      </c>
      <c r="E54" t="s">
        <v>1360</v>
      </c>
      <c r="F54" t="s">
        <v>1360</v>
      </c>
      <c r="G54" t="s">
        <v>406</v>
      </c>
      <c r="H54" t="s">
        <v>7292</v>
      </c>
      <c r="J54" t="b">
        <v>1</v>
      </c>
      <c r="K54" t="s">
        <v>567</v>
      </c>
      <c r="L54" t="s">
        <v>401</v>
      </c>
      <c r="M54">
        <v>45646.435798611114</v>
      </c>
      <c r="N54">
        <v>45652</v>
      </c>
      <c r="O54">
        <v>45652</v>
      </c>
      <c r="P54" t="s">
        <v>6532</v>
      </c>
      <c r="Q54">
        <v>4</v>
      </c>
      <c r="R54" t="s">
        <v>481</v>
      </c>
    </row>
    <row r="55" spans="1:18">
      <c r="A55" t="s">
        <v>1365</v>
      </c>
      <c r="B55" t="s">
        <v>4</v>
      </c>
      <c r="C55" t="s">
        <v>369</v>
      </c>
      <c r="D55" t="s">
        <v>1337</v>
      </c>
      <c r="E55" t="s">
        <v>1360</v>
      </c>
      <c r="F55" t="s">
        <v>1360</v>
      </c>
      <c r="G55" t="s">
        <v>406</v>
      </c>
      <c r="H55" t="s">
        <v>7293</v>
      </c>
      <c r="J55" t="b">
        <v>1</v>
      </c>
      <c r="K55" t="s">
        <v>567</v>
      </c>
      <c r="L55" t="s">
        <v>401</v>
      </c>
      <c r="M55">
        <v>45646.435798611114</v>
      </c>
      <c r="N55">
        <v>45652</v>
      </c>
      <c r="O55">
        <v>45652</v>
      </c>
      <c r="P55" t="s">
        <v>6532</v>
      </c>
      <c r="Q55">
        <v>4</v>
      </c>
      <c r="R55" t="s">
        <v>481</v>
      </c>
    </row>
    <row r="56" spans="1:18">
      <c r="A56" t="s">
        <v>1365</v>
      </c>
      <c r="B56" t="s">
        <v>4</v>
      </c>
      <c r="C56" t="s">
        <v>369</v>
      </c>
      <c r="D56" t="s">
        <v>1338</v>
      </c>
      <c r="E56" t="s">
        <v>1360</v>
      </c>
      <c r="F56" t="s">
        <v>1360</v>
      </c>
      <c r="G56" t="s">
        <v>406</v>
      </c>
      <c r="H56" t="s">
        <v>7294</v>
      </c>
      <c r="J56" t="b">
        <v>1</v>
      </c>
      <c r="K56" t="s">
        <v>567</v>
      </c>
      <c r="L56" t="s">
        <v>401</v>
      </c>
      <c r="M56">
        <v>45646.435798611114</v>
      </c>
      <c r="N56">
        <v>45652</v>
      </c>
      <c r="O56">
        <v>45652</v>
      </c>
      <c r="P56" t="s">
        <v>6532</v>
      </c>
      <c r="Q56">
        <v>4</v>
      </c>
      <c r="R56" t="s">
        <v>481</v>
      </c>
    </row>
    <row r="57" spans="1:18">
      <c r="A57" t="s">
        <v>1365</v>
      </c>
      <c r="B57" t="s">
        <v>4</v>
      </c>
      <c r="C57" t="s">
        <v>369</v>
      </c>
      <c r="D57" t="s">
        <v>1339</v>
      </c>
      <c r="E57" t="s">
        <v>1360</v>
      </c>
      <c r="F57" t="s">
        <v>1360</v>
      </c>
      <c r="G57" t="s">
        <v>406</v>
      </c>
      <c r="H57" t="s">
        <v>7295</v>
      </c>
      <c r="J57" t="b">
        <v>1</v>
      </c>
      <c r="K57" t="s">
        <v>567</v>
      </c>
      <c r="L57" t="s">
        <v>401</v>
      </c>
      <c r="M57">
        <v>45646.435798611114</v>
      </c>
      <c r="N57">
        <v>45652</v>
      </c>
      <c r="O57">
        <v>45652</v>
      </c>
      <c r="P57" t="s">
        <v>6532</v>
      </c>
      <c r="Q57">
        <v>4</v>
      </c>
      <c r="R57" t="s">
        <v>481</v>
      </c>
    </row>
    <row r="58" spans="1:18">
      <c r="A58" t="s">
        <v>1365</v>
      </c>
      <c r="B58" t="s">
        <v>4</v>
      </c>
      <c r="C58" t="s">
        <v>369</v>
      </c>
      <c r="D58" t="s">
        <v>1340</v>
      </c>
      <c r="E58" t="s">
        <v>1360</v>
      </c>
      <c r="F58" t="s">
        <v>1360</v>
      </c>
      <c r="G58" t="s">
        <v>406</v>
      </c>
      <c r="H58" t="s">
        <v>7296</v>
      </c>
      <c r="J58" t="b">
        <v>1</v>
      </c>
      <c r="K58" t="s">
        <v>567</v>
      </c>
      <c r="L58" t="s">
        <v>401</v>
      </c>
      <c r="M58">
        <v>45646.435798611114</v>
      </c>
      <c r="N58">
        <v>45652</v>
      </c>
      <c r="O58">
        <v>45652</v>
      </c>
      <c r="P58" t="s">
        <v>6532</v>
      </c>
      <c r="Q58">
        <v>4</v>
      </c>
      <c r="R58" t="s">
        <v>481</v>
      </c>
    </row>
    <row r="59" spans="1:18">
      <c r="A59" t="s">
        <v>1365</v>
      </c>
      <c r="B59" t="s">
        <v>4</v>
      </c>
      <c r="C59" t="s">
        <v>369</v>
      </c>
      <c r="D59" t="s">
        <v>1341</v>
      </c>
      <c r="E59" t="s">
        <v>1361</v>
      </c>
      <c r="F59" t="s">
        <v>1361</v>
      </c>
      <c r="G59" t="s">
        <v>406</v>
      </c>
      <c r="H59" t="s">
        <v>7297</v>
      </c>
      <c r="J59" t="b">
        <v>1</v>
      </c>
      <c r="K59" t="s">
        <v>567</v>
      </c>
      <c r="L59" t="s">
        <v>401</v>
      </c>
      <c r="M59">
        <v>45646.435798611114</v>
      </c>
      <c r="N59">
        <v>45652</v>
      </c>
      <c r="O59">
        <v>45652</v>
      </c>
      <c r="P59" t="s">
        <v>6532</v>
      </c>
      <c r="Q59">
        <v>4</v>
      </c>
      <c r="R59" t="s">
        <v>481</v>
      </c>
    </row>
    <row r="60" spans="1:18">
      <c r="A60" t="s">
        <v>1365</v>
      </c>
      <c r="B60" t="s">
        <v>4</v>
      </c>
      <c r="C60" t="s">
        <v>369</v>
      </c>
      <c r="D60" t="s">
        <v>1342</v>
      </c>
      <c r="E60" t="s">
        <v>1361</v>
      </c>
      <c r="F60" t="s">
        <v>1361</v>
      </c>
      <c r="G60" t="s">
        <v>406</v>
      </c>
      <c r="H60" t="s">
        <v>7298</v>
      </c>
      <c r="J60" t="b">
        <v>1</v>
      </c>
      <c r="K60" t="s">
        <v>567</v>
      </c>
      <c r="L60" t="s">
        <v>401</v>
      </c>
      <c r="M60">
        <v>45646.435798611114</v>
      </c>
      <c r="N60">
        <v>45652</v>
      </c>
      <c r="O60">
        <v>45652</v>
      </c>
      <c r="P60" t="s">
        <v>6532</v>
      </c>
      <c r="Q60">
        <v>4</v>
      </c>
      <c r="R60" t="s">
        <v>481</v>
      </c>
    </row>
    <row r="61" spans="1:18">
      <c r="A61" t="s">
        <v>1365</v>
      </c>
      <c r="B61" t="s">
        <v>4</v>
      </c>
      <c r="C61" t="s">
        <v>369</v>
      </c>
      <c r="D61" t="s">
        <v>1343</v>
      </c>
      <c r="E61" t="s">
        <v>1361</v>
      </c>
      <c r="F61" t="s">
        <v>1361</v>
      </c>
      <c r="G61" t="s">
        <v>406</v>
      </c>
      <c r="H61" t="s">
        <v>7299</v>
      </c>
      <c r="J61" t="b">
        <v>1</v>
      </c>
      <c r="K61" t="s">
        <v>567</v>
      </c>
      <c r="L61" t="s">
        <v>401</v>
      </c>
      <c r="M61">
        <v>45646.435798611114</v>
      </c>
      <c r="N61">
        <v>45652</v>
      </c>
      <c r="O61">
        <v>45652</v>
      </c>
      <c r="P61" t="s">
        <v>6532</v>
      </c>
      <c r="Q61">
        <v>4</v>
      </c>
      <c r="R61" t="s">
        <v>481</v>
      </c>
    </row>
    <row r="62" spans="1:18">
      <c r="A62" t="s">
        <v>1365</v>
      </c>
      <c r="B62" t="s">
        <v>4</v>
      </c>
      <c r="C62" t="s">
        <v>369</v>
      </c>
      <c r="D62" t="s">
        <v>1344</v>
      </c>
      <c r="E62" t="s">
        <v>1361</v>
      </c>
      <c r="F62" t="s">
        <v>1361</v>
      </c>
      <c r="G62" t="s">
        <v>406</v>
      </c>
      <c r="H62" t="s">
        <v>7300</v>
      </c>
      <c r="J62" t="b">
        <v>1</v>
      </c>
      <c r="K62" t="s">
        <v>567</v>
      </c>
      <c r="L62" t="s">
        <v>401</v>
      </c>
      <c r="M62">
        <v>45646.435798611114</v>
      </c>
      <c r="N62">
        <v>45652</v>
      </c>
      <c r="O62">
        <v>45652</v>
      </c>
      <c r="P62" t="s">
        <v>6532</v>
      </c>
      <c r="Q62">
        <v>4</v>
      </c>
      <c r="R62" t="s">
        <v>481</v>
      </c>
    </row>
    <row r="63" spans="1:18">
      <c r="A63" t="s">
        <v>1365</v>
      </c>
      <c r="B63" t="s">
        <v>4</v>
      </c>
      <c r="C63" t="s">
        <v>369</v>
      </c>
      <c r="D63" t="s">
        <v>1345</v>
      </c>
      <c r="E63" t="s">
        <v>1361</v>
      </c>
      <c r="F63" t="s">
        <v>1361</v>
      </c>
      <c r="G63" t="s">
        <v>406</v>
      </c>
      <c r="H63" t="s">
        <v>7301</v>
      </c>
      <c r="J63" t="b">
        <v>1</v>
      </c>
      <c r="K63" t="s">
        <v>567</v>
      </c>
      <c r="L63" t="s">
        <v>401</v>
      </c>
      <c r="M63">
        <v>45646.435798611114</v>
      </c>
      <c r="N63">
        <v>45652</v>
      </c>
      <c r="O63">
        <v>45652</v>
      </c>
      <c r="P63" t="s">
        <v>6532</v>
      </c>
      <c r="Q63">
        <v>4</v>
      </c>
      <c r="R63" t="s">
        <v>481</v>
      </c>
    </row>
    <row r="64" spans="1:18">
      <c r="A64" t="s">
        <v>1365</v>
      </c>
      <c r="B64" t="s">
        <v>4</v>
      </c>
      <c r="C64" t="s">
        <v>369</v>
      </c>
      <c r="D64" t="s">
        <v>1346</v>
      </c>
      <c r="E64" t="s">
        <v>1361</v>
      </c>
      <c r="F64" t="s">
        <v>1361</v>
      </c>
      <c r="G64" t="s">
        <v>406</v>
      </c>
      <c r="H64" t="s">
        <v>7302</v>
      </c>
      <c r="J64" t="b">
        <v>1</v>
      </c>
      <c r="K64" t="s">
        <v>567</v>
      </c>
      <c r="L64" t="s">
        <v>401</v>
      </c>
      <c r="M64">
        <v>45646.435798611114</v>
      </c>
      <c r="N64">
        <v>45652</v>
      </c>
      <c r="O64">
        <v>45652</v>
      </c>
      <c r="P64" t="s">
        <v>6532</v>
      </c>
      <c r="Q64">
        <v>4</v>
      </c>
      <c r="R64" t="s">
        <v>481</v>
      </c>
    </row>
    <row r="65" spans="1:18">
      <c r="A65" t="s">
        <v>1365</v>
      </c>
      <c r="B65" t="s">
        <v>4</v>
      </c>
      <c r="C65" t="s">
        <v>369</v>
      </c>
      <c r="D65" t="s">
        <v>1347</v>
      </c>
      <c r="E65" t="s">
        <v>1361</v>
      </c>
      <c r="F65" t="s">
        <v>1361</v>
      </c>
      <c r="G65" t="s">
        <v>406</v>
      </c>
      <c r="H65" t="s">
        <v>7303</v>
      </c>
      <c r="J65" t="b">
        <v>1</v>
      </c>
      <c r="K65" t="s">
        <v>567</v>
      </c>
      <c r="L65" t="s">
        <v>401</v>
      </c>
      <c r="M65">
        <v>45646.435798611114</v>
      </c>
      <c r="N65">
        <v>45652</v>
      </c>
      <c r="O65">
        <v>45652</v>
      </c>
      <c r="P65" t="s">
        <v>6532</v>
      </c>
      <c r="Q65">
        <v>4</v>
      </c>
      <c r="R65" t="s">
        <v>481</v>
      </c>
    </row>
    <row r="66" spans="1:18">
      <c r="A66" t="s">
        <v>1365</v>
      </c>
      <c r="B66" t="s">
        <v>4</v>
      </c>
      <c r="C66" t="s">
        <v>369</v>
      </c>
      <c r="D66" t="s">
        <v>1348</v>
      </c>
      <c r="E66" t="s">
        <v>1361</v>
      </c>
      <c r="F66" t="s">
        <v>1361</v>
      </c>
      <c r="G66" t="s">
        <v>406</v>
      </c>
      <c r="H66" t="s">
        <v>7304</v>
      </c>
      <c r="J66" t="b">
        <v>1</v>
      </c>
      <c r="K66" t="s">
        <v>567</v>
      </c>
      <c r="L66" t="s">
        <v>401</v>
      </c>
      <c r="M66">
        <v>45646.435798611114</v>
      </c>
      <c r="N66">
        <v>45652</v>
      </c>
      <c r="O66">
        <v>45652</v>
      </c>
      <c r="P66" t="s">
        <v>6532</v>
      </c>
      <c r="Q66">
        <v>4</v>
      </c>
      <c r="R66" t="s">
        <v>481</v>
      </c>
    </row>
    <row r="67" spans="1:18">
      <c r="A67" t="s">
        <v>1365</v>
      </c>
      <c r="B67" t="s">
        <v>4</v>
      </c>
      <c r="C67" t="s">
        <v>369</v>
      </c>
      <c r="D67" t="s">
        <v>1349</v>
      </c>
      <c r="E67" t="s">
        <v>1362</v>
      </c>
      <c r="F67" t="s">
        <v>1362</v>
      </c>
      <c r="G67" t="s">
        <v>406</v>
      </c>
      <c r="H67" t="s">
        <v>7305</v>
      </c>
      <c r="J67" t="b">
        <v>1</v>
      </c>
      <c r="K67" t="s">
        <v>567</v>
      </c>
      <c r="L67" t="s">
        <v>401</v>
      </c>
      <c r="M67">
        <v>45646.435798611114</v>
      </c>
      <c r="N67">
        <v>45652</v>
      </c>
      <c r="O67">
        <v>45652</v>
      </c>
      <c r="P67" t="s">
        <v>6532</v>
      </c>
      <c r="Q67">
        <v>4</v>
      </c>
      <c r="R67" t="s">
        <v>481</v>
      </c>
    </row>
    <row r="68" spans="1:18">
      <c r="A68" t="s">
        <v>1365</v>
      </c>
      <c r="B68" t="s">
        <v>4</v>
      </c>
      <c r="C68" t="s">
        <v>369</v>
      </c>
      <c r="D68" t="s">
        <v>1350</v>
      </c>
      <c r="E68" t="s">
        <v>1362</v>
      </c>
      <c r="F68" t="s">
        <v>1362</v>
      </c>
      <c r="G68" t="s">
        <v>406</v>
      </c>
      <c r="H68" t="s">
        <v>7306</v>
      </c>
      <c r="J68" t="b">
        <v>1</v>
      </c>
      <c r="K68" t="s">
        <v>567</v>
      </c>
      <c r="L68" t="s">
        <v>401</v>
      </c>
      <c r="M68">
        <v>45646.435798611114</v>
      </c>
      <c r="N68">
        <v>45652</v>
      </c>
      <c r="O68">
        <v>45652</v>
      </c>
      <c r="P68" t="s">
        <v>6532</v>
      </c>
      <c r="Q68">
        <v>4</v>
      </c>
      <c r="R68" t="s">
        <v>481</v>
      </c>
    </row>
    <row r="69" spans="1:18">
      <c r="A69" t="s">
        <v>1365</v>
      </c>
      <c r="B69" t="s">
        <v>4</v>
      </c>
      <c r="C69" t="s">
        <v>369</v>
      </c>
      <c r="D69" t="s">
        <v>1351</v>
      </c>
      <c r="E69" t="s">
        <v>1362</v>
      </c>
      <c r="F69" t="s">
        <v>1362</v>
      </c>
      <c r="G69" t="s">
        <v>406</v>
      </c>
      <c r="H69" t="s">
        <v>7307</v>
      </c>
      <c r="J69" t="b">
        <v>1</v>
      </c>
      <c r="K69" t="s">
        <v>567</v>
      </c>
      <c r="L69" t="s">
        <v>401</v>
      </c>
      <c r="M69">
        <v>45646.435798611114</v>
      </c>
      <c r="N69">
        <v>45652</v>
      </c>
      <c r="O69">
        <v>45652</v>
      </c>
      <c r="P69" t="s">
        <v>6532</v>
      </c>
      <c r="Q69">
        <v>4</v>
      </c>
      <c r="R69" t="s">
        <v>481</v>
      </c>
    </row>
    <row r="70" spans="1:18">
      <c r="A70" t="s">
        <v>1365</v>
      </c>
      <c r="B70" t="s">
        <v>4</v>
      </c>
      <c r="C70" t="s">
        <v>369</v>
      </c>
      <c r="D70" t="s">
        <v>1352</v>
      </c>
      <c r="E70" t="s">
        <v>1362</v>
      </c>
      <c r="F70" t="s">
        <v>1362</v>
      </c>
      <c r="G70" t="s">
        <v>406</v>
      </c>
      <c r="H70" t="s">
        <v>7308</v>
      </c>
      <c r="J70" t="b">
        <v>1</v>
      </c>
      <c r="K70" t="s">
        <v>567</v>
      </c>
      <c r="L70" t="s">
        <v>401</v>
      </c>
      <c r="M70">
        <v>45646.435798611114</v>
      </c>
      <c r="N70">
        <v>45652</v>
      </c>
      <c r="O70">
        <v>45652</v>
      </c>
      <c r="P70" t="s">
        <v>6532</v>
      </c>
      <c r="Q70">
        <v>4</v>
      </c>
      <c r="R70" t="s">
        <v>481</v>
      </c>
    </row>
    <row r="71" spans="1:18">
      <c r="A71" t="s">
        <v>1365</v>
      </c>
      <c r="B71" t="s">
        <v>4</v>
      </c>
      <c r="C71" t="s">
        <v>369</v>
      </c>
      <c r="D71" t="s">
        <v>1353</v>
      </c>
      <c r="E71" t="s">
        <v>1363</v>
      </c>
      <c r="F71" t="s">
        <v>1363</v>
      </c>
      <c r="G71" t="s">
        <v>406</v>
      </c>
      <c r="H71" t="s">
        <v>7309</v>
      </c>
      <c r="J71" t="b">
        <v>1</v>
      </c>
      <c r="K71" t="s">
        <v>567</v>
      </c>
      <c r="L71" t="s">
        <v>401</v>
      </c>
      <c r="M71">
        <v>45646.435798611114</v>
      </c>
      <c r="N71">
        <v>45652</v>
      </c>
      <c r="O71">
        <v>45652</v>
      </c>
      <c r="P71" t="s">
        <v>6532</v>
      </c>
      <c r="Q71">
        <v>4</v>
      </c>
      <c r="R71" t="s">
        <v>481</v>
      </c>
    </row>
    <row r="72" spans="1:18">
      <c r="A72" t="s">
        <v>1365</v>
      </c>
      <c r="B72" t="s">
        <v>4</v>
      </c>
      <c r="C72" t="s">
        <v>369</v>
      </c>
      <c r="D72" t="s">
        <v>1354</v>
      </c>
      <c r="E72" t="s">
        <v>1363</v>
      </c>
      <c r="F72" t="s">
        <v>1363</v>
      </c>
      <c r="G72" t="s">
        <v>406</v>
      </c>
      <c r="H72" t="s">
        <v>7310</v>
      </c>
      <c r="J72" t="b">
        <v>1</v>
      </c>
      <c r="K72" t="s">
        <v>567</v>
      </c>
      <c r="L72" t="s">
        <v>401</v>
      </c>
      <c r="M72">
        <v>45646.435798611114</v>
      </c>
      <c r="N72">
        <v>45652</v>
      </c>
      <c r="O72">
        <v>45652</v>
      </c>
      <c r="P72" t="s">
        <v>6532</v>
      </c>
      <c r="Q72">
        <v>4</v>
      </c>
      <c r="R72" t="s">
        <v>481</v>
      </c>
    </row>
    <row r="73" spans="1:18">
      <c r="A73" t="s">
        <v>1365</v>
      </c>
      <c r="B73" t="s">
        <v>4</v>
      </c>
      <c r="C73" t="s">
        <v>369</v>
      </c>
      <c r="D73" t="s">
        <v>1355</v>
      </c>
      <c r="E73" t="s">
        <v>1360</v>
      </c>
      <c r="F73" t="s">
        <v>1360</v>
      </c>
      <c r="G73" t="s">
        <v>406</v>
      </c>
      <c r="H73" t="s">
        <v>7311</v>
      </c>
      <c r="J73" t="b">
        <v>1</v>
      </c>
      <c r="K73" t="s">
        <v>567</v>
      </c>
      <c r="L73" t="s">
        <v>401</v>
      </c>
      <c r="M73">
        <v>45646.435798611114</v>
      </c>
      <c r="N73">
        <v>45652</v>
      </c>
      <c r="O73">
        <v>45652</v>
      </c>
      <c r="P73" t="s">
        <v>6532</v>
      </c>
      <c r="Q73">
        <v>4</v>
      </c>
      <c r="R73" t="s">
        <v>481</v>
      </c>
    </row>
    <row r="74" spans="1:18">
      <c r="A74" t="s">
        <v>1365</v>
      </c>
      <c r="B74" t="s">
        <v>4</v>
      </c>
      <c r="C74" t="s">
        <v>369</v>
      </c>
      <c r="D74" t="s">
        <v>1356</v>
      </c>
      <c r="E74" t="s">
        <v>1363</v>
      </c>
      <c r="F74" t="s">
        <v>1363</v>
      </c>
      <c r="G74" t="s">
        <v>406</v>
      </c>
      <c r="H74" t="s">
        <v>7312</v>
      </c>
      <c r="J74" t="b">
        <v>1</v>
      </c>
      <c r="K74" t="s">
        <v>567</v>
      </c>
      <c r="L74" t="s">
        <v>401</v>
      </c>
      <c r="M74">
        <v>45646.435798611114</v>
      </c>
      <c r="N74">
        <v>45652</v>
      </c>
      <c r="O74">
        <v>45652</v>
      </c>
      <c r="P74" t="s">
        <v>6532</v>
      </c>
      <c r="Q74">
        <v>4</v>
      </c>
      <c r="R74" t="s">
        <v>481</v>
      </c>
    </row>
    <row r="75" spans="1:18">
      <c r="A75" t="s">
        <v>1365</v>
      </c>
      <c r="B75" t="s">
        <v>4</v>
      </c>
      <c r="C75" t="s">
        <v>369</v>
      </c>
      <c r="D75" t="s">
        <v>1357</v>
      </c>
      <c r="E75" t="s">
        <v>1363</v>
      </c>
      <c r="F75" t="s">
        <v>1363</v>
      </c>
      <c r="G75" t="s">
        <v>406</v>
      </c>
      <c r="H75" t="s">
        <v>7313</v>
      </c>
      <c r="J75" t="b">
        <v>1</v>
      </c>
      <c r="K75" t="s">
        <v>567</v>
      </c>
      <c r="L75" t="s">
        <v>401</v>
      </c>
      <c r="M75">
        <v>45646.435798611114</v>
      </c>
      <c r="N75">
        <v>45652</v>
      </c>
      <c r="O75">
        <v>45652</v>
      </c>
      <c r="P75" t="s">
        <v>6532</v>
      </c>
      <c r="Q75">
        <v>4</v>
      </c>
      <c r="R75" t="s">
        <v>481</v>
      </c>
    </row>
    <row r="76" spans="1:18">
      <c r="A76" t="s">
        <v>1365</v>
      </c>
      <c r="B76" t="s">
        <v>4</v>
      </c>
      <c r="C76" t="s">
        <v>369</v>
      </c>
      <c r="D76" t="s">
        <v>514</v>
      </c>
      <c r="E76" t="s">
        <v>1364</v>
      </c>
      <c r="F76" t="s">
        <v>1364</v>
      </c>
      <c r="G76" t="s">
        <v>406</v>
      </c>
      <c r="H76" t="s">
        <v>7314</v>
      </c>
      <c r="J76" t="b">
        <v>1</v>
      </c>
      <c r="K76" t="s">
        <v>567</v>
      </c>
      <c r="L76" t="s">
        <v>401</v>
      </c>
      <c r="M76">
        <v>45646.435798611114</v>
      </c>
      <c r="N76">
        <v>45652</v>
      </c>
      <c r="O76">
        <v>45652</v>
      </c>
      <c r="P76" t="s">
        <v>6532</v>
      </c>
      <c r="Q76">
        <v>4</v>
      </c>
      <c r="R76" t="s">
        <v>481</v>
      </c>
    </row>
    <row r="77" spans="1:18">
      <c r="A77" t="s">
        <v>1389</v>
      </c>
      <c r="B77" t="s">
        <v>4</v>
      </c>
      <c r="C77" t="s">
        <v>369</v>
      </c>
      <c r="D77" t="s">
        <v>1387</v>
      </c>
      <c r="E77" t="s">
        <v>1250</v>
      </c>
      <c r="F77" t="s">
        <v>1250</v>
      </c>
      <c r="G77" t="s">
        <v>400</v>
      </c>
      <c r="H77" t="s">
        <v>7248</v>
      </c>
      <c r="I77" t="s">
        <v>1420</v>
      </c>
      <c r="J77" t="b">
        <v>1</v>
      </c>
      <c r="K77" t="s">
        <v>567</v>
      </c>
      <c r="L77" t="s">
        <v>401</v>
      </c>
      <c r="M77">
        <v>45646.551979166667</v>
      </c>
      <c r="N77">
        <v>45652</v>
      </c>
      <c r="O77">
        <v>45652</v>
      </c>
      <c r="P77" t="s">
        <v>6532</v>
      </c>
      <c r="Q77">
        <v>4</v>
      </c>
      <c r="R77" t="s">
        <v>1076</v>
      </c>
    </row>
    <row r="78" spans="1:18">
      <c r="A78" t="s">
        <v>1389</v>
      </c>
      <c r="B78" t="s">
        <v>4</v>
      </c>
      <c r="C78" t="s">
        <v>369</v>
      </c>
      <c r="D78" t="s">
        <v>1388</v>
      </c>
      <c r="E78" t="s">
        <v>1251</v>
      </c>
      <c r="F78" t="s">
        <v>1251</v>
      </c>
      <c r="G78" t="s">
        <v>400</v>
      </c>
      <c r="H78" t="s">
        <v>7248</v>
      </c>
      <c r="I78" t="s">
        <v>1198</v>
      </c>
      <c r="J78" t="b">
        <v>1</v>
      </c>
      <c r="K78" t="s">
        <v>567</v>
      </c>
      <c r="L78" t="s">
        <v>401</v>
      </c>
      <c r="M78">
        <v>45646.551979166667</v>
      </c>
      <c r="P78" t="s">
        <v>4326</v>
      </c>
      <c r="Q78">
        <v>249</v>
      </c>
      <c r="R78" t="s">
        <v>1076</v>
      </c>
    </row>
    <row r="79" spans="1:18">
      <c r="A79" t="s">
        <v>1389</v>
      </c>
      <c r="B79" t="s">
        <v>4</v>
      </c>
      <c r="C79" t="s">
        <v>369</v>
      </c>
      <c r="D79" t="s">
        <v>1387</v>
      </c>
      <c r="E79" t="s">
        <v>850</v>
      </c>
      <c r="F79" t="s">
        <v>850</v>
      </c>
      <c r="G79" t="s">
        <v>400</v>
      </c>
      <c r="H79" t="s">
        <v>7248</v>
      </c>
      <c r="I79" t="s">
        <v>1420</v>
      </c>
      <c r="J79" t="b">
        <v>1</v>
      </c>
      <c r="K79" t="s">
        <v>567</v>
      </c>
      <c r="L79" t="s">
        <v>401</v>
      </c>
      <c r="M79">
        <v>45646.551979166667</v>
      </c>
      <c r="N79">
        <v>45652</v>
      </c>
      <c r="O79">
        <v>45652</v>
      </c>
      <c r="P79" t="s">
        <v>6532</v>
      </c>
      <c r="Q79">
        <v>4</v>
      </c>
      <c r="R79" t="s">
        <v>1076</v>
      </c>
    </row>
    <row r="80" spans="1:18">
      <c r="A80" t="s">
        <v>1366</v>
      </c>
      <c r="B80" t="s">
        <v>4</v>
      </c>
      <c r="C80" t="s">
        <v>369</v>
      </c>
      <c r="D80" t="s">
        <v>1367</v>
      </c>
      <c r="E80" t="s">
        <v>565</v>
      </c>
      <c r="F80" t="s">
        <v>565</v>
      </c>
      <c r="G80" t="s">
        <v>400</v>
      </c>
      <c r="H80" t="s">
        <v>7248</v>
      </c>
      <c r="J80" t="b">
        <v>1</v>
      </c>
      <c r="K80" t="s">
        <v>568</v>
      </c>
      <c r="L80" t="s">
        <v>401</v>
      </c>
      <c r="M80">
        <v>45647.538819444446</v>
      </c>
      <c r="N80">
        <v>45652</v>
      </c>
      <c r="O80">
        <v>45652</v>
      </c>
      <c r="P80" t="s">
        <v>6532</v>
      </c>
      <c r="Q80">
        <v>3</v>
      </c>
      <c r="R80" t="s">
        <v>489</v>
      </c>
    </row>
    <row r="81" spans="1:18">
      <c r="A81" t="s">
        <v>1366</v>
      </c>
      <c r="B81" t="s">
        <v>4</v>
      </c>
      <c r="C81" t="s">
        <v>369</v>
      </c>
      <c r="D81" t="s">
        <v>1368</v>
      </c>
      <c r="E81" t="s">
        <v>1044</v>
      </c>
      <c r="F81" t="s">
        <v>1044</v>
      </c>
      <c r="G81" t="s">
        <v>400</v>
      </c>
      <c r="H81" t="s">
        <v>7248</v>
      </c>
      <c r="J81" t="b">
        <v>1</v>
      </c>
      <c r="K81" t="s">
        <v>568</v>
      </c>
      <c r="L81" t="s">
        <v>401</v>
      </c>
      <c r="M81">
        <v>45647.538819444446</v>
      </c>
      <c r="N81">
        <v>45652</v>
      </c>
      <c r="O81">
        <v>45652</v>
      </c>
      <c r="P81" t="s">
        <v>6532</v>
      </c>
      <c r="Q81">
        <v>3</v>
      </c>
      <c r="R81" t="s">
        <v>489</v>
      </c>
    </row>
    <row r="82" spans="1:18">
      <c r="A82" t="s">
        <v>1366</v>
      </c>
      <c r="B82" t="s">
        <v>4</v>
      </c>
      <c r="C82" t="s">
        <v>369</v>
      </c>
      <c r="D82" t="s">
        <v>1369</v>
      </c>
      <c r="E82" t="s">
        <v>1044</v>
      </c>
      <c r="F82" t="s">
        <v>1044</v>
      </c>
      <c r="G82" t="s">
        <v>400</v>
      </c>
      <c r="H82" t="s">
        <v>7248</v>
      </c>
      <c r="J82" t="b">
        <v>1</v>
      </c>
      <c r="K82" t="s">
        <v>568</v>
      </c>
      <c r="L82" t="s">
        <v>401</v>
      </c>
      <c r="M82">
        <v>45647.538819444446</v>
      </c>
      <c r="N82">
        <v>45652</v>
      </c>
      <c r="O82">
        <v>45652</v>
      </c>
      <c r="P82" t="s">
        <v>6532</v>
      </c>
      <c r="Q82">
        <v>3</v>
      </c>
      <c r="R82" t="s">
        <v>489</v>
      </c>
    </row>
    <row r="83" spans="1:18">
      <c r="A83" t="s">
        <v>1366</v>
      </c>
      <c r="B83" t="s">
        <v>4</v>
      </c>
      <c r="C83" t="s">
        <v>369</v>
      </c>
      <c r="D83" t="s">
        <v>1370</v>
      </c>
      <c r="E83" t="s">
        <v>1044</v>
      </c>
      <c r="F83" t="s">
        <v>1044</v>
      </c>
      <c r="G83" t="s">
        <v>400</v>
      </c>
      <c r="H83" t="s">
        <v>7248</v>
      </c>
      <c r="J83" t="b">
        <v>1</v>
      </c>
      <c r="K83" t="s">
        <v>568</v>
      </c>
      <c r="L83" t="s">
        <v>401</v>
      </c>
      <c r="M83">
        <v>45647.538819444446</v>
      </c>
      <c r="N83">
        <v>45652</v>
      </c>
      <c r="O83">
        <v>45652</v>
      </c>
      <c r="P83" t="s">
        <v>6532</v>
      </c>
      <c r="Q83">
        <v>3</v>
      </c>
      <c r="R83" t="s">
        <v>489</v>
      </c>
    </row>
    <row r="84" spans="1:18">
      <c r="A84" t="s">
        <v>1366</v>
      </c>
      <c r="B84" t="s">
        <v>4</v>
      </c>
      <c r="C84" t="s">
        <v>369</v>
      </c>
      <c r="D84" t="s">
        <v>1371</v>
      </c>
      <c r="E84" t="s">
        <v>1044</v>
      </c>
      <c r="F84" t="s">
        <v>1044</v>
      </c>
      <c r="G84" t="s">
        <v>400</v>
      </c>
      <c r="H84" t="s">
        <v>7248</v>
      </c>
      <c r="J84" t="b">
        <v>1</v>
      </c>
      <c r="K84" t="s">
        <v>568</v>
      </c>
      <c r="L84" t="s">
        <v>401</v>
      </c>
      <c r="M84">
        <v>45647.538819444446</v>
      </c>
      <c r="N84">
        <v>45652</v>
      </c>
      <c r="O84">
        <v>45652</v>
      </c>
      <c r="P84" t="s">
        <v>6532</v>
      </c>
      <c r="Q84">
        <v>3</v>
      </c>
      <c r="R84" t="s">
        <v>489</v>
      </c>
    </row>
    <row r="85" spans="1:18">
      <c r="A85" t="s">
        <v>1366</v>
      </c>
      <c r="B85" t="s">
        <v>4</v>
      </c>
      <c r="C85" t="s">
        <v>369</v>
      </c>
      <c r="D85" t="s">
        <v>1372</v>
      </c>
      <c r="E85" t="s">
        <v>1044</v>
      </c>
      <c r="F85" t="s">
        <v>1044</v>
      </c>
      <c r="G85" t="s">
        <v>400</v>
      </c>
      <c r="H85" t="s">
        <v>7248</v>
      </c>
      <c r="J85" t="b">
        <v>1</v>
      </c>
      <c r="K85" t="s">
        <v>568</v>
      </c>
      <c r="L85" t="s">
        <v>401</v>
      </c>
      <c r="M85">
        <v>45647.538819444446</v>
      </c>
      <c r="N85">
        <v>45652</v>
      </c>
      <c r="O85">
        <v>45652</v>
      </c>
      <c r="P85" t="s">
        <v>6532</v>
      </c>
      <c r="Q85">
        <v>3</v>
      </c>
      <c r="R85" t="s">
        <v>489</v>
      </c>
    </row>
    <row r="86" spans="1:18">
      <c r="A86" t="s">
        <v>1366</v>
      </c>
      <c r="B86" t="s">
        <v>4</v>
      </c>
      <c r="C86" t="s">
        <v>369</v>
      </c>
      <c r="D86" t="s">
        <v>1373</v>
      </c>
      <c r="E86" t="s">
        <v>1044</v>
      </c>
      <c r="F86" t="s">
        <v>1044</v>
      </c>
      <c r="G86" t="s">
        <v>400</v>
      </c>
      <c r="H86" t="s">
        <v>7248</v>
      </c>
      <c r="J86" t="b">
        <v>1</v>
      </c>
      <c r="K86" t="s">
        <v>568</v>
      </c>
      <c r="L86" t="s">
        <v>401</v>
      </c>
      <c r="M86">
        <v>45647.538819444446</v>
      </c>
      <c r="N86">
        <v>45652</v>
      </c>
      <c r="O86">
        <v>45652</v>
      </c>
      <c r="P86" t="s">
        <v>6532</v>
      </c>
      <c r="Q86">
        <v>3</v>
      </c>
      <c r="R86" t="s">
        <v>489</v>
      </c>
    </row>
    <row r="87" spans="1:18">
      <c r="A87" t="s">
        <v>1366</v>
      </c>
      <c r="B87" t="s">
        <v>4</v>
      </c>
      <c r="C87" t="s">
        <v>369</v>
      </c>
      <c r="D87" t="s">
        <v>1374</v>
      </c>
      <c r="E87" t="s">
        <v>1044</v>
      </c>
      <c r="F87" t="s">
        <v>1044</v>
      </c>
      <c r="G87" t="s">
        <v>400</v>
      </c>
      <c r="H87" t="s">
        <v>7248</v>
      </c>
      <c r="J87" t="b">
        <v>1</v>
      </c>
      <c r="K87" t="s">
        <v>568</v>
      </c>
      <c r="L87" t="s">
        <v>401</v>
      </c>
      <c r="M87">
        <v>45647.538819444446</v>
      </c>
      <c r="N87">
        <v>45652</v>
      </c>
      <c r="O87">
        <v>45652</v>
      </c>
      <c r="P87" t="s">
        <v>6532</v>
      </c>
      <c r="Q87">
        <v>3</v>
      </c>
      <c r="R87" t="s">
        <v>489</v>
      </c>
    </row>
    <row r="88" spans="1:18">
      <c r="A88" t="s">
        <v>1366</v>
      </c>
      <c r="B88" t="s">
        <v>4</v>
      </c>
      <c r="C88" t="s">
        <v>369</v>
      </c>
      <c r="D88" t="s">
        <v>1375</v>
      </c>
      <c r="E88" t="s">
        <v>1044</v>
      </c>
      <c r="F88" t="s">
        <v>1044</v>
      </c>
      <c r="G88" t="s">
        <v>400</v>
      </c>
      <c r="H88" t="s">
        <v>7248</v>
      </c>
      <c r="J88" t="b">
        <v>1</v>
      </c>
      <c r="K88" t="s">
        <v>568</v>
      </c>
      <c r="L88" t="s">
        <v>401</v>
      </c>
      <c r="M88">
        <v>45647.538819444446</v>
      </c>
      <c r="N88">
        <v>45652</v>
      </c>
      <c r="O88">
        <v>45652</v>
      </c>
      <c r="P88" t="s">
        <v>6532</v>
      </c>
      <c r="Q88">
        <v>3</v>
      </c>
      <c r="R88" t="s">
        <v>489</v>
      </c>
    </row>
    <row r="89" spans="1:18">
      <c r="A89" t="s">
        <v>1366</v>
      </c>
      <c r="B89" t="s">
        <v>4</v>
      </c>
      <c r="C89" t="s">
        <v>369</v>
      </c>
      <c r="D89" t="s">
        <v>1376</v>
      </c>
      <c r="E89" t="s">
        <v>1044</v>
      </c>
      <c r="F89" t="s">
        <v>1044</v>
      </c>
      <c r="G89" t="s">
        <v>400</v>
      </c>
      <c r="H89" t="s">
        <v>7248</v>
      </c>
      <c r="J89" t="b">
        <v>1</v>
      </c>
      <c r="K89" t="s">
        <v>568</v>
      </c>
      <c r="L89" t="s">
        <v>401</v>
      </c>
      <c r="M89">
        <v>45647.538819444446</v>
      </c>
      <c r="N89">
        <v>45652</v>
      </c>
      <c r="O89">
        <v>45652</v>
      </c>
      <c r="P89" t="s">
        <v>6532</v>
      </c>
      <c r="Q89">
        <v>3</v>
      </c>
      <c r="R89" t="s">
        <v>489</v>
      </c>
    </row>
    <row r="90" spans="1:18">
      <c r="A90" t="s">
        <v>1366</v>
      </c>
      <c r="B90" t="s">
        <v>4</v>
      </c>
      <c r="C90" t="s">
        <v>369</v>
      </c>
      <c r="D90" t="s">
        <v>1377</v>
      </c>
      <c r="E90" t="s">
        <v>1044</v>
      </c>
      <c r="F90" t="s">
        <v>1044</v>
      </c>
      <c r="G90" t="s">
        <v>400</v>
      </c>
      <c r="H90" t="s">
        <v>7248</v>
      </c>
      <c r="J90" t="b">
        <v>1</v>
      </c>
      <c r="K90" t="s">
        <v>568</v>
      </c>
      <c r="L90" t="s">
        <v>401</v>
      </c>
      <c r="M90">
        <v>45647.538819444446</v>
      </c>
      <c r="N90">
        <v>45652</v>
      </c>
      <c r="O90">
        <v>45652</v>
      </c>
      <c r="P90" t="s">
        <v>6532</v>
      </c>
      <c r="Q90">
        <v>3</v>
      </c>
      <c r="R90" t="s">
        <v>489</v>
      </c>
    </row>
    <row r="91" spans="1:18">
      <c r="A91" t="s">
        <v>1366</v>
      </c>
      <c r="B91" t="s">
        <v>4</v>
      </c>
      <c r="C91" t="s">
        <v>369</v>
      </c>
      <c r="D91" t="s">
        <v>1378</v>
      </c>
      <c r="E91" t="s">
        <v>1044</v>
      </c>
      <c r="F91" t="s">
        <v>1044</v>
      </c>
      <c r="G91" t="s">
        <v>400</v>
      </c>
      <c r="H91" t="s">
        <v>7248</v>
      </c>
      <c r="J91" t="b">
        <v>1</v>
      </c>
      <c r="K91" t="s">
        <v>568</v>
      </c>
      <c r="L91" t="s">
        <v>401</v>
      </c>
      <c r="M91">
        <v>45647.538819444446</v>
      </c>
      <c r="N91">
        <v>45652</v>
      </c>
      <c r="O91">
        <v>45652</v>
      </c>
      <c r="P91" t="s">
        <v>6532</v>
      </c>
      <c r="Q91">
        <v>3</v>
      </c>
      <c r="R91" t="s">
        <v>489</v>
      </c>
    </row>
    <row r="92" spans="1:18">
      <c r="A92" t="s">
        <v>1366</v>
      </c>
      <c r="B92" t="s">
        <v>4</v>
      </c>
      <c r="C92" t="s">
        <v>369</v>
      </c>
      <c r="D92" t="s">
        <v>1379</v>
      </c>
      <c r="E92" t="s">
        <v>1044</v>
      </c>
      <c r="F92" t="s">
        <v>1044</v>
      </c>
      <c r="G92" t="s">
        <v>400</v>
      </c>
      <c r="H92" t="s">
        <v>7248</v>
      </c>
      <c r="J92" t="b">
        <v>1</v>
      </c>
      <c r="K92" t="s">
        <v>568</v>
      </c>
      <c r="L92" t="s">
        <v>401</v>
      </c>
      <c r="M92">
        <v>45647.538819444446</v>
      </c>
      <c r="N92">
        <v>45652</v>
      </c>
      <c r="O92">
        <v>45652</v>
      </c>
      <c r="P92" t="s">
        <v>6532</v>
      </c>
      <c r="Q92">
        <v>3</v>
      </c>
      <c r="R92" t="s">
        <v>489</v>
      </c>
    </row>
    <row r="93" spans="1:18">
      <c r="A93" t="s">
        <v>1366</v>
      </c>
      <c r="B93" t="s">
        <v>4</v>
      </c>
      <c r="C93" t="s">
        <v>369</v>
      </c>
      <c r="D93" t="s">
        <v>1380</v>
      </c>
      <c r="E93" t="s">
        <v>1044</v>
      </c>
      <c r="F93" t="s">
        <v>1044</v>
      </c>
      <c r="G93" t="s">
        <v>400</v>
      </c>
      <c r="H93" t="s">
        <v>7248</v>
      </c>
      <c r="J93" t="b">
        <v>1</v>
      </c>
      <c r="K93" t="s">
        <v>568</v>
      </c>
      <c r="L93" t="s">
        <v>401</v>
      </c>
      <c r="M93">
        <v>45647.538819444446</v>
      </c>
      <c r="N93">
        <v>45652</v>
      </c>
      <c r="O93">
        <v>45652</v>
      </c>
      <c r="P93" t="s">
        <v>6532</v>
      </c>
      <c r="Q93">
        <v>3</v>
      </c>
      <c r="R93" t="s">
        <v>489</v>
      </c>
    </row>
    <row r="94" spans="1:18">
      <c r="A94" t="s">
        <v>1366</v>
      </c>
      <c r="B94" t="s">
        <v>4</v>
      </c>
      <c r="C94" t="s">
        <v>369</v>
      </c>
      <c r="D94" t="s">
        <v>1381</v>
      </c>
      <c r="E94" t="s">
        <v>1044</v>
      </c>
      <c r="F94" t="s">
        <v>1044</v>
      </c>
      <c r="G94" t="s">
        <v>400</v>
      </c>
      <c r="H94" t="s">
        <v>7248</v>
      </c>
      <c r="J94" t="b">
        <v>1</v>
      </c>
      <c r="K94" t="s">
        <v>568</v>
      </c>
      <c r="L94" t="s">
        <v>401</v>
      </c>
      <c r="M94">
        <v>45647.538819444446</v>
      </c>
      <c r="N94">
        <v>45652</v>
      </c>
      <c r="O94">
        <v>45652</v>
      </c>
      <c r="P94" t="s">
        <v>6532</v>
      </c>
      <c r="Q94">
        <v>3</v>
      </c>
      <c r="R94" t="s">
        <v>489</v>
      </c>
    </row>
    <row r="95" spans="1:18">
      <c r="A95" t="s">
        <v>1366</v>
      </c>
      <c r="B95" t="s">
        <v>4</v>
      </c>
      <c r="C95" t="s">
        <v>369</v>
      </c>
      <c r="D95" t="s">
        <v>1382</v>
      </c>
      <c r="E95" t="s">
        <v>1044</v>
      </c>
      <c r="F95" t="s">
        <v>1044</v>
      </c>
      <c r="G95" t="s">
        <v>400</v>
      </c>
      <c r="H95" t="s">
        <v>7248</v>
      </c>
      <c r="J95" t="b">
        <v>1</v>
      </c>
      <c r="K95" t="s">
        <v>568</v>
      </c>
      <c r="L95" t="s">
        <v>401</v>
      </c>
      <c r="M95">
        <v>45647.538819444446</v>
      </c>
      <c r="N95">
        <v>45652</v>
      </c>
      <c r="O95">
        <v>45652</v>
      </c>
      <c r="P95" t="s">
        <v>6532</v>
      </c>
      <c r="Q95">
        <v>3</v>
      </c>
      <c r="R95" t="s">
        <v>489</v>
      </c>
    </row>
    <row r="96" spans="1:18">
      <c r="A96" t="s">
        <v>1366</v>
      </c>
      <c r="B96" t="s">
        <v>4</v>
      </c>
      <c r="C96" t="s">
        <v>369</v>
      </c>
      <c r="D96" t="s">
        <v>1383</v>
      </c>
      <c r="E96" t="s">
        <v>1044</v>
      </c>
      <c r="F96" t="s">
        <v>1044</v>
      </c>
      <c r="G96" t="s">
        <v>400</v>
      </c>
      <c r="H96" t="s">
        <v>7248</v>
      </c>
      <c r="J96" t="b">
        <v>1</v>
      </c>
      <c r="K96" t="s">
        <v>568</v>
      </c>
      <c r="L96" t="s">
        <v>401</v>
      </c>
      <c r="M96">
        <v>45647.538819444446</v>
      </c>
      <c r="N96">
        <v>45652</v>
      </c>
      <c r="O96">
        <v>45652</v>
      </c>
      <c r="P96" t="s">
        <v>6532</v>
      </c>
      <c r="Q96">
        <v>3</v>
      </c>
      <c r="R96" t="s">
        <v>489</v>
      </c>
    </row>
    <row r="97" spans="1:18">
      <c r="A97" t="s">
        <v>1366</v>
      </c>
      <c r="B97" t="s">
        <v>4</v>
      </c>
      <c r="C97" t="s">
        <v>369</v>
      </c>
      <c r="D97" t="s">
        <v>1384</v>
      </c>
      <c r="E97" t="s">
        <v>1044</v>
      </c>
      <c r="F97" t="s">
        <v>1044</v>
      </c>
      <c r="G97" t="s">
        <v>400</v>
      </c>
      <c r="H97" t="s">
        <v>7248</v>
      </c>
      <c r="J97" t="b">
        <v>1</v>
      </c>
      <c r="K97" t="s">
        <v>568</v>
      </c>
      <c r="L97" t="s">
        <v>401</v>
      </c>
      <c r="M97">
        <v>45647.538819444446</v>
      </c>
      <c r="N97">
        <v>45652</v>
      </c>
      <c r="O97">
        <v>45652</v>
      </c>
      <c r="P97" t="s">
        <v>6532</v>
      </c>
      <c r="Q97">
        <v>3</v>
      </c>
      <c r="R97" t="s">
        <v>489</v>
      </c>
    </row>
    <row r="98" spans="1:18">
      <c r="A98" t="s">
        <v>1366</v>
      </c>
      <c r="B98" t="s">
        <v>4</v>
      </c>
      <c r="C98" t="s">
        <v>369</v>
      </c>
      <c r="D98" t="s">
        <v>1385</v>
      </c>
      <c r="E98" t="s">
        <v>1044</v>
      </c>
      <c r="F98" t="s">
        <v>1044</v>
      </c>
      <c r="G98" t="s">
        <v>400</v>
      </c>
      <c r="H98" t="s">
        <v>7248</v>
      </c>
      <c r="J98" t="b">
        <v>1</v>
      </c>
      <c r="K98" t="s">
        <v>568</v>
      </c>
      <c r="L98" t="s">
        <v>401</v>
      </c>
      <c r="M98">
        <v>45647.538819444446</v>
      </c>
      <c r="N98">
        <v>45652</v>
      </c>
      <c r="O98">
        <v>45652</v>
      </c>
      <c r="P98" t="s">
        <v>6532</v>
      </c>
      <c r="Q98">
        <v>3</v>
      </c>
      <c r="R98" t="s">
        <v>489</v>
      </c>
    </row>
    <row r="99" spans="1:18">
      <c r="A99" t="s">
        <v>1366</v>
      </c>
      <c r="B99" t="s">
        <v>4</v>
      </c>
      <c r="C99" t="s">
        <v>369</v>
      </c>
      <c r="D99" t="s">
        <v>1386</v>
      </c>
      <c r="E99" t="s">
        <v>1044</v>
      </c>
      <c r="F99" t="s">
        <v>1044</v>
      </c>
      <c r="G99" t="s">
        <v>400</v>
      </c>
      <c r="H99" t="s">
        <v>7248</v>
      </c>
      <c r="J99" t="b">
        <v>1</v>
      </c>
      <c r="K99" t="s">
        <v>568</v>
      </c>
      <c r="L99" t="s">
        <v>401</v>
      </c>
      <c r="M99">
        <v>45647.538819444446</v>
      </c>
      <c r="N99">
        <v>45652</v>
      </c>
      <c r="O99">
        <v>45652</v>
      </c>
      <c r="P99" t="s">
        <v>6532</v>
      </c>
      <c r="Q99">
        <v>3</v>
      </c>
      <c r="R99" t="s">
        <v>489</v>
      </c>
    </row>
    <row r="100" spans="1:18">
      <c r="A100" t="s">
        <v>1416</v>
      </c>
      <c r="B100" t="s">
        <v>4</v>
      </c>
      <c r="C100" t="s">
        <v>369</v>
      </c>
      <c r="D100" t="s">
        <v>1390</v>
      </c>
      <c r="E100" t="s">
        <v>1391</v>
      </c>
      <c r="F100" t="s">
        <v>1391</v>
      </c>
      <c r="G100" t="s">
        <v>400</v>
      </c>
      <c r="H100" t="s">
        <v>7248</v>
      </c>
      <c r="J100" t="b">
        <v>1</v>
      </c>
      <c r="K100" t="s">
        <v>568</v>
      </c>
      <c r="L100" t="s">
        <v>401</v>
      </c>
      <c r="M100">
        <v>45649.394259259258</v>
      </c>
      <c r="N100">
        <v>45652</v>
      </c>
      <c r="O100">
        <v>45652</v>
      </c>
      <c r="P100" t="s">
        <v>6532</v>
      </c>
      <c r="Q100">
        <v>3</v>
      </c>
      <c r="R100" t="s">
        <v>830</v>
      </c>
    </row>
    <row r="101" spans="1:18">
      <c r="A101" t="s">
        <v>1416</v>
      </c>
      <c r="B101" t="s">
        <v>4</v>
      </c>
      <c r="C101" t="s">
        <v>369</v>
      </c>
      <c r="D101" t="s">
        <v>1392</v>
      </c>
      <c r="E101" t="s">
        <v>1391</v>
      </c>
      <c r="F101" t="s">
        <v>1391</v>
      </c>
      <c r="G101" t="s">
        <v>400</v>
      </c>
      <c r="H101" t="s">
        <v>7248</v>
      </c>
      <c r="J101" t="b">
        <v>1</v>
      </c>
      <c r="K101" t="s">
        <v>568</v>
      </c>
      <c r="L101" t="s">
        <v>401</v>
      </c>
      <c r="M101">
        <v>45649.394259259258</v>
      </c>
      <c r="N101">
        <v>45652</v>
      </c>
      <c r="O101">
        <v>45652</v>
      </c>
      <c r="P101" t="s">
        <v>6532</v>
      </c>
      <c r="Q101">
        <v>3</v>
      </c>
      <c r="R101" t="s">
        <v>830</v>
      </c>
    </row>
    <row r="102" spans="1:18">
      <c r="A102" t="s">
        <v>1416</v>
      </c>
      <c r="B102" t="s">
        <v>4</v>
      </c>
      <c r="C102" t="s">
        <v>369</v>
      </c>
      <c r="D102" t="s">
        <v>1393</v>
      </c>
      <c r="E102" t="s">
        <v>1391</v>
      </c>
      <c r="F102" t="s">
        <v>1391</v>
      </c>
      <c r="G102" t="s">
        <v>400</v>
      </c>
      <c r="H102" t="s">
        <v>7248</v>
      </c>
      <c r="J102" t="b">
        <v>1</v>
      </c>
      <c r="K102" t="s">
        <v>568</v>
      </c>
      <c r="L102" t="s">
        <v>401</v>
      </c>
      <c r="M102">
        <v>45649.394259259258</v>
      </c>
      <c r="N102">
        <v>45652</v>
      </c>
      <c r="O102">
        <v>45652</v>
      </c>
      <c r="P102" t="s">
        <v>6532</v>
      </c>
      <c r="Q102">
        <v>3</v>
      </c>
      <c r="R102" t="s">
        <v>830</v>
      </c>
    </row>
    <row r="103" spans="1:18">
      <c r="A103" t="s">
        <v>1416</v>
      </c>
      <c r="B103" t="s">
        <v>4</v>
      </c>
      <c r="C103" t="s">
        <v>369</v>
      </c>
      <c r="D103" t="s">
        <v>1394</v>
      </c>
      <c r="E103" t="s">
        <v>1391</v>
      </c>
      <c r="F103" t="s">
        <v>1391</v>
      </c>
      <c r="G103" t="s">
        <v>400</v>
      </c>
      <c r="H103" t="s">
        <v>7248</v>
      </c>
      <c r="J103" t="b">
        <v>1</v>
      </c>
      <c r="K103" t="s">
        <v>568</v>
      </c>
      <c r="L103" t="s">
        <v>401</v>
      </c>
      <c r="M103">
        <v>45649.394259259258</v>
      </c>
      <c r="N103">
        <v>45652</v>
      </c>
      <c r="O103">
        <v>45652</v>
      </c>
      <c r="P103" t="s">
        <v>6532</v>
      </c>
      <c r="Q103">
        <v>3</v>
      </c>
      <c r="R103" t="s">
        <v>830</v>
      </c>
    </row>
    <row r="104" spans="1:18">
      <c r="A104" t="s">
        <v>1416</v>
      </c>
      <c r="B104" t="s">
        <v>4</v>
      </c>
      <c r="C104" t="s">
        <v>369</v>
      </c>
      <c r="D104" t="s">
        <v>1395</v>
      </c>
      <c r="E104" t="s">
        <v>1391</v>
      </c>
      <c r="F104" t="s">
        <v>1391</v>
      </c>
      <c r="G104" t="s">
        <v>400</v>
      </c>
      <c r="H104" t="s">
        <v>7248</v>
      </c>
      <c r="J104" t="b">
        <v>1</v>
      </c>
      <c r="K104" t="s">
        <v>568</v>
      </c>
      <c r="L104" t="s">
        <v>401</v>
      </c>
      <c r="M104">
        <v>45649.394259259258</v>
      </c>
      <c r="N104">
        <v>45652</v>
      </c>
      <c r="O104">
        <v>45652</v>
      </c>
      <c r="P104" t="s">
        <v>6532</v>
      </c>
      <c r="Q104">
        <v>3</v>
      </c>
      <c r="R104" t="s">
        <v>830</v>
      </c>
    </row>
    <row r="105" spans="1:18">
      <c r="A105" t="s">
        <v>1416</v>
      </c>
      <c r="B105" t="s">
        <v>4</v>
      </c>
      <c r="C105" t="s">
        <v>369</v>
      </c>
      <c r="D105" t="s">
        <v>1396</v>
      </c>
      <c r="E105" t="s">
        <v>1391</v>
      </c>
      <c r="F105" t="s">
        <v>1391</v>
      </c>
      <c r="G105" t="s">
        <v>400</v>
      </c>
      <c r="H105" t="s">
        <v>7248</v>
      </c>
      <c r="J105" t="b">
        <v>1</v>
      </c>
      <c r="K105" t="s">
        <v>568</v>
      </c>
      <c r="L105" t="s">
        <v>401</v>
      </c>
      <c r="M105">
        <v>45649.394259259258</v>
      </c>
      <c r="N105">
        <v>45652</v>
      </c>
      <c r="O105">
        <v>45652</v>
      </c>
      <c r="P105" t="s">
        <v>6532</v>
      </c>
      <c r="Q105">
        <v>3</v>
      </c>
      <c r="R105" t="s">
        <v>830</v>
      </c>
    </row>
    <row r="106" spans="1:18">
      <c r="A106" t="s">
        <v>1416</v>
      </c>
      <c r="B106" t="s">
        <v>4</v>
      </c>
      <c r="C106" t="s">
        <v>369</v>
      </c>
      <c r="D106" t="s">
        <v>1397</v>
      </c>
      <c r="E106" t="s">
        <v>1391</v>
      </c>
      <c r="F106" t="s">
        <v>1391</v>
      </c>
      <c r="G106" t="s">
        <v>400</v>
      </c>
      <c r="H106" t="s">
        <v>7248</v>
      </c>
      <c r="J106" t="b">
        <v>1</v>
      </c>
      <c r="K106" t="s">
        <v>568</v>
      </c>
      <c r="L106" t="s">
        <v>401</v>
      </c>
      <c r="M106">
        <v>45649.394259259258</v>
      </c>
      <c r="N106">
        <v>45652</v>
      </c>
      <c r="O106">
        <v>45652</v>
      </c>
      <c r="P106" t="s">
        <v>6532</v>
      </c>
      <c r="Q106">
        <v>3</v>
      </c>
      <c r="R106" t="s">
        <v>830</v>
      </c>
    </row>
    <row r="107" spans="1:18">
      <c r="A107" t="s">
        <v>1416</v>
      </c>
      <c r="B107" t="s">
        <v>4</v>
      </c>
      <c r="C107" t="s">
        <v>369</v>
      </c>
      <c r="D107" t="s">
        <v>1398</v>
      </c>
      <c r="E107" t="s">
        <v>1391</v>
      </c>
      <c r="F107" t="s">
        <v>1391</v>
      </c>
      <c r="G107" t="s">
        <v>400</v>
      </c>
      <c r="H107" t="s">
        <v>7248</v>
      </c>
      <c r="J107" t="b">
        <v>1</v>
      </c>
      <c r="K107" t="s">
        <v>568</v>
      </c>
      <c r="L107" t="s">
        <v>401</v>
      </c>
      <c r="M107">
        <v>45649.394259259258</v>
      </c>
      <c r="N107">
        <v>45652</v>
      </c>
      <c r="O107">
        <v>45652</v>
      </c>
      <c r="P107" t="s">
        <v>6532</v>
      </c>
      <c r="Q107">
        <v>3</v>
      </c>
      <c r="R107" t="s">
        <v>830</v>
      </c>
    </row>
    <row r="108" spans="1:18">
      <c r="A108" t="s">
        <v>1416</v>
      </c>
      <c r="B108" t="s">
        <v>4</v>
      </c>
      <c r="C108" t="s">
        <v>369</v>
      </c>
      <c r="D108" t="s">
        <v>1399</v>
      </c>
      <c r="E108" t="s">
        <v>1391</v>
      </c>
      <c r="F108" t="s">
        <v>1391</v>
      </c>
      <c r="G108" t="s">
        <v>400</v>
      </c>
      <c r="H108" t="s">
        <v>7248</v>
      </c>
      <c r="J108" t="b">
        <v>1</v>
      </c>
      <c r="K108" t="s">
        <v>568</v>
      </c>
      <c r="L108" t="s">
        <v>401</v>
      </c>
      <c r="M108">
        <v>45649.394259259258</v>
      </c>
      <c r="N108">
        <v>45652</v>
      </c>
      <c r="O108">
        <v>45652</v>
      </c>
      <c r="P108" t="s">
        <v>6532</v>
      </c>
      <c r="Q108">
        <v>3</v>
      </c>
      <c r="R108" t="s">
        <v>830</v>
      </c>
    </row>
    <row r="109" spans="1:18">
      <c r="A109" t="s">
        <v>1416</v>
      </c>
      <c r="B109" t="s">
        <v>4</v>
      </c>
      <c r="C109" t="s">
        <v>369</v>
      </c>
      <c r="D109" t="s">
        <v>1400</v>
      </c>
      <c r="E109" t="s">
        <v>1391</v>
      </c>
      <c r="F109" t="s">
        <v>1391</v>
      </c>
      <c r="G109" t="s">
        <v>400</v>
      </c>
      <c r="H109" t="s">
        <v>7248</v>
      </c>
      <c r="J109" t="b">
        <v>1</v>
      </c>
      <c r="K109" t="s">
        <v>568</v>
      </c>
      <c r="L109" t="s">
        <v>401</v>
      </c>
      <c r="M109">
        <v>45649.394259259258</v>
      </c>
      <c r="N109">
        <v>45652</v>
      </c>
      <c r="O109">
        <v>45652</v>
      </c>
      <c r="P109" t="s">
        <v>6532</v>
      </c>
      <c r="Q109">
        <v>3</v>
      </c>
      <c r="R109" t="s">
        <v>830</v>
      </c>
    </row>
    <row r="110" spans="1:18">
      <c r="A110" t="s">
        <v>1416</v>
      </c>
      <c r="B110" t="s">
        <v>4</v>
      </c>
      <c r="C110" t="s">
        <v>369</v>
      </c>
      <c r="D110" t="s">
        <v>1401</v>
      </c>
      <c r="E110" t="s">
        <v>1391</v>
      </c>
      <c r="F110" t="s">
        <v>1391</v>
      </c>
      <c r="G110" t="s">
        <v>400</v>
      </c>
      <c r="H110" t="s">
        <v>7248</v>
      </c>
      <c r="J110" t="b">
        <v>1</v>
      </c>
      <c r="K110" t="s">
        <v>568</v>
      </c>
      <c r="L110" t="s">
        <v>401</v>
      </c>
      <c r="M110">
        <v>45649.394259259258</v>
      </c>
      <c r="N110">
        <v>45652</v>
      </c>
      <c r="O110">
        <v>45652</v>
      </c>
      <c r="P110" t="s">
        <v>6532</v>
      </c>
      <c r="Q110">
        <v>3</v>
      </c>
      <c r="R110" t="s">
        <v>830</v>
      </c>
    </row>
    <row r="111" spans="1:18">
      <c r="A111" t="s">
        <v>1416</v>
      </c>
      <c r="B111" t="s">
        <v>4</v>
      </c>
      <c r="C111" t="s">
        <v>369</v>
      </c>
      <c r="D111" t="s">
        <v>1402</v>
      </c>
      <c r="E111" t="s">
        <v>416</v>
      </c>
      <c r="F111" t="s">
        <v>416</v>
      </c>
      <c r="G111" t="s">
        <v>400</v>
      </c>
      <c r="H111" t="s">
        <v>7248</v>
      </c>
      <c r="J111" t="b">
        <v>1</v>
      </c>
      <c r="K111" t="s">
        <v>568</v>
      </c>
      <c r="L111" t="s">
        <v>401</v>
      </c>
      <c r="M111">
        <v>45649.394259259258</v>
      </c>
      <c r="N111">
        <v>45652</v>
      </c>
      <c r="O111">
        <v>45652</v>
      </c>
      <c r="P111" t="s">
        <v>6532</v>
      </c>
      <c r="Q111">
        <v>3</v>
      </c>
      <c r="R111" t="s">
        <v>830</v>
      </c>
    </row>
    <row r="112" spans="1:18">
      <c r="A112" t="s">
        <v>1416</v>
      </c>
      <c r="B112" t="s">
        <v>4</v>
      </c>
      <c r="C112" t="s">
        <v>369</v>
      </c>
      <c r="D112" t="s">
        <v>1403</v>
      </c>
      <c r="E112" t="s">
        <v>1404</v>
      </c>
      <c r="F112" t="s">
        <v>1404</v>
      </c>
      <c r="G112" t="s">
        <v>400</v>
      </c>
      <c r="H112" t="s">
        <v>7248</v>
      </c>
      <c r="J112" t="b">
        <v>1</v>
      </c>
      <c r="K112" t="s">
        <v>568</v>
      </c>
      <c r="L112" t="s">
        <v>401</v>
      </c>
      <c r="M112">
        <v>45649.394259259258</v>
      </c>
      <c r="N112">
        <v>45652</v>
      </c>
      <c r="O112">
        <v>45652</v>
      </c>
      <c r="P112" t="s">
        <v>6532</v>
      </c>
      <c r="Q112">
        <v>3</v>
      </c>
      <c r="R112" t="s">
        <v>830</v>
      </c>
    </row>
    <row r="113" spans="1:18">
      <c r="A113" t="s">
        <v>1416</v>
      </c>
      <c r="B113" t="s">
        <v>4</v>
      </c>
      <c r="C113" t="s">
        <v>369</v>
      </c>
      <c r="D113" t="s">
        <v>1405</v>
      </c>
      <c r="E113" t="s">
        <v>1404</v>
      </c>
      <c r="F113" t="s">
        <v>1404</v>
      </c>
      <c r="G113" t="s">
        <v>400</v>
      </c>
      <c r="H113" t="s">
        <v>7248</v>
      </c>
      <c r="J113" t="b">
        <v>1</v>
      </c>
      <c r="K113" t="s">
        <v>568</v>
      </c>
      <c r="L113" t="s">
        <v>401</v>
      </c>
      <c r="M113">
        <v>45649.394259259258</v>
      </c>
      <c r="N113">
        <v>45652</v>
      </c>
      <c r="O113">
        <v>45652</v>
      </c>
      <c r="P113" t="s">
        <v>6532</v>
      </c>
      <c r="Q113">
        <v>3</v>
      </c>
      <c r="R113" t="s">
        <v>830</v>
      </c>
    </row>
    <row r="114" spans="1:18">
      <c r="A114" t="s">
        <v>1416</v>
      </c>
      <c r="B114" t="s">
        <v>4</v>
      </c>
      <c r="C114" t="s">
        <v>369</v>
      </c>
      <c r="D114" t="s">
        <v>1406</v>
      </c>
      <c r="E114" t="s">
        <v>1404</v>
      </c>
      <c r="F114" t="s">
        <v>1404</v>
      </c>
      <c r="G114" t="s">
        <v>400</v>
      </c>
      <c r="H114" t="s">
        <v>7248</v>
      </c>
      <c r="J114" t="b">
        <v>1</v>
      </c>
      <c r="K114" t="s">
        <v>568</v>
      </c>
      <c r="L114" t="s">
        <v>401</v>
      </c>
      <c r="M114">
        <v>45649.394259259258</v>
      </c>
      <c r="N114">
        <v>45652</v>
      </c>
      <c r="O114">
        <v>45652</v>
      </c>
      <c r="P114" t="s">
        <v>6532</v>
      </c>
      <c r="Q114">
        <v>3</v>
      </c>
      <c r="R114" t="s">
        <v>830</v>
      </c>
    </row>
    <row r="115" spans="1:18">
      <c r="A115" t="s">
        <v>1416</v>
      </c>
      <c r="B115" t="s">
        <v>4</v>
      </c>
      <c r="C115" t="s">
        <v>369</v>
      </c>
      <c r="D115" t="s">
        <v>1407</v>
      </c>
      <c r="E115" t="s">
        <v>1404</v>
      </c>
      <c r="F115" t="s">
        <v>1404</v>
      </c>
      <c r="G115" t="s">
        <v>400</v>
      </c>
      <c r="H115" t="s">
        <v>7248</v>
      </c>
      <c r="J115" t="b">
        <v>1</v>
      </c>
      <c r="K115" t="s">
        <v>568</v>
      </c>
      <c r="L115" t="s">
        <v>401</v>
      </c>
      <c r="M115">
        <v>45649.394259259258</v>
      </c>
      <c r="N115">
        <v>45652</v>
      </c>
      <c r="O115">
        <v>45652</v>
      </c>
      <c r="P115" t="s">
        <v>6532</v>
      </c>
      <c r="Q115">
        <v>3</v>
      </c>
      <c r="R115" t="s">
        <v>830</v>
      </c>
    </row>
    <row r="116" spans="1:18">
      <c r="A116" t="s">
        <v>1416</v>
      </c>
      <c r="B116" t="s">
        <v>4</v>
      </c>
      <c r="C116" t="s">
        <v>369</v>
      </c>
      <c r="D116" t="s">
        <v>1408</v>
      </c>
      <c r="E116" t="s">
        <v>1409</v>
      </c>
      <c r="F116" t="s">
        <v>1409</v>
      </c>
      <c r="G116" t="s">
        <v>400</v>
      </c>
      <c r="H116" t="s">
        <v>7248</v>
      </c>
      <c r="J116" t="b">
        <v>1</v>
      </c>
      <c r="K116" t="s">
        <v>568</v>
      </c>
      <c r="L116" t="s">
        <v>401</v>
      </c>
      <c r="M116">
        <v>45649.394259259258</v>
      </c>
      <c r="N116">
        <v>45652</v>
      </c>
      <c r="O116">
        <v>45652</v>
      </c>
      <c r="P116" t="s">
        <v>6532</v>
      </c>
      <c r="Q116">
        <v>3</v>
      </c>
      <c r="R116" t="s">
        <v>830</v>
      </c>
    </row>
    <row r="117" spans="1:18">
      <c r="A117" t="s">
        <v>1416</v>
      </c>
      <c r="B117" t="s">
        <v>4</v>
      </c>
      <c r="C117" t="s">
        <v>369</v>
      </c>
      <c r="D117" t="s">
        <v>1410</v>
      </c>
      <c r="E117" t="s">
        <v>1411</v>
      </c>
      <c r="F117" t="s">
        <v>1411</v>
      </c>
      <c r="G117" t="s">
        <v>400</v>
      </c>
      <c r="H117" t="s">
        <v>7248</v>
      </c>
      <c r="J117" t="b">
        <v>1</v>
      </c>
      <c r="K117" t="s">
        <v>568</v>
      </c>
      <c r="L117" t="s">
        <v>401</v>
      </c>
      <c r="M117">
        <v>45649.394259259258</v>
      </c>
      <c r="N117">
        <v>45652</v>
      </c>
      <c r="O117">
        <v>45652</v>
      </c>
      <c r="P117" t="s">
        <v>6532</v>
      </c>
      <c r="Q117">
        <v>3</v>
      </c>
      <c r="R117" t="s">
        <v>830</v>
      </c>
    </row>
    <row r="118" spans="1:18">
      <c r="A118" t="s">
        <v>1416</v>
      </c>
      <c r="B118" t="s">
        <v>4</v>
      </c>
      <c r="C118" t="s">
        <v>369</v>
      </c>
      <c r="D118" t="s">
        <v>1412</v>
      </c>
      <c r="E118" t="s">
        <v>1411</v>
      </c>
      <c r="F118" t="s">
        <v>1411</v>
      </c>
      <c r="G118" t="s">
        <v>400</v>
      </c>
      <c r="H118" t="s">
        <v>7248</v>
      </c>
      <c r="J118" t="b">
        <v>1</v>
      </c>
      <c r="K118" t="s">
        <v>568</v>
      </c>
      <c r="L118" t="s">
        <v>401</v>
      </c>
      <c r="M118">
        <v>45649.394259259258</v>
      </c>
      <c r="N118">
        <v>45652</v>
      </c>
      <c r="O118">
        <v>45652</v>
      </c>
      <c r="P118" t="s">
        <v>6532</v>
      </c>
      <c r="Q118">
        <v>3</v>
      </c>
      <c r="R118" t="s">
        <v>830</v>
      </c>
    </row>
    <row r="119" spans="1:18">
      <c r="A119" t="s">
        <v>1416</v>
      </c>
      <c r="B119" t="s">
        <v>4</v>
      </c>
      <c r="C119" t="s">
        <v>369</v>
      </c>
      <c r="D119" t="s">
        <v>1413</v>
      </c>
      <c r="E119" t="s">
        <v>1237</v>
      </c>
      <c r="F119" t="s">
        <v>1237</v>
      </c>
      <c r="G119" t="s">
        <v>400</v>
      </c>
      <c r="H119" t="s">
        <v>7248</v>
      </c>
      <c r="J119" t="b">
        <v>1</v>
      </c>
      <c r="K119" t="s">
        <v>568</v>
      </c>
      <c r="L119" t="s">
        <v>401</v>
      </c>
      <c r="M119">
        <v>45649.394259259258</v>
      </c>
      <c r="N119">
        <v>45652</v>
      </c>
      <c r="O119">
        <v>45652</v>
      </c>
      <c r="P119" t="s">
        <v>6532</v>
      </c>
      <c r="Q119">
        <v>3</v>
      </c>
      <c r="R119" t="s">
        <v>830</v>
      </c>
    </row>
    <row r="120" spans="1:18">
      <c r="A120" t="s">
        <v>1416</v>
      </c>
      <c r="B120" t="s">
        <v>4</v>
      </c>
      <c r="C120" t="s">
        <v>369</v>
      </c>
      <c r="D120" t="s">
        <v>1414</v>
      </c>
      <c r="E120" t="s">
        <v>1415</v>
      </c>
      <c r="F120" t="s">
        <v>1415</v>
      </c>
      <c r="G120" t="s">
        <v>406</v>
      </c>
      <c r="H120" t="s">
        <v>7315</v>
      </c>
      <c r="J120" t="b">
        <v>1</v>
      </c>
      <c r="K120" t="s">
        <v>568</v>
      </c>
      <c r="L120" t="s">
        <v>401</v>
      </c>
      <c r="M120">
        <v>45649.394259259258</v>
      </c>
      <c r="N120">
        <v>45652</v>
      </c>
      <c r="O120">
        <v>45652</v>
      </c>
      <c r="P120" t="s">
        <v>6532</v>
      </c>
      <c r="Q120">
        <v>3</v>
      </c>
      <c r="R120" t="s">
        <v>830</v>
      </c>
    </row>
    <row r="121" spans="1:18">
      <c r="A121" t="s">
        <v>1419</v>
      </c>
      <c r="B121" t="s">
        <v>4</v>
      </c>
      <c r="C121" t="s">
        <v>369</v>
      </c>
      <c r="D121" t="s">
        <v>1417</v>
      </c>
      <c r="E121" t="s">
        <v>735</v>
      </c>
      <c r="F121" t="s">
        <v>735</v>
      </c>
      <c r="G121" t="s">
        <v>406</v>
      </c>
      <c r="H121" t="s">
        <v>7316</v>
      </c>
      <c r="J121" t="b">
        <v>1</v>
      </c>
      <c r="K121" t="s">
        <v>567</v>
      </c>
      <c r="L121" t="s">
        <v>401</v>
      </c>
      <c r="M121">
        <v>45649.402777777781</v>
      </c>
      <c r="N121">
        <v>45652</v>
      </c>
      <c r="O121">
        <v>45652</v>
      </c>
      <c r="P121" t="s">
        <v>6532</v>
      </c>
      <c r="Q121">
        <v>3</v>
      </c>
      <c r="R121" t="s">
        <v>1076</v>
      </c>
    </row>
    <row r="122" spans="1:18">
      <c r="A122" t="s">
        <v>1419</v>
      </c>
      <c r="B122" t="s">
        <v>4</v>
      </c>
      <c r="C122" t="s">
        <v>369</v>
      </c>
      <c r="D122" t="s">
        <v>1418</v>
      </c>
      <c r="E122" t="s">
        <v>735</v>
      </c>
      <c r="F122" t="s">
        <v>735</v>
      </c>
      <c r="G122" t="s">
        <v>406</v>
      </c>
      <c r="H122" t="s">
        <v>7317</v>
      </c>
      <c r="J122" t="b">
        <v>1</v>
      </c>
      <c r="K122" t="s">
        <v>567</v>
      </c>
      <c r="L122" t="s">
        <v>401</v>
      </c>
      <c r="M122">
        <v>45649.402777777781</v>
      </c>
      <c r="N122">
        <v>45652</v>
      </c>
      <c r="O122">
        <v>45652</v>
      </c>
      <c r="P122" t="s">
        <v>6532</v>
      </c>
      <c r="Q122">
        <v>3</v>
      </c>
      <c r="R122" t="s">
        <v>1076</v>
      </c>
    </row>
    <row r="123" spans="1:18">
      <c r="A123" t="s">
        <v>1451</v>
      </c>
      <c r="B123" t="s">
        <v>4</v>
      </c>
      <c r="C123" t="s">
        <v>369</v>
      </c>
      <c r="D123" t="s">
        <v>1422</v>
      </c>
      <c r="E123" t="s">
        <v>774</v>
      </c>
      <c r="F123" t="s">
        <v>774</v>
      </c>
      <c r="G123" t="s">
        <v>400</v>
      </c>
      <c r="H123" t="s">
        <v>7248</v>
      </c>
      <c r="J123" t="b">
        <v>1</v>
      </c>
      <c r="K123" t="s">
        <v>568</v>
      </c>
      <c r="L123" t="s">
        <v>401</v>
      </c>
      <c r="M123">
        <v>45652.450636574074</v>
      </c>
      <c r="N123">
        <v>45659</v>
      </c>
      <c r="O123">
        <v>45659</v>
      </c>
      <c r="P123" t="s">
        <v>6532</v>
      </c>
      <c r="Q123">
        <v>5</v>
      </c>
      <c r="R123" t="s">
        <v>489</v>
      </c>
    </row>
    <row r="124" spans="1:18">
      <c r="A124" t="s">
        <v>1451</v>
      </c>
      <c r="B124" t="s">
        <v>4</v>
      </c>
      <c r="C124" t="s">
        <v>369</v>
      </c>
      <c r="D124" t="s">
        <v>1423</v>
      </c>
      <c r="E124" t="s">
        <v>774</v>
      </c>
      <c r="F124" t="s">
        <v>774</v>
      </c>
      <c r="G124" t="s">
        <v>400</v>
      </c>
      <c r="H124" t="s">
        <v>7248</v>
      </c>
      <c r="J124" t="b">
        <v>1</v>
      </c>
      <c r="K124" t="s">
        <v>568</v>
      </c>
      <c r="L124" t="s">
        <v>401</v>
      </c>
      <c r="M124">
        <v>45652.450636574074</v>
      </c>
      <c r="N124">
        <v>45659</v>
      </c>
      <c r="O124">
        <v>45659</v>
      </c>
      <c r="P124" t="s">
        <v>6532</v>
      </c>
      <c r="Q124">
        <v>5</v>
      </c>
      <c r="R124" t="s">
        <v>489</v>
      </c>
    </row>
    <row r="125" spans="1:18">
      <c r="A125" t="s">
        <v>1451</v>
      </c>
      <c r="B125" t="s">
        <v>4</v>
      </c>
      <c r="C125" t="s">
        <v>369</v>
      </c>
      <c r="D125" t="s">
        <v>1424</v>
      </c>
      <c r="E125" t="s">
        <v>524</v>
      </c>
      <c r="F125" t="s">
        <v>524</v>
      </c>
      <c r="G125" t="s">
        <v>400</v>
      </c>
      <c r="H125" t="s">
        <v>7248</v>
      </c>
      <c r="J125" t="b">
        <v>1</v>
      </c>
      <c r="K125" t="s">
        <v>568</v>
      </c>
      <c r="L125" t="s">
        <v>401</v>
      </c>
      <c r="M125">
        <v>45652.450636574074</v>
      </c>
      <c r="N125">
        <v>45659</v>
      </c>
      <c r="O125">
        <v>45659</v>
      </c>
      <c r="P125" t="s">
        <v>6532</v>
      </c>
      <c r="Q125">
        <v>5</v>
      </c>
      <c r="R125" t="s">
        <v>489</v>
      </c>
    </row>
    <row r="126" spans="1:18">
      <c r="A126" t="s">
        <v>1451</v>
      </c>
      <c r="B126" t="s">
        <v>4</v>
      </c>
      <c r="C126" t="s">
        <v>369</v>
      </c>
      <c r="D126" t="s">
        <v>1425</v>
      </c>
      <c r="E126" t="s">
        <v>547</v>
      </c>
      <c r="F126" t="s">
        <v>547</v>
      </c>
      <c r="G126" t="s">
        <v>400</v>
      </c>
      <c r="H126" t="s">
        <v>7248</v>
      </c>
      <c r="J126" t="b">
        <v>1</v>
      </c>
      <c r="K126" t="s">
        <v>568</v>
      </c>
      <c r="L126" t="s">
        <v>401</v>
      </c>
      <c r="M126">
        <v>45652.450636574074</v>
      </c>
      <c r="N126">
        <v>45659</v>
      </c>
      <c r="O126">
        <v>45659</v>
      </c>
      <c r="P126" t="s">
        <v>6532</v>
      </c>
      <c r="Q126">
        <v>5</v>
      </c>
      <c r="R126" t="s">
        <v>489</v>
      </c>
    </row>
    <row r="127" spans="1:18">
      <c r="A127" t="s">
        <v>1451</v>
      </c>
      <c r="B127" t="s">
        <v>4</v>
      </c>
      <c r="C127" t="s">
        <v>369</v>
      </c>
      <c r="D127" t="s">
        <v>1426</v>
      </c>
      <c r="E127" t="s">
        <v>547</v>
      </c>
      <c r="F127" t="s">
        <v>547</v>
      </c>
      <c r="G127" t="s">
        <v>400</v>
      </c>
      <c r="H127" t="s">
        <v>7248</v>
      </c>
      <c r="J127" t="b">
        <v>1</v>
      </c>
      <c r="K127" t="s">
        <v>568</v>
      </c>
      <c r="L127" t="s">
        <v>401</v>
      </c>
      <c r="M127">
        <v>45652.450636574074</v>
      </c>
      <c r="N127">
        <v>45659</v>
      </c>
      <c r="O127">
        <v>45659</v>
      </c>
      <c r="P127" t="s">
        <v>6532</v>
      </c>
      <c r="Q127">
        <v>5</v>
      </c>
      <c r="R127" t="s">
        <v>489</v>
      </c>
    </row>
    <row r="128" spans="1:18">
      <c r="A128" t="s">
        <v>1451</v>
      </c>
      <c r="B128" t="s">
        <v>4</v>
      </c>
      <c r="C128" t="s">
        <v>369</v>
      </c>
      <c r="D128" t="s">
        <v>1427</v>
      </c>
      <c r="E128" t="s">
        <v>1428</v>
      </c>
      <c r="F128" t="s">
        <v>1428</v>
      </c>
      <c r="G128" t="s">
        <v>400</v>
      </c>
      <c r="H128" t="s">
        <v>7248</v>
      </c>
      <c r="J128" t="b">
        <v>1</v>
      </c>
      <c r="K128" t="s">
        <v>568</v>
      </c>
      <c r="L128" t="s">
        <v>401</v>
      </c>
      <c r="M128">
        <v>45652.450636574074</v>
      </c>
      <c r="N128">
        <v>45659</v>
      </c>
      <c r="O128">
        <v>45659</v>
      </c>
      <c r="P128" t="s">
        <v>6532</v>
      </c>
      <c r="Q128">
        <v>5</v>
      </c>
      <c r="R128" t="s">
        <v>489</v>
      </c>
    </row>
    <row r="129" spans="1:18">
      <c r="A129" t="s">
        <v>1451</v>
      </c>
      <c r="B129" t="s">
        <v>4</v>
      </c>
      <c r="C129" t="s">
        <v>369</v>
      </c>
      <c r="D129" t="s">
        <v>1429</v>
      </c>
      <c r="E129" t="s">
        <v>1090</v>
      </c>
      <c r="F129" t="s">
        <v>1090</v>
      </c>
      <c r="G129" t="s">
        <v>400</v>
      </c>
      <c r="H129" t="s">
        <v>7248</v>
      </c>
      <c r="J129" t="b">
        <v>1</v>
      </c>
      <c r="K129" t="s">
        <v>568</v>
      </c>
      <c r="L129" t="s">
        <v>401</v>
      </c>
      <c r="M129">
        <v>45652.450636574074</v>
      </c>
      <c r="N129">
        <v>45659</v>
      </c>
      <c r="O129">
        <v>45659</v>
      </c>
      <c r="P129" t="s">
        <v>6532</v>
      </c>
      <c r="Q129">
        <v>5</v>
      </c>
      <c r="R129" t="s">
        <v>489</v>
      </c>
    </row>
    <row r="130" spans="1:18">
      <c r="A130" t="s">
        <v>1451</v>
      </c>
      <c r="B130" t="s">
        <v>4</v>
      </c>
      <c r="C130" t="s">
        <v>369</v>
      </c>
      <c r="D130" t="s">
        <v>1430</v>
      </c>
      <c r="E130" t="s">
        <v>1431</v>
      </c>
      <c r="F130" t="s">
        <v>1431</v>
      </c>
      <c r="G130" t="s">
        <v>400</v>
      </c>
      <c r="H130" t="s">
        <v>7248</v>
      </c>
      <c r="J130" t="b">
        <v>1</v>
      </c>
      <c r="K130" t="s">
        <v>568</v>
      </c>
      <c r="L130" t="s">
        <v>401</v>
      </c>
      <c r="M130">
        <v>45652.450636574074</v>
      </c>
      <c r="N130">
        <v>45659</v>
      </c>
      <c r="O130">
        <v>45659</v>
      </c>
      <c r="P130" t="s">
        <v>6532</v>
      </c>
      <c r="Q130">
        <v>5</v>
      </c>
      <c r="R130" t="s">
        <v>489</v>
      </c>
    </row>
    <row r="131" spans="1:18">
      <c r="A131" t="s">
        <v>1451</v>
      </c>
      <c r="B131" t="s">
        <v>4</v>
      </c>
      <c r="C131" t="s">
        <v>369</v>
      </c>
      <c r="D131" t="s">
        <v>1432</v>
      </c>
      <c r="E131" t="s">
        <v>1433</v>
      </c>
      <c r="F131" t="s">
        <v>1433</v>
      </c>
      <c r="G131" t="s">
        <v>400</v>
      </c>
      <c r="H131" t="s">
        <v>7248</v>
      </c>
      <c r="J131" t="b">
        <v>1</v>
      </c>
      <c r="K131" t="s">
        <v>568</v>
      </c>
      <c r="L131" t="s">
        <v>401</v>
      </c>
      <c r="M131">
        <v>45652.450636574074</v>
      </c>
      <c r="N131">
        <v>45659</v>
      </c>
      <c r="O131">
        <v>45659</v>
      </c>
      <c r="P131" t="s">
        <v>6532</v>
      </c>
      <c r="Q131">
        <v>5</v>
      </c>
      <c r="R131" t="s">
        <v>489</v>
      </c>
    </row>
    <row r="132" spans="1:18">
      <c r="A132" t="s">
        <v>1451</v>
      </c>
      <c r="B132" t="s">
        <v>4</v>
      </c>
      <c r="C132" t="s">
        <v>369</v>
      </c>
      <c r="D132" t="s">
        <v>1434</v>
      </c>
      <c r="E132" t="s">
        <v>1433</v>
      </c>
      <c r="F132" t="s">
        <v>1433</v>
      </c>
      <c r="G132" t="s">
        <v>400</v>
      </c>
      <c r="H132" t="s">
        <v>7248</v>
      </c>
      <c r="J132" t="b">
        <v>1</v>
      </c>
      <c r="K132" t="s">
        <v>568</v>
      </c>
      <c r="L132" t="s">
        <v>401</v>
      </c>
      <c r="M132">
        <v>45652.450636574074</v>
      </c>
      <c r="N132">
        <v>45659</v>
      </c>
      <c r="O132">
        <v>45659</v>
      </c>
      <c r="P132" t="s">
        <v>6532</v>
      </c>
      <c r="Q132">
        <v>5</v>
      </c>
      <c r="R132" t="s">
        <v>489</v>
      </c>
    </row>
    <row r="133" spans="1:18">
      <c r="A133" t="s">
        <v>1451</v>
      </c>
      <c r="B133" t="s">
        <v>4</v>
      </c>
      <c r="C133" t="s">
        <v>369</v>
      </c>
      <c r="D133" t="s">
        <v>1435</v>
      </c>
      <c r="E133" t="s">
        <v>524</v>
      </c>
      <c r="F133" t="s">
        <v>524</v>
      </c>
      <c r="G133" t="s">
        <v>400</v>
      </c>
      <c r="H133" t="s">
        <v>7248</v>
      </c>
      <c r="J133" t="b">
        <v>1</v>
      </c>
      <c r="K133" t="s">
        <v>568</v>
      </c>
      <c r="L133" t="s">
        <v>401</v>
      </c>
      <c r="M133">
        <v>45652.450636574074</v>
      </c>
      <c r="N133">
        <v>45659</v>
      </c>
      <c r="O133">
        <v>45659</v>
      </c>
      <c r="P133" t="s">
        <v>6532</v>
      </c>
      <c r="Q133">
        <v>5</v>
      </c>
      <c r="R133" t="s">
        <v>489</v>
      </c>
    </row>
    <row r="134" spans="1:18">
      <c r="A134" t="s">
        <v>1451</v>
      </c>
      <c r="B134" t="s">
        <v>4</v>
      </c>
      <c r="C134" t="s">
        <v>369</v>
      </c>
      <c r="D134" t="s">
        <v>1436</v>
      </c>
      <c r="E134" t="s">
        <v>546</v>
      </c>
      <c r="F134" t="s">
        <v>546</v>
      </c>
      <c r="G134" t="s">
        <v>400</v>
      </c>
      <c r="H134" t="s">
        <v>7248</v>
      </c>
      <c r="J134" t="b">
        <v>1</v>
      </c>
      <c r="K134" t="s">
        <v>568</v>
      </c>
      <c r="L134" t="s">
        <v>401</v>
      </c>
      <c r="M134">
        <v>45652.450636574074</v>
      </c>
      <c r="N134">
        <v>45659</v>
      </c>
      <c r="O134">
        <v>45659</v>
      </c>
      <c r="P134" t="s">
        <v>6532</v>
      </c>
      <c r="Q134">
        <v>5</v>
      </c>
      <c r="R134" t="s">
        <v>489</v>
      </c>
    </row>
    <row r="135" spans="1:18">
      <c r="A135" t="s">
        <v>1451</v>
      </c>
      <c r="B135" t="s">
        <v>4</v>
      </c>
      <c r="C135" t="s">
        <v>369</v>
      </c>
      <c r="D135" t="s">
        <v>1437</v>
      </c>
      <c r="E135" t="s">
        <v>524</v>
      </c>
      <c r="F135" t="s">
        <v>524</v>
      </c>
      <c r="G135" t="s">
        <v>400</v>
      </c>
      <c r="H135" t="s">
        <v>7248</v>
      </c>
      <c r="J135" t="b">
        <v>1</v>
      </c>
      <c r="K135" t="s">
        <v>568</v>
      </c>
      <c r="L135" t="s">
        <v>401</v>
      </c>
      <c r="M135">
        <v>45652.450636574074</v>
      </c>
      <c r="N135">
        <v>45659</v>
      </c>
      <c r="O135">
        <v>45659</v>
      </c>
      <c r="P135" t="s">
        <v>6532</v>
      </c>
      <c r="Q135">
        <v>5</v>
      </c>
      <c r="R135" t="s">
        <v>489</v>
      </c>
    </row>
    <row r="136" spans="1:18">
      <c r="A136" t="s">
        <v>1451</v>
      </c>
      <c r="B136" t="s">
        <v>4</v>
      </c>
      <c r="C136" t="s">
        <v>369</v>
      </c>
      <c r="D136" t="s">
        <v>1438</v>
      </c>
      <c r="E136" t="s">
        <v>524</v>
      </c>
      <c r="F136" t="s">
        <v>524</v>
      </c>
      <c r="G136" t="s">
        <v>400</v>
      </c>
      <c r="H136" t="s">
        <v>7248</v>
      </c>
      <c r="J136" t="b">
        <v>1</v>
      </c>
      <c r="K136" t="s">
        <v>568</v>
      </c>
      <c r="L136" t="s">
        <v>401</v>
      </c>
      <c r="M136">
        <v>45652.450636574074</v>
      </c>
      <c r="N136">
        <v>45659</v>
      </c>
      <c r="O136">
        <v>45659</v>
      </c>
      <c r="P136" t="s">
        <v>6532</v>
      </c>
      <c r="Q136">
        <v>5</v>
      </c>
      <c r="R136" t="s">
        <v>489</v>
      </c>
    </row>
    <row r="137" spans="1:18">
      <c r="A137" t="s">
        <v>1451</v>
      </c>
      <c r="B137" t="s">
        <v>4</v>
      </c>
      <c r="C137" t="s">
        <v>369</v>
      </c>
      <c r="D137" t="s">
        <v>1439</v>
      </c>
      <c r="E137" t="s">
        <v>524</v>
      </c>
      <c r="F137" t="s">
        <v>524</v>
      </c>
      <c r="G137" t="s">
        <v>400</v>
      </c>
      <c r="H137" t="s">
        <v>7248</v>
      </c>
      <c r="J137" t="b">
        <v>1</v>
      </c>
      <c r="K137" t="s">
        <v>568</v>
      </c>
      <c r="L137" t="s">
        <v>401</v>
      </c>
      <c r="M137">
        <v>45652.450636574074</v>
      </c>
      <c r="N137">
        <v>45659</v>
      </c>
      <c r="O137">
        <v>45659</v>
      </c>
      <c r="P137" t="s">
        <v>6532</v>
      </c>
      <c r="Q137">
        <v>5</v>
      </c>
      <c r="R137" t="s">
        <v>489</v>
      </c>
    </row>
    <row r="138" spans="1:18">
      <c r="A138" t="s">
        <v>1451</v>
      </c>
      <c r="B138" t="s">
        <v>4</v>
      </c>
      <c r="C138" t="s">
        <v>369</v>
      </c>
      <c r="D138" t="s">
        <v>1440</v>
      </c>
      <c r="E138" t="s">
        <v>565</v>
      </c>
      <c r="F138" t="s">
        <v>565</v>
      </c>
      <c r="G138" t="s">
        <v>400</v>
      </c>
      <c r="H138" t="s">
        <v>7248</v>
      </c>
      <c r="J138" t="b">
        <v>1</v>
      </c>
      <c r="K138" t="s">
        <v>568</v>
      </c>
      <c r="L138" t="s">
        <v>401</v>
      </c>
      <c r="M138">
        <v>45652.450636574074</v>
      </c>
      <c r="N138">
        <v>45659</v>
      </c>
      <c r="O138">
        <v>45659</v>
      </c>
      <c r="P138" t="s">
        <v>6532</v>
      </c>
      <c r="Q138">
        <v>5</v>
      </c>
      <c r="R138" t="s">
        <v>489</v>
      </c>
    </row>
    <row r="139" spans="1:18">
      <c r="A139" t="s">
        <v>1451</v>
      </c>
      <c r="B139" t="s">
        <v>4</v>
      </c>
      <c r="C139" t="s">
        <v>369</v>
      </c>
      <c r="D139" t="s">
        <v>1441</v>
      </c>
      <c r="E139" t="s">
        <v>524</v>
      </c>
      <c r="F139" t="s">
        <v>524</v>
      </c>
      <c r="G139" t="s">
        <v>400</v>
      </c>
      <c r="H139" t="s">
        <v>7248</v>
      </c>
      <c r="J139" t="b">
        <v>1</v>
      </c>
      <c r="K139" t="s">
        <v>568</v>
      </c>
      <c r="L139" t="s">
        <v>401</v>
      </c>
      <c r="M139">
        <v>45652.450636574074</v>
      </c>
      <c r="N139">
        <v>45659</v>
      </c>
      <c r="O139">
        <v>45659</v>
      </c>
      <c r="P139" t="s">
        <v>6532</v>
      </c>
      <c r="Q139">
        <v>5</v>
      </c>
      <c r="R139" t="s">
        <v>489</v>
      </c>
    </row>
    <row r="140" spans="1:18">
      <c r="A140" t="s">
        <v>1451</v>
      </c>
      <c r="B140" t="s">
        <v>4</v>
      </c>
      <c r="C140" t="s">
        <v>369</v>
      </c>
      <c r="D140" t="s">
        <v>1442</v>
      </c>
      <c r="E140" t="s">
        <v>524</v>
      </c>
      <c r="F140" t="s">
        <v>524</v>
      </c>
      <c r="G140" t="s">
        <v>400</v>
      </c>
      <c r="H140" t="s">
        <v>7248</v>
      </c>
      <c r="J140" t="b">
        <v>1</v>
      </c>
      <c r="K140" t="s">
        <v>568</v>
      </c>
      <c r="L140" t="s">
        <v>401</v>
      </c>
      <c r="M140">
        <v>45652.450636574074</v>
      </c>
      <c r="N140">
        <v>45659</v>
      </c>
      <c r="O140">
        <v>45659</v>
      </c>
      <c r="P140" t="s">
        <v>6532</v>
      </c>
      <c r="Q140">
        <v>5</v>
      </c>
      <c r="R140" t="s">
        <v>489</v>
      </c>
    </row>
    <row r="141" spans="1:18">
      <c r="A141" t="s">
        <v>1451</v>
      </c>
      <c r="B141" t="s">
        <v>4</v>
      </c>
      <c r="C141" t="s">
        <v>369</v>
      </c>
      <c r="D141" t="s">
        <v>1443</v>
      </c>
      <c r="E141" t="s">
        <v>524</v>
      </c>
      <c r="F141" t="s">
        <v>524</v>
      </c>
      <c r="G141" t="s">
        <v>400</v>
      </c>
      <c r="H141" t="s">
        <v>7248</v>
      </c>
      <c r="J141" t="b">
        <v>1</v>
      </c>
      <c r="K141" t="s">
        <v>568</v>
      </c>
      <c r="L141" t="s">
        <v>401</v>
      </c>
      <c r="M141">
        <v>45652.450636574074</v>
      </c>
      <c r="N141">
        <v>45659</v>
      </c>
      <c r="O141">
        <v>45659</v>
      </c>
      <c r="P141" t="s">
        <v>6532</v>
      </c>
      <c r="Q141">
        <v>5</v>
      </c>
      <c r="R141" t="s">
        <v>489</v>
      </c>
    </row>
    <row r="142" spans="1:18">
      <c r="A142" t="s">
        <v>1451</v>
      </c>
      <c r="B142" t="s">
        <v>4</v>
      </c>
      <c r="C142" t="s">
        <v>369</v>
      </c>
      <c r="D142" t="s">
        <v>1444</v>
      </c>
      <c r="E142" t="s">
        <v>524</v>
      </c>
      <c r="F142" t="s">
        <v>524</v>
      </c>
      <c r="G142" t="s">
        <v>400</v>
      </c>
      <c r="H142" t="s">
        <v>7248</v>
      </c>
      <c r="J142" t="b">
        <v>1</v>
      </c>
      <c r="K142" t="s">
        <v>568</v>
      </c>
      <c r="L142" t="s">
        <v>401</v>
      </c>
      <c r="M142">
        <v>45652.450636574074</v>
      </c>
      <c r="N142">
        <v>45659</v>
      </c>
      <c r="O142">
        <v>45659</v>
      </c>
      <c r="P142" t="s">
        <v>6532</v>
      </c>
      <c r="Q142">
        <v>5</v>
      </c>
      <c r="R142" t="s">
        <v>489</v>
      </c>
    </row>
    <row r="143" spans="1:18">
      <c r="A143" t="s">
        <v>1451</v>
      </c>
      <c r="B143" t="s">
        <v>4</v>
      </c>
      <c r="C143" t="s">
        <v>369</v>
      </c>
      <c r="D143" t="s">
        <v>1445</v>
      </c>
      <c r="E143" t="s">
        <v>524</v>
      </c>
      <c r="F143" t="s">
        <v>524</v>
      </c>
      <c r="G143" t="s">
        <v>400</v>
      </c>
      <c r="H143" t="s">
        <v>7248</v>
      </c>
      <c r="J143" t="b">
        <v>1</v>
      </c>
      <c r="K143" t="s">
        <v>568</v>
      </c>
      <c r="L143" t="s">
        <v>401</v>
      </c>
      <c r="M143">
        <v>45652.450636574074</v>
      </c>
      <c r="N143">
        <v>45659</v>
      </c>
      <c r="O143">
        <v>45659</v>
      </c>
      <c r="P143" t="s">
        <v>6532</v>
      </c>
      <c r="Q143">
        <v>5</v>
      </c>
      <c r="R143" t="s">
        <v>489</v>
      </c>
    </row>
    <row r="144" spans="1:18">
      <c r="A144" t="s">
        <v>1451</v>
      </c>
      <c r="B144" t="s">
        <v>4</v>
      </c>
      <c r="C144" t="s">
        <v>369</v>
      </c>
      <c r="D144" t="s">
        <v>1446</v>
      </c>
      <c r="E144" t="s">
        <v>1447</v>
      </c>
      <c r="F144" t="s">
        <v>1447</v>
      </c>
      <c r="G144" t="s">
        <v>400</v>
      </c>
      <c r="H144" t="s">
        <v>7248</v>
      </c>
      <c r="J144" t="b">
        <v>1</v>
      </c>
      <c r="K144" t="s">
        <v>568</v>
      </c>
      <c r="L144" t="s">
        <v>401</v>
      </c>
      <c r="M144">
        <v>45652.450636574074</v>
      </c>
      <c r="N144">
        <v>45659</v>
      </c>
      <c r="O144">
        <v>45659</v>
      </c>
      <c r="P144" t="s">
        <v>6532</v>
      </c>
      <c r="Q144">
        <v>5</v>
      </c>
      <c r="R144" t="s">
        <v>489</v>
      </c>
    </row>
    <row r="145" spans="1:18">
      <c r="A145" t="s">
        <v>1451</v>
      </c>
      <c r="B145" t="s">
        <v>4</v>
      </c>
      <c r="C145" t="s">
        <v>369</v>
      </c>
      <c r="D145" t="s">
        <v>1448</v>
      </c>
      <c r="E145" t="s">
        <v>524</v>
      </c>
      <c r="F145" t="s">
        <v>524</v>
      </c>
      <c r="G145" t="s">
        <v>400</v>
      </c>
      <c r="H145" t="s">
        <v>7248</v>
      </c>
      <c r="J145" t="b">
        <v>1</v>
      </c>
      <c r="K145" t="s">
        <v>568</v>
      </c>
      <c r="L145" t="s">
        <v>401</v>
      </c>
      <c r="M145">
        <v>45652.450636574074</v>
      </c>
      <c r="N145">
        <v>45659</v>
      </c>
      <c r="O145">
        <v>45659</v>
      </c>
      <c r="P145" t="s">
        <v>6532</v>
      </c>
      <c r="Q145">
        <v>5</v>
      </c>
      <c r="R145" t="s">
        <v>489</v>
      </c>
    </row>
    <row r="146" spans="1:18">
      <c r="A146" t="s">
        <v>1451</v>
      </c>
      <c r="B146" t="s">
        <v>4</v>
      </c>
      <c r="C146" t="s">
        <v>369</v>
      </c>
      <c r="D146" t="s">
        <v>1449</v>
      </c>
      <c r="E146" t="s">
        <v>524</v>
      </c>
      <c r="F146" t="s">
        <v>524</v>
      </c>
      <c r="G146" t="s">
        <v>400</v>
      </c>
      <c r="H146" t="s">
        <v>7248</v>
      </c>
      <c r="J146" t="b">
        <v>1</v>
      </c>
      <c r="K146" t="s">
        <v>568</v>
      </c>
      <c r="L146" t="s">
        <v>401</v>
      </c>
      <c r="M146">
        <v>45652.450636574074</v>
      </c>
      <c r="N146">
        <v>45659</v>
      </c>
      <c r="O146">
        <v>45659</v>
      </c>
      <c r="P146" t="s">
        <v>6532</v>
      </c>
      <c r="Q146">
        <v>5</v>
      </c>
      <c r="R146" t="s">
        <v>489</v>
      </c>
    </row>
    <row r="147" spans="1:18">
      <c r="A147" t="s">
        <v>1451</v>
      </c>
      <c r="B147" t="s">
        <v>4</v>
      </c>
      <c r="C147" t="s">
        <v>369</v>
      </c>
      <c r="D147" t="s">
        <v>1450</v>
      </c>
      <c r="E147" t="s">
        <v>524</v>
      </c>
      <c r="F147" t="s">
        <v>524</v>
      </c>
      <c r="G147" t="s">
        <v>400</v>
      </c>
      <c r="H147" t="s">
        <v>7248</v>
      </c>
      <c r="J147" t="b">
        <v>1</v>
      </c>
      <c r="K147" t="s">
        <v>568</v>
      </c>
      <c r="L147" t="s">
        <v>401</v>
      </c>
      <c r="M147">
        <v>45652.450636574074</v>
      </c>
      <c r="N147">
        <v>45659</v>
      </c>
      <c r="O147">
        <v>45659</v>
      </c>
      <c r="P147" t="s">
        <v>6532</v>
      </c>
      <c r="Q147">
        <v>5</v>
      </c>
      <c r="R147" t="s">
        <v>489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5212C-6389-43CD-A084-D1FC23AF618D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  <vt:lpstr>2024</vt:lpstr>
      <vt:lpstr>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2025-12-03T17:59:44Z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