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6FA449D-64D0-4E0F-BA9F-6DB8B7761D1F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572" i="1" l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<sst xmlns="http://schemas.openxmlformats.org/spreadsheetml/2006/main" count="40687" uniqueCount="6752">
  <si>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</si>
  <si>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</si>
  <si>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</si>
  <si>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</si>
  <si>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</si>
  <si>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</si>
  <si>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</si>
  <si>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</si>
  <si>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</si>
  <si>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</si>
  <si>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</si>
  <si>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</si>
  <si>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</si>
  <si>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</si>
  <si>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</si>
  <si>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</si>
  <si>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</si>
  <si>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</si>
  <si>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</si>
  <si>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</si>
  <si>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</si>
  <si>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</si>
  <si>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</si>
  <si>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</si>
  <si>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</si>
  <si>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</si>
  <si>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</si>
  <si>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</si>
  <si>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</si>
  <si>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</si>
  <si>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</si>
  <si>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</si>
  <si>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</si>
  <si>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</si>
  <si>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</si>
  <si>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</si>
  <si>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</si>
  <si>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</si>
  <si>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</si>
  <si>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</si>
  <si>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</si>
  <si>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</si>
  <si>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</si>
  <si>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</si>
  <si>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</si>
  <si>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</si>
  <si>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</si>
  <si>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</si>
  <si>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</si>
  <si>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</si>
  <si>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</si>
  <si>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</si>
  <si>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</si>
  <si>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</si>
  <si>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</si>
  <si>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</si>
  <si>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</si>
  <si>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</si>
  <si>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</si>
  <si>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</si>
  <si>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</si>
  <si>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</si>
  <si>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</si>
  <si>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</si>
  <si>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</si>
  <si>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</si>
  <si>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</si>
  <si>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</si>
  <si>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</si>
  <si>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</si>
  <si>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</si>
  <si>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</si>
  <si>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</si>
  <si>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</si>
  <si>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</si>
  <si>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</si>
  <si>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</si>
  <si>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</si>
  <si>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</si>
  <si>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</si>
  <si>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</si>
  <si>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</si>
  <si>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</si>
  <si>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</si>
  <si>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</si>
  <si>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</si>
  <si>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</si>
  <si>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</si>
  <si>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</si>
  <si>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</si>
  <si>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</si>
  <si>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</si>
  <si>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</si>
  <si>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</si>
  <si>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</si>
  <si>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</si>
  <si>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</si>
  <si>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</si>
  <si>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</si>
  <si>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</si>
  <si>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</si>
  <si>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</si>
  <si>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</si>
  <si>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</si>
  <si>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</si>
  <si>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</si>
  <si>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</si>
  <si>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</si>
  <si>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</si>
  <si>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</si>
  <si>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</si>
  <si>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</si>
  <si>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</si>
  <si>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</si>
  <si>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</si>
  <si>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</si>
  <si>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</si>
  <si>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</si>
  <si>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</si>
  <si>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</si>
  <si>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</si>
  <si>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</si>
  <si>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</si>
  <si>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</si>
  <si>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</si>
  <si>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</si>
  <si>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</si>
  <si>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</si>
  <si>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</si>
  <si>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</si>
  <si>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</si>
  <si>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</si>
  <si>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</si>
  <si>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</si>
  <si>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</si>
  <si>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</si>
  <si>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</si>
  <si>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</si>
  <si>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</si>
  <si>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</si>
  <si>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</si>
  <si>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</si>
  <si>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</si>
  <si>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</si>
  <si>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</si>
  <si>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</si>
  <si>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</si>
  <si>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</si>
  <si>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</si>
  <si>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</si>
  <si>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</si>
  <si>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</si>
  <si>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</si>
  <si>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</si>
  <si>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</si>
  <si>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</si>
  <si>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</si>
  <si>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</si>
  <si>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</si>
  <si>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</si>
  <si>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</si>
  <si>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</si>
  <si>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</si>
  <si>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</si>
  <si>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</si>
  <si>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</si>
  <si>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</si>
  <si>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</si>
  <si>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</si>
  <si>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</si>
  <si>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</si>
  <si>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</si>
  <si>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</si>
  <si>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</si>
  <si>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</si>
  <si>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</si>
  <si>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</si>
  <si>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</si>
  <si>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</si>
  <si>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</si>
  <si>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</si>
  <si>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</si>
  <si>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</si>
  <si>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</si>
  <si>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</si>
  <si>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</si>
  <si>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</si>
  <si>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</si>
  <si>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</si>
  <si>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</si>
  <si>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</si>
  <si>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</si>
  <si>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</si>
  <si>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</si>
  <si>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</si>
  <si>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</si>
  <si>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</si>
  <si>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</si>
  <si>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</si>
  <si>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</si>
  <si>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</si>
  <si>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</si>
  <si>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</si>
  <si>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</si>
  <si>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</si>
  <si>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</si>
  <si>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</si>
  <si>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</si>
  <si>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</si>
  <si>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</si>
  <si>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</si>
  <si>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</si>
  <si>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</si>
  <si>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</si>
  <si>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</si>
  <si>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</si>
  <si>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</si>
  <si>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</si>
  <si>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</si>
  <si>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</si>
  <si>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</si>
  <si>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</si>
  <si>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</si>
  <si>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</si>
  <si>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</si>
  <si>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</si>
  <si>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</si>
  <si>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</si>
  <si>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</si>
  <si>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</si>
  <si>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</si>
  <si>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</si>
  <si>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</si>
  <si>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</si>
  <si>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</si>
  <si>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</si>
  <si>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</si>
  <si>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</si>
  <si>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</si>
  <si>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</si>
  <si>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</si>
  <si>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</si>
  <si>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</si>
  <si>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</si>
  <si>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</si>
  <si>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</si>
  <si>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</si>
  <si>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</si>
  <si>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</si>
  <si>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</si>
  <si>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</si>
  <si>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</si>
  <si>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</si>
  <si>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</si>
  <si>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</si>
  <si>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</si>
  <si>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</si>
  <si>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</si>
  <si>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</si>
  <si>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</si>
  <si>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</si>
  <si>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</si>
  <si>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</si>
  <si>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</si>
  <si>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</si>
  <si>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</si>
  <si>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</si>
  <si>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</si>
  <si>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</si>
  <si>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</si>
  <si>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</si>
  <si>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</si>
  <si>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</si>
  <si>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</si>
  <si>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</si>
  <si>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</si>
  <si>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</si>
  <si>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</si>
  <si>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</si>
  <si>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</si>
  <si>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</si>
  <si>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</si>
  <si>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</si>
  <si>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</si>
  <si>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</si>
  <si>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</si>
  <si>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</si>
  <si>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</si>
  <si>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</si>
  <si>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</si>
  <si>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</si>
  <si>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</si>
  <si>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</si>
  <si>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</si>
  <si>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</si>
  <si>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</si>
  <si>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</si>
  <si>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</si>
  <si>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</si>
  <si>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</si>
  <si>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</si>
  <si>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</si>
  <si>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</si>
  <si>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</si>
  <si>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</si>
  <si>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</si>
  <si>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</si>
  <si>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</si>
  <si>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</si>
  <si>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</si>
  <si>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</si>
  <si>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</si>
  <si>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</si>
  <si>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</si>
  <si>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</si>
  <si>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</si>
  <si>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</si>
  <si>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</si>
  <si>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</si>
  <si>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</si>
  <si>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</si>
  <si>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</si>
  <si>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</si>
  <si>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</si>
  <si>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</si>
  <si>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</si>
  <si>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</si>
  <si>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</si>
  <si>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</si>
  <si>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</si>
  <si>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</si>
  <si>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</si>
  <si>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</si>
  <si>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</si>
  <si>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</si>
  <si>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</si>
  <si>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</si>
  <si>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</si>
  <si>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</si>
  <si>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</si>
  <si>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</si>
  <si>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</si>
  <si>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</si>
  <si>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</si>
  <si>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</si>
  <si>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</si>
  <si>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</si>
  <si>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</si>
  <si>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</si>
  <si>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</si>
  <si>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</si>
  <si>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</si>
  <si>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</si>
  <si>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</si>
  <si>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</si>
  <si>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</si>
  <si>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</si>
  <si>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</si>
  <si>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</si>
  <si>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</si>
  <si>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</si>
  <si>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</si>
  <si>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</si>
  <si>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</si>
  <si>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</si>
  <si>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</si>
  <si>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</si>
  <si>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</si>
  <si>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</si>
  <si>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</si>
  <si>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</si>
  <si>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</si>
  <si>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</si>
  <si>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</si>
  <si>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</si>
  <si>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</si>
  <si>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</si>
  <si>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</si>
  <si>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</si>
  <si>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</si>
  <si>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</si>
  <si>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</si>
  <si>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</si>
  <si>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</si>
  <si>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</si>
  <si>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</si>
  <si>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</si>
  <si>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</si>
  <si>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</si>
  <si>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</si>
  <si>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</si>
  <si>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</si>
  <si>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</si>
  <si>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</si>
  <si>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</si>
  <si>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</si>
  <si>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</si>
  <si>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</si>
  <si>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</si>
  <si>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</si>
  <si>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</si>
  <si>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</si>
  <si>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</si>
  <si>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</si>
  <si>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</si>
  <si>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</si>
  <si>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</si>
  <si>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</si>
  <si>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</si>
  <si>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</si>
  <si>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</si>
  <si>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</si>
  <si>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</si>
  <si>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</si>
  <si>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</si>
  <si>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</si>
  <si>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</si>
  <si>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</si>
  <si>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</si>
  <si>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</si>
  <si>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</si>
  <si>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</si>
  <si>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</si>
  <si>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</si>
  <si>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</si>
  <si>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</si>
  <si>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</si>
  <si>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</si>
  <si>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</si>
  <si>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</si>
  <si>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</si>
  <si>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</si>
  <si>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</si>
  <si>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</si>
  <si>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</si>
  <si>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</si>
  <si>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</si>
  <si>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</si>
  <si>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</si>
  <si>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</si>
  <si>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</si>
  <si>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</si>
  <si>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</si>
  <si>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</si>
  <si>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</si>
  <si>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</si>
  <si>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</si>
  <si>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</si>
  <si>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</si>
  <si>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</si>
  <si>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</si>
  <si>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</si>
  <si>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</si>
  <si>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</si>
  <si>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</si>
  <si>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</si>
  <si>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</si>
  <si>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</si>
  <si>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</si>
  <si>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</si>
  <si>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</si>
  <si>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</si>
  <si>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</si>
  <si>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</si>
  <si>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</si>
  <si>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</si>
  <si>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</si>
  <si>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</si>
  <si>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</si>
  <si>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</si>
  <si>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</si>
  <si>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</si>
  <si>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</si>
  <si>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</si>
  <si>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</si>
  <si>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</si>
  <si>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</si>
  <si>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</si>
  <si>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</si>
  <si>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</si>
  <si>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</si>
  <si>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</si>
  <si>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</si>
  <si>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</si>
  <si>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</si>
  <si>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</si>
  <si>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</si>
  <si>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</si>
  <si>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</si>
  <si>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</si>
  <si>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</si>
  <si>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</si>
  <si>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</si>
  <si>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</si>
  <si>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</si>
  <si>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</si>
  <si>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</si>
  <si>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</si>
  <si>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</si>
  <si>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</si>
  <si>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</si>
  <si>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</si>
  <si>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</si>
  <si>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</si>
  <si>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</si>
  <si>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</si>
  <si>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</si>
  <si>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</si>
  <si>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</si>
  <si>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</si>
  <si>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</si>
  <si>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</si>
  <si>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</si>
  <si>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</si>
  <si>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</si>
  <si>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</si>
  <si>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</si>
  <si>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</si>
  <si>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</si>
  <si>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</si>
  <si>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</si>
  <si>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</si>
  <si>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</si>
  <si>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</si>
  <si>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</si>
  <si>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</si>
  <si>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</si>
  <si>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</si>
  <si>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</si>
  <si>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</si>
  <si>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</si>
  <si>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</si>
  <si>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</si>
  <si>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</si>
  <si>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</si>
  <si>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</si>
  <si>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</si>
  <si>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</si>
  <si>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</si>
  <si>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</si>
  <si>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</si>
  <si>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</si>
  <si>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</si>
  <si>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</si>
  <si>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</si>
  <si>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</si>
  <si>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</si>
  <si>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</si>
  <si>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</si>
  <si>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</si>
  <si>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</si>
  <si>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</si>
  <si>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</si>
  <si>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</si>
  <si>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</si>
  <si>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</si>
  <si>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</si>
  <si>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</si>
  <si>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</si>
  <si>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</si>
  <si>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</si>
  <si>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</si>
  <si>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</si>
  <si>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</si>
  <si>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</si>
  <si>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</si>
  <si>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</si>
  <si>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</si>
  <si>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</si>
  <si>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</si>
  <si>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</si>
  <si>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</si>
  <si>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</si>
  <si>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</si>
  <si>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</si>
  <si>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</si>
  <si>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</si>
  <si>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</si>
  <si>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</si>
  <si>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</si>
  <si>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</si>
  <si>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</si>
  <si>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</si>
  <si>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</si>
  <si>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</si>
  <si>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</si>
  <si>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</si>
  <si>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</si>
  <si>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</si>
  <si>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</si>
  <si>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</si>
  <si>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</si>
  <si>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</si>
  <si>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</si>
  <si>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</si>
  <si>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</si>
  <si>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</si>
  <si>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</si>
  <si>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</si>
  <si>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</si>
  <si>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</si>
  <si>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</si>
  <si>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</si>
  <si>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</si>
  <si>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</si>
  <si>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</si>
  <si>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</si>
  <si>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</si>
  <si>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</si>
  <si>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</si>
  <si>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</si>
  <si>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</si>
  <si>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</si>
  <si>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</si>
  <si>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</si>
  <si>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</si>
  <si>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</si>
  <si>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</si>
  <si>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</si>
  <si>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</si>
  <si>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</si>
  <si>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</si>
  <si>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</si>
  <si>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</si>
  <si>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</si>
  <si>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</si>
  <si>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</si>
  <si>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</si>
  <si>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</si>
  <si>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</si>
  <si>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</si>
  <si>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</si>
  <si>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</si>
  <si>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</si>
  <si>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</si>
  <si>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</si>
  <si>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</si>
  <si>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</si>
  <si>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</si>
  <si>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</si>
  <si>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</si>
  <si>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</si>
  <si>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</si>
  <si>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</si>
  <si>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</si>
  <si>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</si>
  <si>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</si>
  <si>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</si>
  <si>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</si>
  <si>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</si>
  <si>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</si>
  <si>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</si>
  <si>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</si>
  <si>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</si>
  <si>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</si>
  <si>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</si>
  <si>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</si>
  <si>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</si>
  <si>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</si>
  <si>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</si>
  <si>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</si>
  <si>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</si>
  <si>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</si>
  <si>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</si>
  <si>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</si>
  <si>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</si>
  <si>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</si>
  <si>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</si>
  <si>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</si>
  <si>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</si>
  <si>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</si>
  <si>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</si>
  <si>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</si>
  <si>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</si>
  <si>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</si>
  <si>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</si>
  <si>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</si>
  <si>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</si>
  <si>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</si>
  <si>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</si>
  <si>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</si>
  <si>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</si>
  <si>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</si>
  <si>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</si>
  <si>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</si>
  <si>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</si>
  <si>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</si>
  <si>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</si>
  <si>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</si>
  <si>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</si>
  <si>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</si>
  <si>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</si>
  <si>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</si>
  <si>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</si>
  <si>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</si>
  <si>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</si>
  <si>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</si>
  <si>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</si>
  <si>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</si>
  <si>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</si>
  <si>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</si>
  <si>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</si>
  <si>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</si>
  <si>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</si>
  <si>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</si>
  <si>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</si>
  <si>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</si>
  <si>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</si>
  <si>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</si>
  <si>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</si>
  <si>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</si>
  <si>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</si>
  <si>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</si>
  <si>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</si>
  <si>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</si>
  <si>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</si>
  <si>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</si>
  <si>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</si>
  <si>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</si>
  <si>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</si>
  <si>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</si>
  <si>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</si>
  <si>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</si>
  <si>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</si>
  <si>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</si>
  <si>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</si>
  <si>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</si>
  <si>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</si>
  <si>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</si>
  <si>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</si>
  <si>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</si>
  <si>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</si>
  <si>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</si>
  <si>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</si>
  <si>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</si>
  <si>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</si>
  <si>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</si>
  <si>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</si>
  <si>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</si>
  <si>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</si>
  <si>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</si>
  <si>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</si>
  <si>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</si>
  <si>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</si>
  <si>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</si>
  <si>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</si>
  <si>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</si>
  <si>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</si>
  <si>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</si>
  <si>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</si>
  <si>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</si>
  <si>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</si>
  <si>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</si>
  <si>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</si>
  <si>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</si>
  <si>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</si>
  <si>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</si>
  <si>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</si>
  <si>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</si>
  <si>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</si>
  <si>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</si>
  <si>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</si>
  <si>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</si>
  <si>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</si>
  <si>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</si>
  <si>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</si>
  <si>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</si>
  <si>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</si>
  <si>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</si>
  <si>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</si>
  <si>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</si>
  <si>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</si>
  <si>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</si>
  <si>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</si>
  <si>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</si>
  <si>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</si>
  <si>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</si>
  <si>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</si>
  <si>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</si>
  <si>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</si>
  <si>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</si>
  <si>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</si>
  <si>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</si>
  <si>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</si>
  <si>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</si>
  <si>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</si>
  <si>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</si>
  <si>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</si>
  <si>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</si>
  <si>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</si>
  <si>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</si>
  <si>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</si>
  <si>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</si>
  <si>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</si>
  <si>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</si>
  <si>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</si>
  <si>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</si>
  <si>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</si>
  <si>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</si>
  <si>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</si>
  <si>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</si>
  <si>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</si>
  <si>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</si>
  <si>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</si>
  <si>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</si>
  <si>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</si>
  <si>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</si>
  <si>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</si>
  <si>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</si>
  <si>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</si>
  <si>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</si>
  <si>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</si>
  <si>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</si>
  <si>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</si>
  <si>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</si>
  <si>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</si>
  <si>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</si>
  <si>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</si>
  <si>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</si>
  <si>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</si>
  <si>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</si>
  <si>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</si>
  <si>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</si>
  <si>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</si>
  <si>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</si>
  <si>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</si>
  <si>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</si>
  <si>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</si>
  <si>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</si>
  <si>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</si>
  <si>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</si>
  <si>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</si>
  <si>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</si>
  <si>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</si>
  <si>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</si>
  <si>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</si>
  <si>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</si>
  <si>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</si>
  <si>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</si>
  <si>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</si>
  <si>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</si>
  <si>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</si>
  <si>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</si>
  <si>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</si>
  <si>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</si>
  <si>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</si>
  <si>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</si>
  <si>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</si>
  <si>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</si>
  <si>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</si>
  <si>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</si>
  <si>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</si>
  <si>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</si>
  <si>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</si>
  <si>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</si>
  <si>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</si>
  <si>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</si>
  <si>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</si>
  <si>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</si>
  <si>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</si>
  <si>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</si>
  <si>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</si>
  <si>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</si>
  <si>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</si>
  <si>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</si>
  <si>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</si>
  <si>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</si>
  <si>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</si>
  <si>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</si>
  <si>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</si>
  <si>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</si>
  <si>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</si>
  <si>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</si>
  <si>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</si>
  <si>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</si>
  <si>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</si>
  <si>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</si>
  <si>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</si>
  <si>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</si>
  <si>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</si>
  <si>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</si>
  <si>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</si>
  <si>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</si>
  <si>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</si>
  <si>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</si>
  <si>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</si>
  <si>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</si>
  <si>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</si>
  <si>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</si>
  <si>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</si>
  <si>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</si>
  <si>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</si>
  <si>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</si>
  <si>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</si>
  <si>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</si>
  <si>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</si>
  <si>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</si>
  <si>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</si>
  <si>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</si>
  <si>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</si>
  <si>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</si>
  <si>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</si>
  <si>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</si>
  <si>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</si>
  <si>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</si>
  <si>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</si>
  <si>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</si>
  <si>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</si>
  <si>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</si>
  <si>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</si>
  <si>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</si>
  <si>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</si>
  <si>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</si>
  <si>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</si>
  <si>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</si>
  <si>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</si>
  <si>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</si>
  <si>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</si>
  <si>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</si>
  <si>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</si>
  <si>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</si>
  <si>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</si>
  <si>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</si>
  <si>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</si>
  <si>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</si>
  <si>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</si>
  <si>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</si>
  <si>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</si>
  <si>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</si>
  <si>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</si>
  <si>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</si>
  <si>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</si>
  <si>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</si>
  <si>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</si>
  <si>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</si>
  <si>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</si>
  <si>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</si>
  <si>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</si>
  <si>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</si>
  <si>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</si>
  <si>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</si>
  <si>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</si>
  <si>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</si>
  <si>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</si>
  <si>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</si>
  <si>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</si>
  <si>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</si>
  <si>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</si>
  <si>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</si>
  <si>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</si>
  <si>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</si>
  <si>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</si>
  <si>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</si>
  <si>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</si>
  <si>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</si>
  <si>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</si>
  <si>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</si>
  <si>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</si>
  <si>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</si>
  <si>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</si>
  <si>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</si>
  <si>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</si>
  <si>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</si>
  <si>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</si>
  <si>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</si>
  <si>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</si>
  <si>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</si>
  <si>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</si>
  <si>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</si>
  <si>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</si>
  <si>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</si>
  <si>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</si>
  <si>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</si>
  <si>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</si>
  <si>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</si>
  <si>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</si>
  <si>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</si>
  <si>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</si>
  <si>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</si>
  <si>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</si>
  <si>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</si>
  <si>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</si>
  <si>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</si>
  <si>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</si>
  <si>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</si>
  <si>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</si>
  <si>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</si>
  <si>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</si>
  <si>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</si>
  <si>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</si>
  <si>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</si>
  <si>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</si>
  <si>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</si>
  <si>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</si>
  <si>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</si>
  <si>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</si>
  <si>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</si>
  <si>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</si>
  <si>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</si>
  <si>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</si>
  <si>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</si>
  <si>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</si>
  <si>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</si>
  <si>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</si>
  <si>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</si>
  <si>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</si>
  <si>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</si>
  <si>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</si>
  <si>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</si>
  <si>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</si>
  <si>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</si>
  <si>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</si>
  <si>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</si>
  <si>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</si>
  <si>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</si>
  <si>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</si>
  <si>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</si>
  <si>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</si>
  <si>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</si>
  <si>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</si>
  <si>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</si>
  <si>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</si>
  <si>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</si>
  <si>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</si>
  <si>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</si>
  <si>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</si>
  <si>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</si>
  <si>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</si>
  <si>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</si>
  <si>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</si>
  <si>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</si>
  <si>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</si>
  <si>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</si>
  <si>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</si>
  <si>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</si>
  <si>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</si>
  <si>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</si>
  <si>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</si>
  <si>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</si>
  <si>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</si>
  <si>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</si>
  <si>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</si>
  <si>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</si>
  <si>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</si>
  <si>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</si>
  <si>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</si>
  <si>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</si>
  <si>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</si>
  <si>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</si>
  <si>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</si>
  <si>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</si>
  <si>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</si>
  <si>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</si>
  <si>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</si>
  <si>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</si>
  <si>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</si>
  <si>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</si>
  <si>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</si>
  <si>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</si>
  <si>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</si>
  <si>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</si>
  <si>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</si>
  <si>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</si>
  <si>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</si>
  <si>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</si>
  <si>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</si>
  <si>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</si>
  <si>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</si>
  <si>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</si>
  <si>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</si>
  <si>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</si>
  <si>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</si>
  <si>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</si>
  <si>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</si>
  <si>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</si>
  <si>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</si>
  <si>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</si>
  <si>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</si>
  <si>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</si>
  <si>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</si>
  <si>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</si>
  <si>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</si>
  <si>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</si>
  <si>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</si>
  <si>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</si>
  <si>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</si>
  <si>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</si>
  <si>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</si>
  <si>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</si>
  <si>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</si>
  <si>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</si>
  <si>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</si>
  <si>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</si>
  <si>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</si>
  <si>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</si>
  <si>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</si>
  <si>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</si>
  <si>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</si>
  <si>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</si>
  <si>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</si>
  <si>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</si>
  <si>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</si>
  <si>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</si>
  <si>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</si>
  <si>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</si>
  <si>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</si>
  <si>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</si>
  <si>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</si>
  <si>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</si>
  <si>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</si>
  <si>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</si>
  <si>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</si>
  <si>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</si>
  <si>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</si>
  <si>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</si>
  <si>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</si>
  <si>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</si>
  <si>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</si>
  <si>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</si>
  <si>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</si>
  <si>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</si>
  <si>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</si>
  <si>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</si>
  <si>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</si>
  <si>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</si>
  <si>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</si>
  <si>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</si>
  <si>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</si>
  <si>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</si>
  <si>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</si>
  <si>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</si>
  <si>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</si>
  <si>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</si>
  <si>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</si>
  <si>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</si>
  <si>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</si>
  <si>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</si>
  <si>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</si>
  <si>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</si>
  <si>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</si>
  <si>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</si>
  <si>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</si>
  <si>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</si>
  <si>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</si>
  <si>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</si>
  <si>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</si>
  <si>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</si>
  <si>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</si>
  <si>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</si>
  <si>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</si>
  <si>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</si>
  <si>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</si>
  <si>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</si>
  <si>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</si>
  <si>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</si>
  <si>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</si>
  <si>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</si>
  <si>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</si>
  <si>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</si>
  <si>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</si>
  <si>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</si>
  <si>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</si>
  <si>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</si>
  <si>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</si>
  <si>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</si>
  <si>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</si>
  <si>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</si>
  <si>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</si>
  <si>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</si>
  <si>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</si>
  <si>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</si>
  <si>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</si>
  <si>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</si>
  <si>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</si>
  <si>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</si>
  <si>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</si>
  <si>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</si>
  <si>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</si>
  <si>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</si>
  <si>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</si>
  <si>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</si>
  <si>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</si>
  <si>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</si>
  <si>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</si>
  <si>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</si>
  <si>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</si>
  <si>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</si>
  <si>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</si>
  <si>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</si>
  <si>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</si>
  <si>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</si>
  <si>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</si>
  <si>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</si>
  <si>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</si>
  <si>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</si>
  <si>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</si>
  <si>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</si>
  <si>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</si>
  <si>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</si>
  <si>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</si>
  <si>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</si>
  <si>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</si>
  <si>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</si>
  <si>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</si>
  <si>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</si>
  <si>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</si>
  <si>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</si>
  <si>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</si>
  <si>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</si>
  <si>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</si>
  <si>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</si>
  <si>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</si>
  <si>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</si>
  <si>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</si>
  <si>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</si>
  <si>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</si>
  <si>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</si>
  <si>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</si>
  <si>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</si>
  <si>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</si>
  <si>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</si>
  <si>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</si>
  <si>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</si>
  <si>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</si>
  <si>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</si>
  <si>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</si>
  <si>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</si>
  <si>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</si>
  <si>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</si>
  <si>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</si>
  <si>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</si>
  <si>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</si>
  <si>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</si>
  <si>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</si>
  <si>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</si>
  <si>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</si>
  <si>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</si>
  <si>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</si>
  <si>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</si>
  <si>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</si>
  <si>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</si>
  <si>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</si>
  <si>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</si>
  <si>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</si>
  <si>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</si>
  <si>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</si>
  <si>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</si>
  <si>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</si>
  <si>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</si>
  <si>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</si>
  <si>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</si>
  <si>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</si>
  <si>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</si>
  <si>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</si>
  <si>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</si>
  <si>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</si>
  <si>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</si>
  <si>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</si>
  <si>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</si>
  <si>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</si>
  <si>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</si>
  <si>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</si>
  <si>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</si>
  <si>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</si>
  <si>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</si>
  <si>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</si>
  <si>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</si>
  <si>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</si>
  <si>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</si>
  <si>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</si>
  <si>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</si>
  <si>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</si>
  <si>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</si>
  <si>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</si>
  <si>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</si>
  <si>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</si>
  <si>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</si>
  <si>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</si>
  <si>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</si>
  <si>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</si>
  <si>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</si>
  <si>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</si>
  <si>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</si>
  <si>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</si>
  <si>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</si>
  <si>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</si>
  <si>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</si>
  <si>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</si>
  <si>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</si>
  <si>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</si>
  <si>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</si>
  <si>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</si>
  <si>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</si>
  <si>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</si>
  <si>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</si>
  <si>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</si>
  <si>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</si>
  <si>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</si>
  <si>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</si>
  <si>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</si>
  <si>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</si>
  <si>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</si>
  <si>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</si>
  <si>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</si>
  <si>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</si>
  <si>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</si>
  <si>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</si>
  <si>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</si>
  <si>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</si>
  <si>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</si>
  <si>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</si>
  <si>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</si>
  <si>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</si>
  <si>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</si>
  <si>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</si>
  <si>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</si>
  <si>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</si>
  <si>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</si>
  <si>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</si>
  <si>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</si>
  <si>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</si>
  <si>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</si>
  <si>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</si>
  <si>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</si>
  <si>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</si>
  <si>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</si>
  <si>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</si>
  <si>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</si>
  <si>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</si>
  <si>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</si>
  <si>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</si>
  <si>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</si>
  <si>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</si>
  <si>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</si>
  <si>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</si>
  <si>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</si>
  <si>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</si>
  <si>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</si>
  <si>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</si>
  <si>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</si>
  <si>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</si>
  <si>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</si>
  <si>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</si>
  <si>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</si>
  <si>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</si>
  <si>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</si>
  <si>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</si>
  <si>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</si>
  <si>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</si>
  <si>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</si>
  <si>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</si>
  <si>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</si>
  <si>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</si>
  <si>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</si>
  <si>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</si>
  <si>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</si>
  <si>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</si>
  <si>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</si>
  <si>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</si>
  <si>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</si>
  <si>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</si>
  <si>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</si>
  <si>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</si>
  <si>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</si>
  <si>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</si>
  <si>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</si>
  <si>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</si>
  <si>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</si>
  <si>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</si>
  <si>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</si>
  <si>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</si>
  <si>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</si>
  <si>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</si>
  <si>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</si>
  <si>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</si>
  <si>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</si>
  <si>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</si>
  <si>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</si>
  <si>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</si>
  <si>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</si>
  <si>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</si>
  <si>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</si>
  <si>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</si>
  <si>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</si>
  <si>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</si>
  <si>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</si>
  <si>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</si>
  <si>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</si>
  <si>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</si>
  <si>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</si>
  <si>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</si>
  <si>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</si>
  <si>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</si>
  <si>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</si>
  <si>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</si>
  <si>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</si>
  <si>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</si>
  <si>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</si>
  <si>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</si>
  <si>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</si>
  <si>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</si>
  <si>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</si>
  <si>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</si>
  <si>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</si>
  <si>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</si>
  <si>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</si>
  <si>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</si>
  <si>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</si>
  <si>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</si>
  <si>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</si>
  <si>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</si>
  <si>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</si>
  <si>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</si>
  <si>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</si>
  <si>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</si>
  <si>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</si>
  <si>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</si>
  <si>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</si>
  <si>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</si>
  <si>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</si>
  <si>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</si>
  <si>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</si>
  <si>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</si>
  <si>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</si>
  <si>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</si>
  <si>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</si>
  <si>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</si>
  <si>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</si>
  <si>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</si>
  <si>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</si>
  <si>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</si>
  <si>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</si>
  <si>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</si>
  <si>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</si>
  <si>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</si>
  <si>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</si>
  <si>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</si>
  <si>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</si>
  <si>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</si>
  <si>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</si>
  <si>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</si>
  <si>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</si>
  <si>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</si>
  <si>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</si>
  <si>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</si>
  <si>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</si>
  <si>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</si>
  <si>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</si>
  <si>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</si>
  <si>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</si>
  <si>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</si>
  <si>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</si>
  <si>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</si>
  <si>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</si>
  <si>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</si>
  <si>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</si>
  <si>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</si>
  <si>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</si>
  <si>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</si>
  <si>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</si>
  <si>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</si>
  <si>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</si>
  <si>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</si>
  <si>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</si>
  <si>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</si>
  <si>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</si>
  <si>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</si>
  <si>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</si>
  <si>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</si>
  <si>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</si>
  <si>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</si>
  <si>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</si>
  <si>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</si>
  <si>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</si>
  <si>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</si>
  <si>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</si>
  <si>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</si>
  <si>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</si>
  <si>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</si>
  <si>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</si>
  <si>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</si>
  <si>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</si>
  <si>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</si>
  <si>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</si>
  <si>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</si>
  <si>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</si>
  <si>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</si>
  <si>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</si>
  <si>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</si>
  <si>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</si>
  <si>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</si>
  <si>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</si>
  <si>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</si>
  <si>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</si>
  <si>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</si>
  <si>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</si>
  <si>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</si>
  <si>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</si>
  <si>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</si>
  <si>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</si>
  <si>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</si>
  <si>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</si>
  <si>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</si>
  <si>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</si>
  <si>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</si>
  <si>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</si>
  <si>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</si>
  <si>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</si>
  <si>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</si>
  <si>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</si>
  <si>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</si>
  <si>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</si>
  <si>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</si>
  <si>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</si>
  <si>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</si>
  <si>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</si>
  <si>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</si>
  <si>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</si>
  <si>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</si>
  <si>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</si>
  <si>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</si>
  <si>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</si>
  <si>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</si>
  <si>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</si>
  <si>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</si>
  <si>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</si>
  <si>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</si>
  <si>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</si>
  <si>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</si>
  <si>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</si>
  <si>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</si>
  <si>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</si>
  <si>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</si>
  <si>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</si>
  <si>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</si>
  <si>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</si>
  <si>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</si>
  <si>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</si>
  <si>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</si>
  <si>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</si>
  <si>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</si>
  <si>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</si>
  <si>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</si>
  <si>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</si>
  <si>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</si>
  <si>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</si>
  <si>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</si>
  <si>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</si>
  <si>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</si>
  <si>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</si>
  <si>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</si>
  <si>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</si>
  <si>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</si>
  <si>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</si>
  <si>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</si>
  <si>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</si>
  <si>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</si>
  <si>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</si>
  <si>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</si>
  <si>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</si>
  <si>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</si>
  <si>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</si>
  <si>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</si>
  <si>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</si>
  <si>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</si>
  <si>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</si>
  <si>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</si>
  <si>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</si>
  <si>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</si>
  <si>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</si>
  <si>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</si>
  <si>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</si>
  <si>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</si>
  <si>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</si>
  <si>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</si>
  <si>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</si>
  <si>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</si>
  <si>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</si>
  <si>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</si>
  <si>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</si>
  <si>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</si>
  <si>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</si>
  <si>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</si>
  <si>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</si>
  <si>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</si>
  <si>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</si>
  <si>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</si>
  <si>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</si>
  <si>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</si>
  <si>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</si>
  <si>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</si>
  <si>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</si>
  <si>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</si>
  <si>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</si>
  <si>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</si>
  <si>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</si>
  <si>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</si>
  <si>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</si>
  <si>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</si>
  <si>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</si>
  <si>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</si>
  <si>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</si>
  <si>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</si>
  <si>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</si>
  <si>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</si>
  <si>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</si>
  <si>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</si>
  <si>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</si>
  <si>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</si>
  <si>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</si>
  <si>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</si>
  <si>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</si>
  <si>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</si>
  <si>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</si>
  <si>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</si>
  <si>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</si>
  <si>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</si>
  <si>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</si>
  <si>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</si>
  <si>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</si>
  <si>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</si>
  <si>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</si>
  <si>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</si>
  <si>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</si>
  <si>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</si>
  <si>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</si>
  <si>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</si>
  <si>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</si>
  <si>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</si>
  <si>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</si>
  <si>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</si>
  <si>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</si>
  <si>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</si>
  <si>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</si>
  <si>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</si>
  <si>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</si>
  <si>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</si>
  <si>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</si>
  <si>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</si>
  <si>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</si>
  <si>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</si>
  <si>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</si>
  <si>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</si>
  <si>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</si>
  <si>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</si>
  <si>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</si>
  <si>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</si>
  <si>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</si>
  <si>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</si>
  <si>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</si>
  <si>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</si>
  <si>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</si>
  <si>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</si>
  <si>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</si>
  <si>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</si>
  <si>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</si>
  <si>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</si>
  <si>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</si>
  <si>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</si>
  <si>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</si>
  <si>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</si>
  <si>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</si>
  <si>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</si>
  <si>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</si>
  <si>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</si>
  <si>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</si>
  <si>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</si>
  <si>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</si>
  <si>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</si>
  <si>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</si>
  <si>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</si>
  <si>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</si>
  <si>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</si>
  <si>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</si>
  <si>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</si>
  <si>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</si>
  <si>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</si>
  <si>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</si>
  <si>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</si>
  <si>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</si>
  <si>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</si>
  <si>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</si>
  <si>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</si>
  <si>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</si>
  <si>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</si>
  <si>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</si>
  <si>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</si>
  <si>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</si>
  <si>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</si>
  <si>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</si>
  <si>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</si>
  <si>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</si>
  <si>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</si>
  <si>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</si>
  <si>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</si>
  <si>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</si>
  <si>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</si>
  <si>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</si>
  <si>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</si>
  <si>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</si>
  <si>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</si>
  <si>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</si>
  <si>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</si>
  <si>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</si>
  <si>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</si>
  <si>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</si>
  <si>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</si>
  <si>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</si>
  <si>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</si>
  <si>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</si>
  <si>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</si>
  <si>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</si>
  <si>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</si>
  <si>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</si>
  <si>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</si>
  <si>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</si>
  <si>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</si>
  <si>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</si>
  <si>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</si>
  <si>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</si>
  <si>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</si>
  <si>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</si>
  <si>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</si>
  <si>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</si>
  <si>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</si>
  <si>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</si>
  <si>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</si>
  <si>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</si>
  <si>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</si>
  <si>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</si>
  <si>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</si>
  <si>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</si>
  <si>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</si>
  <si>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</si>
  <si>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</si>
  <si>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</si>
  <si>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</si>
  <si>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</si>
  <si>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</si>
  <si>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</si>
  <si>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</si>
  <si>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</si>
  <si>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</si>
  <si>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</si>
  <si>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</si>
  <si>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</si>
  <si>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</si>
  <si>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</si>
  <si>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</si>
  <si>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</si>
  <si>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</si>
  <si>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</si>
  <si>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</si>
  <si>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</si>
  <si>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</si>
  <si>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</si>
  <si>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</si>
  <si>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</si>
  <si>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</si>
  <si>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</si>
  <si>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</si>
  <si>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</si>
  <si>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</si>
  <si>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</si>
  <si>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</si>
  <si>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</si>
  <si>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</si>
  <si>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</si>
  <si>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</si>
  <si>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</si>
  <si>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</si>
  <si>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</si>
  <si>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</si>
  <si>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</si>
  <si>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</si>
  <si>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</si>
  <si>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</si>
  <si>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</si>
  <si>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</si>
  <si>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</si>
  <si>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</si>
  <si>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</si>
  <si>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</si>
  <si>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</si>
  <si>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</si>
  <si>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</si>
  <si>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</si>
  <si>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</si>
  <si>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</si>
  <si>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</si>
  <si>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</si>
  <si>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</si>
  <si>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</si>
  <si>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</si>
  <si>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</si>
  <si>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</si>
  <si>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</si>
  <si>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</si>
  <si>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</si>
  <si>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</si>
  <si>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</si>
  <si>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</si>
  <si>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</si>
  <si>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</si>
  <si>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</si>
  <si>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</si>
  <si>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</si>
  <si>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</si>
  <si>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</si>
  <si>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</si>
  <si>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</si>
  <si>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</si>
  <si>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</si>
  <si>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</si>
  <si>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</si>
  <si>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</si>
  <si>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</si>
  <si>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</si>
  <si>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</si>
  <si>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</si>
  <si>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</si>
  <si>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</si>
  <si>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</si>
  <si>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</si>
  <si>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</si>
  <si>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</si>
  <si>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</si>
  <si>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</si>
  <si>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</si>
  <si>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</si>
  <si>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</si>
  <si>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</si>
  <si>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</si>
  <si>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</si>
  <si>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</si>
  <si>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</si>
  <si>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</si>
  <si>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</si>
  <si>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</si>
  <si>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</si>
  <si>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</si>
  <si>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</si>
  <si>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</si>
  <si>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</si>
  <si>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</si>
  <si>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</si>
  <si>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</si>
  <si>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</si>
  <si>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</si>
  <si>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</si>
  <si>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</si>
  <si>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</si>
  <si>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</si>
  <si>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</si>
  <si>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</si>
  <si>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</si>
  <si>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</si>
  <si>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</si>
  <si>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</si>
  <si>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</si>
  <si>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</si>
  <si>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</si>
  <si>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</si>
  <si>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</si>
  <si>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</si>
  <si>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</si>
  <si>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</si>
  <si>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</si>
  <si>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</si>
  <si>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</si>
  <si>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</si>
  <si>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</si>
  <si>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</si>
  <si>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</si>
  <si>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</si>
  <si>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</si>
  <si>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</si>
  <si>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</si>
  <si>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</si>
  <si>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</si>
  <si>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</si>
  <si>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</si>
  <si>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</si>
  <si>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</si>
  <si>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</si>
  <si>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</si>
  <si>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</si>
  <si>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</si>
  <si>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</si>
  <si>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</si>
  <si>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</si>
  <si>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</si>
  <si>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</si>
  <si>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</si>
  <si>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</si>
  <si>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</si>
  <si>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</si>
  <si>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</si>
  <si>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</si>
  <si>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</si>
  <si>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</si>
  <si>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</si>
  <si>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</si>
  <si>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</si>
  <si>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</si>
  <si>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</si>
  <si>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</si>
  <si>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</si>
  <si>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</si>
  <si>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</si>
  <si>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</si>
  <si>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</si>
  <si>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</si>
  <si>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</si>
  <si>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</si>
  <si>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</si>
  <si>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</si>
  <si>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</si>
  <si>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</si>
  <si>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</si>
  <si>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</si>
  <si>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</si>
  <si>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</si>
  <si>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</si>
  <si>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</si>
  <si>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</si>
  <si>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</si>
  <si>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</si>
  <si>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</si>
  <si>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</si>
  <si>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</si>
  <si>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</si>
  <si>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</si>
  <si>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</si>
  <si>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</si>
  <si>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</si>
  <si>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</si>
  <si>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</si>
  <si>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</si>
  <si>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</si>
  <si>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</si>
  <si>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</si>
  <si>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</si>
  <si>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</si>
  <si>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</si>
  <si>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</si>
  <si>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</si>
  <si>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</si>
  <si>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</si>
  <si>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</si>
  <si>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</si>
  <si>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</si>
  <si>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</si>
  <si>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</si>
  <si>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</si>
  <si>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</si>
  <si>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</si>
  <si>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</si>
  <si>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</si>
  <si>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</si>
  <si>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</si>
  <si>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</si>
  <si>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</si>
  <si>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</si>
  <si>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</si>
  <si>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</si>
  <si>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</si>
  <si>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</si>
  <si>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</si>
  <si>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</si>
  <si>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</si>
  <si>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</si>
  <si>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</si>
  <si>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</si>
  <si>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</si>
  <si>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</si>
  <si>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</si>
  <si>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</si>
  <si>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</si>
  <si>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</si>
  <si>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</si>
  <si>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</si>
  <si>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</si>
  <si>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</si>
  <si>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</si>
  <si>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</si>
  <si>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</si>
  <si>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</si>
  <si>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</si>
  <si>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</si>
  <si>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</si>
  <si>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</si>
  <si>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</si>
  <si>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</si>
  <si>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</si>
  <si>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</si>
  <si>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</si>
  <si>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</si>
  <si>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</si>
  <si>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</si>
  <si>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</si>
  <si>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</si>
  <si>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</si>
  <si>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</si>
  <si>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</si>
  <si>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</si>
  <si>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</si>
  <si>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</si>
  <si>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</si>
  <si>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</si>
  <si>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</si>
  <si>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</si>
  <si>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</si>
  <si>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</si>
  <si>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</si>
  <si>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</si>
  <si>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</si>
  <si>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</si>
  <si>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</si>
  <si>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</si>
  <si>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</si>
  <si>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</si>
  <si>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</si>
  <si>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</si>
  <si>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</si>
  <si>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</si>
  <si>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</si>
  <si>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</si>
  <si>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</si>
  <si>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</si>
  <si>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</si>
  <si>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</si>
  <si>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</si>
  <si>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</si>
  <si>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</si>
  <si>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</si>
  <si>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</si>
  <si>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</si>
  <si>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</si>
  <si>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</si>
  <si>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</si>
  <si>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</si>
  <si>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</si>
  <si>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</si>
  <si>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</si>
  <si>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</si>
  <si>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</si>
  <si>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</si>
  <si>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</si>
  <si>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</si>
  <si>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</si>
  <si>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</si>
  <si>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</si>
  <si>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</si>
  <si>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</si>
  <si>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</si>
  <si>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</si>
  <si>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</si>
  <si>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</si>
  <si>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</si>
  <si>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</si>
  <si>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</si>
  <si>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</si>
  <si>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</si>
  <si>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</si>
  <si>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</si>
  <si>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</si>
  <si>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</si>
  <si>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</si>
  <si>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</si>
  <si>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</si>
  <si>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</si>
  <si>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</si>
  <si>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</si>
  <si>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</si>
  <si>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</si>
  <si>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</si>
  <si>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</si>
  <si>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</si>
  <si>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</si>
  <si>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</si>
  <si>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</si>
  <si>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</si>
  <si>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</si>
  <si>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</si>
  <si>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</si>
  <si>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</si>
  <si>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</si>
  <si>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</si>
  <si>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</si>
  <si>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</si>
  <si>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</si>
  <si>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</si>
  <si>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</si>
  <si>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</si>
  <si>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</si>
  <si>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</si>
  <si>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</si>
  <si>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</si>
  <si>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</si>
  <si>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</si>
  <si>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</si>
  <si>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</si>
  <si>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</si>
  <si>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</si>
  <si>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</si>
  <si>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</si>
  <si>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</si>
  <si>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</si>
  <si>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</si>
  <si>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</si>
  <si>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</si>
  <si>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</si>
  <si>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</si>
  <si>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</si>
  <si>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</si>
  <si>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</si>
  <si>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</si>
  <si>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</si>
  <si>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</si>
  <si>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</si>
  <si>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</si>
  <si>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</si>
  <si>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</si>
  <si>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</si>
  <si>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</si>
  <si>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</si>
  <si>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</si>
  <si>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</si>
  <si>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</si>
  <si>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</si>
  <si>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</si>
  <si>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</si>
  <si>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</si>
  <si>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</si>
  <si>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</si>
  <si>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</si>
  <si>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</si>
  <si>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</si>
  <si>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</si>
  <si>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</si>
  <si>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</si>
  <si>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</si>
  <si>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</si>
  <si>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</si>
  <si>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</si>
  <si>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</si>
  <si>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</si>
  <si>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</si>
  <si>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</si>
  <si>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</si>
  <si>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</si>
  <si>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</si>
  <si>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</si>
  <si>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</si>
  <si>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</si>
  <si>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</si>
  <si>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</si>
  <si>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</si>
  <si>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</si>
  <si>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</si>
  <si>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</si>
  <si>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</si>
  <si>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</si>
  <si>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</si>
  <si>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</si>
  <si>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</si>
  <si>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</si>
  <si>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</si>
  <si>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</si>
  <si>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</si>
  <si>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</si>
  <si>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</si>
  <si>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</si>
  <si>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</si>
  <si>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</si>
  <si>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</si>
  <si>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</si>
  <si>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</si>
  <si>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</si>
  <si>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</si>
  <si>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</si>
  <si>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</si>
  <si>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</si>
  <si>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</si>
  <si>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</si>
  <si>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</si>
  <si>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</si>
  <si>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</si>
  <si>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</si>
  <si>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</si>
  <si>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</si>
  <si>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</si>
  <si>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</si>
  <si>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</si>
  <si>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</si>
  <si>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</si>
  <si>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</si>
  <si>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</si>
  <si>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</si>
  <si>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</si>
  <si>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</si>
  <si>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</si>
  <si>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</si>
  <si>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</si>
  <si>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</si>
  <si>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</si>
  <si>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</si>
  <si>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</si>
  <si>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</si>
  <si>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</si>
  <si>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</si>
  <si>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</si>
  <si>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</si>
  <si>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</si>
  <si>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</si>
  <si>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</si>
  <si>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</si>
  <si>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</si>
  <si>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</si>
  <si>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</si>
  <si>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</si>
  <si>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</si>
  <si>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</si>
  <si>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</si>
  <si>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</si>
  <si>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</si>
  <si>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</si>
  <si>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</si>
  <si>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</si>
  <si>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</si>
  <si>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</si>
  <si>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</si>
  <si>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</si>
  <si>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</si>
  <si>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</si>
  <si>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</si>
  <si>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</si>
  <si>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</si>
  <si>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</si>
  <si>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</si>
  <si>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</si>
  <si>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</si>
  <si>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</si>
  <si>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</si>
  <si>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</si>
  <si>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</si>
  <si>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</si>
  <si>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</si>
  <si>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</si>
  <si>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</si>
  <si>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</si>
  <si>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</si>
  <si>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</si>
  <si>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</si>
  <si>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</si>
  <si>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</si>
  <si>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</si>
  <si>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</si>
  <si>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</si>
  <si>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</si>
  <si>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</si>
  <si>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</si>
  <si>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</si>
  <si>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</si>
  <si>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</si>
  <si>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</si>
  <si>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</si>
  <si>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</si>
  <si>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</si>
  <si>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</si>
  <si>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</si>
  <si>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</si>
  <si>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</si>
  <si>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</si>
  <si>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</si>
  <si>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</si>
  <si>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</si>
  <si>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</si>
  <si>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</si>
  <si>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</si>
  <si>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</si>
  <si>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</si>
  <si>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</si>
  <si>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</si>
  <si>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</si>
  <si>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</si>
  <si>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</si>
  <si>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</si>
  <si>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</si>
  <si>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</si>
  <si>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</si>
  <si>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</si>
  <si>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</si>
  <si>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</si>
  <si>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</si>
  <si>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</si>
  <si>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</si>
  <si>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</si>
  <si>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</si>
  <si>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</si>
  <si>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</si>
  <si>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</si>
  <si>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</si>
  <si>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</si>
  <si>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</si>
  <si>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</si>
  <si>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</si>
  <si>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</si>
  <si>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</si>
  <si>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</si>
  <si>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</si>
  <si>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</si>
  <si>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</si>
  <si>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</si>
  <si>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</si>
  <si>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</si>
  <si>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</si>
  <si>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</si>
  <si>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</si>
  <si>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</si>
  <si>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</si>
  <si>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</si>
  <si>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</si>
  <si>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</si>
  <si>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</si>
  <si>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</si>
  <si>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</si>
  <si>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</si>
  <si>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</si>
  <si>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</si>
  <si>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</si>
  <si>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</si>
  <si>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</si>
  <si>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</si>
  <si>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</si>
  <si>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</si>
  <si>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</si>
  <si>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</si>
  <si>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</si>
  <si>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</si>
  <si>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</si>
  <si>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</si>
  <si>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</si>
  <si>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</si>
  <si>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</si>
  <si>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</si>
  <si>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</si>
  <si>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</si>
  <si>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</si>
  <si>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</si>
  <si>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</si>
  <si>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</si>
  <si>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</si>
  <si>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</si>
  <si>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</si>
  <si>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</si>
  <si>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</si>
  <si>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</si>
  <si>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</si>
  <si>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</si>
  <si>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</si>
  <si>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</si>
  <si>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</si>
  <si>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</si>
  <si>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</si>
  <si>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</si>
  <si>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</si>
  <si>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</si>
  <si>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</si>
  <si>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</si>
  <si>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</si>
  <si>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</si>
  <si>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</si>
  <si>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</si>
  <si>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</si>
  <si>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</si>
  <si>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</si>
  <si>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</si>
  <si>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</si>
  <si>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</si>
  <si>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</si>
  <si>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</si>
  <si>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</si>
  <si>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</si>
  <si>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</si>
  <si>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</si>
  <si>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</si>
  <si>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</si>
  <si>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</si>
  <si>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</si>
  <si>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</si>
  <si>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</si>
  <si>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</si>
  <si>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</si>
  <si>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</si>
  <si>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</si>
  <si>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</si>
  <si>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</si>
  <si>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</si>
  <si>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</si>
  <si>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</si>
  <si>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</si>
  <si>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</si>
  <si>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</si>
  <si>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</si>
  <si>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</si>
  <si>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</si>
  <si>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</si>
  <si>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</si>
  <si>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</si>
  <si>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</si>
  <si>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</si>
  <si>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</si>
  <si>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</si>
  <si>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</si>
  <si>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</si>
  <si>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</si>
  <si>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</si>
  <si>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</si>
  <si>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</si>
  <si>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</si>
  <si>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</si>
  <si>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</si>
  <si>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</si>
  <si>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</si>
  <si>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</si>
  <si>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</si>
  <si>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</si>
  <si>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</si>
  <si>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</si>
  <si>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</si>
  <si>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</si>
  <si>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</si>
  <si>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</si>
  <si>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</si>
  <si>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</si>
  <si>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</si>
  <si>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</si>
  <si>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</si>
  <si>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</si>
  <si>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</si>
  <si>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</si>
  <si>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</si>
  <si>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</si>
  <si>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</si>
  <si>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</si>
  <si>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</si>
  <si>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</si>
  <si>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</si>
  <si>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</si>
  <si>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</si>
  <si>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</si>
  <si>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</si>
  <si>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</si>
  <si>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</si>
  <si>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</si>
  <si>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</si>
  <si>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</si>
  <si>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</si>
  <si>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</si>
  <si>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</si>
  <si>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</si>
  <si>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</si>
  <si>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</si>
  <si>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</si>
  <si>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</si>
  <si>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</si>
  <si>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</si>
  <si>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</si>
  <si>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</si>
  <si>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</si>
  <si>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</si>
  <si>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</si>
  <si>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</si>
  <si>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</si>
  <si>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</si>
  <si>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</si>
  <si>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</si>
  <si>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</si>
  <si>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</si>
  <si>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</si>
  <si>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</si>
  <si>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</si>
  <si>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</si>
  <si>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</si>
  <si>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</si>
  <si>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</si>
  <si>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</si>
  <si>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</si>
  <si>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</si>
  <si>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</si>
  <si>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</si>
  <si>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</si>
  <si>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</si>
  <si>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</si>
  <si>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</si>
  <si>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</si>
  <si>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</si>
  <si>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</si>
  <si>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</si>
  <si>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</si>
  <si>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</si>
  <si>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</si>
  <si>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</si>
  <si>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</si>
  <si>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</si>
  <si>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</si>
  <si>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</si>
  <si>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</si>
  <si>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</si>
  <si>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</si>
  <si>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</si>
  <si>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</si>
  <si>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</si>
  <si>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</si>
  <si>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</si>
  <si>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</si>
  <si>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</si>
  <si>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</si>
  <si>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</si>
  <si>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</si>
  <si>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</si>
  <si>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</si>
  <si>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</si>
  <si>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</si>
  <si>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</si>
  <si>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</si>
  <si>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</si>
  <si>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</si>
  <si>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</si>
  <si>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</si>
  <si>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</si>
  <si>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</si>
  <si>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</si>
  <si>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</si>
  <si>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</si>
  <si>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</si>
  <si>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</si>
  <si>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</si>
  <si>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</si>
  <si>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</si>
  <si>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</si>
  <si>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</si>
  <si>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</si>
  <si>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</si>
  <si>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</si>
  <si>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</si>
  <si>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</si>
  <si>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</si>
  <si>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</si>
  <si>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</si>
  <si>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</si>
  <si>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</si>
  <si>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</si>
  <si>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</si>
  <si>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</si>
  <si>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</si>
  <si>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</si>
  <si>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</si>
  <si>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</si>
  <si>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</si>
  <si>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</si>
  <si>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</si>
  <si>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</si>
  <si>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</si>
  <si>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</si>
  <si>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</si>
  <si>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</si>
  <si>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</si>
  <si>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</si>
  <si>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</si>
  <si>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</si>
  <si>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</si>
  <si>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</si>
  <si>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</si>
  <si>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</si>
  <si>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</si>
  <si>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</si>
  <si>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</si>
  <si>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</si>
  <si>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</si>
  <si>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</si>
  <si>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</si>
  <si>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</si>
  <si>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</si>
  <si>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</si>
  <si>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</si>
  <si>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</si>
  <si>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</si>
  <si>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</si>
  <si>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</si>
  <si>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</si>
  <si>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</si>
  <si>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</si>
  <si>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</si>
  <si>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</si>
  <si>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</si>
  <si>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</si>
  <si>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</si>
  <si>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</si>
  <si>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</si>
  <si>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</si>
  <si>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</si>
  <si>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</si>
  <si>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</si>
  <si>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</si>
  <si>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</si>
  <si>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</si>
  <si>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</si>
  <si>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</si>
  <si>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</si>
  <si>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</si>
  <si>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</si>
  <si>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</si>
  <si>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</si>
  <si>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</si>
  <si>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</si>
  <si>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</si>
  <si>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</si>
  <si>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</si>
  <si>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</si>
  <si>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</si>
  <si>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</si>
  <si>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</si>
  <si>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</si>
  <si>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</si>
  <si>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</si>
  <si>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</si>
  <si>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</si>
  <si>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</si>
  <si>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</si>
  <si>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</si>
  <si>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</si>
  <si>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</si>
  <si>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</si>
  <si>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</si>
  <si>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</si>
  <si>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</si>
  <si>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</si>
  <si>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</si>
  <si>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</si>
  <si>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</si>
  <si>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</si>
  <si>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</si>
  <si>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</si>
  <si>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</si>
  <si>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</si>
  <si>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</si>
  <si>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</si>
  <si>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</si>
  <si>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</si>
  <si>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</si>
  <si>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</si>
  <si>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</si>
  <si>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</si>
  <si>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</si>
  <si>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</si>
  <si>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</si>
  <si>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</si>
  <si>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</si>
  <si>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</si>
  <si>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</si>
  <si>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</si>
  <si>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</si>
  <si>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</si>
  <si>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</si>
  <si>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</si>
  <si>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</si>
  <si>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</si>
  <si>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</si>
  <si>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</si>
  <si>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</si>
  <si>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</si>
  <si>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</si>
  <si>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</si>
  <si>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</si>
  <si>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</si>
  <si>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</si>
  <si>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</si>
  <si>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</si>
  <si>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</si>
  <si>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</si>
  <si>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</si>
  <si>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</si>
  <si>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</si>
  <si>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</si>
  <si>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</si>
  <si>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</si>
  <si>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</si>
  <si>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</si>
  <si>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</si>
  <si>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</si>
  <si>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</si>
  <si>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</si>
  <si>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</si>
  <si>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</si>
  <si>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</si>
  <si>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</si>
  <si>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</si>
  <si>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</si>
  <si>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</si>
  <si>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</si>
  <si>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</si>
  <si>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</si>
  <si>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</si>
  <si>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</si>
  <si>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</si>
  <si>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</si>
  <si>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</si>
  <si>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</si>
  <si>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</si>
  <si>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</si>
  <si>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</si>
  <si>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</si>
  <si>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</si>
  <si>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</si>
  <si>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</si>
  <si>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</si>
  <si>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</si>
  <si>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</si>
  <si>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</si>
  <si>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</si>
  <si>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</si>
  <si>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</si>
  <si>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</si>
  <si>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</si>
  <si>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</si>
  <si>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</si>
  <si>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</si>
  <si>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</si>
  <si>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</si>
  <si>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</si>
  <si>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</si>
  <si>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</si>
  <si>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</si>
  <si>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</si>
  <si>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</si>
  <si>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</si>
  <si>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</si>
  <si>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</si>
  <si>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</si>
  <si>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</si>
  <si>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</si>
  <si>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</si>
  <si>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</si>
  <si>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</si>
  <si>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</si>
  <si>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</si>
  <si>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</si>
  <si>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</si>
  <si>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</si>
  <si>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</si>
  <si>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</si>
  <si>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</si>
  <si>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</si>
  <si>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</si>
  <si>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</si>
  <si>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</si>
  <si>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</si>
  <si>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</si>
  <si>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</si>
  <si>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</si>
  <si>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</si>
  <si>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</si>
  <si>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</si>
  <si>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</si>
  <si>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</si>
  <si>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</si>
  <si>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</si>
  <si>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</si>
  <si>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</si>
  <si>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</si>
  <si>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</si>
  <si>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</si>
  <si>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</si>
  <si>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</si>
  <si>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</si>
  <si>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</si>
  <si>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</si>
  <si>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</si>
  <si>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</si>
  <si>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</si>
  <si>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</si>
  <si>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</si>
  <si>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</si>
  <si>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</si>
  <si>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</si>
  <si>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</si>
  <si>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</si>
  <si>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</si>
  <si>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</si>
  <si>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</si>
  <si>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</si>
  <si>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</si>
  <si>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</si>
  <si>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</si>
  <si>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</si>
  <si>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</si>
  <si>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</si>
  <si>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</si>
  <si>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</si>
  <si>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</si>
  <si>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</si>
  <si>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</si>
  <si>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</si>
  <si>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</si>
  <si>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</si>
  <si>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</si>
  <si>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</si>
  <si>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</si>
  <si>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</si>
  <si>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</si>
  <si>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</si>
  <si>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</si>
  <si>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</si>
  <si>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</si>
  <si>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</si>
  <si>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</si>
  <si>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</si>
  <si>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</si>
  <si>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</si>
  <si>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</si>
  <si>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</si>
  <si>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</si>
  <si>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</si>
  <si>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</si>
  <si>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</si>
  <si>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</si>
  <si>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</si>
  <si>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</si>
  <si>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</si>
  <si>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</si>
  <si>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</si>
  <si>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</si>
  <si>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</si>
  <si>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</si>
  <si>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</si>
  <si>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</si>
  <si>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</si>
  <si>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</si>
  <si>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</si>
  <si>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</si>
  <si>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</si>
  <si>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</si>
  <si>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</si>
  <si>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</si>
  <si>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</si>
  <si>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</si>
  <si>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</si>
  <si>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</si>
  <si>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</si>
  <si>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</si>
  <si>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</si>
  <si>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</si>
  <si>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</si>
  <si>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</si>
  <si>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</si>
  <si>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</si>
  <si>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</si>
  <si>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</si>
  <si>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</si>
  <si>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</si>
  <si>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</si>
  <si>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</si>
  <si>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</si>
  <si>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</si>
  <si>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</si>
  <si>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</si>
  <si>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</si>
  <si>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</si>
  <si>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</si>
  <si>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</si>
  <si>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</si>
  <si>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</si>
  <si>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</si>
  <si>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</si>
  <si>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</si>
  <si>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</si>
  <si>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</si>
  <si>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</si>
  <si>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</si>
  <si>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</si>
  <si>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</si>
  <si>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</si>
  <si>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</si>
  <si>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</si>
  <si>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</si>
  <si>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</si>
  <si>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</si>
  <si>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</si>
  <si>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</si>
  <si>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</si>
  <si>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</si>
  <si>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</si>
  <si>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</si>
  <si>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</si>
  <si>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</si>
  <si>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</si>
  <si>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</si>
  <si>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</si>
  <si>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</si>
  <si>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</si>
  <si>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</si>
  <si>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</si>
  <si>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</si>
  <si>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</si>
  <si>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</si>
  <si>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</si>
  <si>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</si>
  <si>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</si>
  <si>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</si>
  <si>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</si>
  <si>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</si>
  <si>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</si>
  <si>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</si>
  <si>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</si>
  <si>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</si>
  <si>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</si>
  <si>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</si>
  <si>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</si>
  <si>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</si>
  <si>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</si>
  <si>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</si>
  <si>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</si>
  <si>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</si>
  <si>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</si>
  <si>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</si>
  <si>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</si>
  <si>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</si>
  <si>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</si>
  <si>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</si>
  <si>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</si>
  <si>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</si>
  <si>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</si>
  <si>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</si>
  <si>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</si>
  <si>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</si>
  <si>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</si>
  <si>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</si>
  <si>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</si>
  <si>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</si>
  <si>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</si>
  <si>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</si>
  <si>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</si>
  <si>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</si>
  <si>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</si>
  <si>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</si>
  <si>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</si>
  <si>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</si>
  <si>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</si>
  <si>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</si>
  <si>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</si>
  <si>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</si>
  <si>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</si>
  <si>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</si>
  <si>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</si>
  <si>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</si>
  <si>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</si>
  <si>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</si>
  <si>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</si>
  <si>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</si>
  <si>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</si>
  <si>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</si>
  <si>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</si>
  <si>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</si>
  <si>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</si>
  <si>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</si>
  <si>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</si>
  <si>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</si>
  <si>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</si>
  <si>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</si>
  <si>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</si>
  <si>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</si>
  <si>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</si>
  <si>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</si>
  <si>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</si>
  <si>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</si>
  <si>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</si>
  <si>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</si>
  <si>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</si>
  <si>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</si>
  <si>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</si>
  <si>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</si>
  <si>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</si>
  <si>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</si>
  <si>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</si>
  <si>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</si>
  <si>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</si>
  <si>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</si>
  <si>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</si>
  <si>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</si>
  <si>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</si>
  <si>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</si>
  <si>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</si>
  <si>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</si>
  <si>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</si>
  <si>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</si>
  <si>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</si>
  <si>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</si>
  <si>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</si>
  <si>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</si>
  <si>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</si>
  <si>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</si>
  <si>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</si>
  <si>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</si>
  <si>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</si>
  <si>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</si>
  <si>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</si>
  <si>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</si>
  <si>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</si>
  <si>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</si>
  <si>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</si>
  <si>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</si>
  <si>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</si>
  <si>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</si>
  <si>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</si>
  <si>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</si>
  <si>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</si>
  <si>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</si>
  <si>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</si>
  <si>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</si>
  <si>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</si>
  <si>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</si>
  <si>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</si>
  <si>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</si>
  <si>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</si>
  <si>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</si>
  <si>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</si>
  <si>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</si>
  <si>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</si>
  <si>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</si>
  <si>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</si>
  <si>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</si>
  <si>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</si>
  <si>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</si>
  <si>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</si>
  <si>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</si>
  <si>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</si>
  <si>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</si>
  <si>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</si>
  <si>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</si>
  <si>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</si>
  <si>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</si>
  <si>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</si>
  <si>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</si>
  <si>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</si>
  <si>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</si>
  <si>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</si>
  <si>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</si>
  <si>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</si>
  <si>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</si>
  <si>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</si>
  <si>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</si>
  <si>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</si>
  <si>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</si>
  <si>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</si>
  <si>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</si>
  <si>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</si>
  <si>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</si>
  <si>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</si>
  <si>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</si>
  <si>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</si>
  <si>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</si>
  <si>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</si>
  <si>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</si>
  <si>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</si>
  <si>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</si>
  <si>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</si>
  <si>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</si>
  <si>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</si>
  <si>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</si>
  <si>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</si>
  <si>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</si>
  <si>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</si>
  <si>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</si>
  <si>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</si>
  <si>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</si>
  <si>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</si>
  <si>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</si>
  <si>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</si>
  <si>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</si>
  <si>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</si>
  <si>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</si>
  <si>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</si>
  <si>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</si>
  <si>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</si>
  <si>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</si>
  <si>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</si>
  <si>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</si>
  <si>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</si>
  <si>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</si>
  <si>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</si>
  <si>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</si>
  <si>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</si>
  <si>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</si>
  <si>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</si>
  <si>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</si>
  <si>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</si>
  <si>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</si>
  <si>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</si>
  <si>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</si>
  <si>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</si>
  <si>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</si>
  <si>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</si>
  <si>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</si>
  <si>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</si>
  <si>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</si>
  <si>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</si>
  <si>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</si>
  <si>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</si>
  <si>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</si>
  <si>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</si>
  <si>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</si>
  <si>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</si>
  <si>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</si>
  <si>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</si>
  <si>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</si>
  <si>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</si>
  <si>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</si>
  <si>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</si>
  <si>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</si>
  <si>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</si>
  <si>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</si>
  <si>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</si>
  <si>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</si>
  <si>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</si>
  <si>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</si>
  <si>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</si>
  <si>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</si>
  <si>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</si>
  <si>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</si>
  <si>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</si>
  <si>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</si>
  <si>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</si>
  <si>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</si>
  <si>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</si>
  <si>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</si>
  <si>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</si>
  <si>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</si>
  <si>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</si>
  <si>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</si>
  <si>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</si>
  <si>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</si>
  <si>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</si>
  <si>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</si>
  <si>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</si>
  <si>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</si>
  <si>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</si>
  <si>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</si>
  <si>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</si>
  <si>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</si>
  <si>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</si>
  <si>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</si>
  <si>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</si>
  <si>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</si>
  <si>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</si>
  <si>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</si>
  <si>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</si>
  <si>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</si>
  <si>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</si>
  <si>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</si>
  <si>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</si>
  <si>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</si>
  <si>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</si>
  <si>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</si>
  <si>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</si>
  <si>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</si>
  <si>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</si>
  <si>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</si>
  <si>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</si>
  <si>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</si>
  <si>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</si>
  <si>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</si>
  <si>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</si>
  <si>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</si>
  <si>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</si>
  <si>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</si>
  <si>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</si>
  <si>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</si>
  <si>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</si>
  <si>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</si>
  <si>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</si>
  <si>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</si>
  <si>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</si>
  <si>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</si>
  <si>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</si>
  <si>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</si>
  <si>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</si>
  <si>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</si>
  <si>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</si>
  <si>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</si>
  <si>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</si>
  <si>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</si>
  <si>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</si>
  <si>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</si>
  <si>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</si>
  <si>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</si>
  <si>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</si>
  <si>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</si>
  <si>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</si>
  <si>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</si>
  <si>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</si>
  <si>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</si>
  <si>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</si>
  <si>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</si>
  <si>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</si>
  <si>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</si>
  <si>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</si>
  <si>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</si>
  <si>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</si>
  <si>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</si>
  <si>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</si>
  <si>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</si>
  <si>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</si>
  <si>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</si>
  <si>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</si>
  <si>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</si>
  <si>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</si>
  <si>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</si>
  <si>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</si>
  <si>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</si>
  <si>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</si>
  <si>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</si>
  <si>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</si>
  <si>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</si>
  <si>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</si>
  <si>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</si>
  <si>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</si>
  <si>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</si>
  <si>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</si>
  <si>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</si>
  <si>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</si>
  <si>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</si>
  <si>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</si>
  <si>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</si>
  <si>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</si>
  <si>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</si>
  <si>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</si>
  <si>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</si>
  <si>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</si>
  <si>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</si>
  <si>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</si>
  <si>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</si>
  <si>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</si>
  <si>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</si>
  <si>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</si>
  <si>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</si>
  <si>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</si>
  <si>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</si>
  <si>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</si>
  <si>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</si>
  <si>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</si>
  <si>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</si>
  <si>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</si>
  <si>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</si>
  <si>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</si>
  <si>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</si>
  <si>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</si>
  <si>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</si>
  <si>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</si>
  <si>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</si>
  <si>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</si>
  <si>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</si>
  <si>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</si>
  <si>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</si>
  <si>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</si>
  <si>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</si>
  <si>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</si>
  <si>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</si>
  <si>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</si>
  <si>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</si>
  <si>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</si>
  <si>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</si>
  <si>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</si>
  <si>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</si>
  <si>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</si>
  <si>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</si>
  <si>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</si>
  <si>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</si>
  <si>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</si>
  <si>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</si>
  <si>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</si>
  <si>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</si>
  <si>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</si>
  <si>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</si>
  <si>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</si>
  <si>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</si>
  <si>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</si>
  <si>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</si>
  <si>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</si>
  <si>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</si>
  <si>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</si>
  <si>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</si>
  <si>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</si>
  <si>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</si>
  <si>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</si>
  <si>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</si>
  <si>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</si>
  <si>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</si>
  <si>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</si>
  <si>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</si>
  <si>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</si>
  <si>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</si>
  <si>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</si>
  <si>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</si>
  <si>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</si>
  <si>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</si>
  <si>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</si>
  <si>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</si>
  <si>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</si>
  <si>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</si>
  <si>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</si>
  <si>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</si>
  <si>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</si>
  <si>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</si>
  <si>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</si>
  <si>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</si>
  <si>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</si>
  <si>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</si>
  <si>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</si>
  <si>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</si>
  <si>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</si>
  <si>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</si>
  <si>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</si>
  <si>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</si>
  <si>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</si>
  <si>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</si>
  <si>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</si>
  <si>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</si>
  <si>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</si>
  <si>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</si>
  <si>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</si>
  <si>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</si>
  <si>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</si>
  <si>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</si>
  <si>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</si>
  <si>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</si>
  <si>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</si>
  <si>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</si>
  <si>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</si>
  <si>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</si>
  <si>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</si>
  <si>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</si>
  <si>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</si>
  <si>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</si>
  <si>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</si>
  <si>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</si>
  <si>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</si>
  <si>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</si>
  <si>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</si>
  <si>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</si>
  <si>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</si>
  <si>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</si>
  <si>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</si>
  <si>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</si>
  <si>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</si>
  <si>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</si>
  <si>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</si>
  <si>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</si>
  <si>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</si>
  <si>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</si>
  <si>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</si>
  <si>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</si>
  <si>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</si>
  <si>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</si>
  <si>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</si>
  <si>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</si>
  <si>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</si>
  <si>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</si>
  <si>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</si>
  <si>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</si>
  <si>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</si>
  <si>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</si>
  <si>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</si>
  <si>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</si>
  <si>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</si>
  <si>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</si>
  <si>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</si>
  <si>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</si>
  <si>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</si>
  <si>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</si>
  <si>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</si>
  <si>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</si>
  <si>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</si>
  <si>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</si>
  <si>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</si>
  <si>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</si>
  <si>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</si>
  <si>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</si>
  <si>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</si>
  <si>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</si>
  <si>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</si>
  <si>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</si>
  <si>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</si>
  <si>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</si>
  <si>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</si>
  <si>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</si>
  <si>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</si>
  <si>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</si>
  <si>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</si>
  <si>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</si>
  <si>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</si>
  <si>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</si>
  <si>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</si>
  <si>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</si>
  <si>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</si>
  <si>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</si>
  <si>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</si>
  <si>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</si>
  <si>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</si>
  <si>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</si>
  <si>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</si>
  <si>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</si>
  <si>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</si>
  <si>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</si>
  <si>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</si>
  <si>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</si>
  <si>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</si>
  <si>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</si>
  <si>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</si>
  <si>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</si>
  <si>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</si>
  <si>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</si>
  <si>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</si>
  <si>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</si>
  <si>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</si>
  <si>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</si>
  <si>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</si>
  <si>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</si>
  <si>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</si>
  <si>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</si>
  <si>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</si>
  <si>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</si>
  <si>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</si>
  <si>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</si>
  <si>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</si>
  <si>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</si>
  <si>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</si>
  <si>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</si>
  <si>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</si>
  <si>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</si>
  <si>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</si>
  <si>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</si>
  <si>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</si>
  <si>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</si>
  <si>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</si>
  <si>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</si>
  <si>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</si>
  <si>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</si>
  <si>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</si>
  <si>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</si>
  <si>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</si>
  <si>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</si>
  <si>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</si>
  <si>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</si>
  <si>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</si>
  <si>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</si>
  <si>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</si>
  <si>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</si>
  <si>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</si>
  <si>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</si>
  <si>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</si>
  <si>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</si>
  <si>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</si>
  <si>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</si>
  <si>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</si>
  <si>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</si>
  <si>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</si>
  <si>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</si>
  <si>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</si>
  <si>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</si>
  <si>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</si>
  <si>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</si>
  <si>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</si>
  <si>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</si>
  <si>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</si>
  <si>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</si>
  <si>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</si>
  <si>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</si>
  <si>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</si>
  <si>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</si>
  <si>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</si>
  <si>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</si>
  <si>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</si>
  <si>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</si>
  <si>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</si>
  <si>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</si>
  <si>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</si>
  <si>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</si>
  <si>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</si>
  <si>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</si>
  <si>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</si>
  <si>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</si>
  <si>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</si>
  <si>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</si>
  <si>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</si>
  <si>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</si>
  <si>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</si>
  <si>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</si>
  <si>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</si>
  <si>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</si>
  <si>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</si>
  <si>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</si>
  <si>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</si>
  <si>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</si>
  <si>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</si>
  <si>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</si>
  <si>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</si>
  <si>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</si>
  <si>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</si>
  <si>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</si>
  <si>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</si>
  <si>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</si>
  <si>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</si>
  <si>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</si>
  <si>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</si>
  <si>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</si>
  <si>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</si>
  <si>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</si>
  <si>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</si>
  <si>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</si>
  <si>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</si>
  <si>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</si>
  <si>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</si>
  <si>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</si>
  <si>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</si>
  <si>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</si>
  <si>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</si>
  <si>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</si>
  <si>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</si>
  <si>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</si>
  <si>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</si>
  <si>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</si>
  <si>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</si>
  <si>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</si>
  <si>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</si>
  <si>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</si>
  <si>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</si>
  <si>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</si>
  <si>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</si>
  <si>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</si>
  <si>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</si>
  <si>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</si>
  <si>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</si>
  <si>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</si>
  <si>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</si>
  <si>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</si>
  <si>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</si>
  <si>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</si>
  <si>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</si>
  <si>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</si>
  <si>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</si>
  <si>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</si>
  <si>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</si>
  <si>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</si>
  <si>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</si>
  <si>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</si>
  <si>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</si>
  <si>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</si>
  <si>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</si>
  <si>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</si>
  <si>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</si>
  <si>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</si>
  <si>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</si>
  <si>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</si>
  <si>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</si>
  <si>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</si>
  <si>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</si>
  <si>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</si>
  <si>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</si>
  <si>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</si>
  <si>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</si>
  <si>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</si>
  <si>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</si>
  <si>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</si>
  <si>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</si>
  <si>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</si>
  <si>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</si>
  <si>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</si>
  <si>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</si>
  <si>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</si>
  <si>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</si>
  <si>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</si>
  <si>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</si>
  <si>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</si>
  <si>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</si>
  <si>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</si>
  <si>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</si>
  <si>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</si>
  <si>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</si>
  <si>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</si>
  <si>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</si>
  <si>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</si>
  <si>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</si>
  <si>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</si>
  <si>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</si>
  <si>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</si>
  <si>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</si>
  <si>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</si>
  <si>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</si>
  <si>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</si>
  <si>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</si>
  <si>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</si>
  <si>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</si>
  <si>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</si>
  <si>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</si>
  <si>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</si>
  <si>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</si>
  <si>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</si>
  <si>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</si>
  <si>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</si>
  <si>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</si>
  <si>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</si>
  <si>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</si>
  <si>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</si>
  <si>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</si>
  <si>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</si>
  <si>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</si>
  <si>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</si>
  <si>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</si>
  <si>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</si>
  <si>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</si>
  <si>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</si>
  <si>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</si>
  <si>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</si>
  <si>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</si>
  <si>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</si>
  <si>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</si>
  <si>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</si>
  <si>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</si>
  <si>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</si>
  <si>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</si>
  <si>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</si>
  <si>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</si>
  <si>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</si>
  <si>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</si>
  <si>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</si>
  <si>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</si>
  <si>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</si>
  <si>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</si>
  <si>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</si>
  <si>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</si>
  <si>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</si>
  <si>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</si>
  <si>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</si>
  <si>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</si>
  <si>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</si>
  <si>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</si>
  <si>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</si>
  <si>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</si>
  <si>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</si>
  <si>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</si>
  <si>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</si>
  <si>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</si>
  <si>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</si>
  <si>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</si>
  <si>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</si>
  <si>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</si>
  <si>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</si>
  <si>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</si>
  <si>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</si>
  <si>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</si>
  <si>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</si>
  <si>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</si>
  <si>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</si>
  <si>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</si>
  <si>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</si>
  <si>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</si>
  <si>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</si>
  <si>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</si>
  <si>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</si>
  <si>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</si>
  <si>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</si>
  <si>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</si>
  <si>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</si>
  <si>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</si>
  <si>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</si>
  <si>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</si>
  <si>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</si>
  <si>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</si>
  <si>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</si>
  <si>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</si>
  <si>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</si>
  <si>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</si>
  <si>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</si>
  <si>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</si>
  <si>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</si>
  <si>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</si>
  <si>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</si>
  <si>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</si>
  <si>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</si>
  <si>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</si>
  <si>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</si>
  <si>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</si>
  <si>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</si>
  <si>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</si>
  <si>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</si>
  <si>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</si>
  <si>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</si>
  <si>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</si>
  <si>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</si>
  <si>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</si>
  <si>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</si>
  <si>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</si>
  <si>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</si>
  <si>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</si>
  <si>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</si>
  <si>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</si>
  <si>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</si>
  <si>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</si>
  <si>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</si>
  <si>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</si>
  <si>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</si>
  <si>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</si>
  <si>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</si>
  <si>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</si>
  <si>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</si>
  <si>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</si>
  <si>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</si>
  <si>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</si>
  <si>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</si>
  <si>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</si>
  <si>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</si>
  <si>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</si>
  <si>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</si>
  <si>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</si>
  <si>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</si>
  <si>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</si>
  <si>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</si>
  <si>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</si>
  <si>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</si>
  <si>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</si>
  <si>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</si>
  <si>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</si>
  <si>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</si>
  <si>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</si>
  <si>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</si>
  <si>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</si>
  <si>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</si>
  <si>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</si>
  <si>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</si>
  <si>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</si>
  <si>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</si>
  <si>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</si>
  <si>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</si>
  <si>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</si>
  <si>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</si>
  <si>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</si>
  <si>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</si>
  <si>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</si>
  <si>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</si>
  <si>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</si>
  <si>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</si>
  <si>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</si>
  <si>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</si>
  <si>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</si>
  <si>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</si>
  <si>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</si>
  <si>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</si>
  <si>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</si>
  <si>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</si>
  <si>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</si>
  <si>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</si>
  <si>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</si>
  <si>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</si>
  <si>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</si>
  <si>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</si>
  <si>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</si>
  <si>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</si>
  <si>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</si>
  <si>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</si>
  <si>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</si>
  <si>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</si>
  <si>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</si>
  <si>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</si>
  <si>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</si>
  <si>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</si>
  <si>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</si>
  <si>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</si>
  <si>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</si>
  <si>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</si>
  <si>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</si>
  <si>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</si>
  <si>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</si>
  <si>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</si>
  <si>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</si>
  <si>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</si>
  <si>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</si>
  <si>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</si>
  <si>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</si>
  <si>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</si>
  <si>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</si>
  <si>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</si>
  <si>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</si>
  <si>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</si>
  <si>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</si>
  <si>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</si>
  <si>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</si>
  <si>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</si>
  <si>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</si>
  <si>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</si>
  <si>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</si>
  <si>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</si>
  <si>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</si>
  <si>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</si>
  <si>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</si>
  <si>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</si>
  <si>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</si>
  <si>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</si>
  <si>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</si>
  <si>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</si>
  <si>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</si>
  <si>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</si>
  <si>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</si>
  <si>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</si>
  <si>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</si>
  <si>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</si>
  <si>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</si>
  <si>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</si>
  <si>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</si>
  <si>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</si>
  <si>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</si>
  <si>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</si>
  <si>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</si>
  <si>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</si>
  <si>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</si>
  <si>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</si>
  <si>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</si>
  <si>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</si>
  <si>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</si>
  <si>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</si>
  <si>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</si>
  <si>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</si>
  <si>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</si>
  <si>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</si>
  <si>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</si>
  <si>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</si>
  <si>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</si>
  <si>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</si>
  <si>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</si>
  <si>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</si>
  <si>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</si>
  <si>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</si>
  <si>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</si>
  <si>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</si>
  <si>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</si>
  <si>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</si>
  <si>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</si>
  <si>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</si>
  <si>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</si>
  <si>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</si>
  <si>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</si>
  <si>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</si>
  <si>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</si>
  <si>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</si>
  <si>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</si>
  <si>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</si>
  <si>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</si>
  <si>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</si>
  <si>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</si>
  <si>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</si>
  <si>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</si>
  <si>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</si>
  <si>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</si>
  <si>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</si>
  <si>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</si>
  <si>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</si>
  <si>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</si>
  <si>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</si>
  <si>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</si>
  <si>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</si>
  <si>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</si>
  <si>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</si>
  <si>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</si>
  <si>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</si>
  <si>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</si>
  <si>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</si>
  <si>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</si>
  <si>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</si>
  <si>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</si>
  <si>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</si>
  <si>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</si>
  <si>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</si>
  <si>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</si>
  <si>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</si>
  <si>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</si>
  <si>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</si>
  <si>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</si>
  <si>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</si>
  <si>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</si>
  <si>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</si>
  <si>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</si>
  <si>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</si>
  <si>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</si>
  <si>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</si>
  <si>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</si>
  <si>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</si>
  <si>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</si>
  <si>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</si>
  <si>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</si>
  <si>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</si>
  <si>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</si>
  <si>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</si>
  <si>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</si>
  <si>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</si>
  <si>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</si>
  <si>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</si>
  <si>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</si>
  <si>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</si>
  <si>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</si>
  <si>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</si>
  <si>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</si>
  <si>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</si>
  <si>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</si>
  <si>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</si>
  <si>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</si>
  <si>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</si>
  <si>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</si>
  <si>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</si>
  <si>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</si>
  <si>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</si>
  <si>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</si>
  <si>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</si>
  <si>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</si>
  <si>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</si>
  <si>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</si>
  <si>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</si>
  <si>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</si>
  <si>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</si>
  <si>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</si>
  <si>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</si>
  <si>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</si>
  <si>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</si>
  <si>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</si>
  <si>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</si>
  <si>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</si>
  <si>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</si>
  <si>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</si>
  <si>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</si>
  <si>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</si>
  <si>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</si>
  <si>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</si>
  <si>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</si>
  <si>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</si>
  <si>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</si>
  <si>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</si>
  <si>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</si>
  <si>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</si>
  <si>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</si>
  <si>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</si>
  <si>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</si>
  <si>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</si>
  <si>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</si>
  <si>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</si>
  <si>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</si>
  <si>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</si>
  <si>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</si>
  <si>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</si>
  <si>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</si>
  <si>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</si>
  <si>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</si>
  <si>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</si>
  <si>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</si>
  <si>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</si>
  <si>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</si>
  <si>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</si>
  <si>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</si>
  <si>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</si>
  <si>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</si>
  <si>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</si>
  <si>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</si>
  <si>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</si>
  <si>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</si>
  <si>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</si>
  <si>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</si>
  <si>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</si>
  <si>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</si>
  <si>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</si>
  <si>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</si>
  <si>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</si>
  <si>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</si>
  <si>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</si>
  <si>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</si>
  <si>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</si>
  <si>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</si>
  <si>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</si>
  <si>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</si>
  <si>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</si>
  <si>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</si>
  <si>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</si>
  <si>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</si>
  <si>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</si>
  <si>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</si>
  <si>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</si>
  <si>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</si>
  <si>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</si>
  <si>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</si>
  <si>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</si>
  <si>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</si>
  <si>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</si>
  <si>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</si>
  <si>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</si>
  <si>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</si>
  <si>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</si>
  <si>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</si>
  <si>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</si>
  <si>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</si>
  <si>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</si>
  <si>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</si>
  <si>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</si>
  <si>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</si>
  <si>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</si>
  <si>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</si>
  <si>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</si>
  <si>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</si>
  <si>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</si>
  <si>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</si>
  <si>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</si>
  <si>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</si>
  <si>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</si>
  <si>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</si>
  <si>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</si>
  <si>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</si>
  <si>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</si>
  <si>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</si>
  <si>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</si>
  <si>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</si>
  <si>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</si>
  <si>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</si>
  <si>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</si>
  <si>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</si>
  <si>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</si>
  <si>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</si>
  <si>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</si>
  <si>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</si>
  <si>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</si>
  <si>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</si>
  <si>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</si>
  <si>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</si>
  <si>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</si>
  <si>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</si>
  <si>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</si>
  <si>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</si>
  <si>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</si>
  <si>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</si>
  <si>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</si>
  <si>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</si>
  <si>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</si>
  <si>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</si>
  <si>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</si>
  <si>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</si>
  <si>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</si>
  <si>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</si>
  <si>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</si>
  <si>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</si>
  <si>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</si>
  <si>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</si>
  <si>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</si>
  <si>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</si>
  <si>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</si>
  <si>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</si>
  <si>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</si>
  <si>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</si>
  <si>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</si>
  <si>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</si>
  <si>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</si>
  <si>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</si>
  <si>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</si>
  <si>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</si>
  <si>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</si>
  <si>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</si>
  <si>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</si>
  <si>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</si>
  <si>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</si>
  <si>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</si>
  <si>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</si>
  <si>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</si>
  <si>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</si>
  <si>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</si>
  <si>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</si>
  <si>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</si>
  <si>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</si>
  <si>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</si>
  <si>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</si>
  <si>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</si>
  <si>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</si>
  <si>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</si>
  <si>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</si>
  <si>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</si>
  <si>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</si>
  <si>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</si>
  <si>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</si>
  <si>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</si>
  <si>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</si>
  <si>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</si>
  <si>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</si>
  <si>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</si>
  <si>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</si>
  <si>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</si>
  <si>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</si>
  <si>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</si>
  <si>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</si>
  <si>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</si>
  <si>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</si>
  <si>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</si>
  <si>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</si>
  <si>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</si>
  <si>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</si>
  <si>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</si>
  <si>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</si>
  <si>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</si>
  <si>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</si>
  <si>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</si>
  <si>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</si>
  <si>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</si>
  <si>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</si>
  <si>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</si>
  <si>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</si>
  <si>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</si>
  <si>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</si>
  <si>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</si>
  <si>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</si>
  <si>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</si>
  <si>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</si>
  <si>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</si>
  <si>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</si>
  <si>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</si>
  <si>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</si>
  <si>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</si>
  <si>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</si>
  <si>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</si>
  <si>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</si>
  <si>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</si>
  <si>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</si>
  <si>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</si>
  <si>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</si>
  <si>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</si>
  <si>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</si>
  <si>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</si>
  <si>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</si>
  <si>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</si>
  <si>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</si>
  <si>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</si>
  <si>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</si>
  <si>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</si>
  <si>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</si>
  <si>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</si>
  <si>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</si>
  <si>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</si>
  <si>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</si>
  <si>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</si>
  <si>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</si>
  <si>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</si>
  <si>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</si>
  <si>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</si>
  <si>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</si>
  <si>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</si>
  <si>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</si>
  <si>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</si>
  <si>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</si>
  <si>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</si>
  <si>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</si>
  <si>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</si>
  <si>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</si>
  <si>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</si>
  <si>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</si>
  <si>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</si>
  <si>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</si>
  <si>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</si>
  <si>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</si>
  <si>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</si>
  <si>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</si>
  <si>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</si>
  <si>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</si>
  <si>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</si>
  <si>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</si>
  <si>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</si>
  <si>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</si>
  <si>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</si>
  <si>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</si>
  <si>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</si>
  <si>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</si>
  <si>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</si>
  <si>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</si>
  <si>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</si>
  <si>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</si>
  <si>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</si>
  <si>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</si>
  <si>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</si>
  <si>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</si>
  <si>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</si>
  <si>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</si>
  <si>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</si>
  <si>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</si>
  <si>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</si>
  <si>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</si>
  <si>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</si>
  <si>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</si>
  <si>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</si>
  <si>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</si>
  <si>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</si>
  <si>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</si>
  <si>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</si>
  <si>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</si>
  <si>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</si>
  <si>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</si>
  <si>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</si>
  <si>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</si>
  <si>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</si>
  <si>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</si>
  <si>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</si>
  <si>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</si>
  <si>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</si>
  <si>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</si>
  <si>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</si>
  <si>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</si>
  <si>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</si>
  <si>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</si>
  <si>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</si>
  <si>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</si>
  <si>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</si>
  <si>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</si>
  <si>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</si>
  <si>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</si>
  <si>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</si>
  <si>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</si>
  <si>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</si>
  <si>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</si>
  <si>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</si>
  <si>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</si>
  <si>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</si>
  <si>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</si>
  <si>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</si>
  <si>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</si>
  <si>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</si>
  <si>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</si>
  <si>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</si>
  <si>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</si>
  <si>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</si>
  <si>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</si>
  <si>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</si>
  <si>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</si>
  <si>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</si>
  <si>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</si>
  <si>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</si>
  <si>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</si>
  <si>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</si>
  <si>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</si>
  <si>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</si>
  <si>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</si>
  <si>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</si>
  <si>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</si>
  <si>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</si>
  <si>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</si>
  <si>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</si>
  <si>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</si>
  <si>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</si>
  <si>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</si>
  <si>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</si>
  <si>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</si>
  <si>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</si>
  <si>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</si>
  <si>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</si>
  <si>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</si>
  <si>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</si>
  <si>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</si>
  <si>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</si>
  <si>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</si>
  <si>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</si>
  <si>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</si>
  <si>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</si>
  <si>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</si>
  <si>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</si>
  <si>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</si>
  <si>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</si>
  <si>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</si>
  <si>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</si>
  <si>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</si>
  <si>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</si>
  <si>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</si>
  <si>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</si>
  <si>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</si>
  <si>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</si>
  <si>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</si>
  <si>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</si>
  <si>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</si>
  <si>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</si>
  <si>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</si>
  <si>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</si>
  <si>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</si>
  <si>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</si>
  <si>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</si>
  <si>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</si>
  <si>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</si>
  <si>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</si>
  <si>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</si>
  <si>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</si>
  <si>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</si>
  <si>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</si>
  <si>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</si>
  <si>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</si>
  <si>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</si>
  <si>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</si>
  <si>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</si>
  <si>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</si>
  <si>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</si>
  <si>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</si>
  <si>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</si>
  <si>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</si>
  <si>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</si>
  <si>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</si>
  <si>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</si>
  <si>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</si>
  <si>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</si>
  <si>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</si>
  <si>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</si>
  <si>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</si>
  <si>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</si>
  <si>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</si>
  <si>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</si>
  <si>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</si>
  <si>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</si>
  <si>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</si>
  <si>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</si>
  <si>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</si>
  <si>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</si>
  <si>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</si>
  <si>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</si>
  <si>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</si>
  <si>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</si>
  <si>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</si>
  <si>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</si>
  <si>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</si>
  <si>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</si>
  <si>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</si>
  <si>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</si>
  <si>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</si>
  <si>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</si>
  <si>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</si>
  <si>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</si>
  <si>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</si>
  <si>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</si>
  <si>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</si>
  <si>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</si>
  <si>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</si>
  <si>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</si>
  <si>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</si>
  <si>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</si>
  <si>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</si>
  <si>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</si>
  <si>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</si>
  <si>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</si>
  <si>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</si>
  <si>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</si>
  <si>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</si>
  <si>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</si>
  <si>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</si>
  <si>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</si>
  <si>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</si>
  <si>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</si>
  <si>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</si>
  <si>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</si>
  <si>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</si>
  <si>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</si>
  <si>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</si>
  <si>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</si>
  <si>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</si>
  <si>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</si>
  <si>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</si>
  <si>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</si>
  <si>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</si>
  <si>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</si>
  <si>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</si>
  <si>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</si>
  <si>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</si>
  <si>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</si>
  <si>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</si>
  <si>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</si>
  <si>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</si>
  <si>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</si>
  <si>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</si>
  <si>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</si>
  <si>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</si>
  <si>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</si>
  <si>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</si>
  <si>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</si>
  <si>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</si>
  <si>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</si>
  <si>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</si>
  <si>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</si>
  <si>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</si>
  <si>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</si>
  <si>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</si>
  <si>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</si>
  <si>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</si>
  <si>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</si>
  <si>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</si>
  <si>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</si>
  <si>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</si>
  <si>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</si>
  <si>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</si>
  <si>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</si>
  <si>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</si>
  <si>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</si>
  <si>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</si>
  <si>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</si>
  <si>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</si>
  <si>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</si>
  <si>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</si>
  <si>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</si>
  <si>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</si>
  <si>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</si>
  <si>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</si>
  <si>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</si>
  <si>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</si>
  <si>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</si>
  <si>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</si>
  <si>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</si>
  <si>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</si>
  <si>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</si>
  <si>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</si>
  <si>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</si>
  <si>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</si>
  <si>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</si>
  <si>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</si>
  <si>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</si>
  <si>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</si>
  <si>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</si>
  <si>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</si>
  <si>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</si>
  <si>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</si>
  <si>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</si>
  <si>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</si>
  <si>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</si>
  <si>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</si>
  <si>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</si>
  <si>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</si>
  <si>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</si>
  <si>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</si>
  <si>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</si>
  <si>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</si>
  <si>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</si>
  <si>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</si>
  <si>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</si>
  <si>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</si>
  <si>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</si>
  <si>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</si>
  <si>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</si>
  <si>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</si>
  <si>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</si>
  <si>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</si>
  <si>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</si>
  <si>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</si>
  <si>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</si>
  <si>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</si>
  <si>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</si>
  <si>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</si>
  <si>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</si>
  <si>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</si>
  <si>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</si>
  <si>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</si>
  <si>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</si>
  <si>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</si>
  <si>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</si>
  <si>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</si>
  <si>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</si>
  <si>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</si>
  <si>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</si>
  <si>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</si>
  <si>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</si>
  <si>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</si>
  <si>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</si>
  <si>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</si>
  <si>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</si>
  <si>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</si>
  <si>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</si>
  <si>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</si>
  <si>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</si>
  <si>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</si>
  <si>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</si>
  <si>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</si>
  <si>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</si>
  <si>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</si>
  <si>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</si>
  <si>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</si>
  <si>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</si>
  <si>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</si>
  <si>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</si>
  <si>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</si>
  <si>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</si>
  <si>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</si>
  <si>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</si>
  <si>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</si>
  <si>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</si>
  <si>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</si>
  <si>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</si>
  <si>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</si>
  <si>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</si>
  <si>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</si>
  <si>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</si>
  <si>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</si>
  <si>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</si>
  <si>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</si>
  <si>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</si>
  <si>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</si>
  <si>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</si>
  <si>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</si>
  <si>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</si>
  <si>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</si>
  <si>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</si>
  <si>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</si>
  <si>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</si>
  <si>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</si>
  <si>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</si>
  <si>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</si>
  <si>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</si>
  <si>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</si>
  <si>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</si>
  <si>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</si>
  <si>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</si>
  <si>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</si>
  <si>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</si>
  <si>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</si>
  <si>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</si>
  <si>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</si>
  <si>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</si>
  <si>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</si>
  <si>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</si>
  <si>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</si>
  <si>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</si>
  <si>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</si>
  <si>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</si>
  <si>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</si>
  <si>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</si>
  <si>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</si>
  <si>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</si>
  <si>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</si>
  <si>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</si>
  <si>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</si>
  <si>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</si>
  <si>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</si>
  <si>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</si>
  <si>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</si>
  <si>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</si>
  <si>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</si>
  <si>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</si>
  <si>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</si>
  <si>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</si>
  <si>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</si>
  <si>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</si>
  <si>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</si>
  <si>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</si>
  <si>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</si>
  <si>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</si>
  <si>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</si>
  <si>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</si>
  <si>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</si>
  <si>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</si>
  <si>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</si>
  <si>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</si>
  <si>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</si>
  <si>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</si>
  <si>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</si>
  <si>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</si>
  <si>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</si>
  <si>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</si>
  <si>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</si>
  <si>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</si>
  <si>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</si>
  <si>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</si>
  <si>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</si>
  <si>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</si>
  <si>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</si>
  <si>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</si>
  <si>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</si>
  <si>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</si>
  <si>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</si>
  <si>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</si>
  <si>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</si>
  <si>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</si>
  <si>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</si>
  <si>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</si>
  <si>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</si>
  <si>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</si>
  <si>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</si>
  <si>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</si>
  <si>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</si>
  <si>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</si>
  <si>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</si>
  <si>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</si>
  <si>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</si>
  <si>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</si>
  <si>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</si>
  <si>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</si>
  <si>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</si>
  <si>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</si>
  <si>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</si>
  <si>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</si>
  <si>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</si>
  <si>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</si>
  <si>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</si>
  <si>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</si>
  <si>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</si>
  <si>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</si>
  <si>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</si>
  <si>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</si>
  <si>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</si>
  <si>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</si>
  <si>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</si>
  <si>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</si>
  <si>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</si>
  <si>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</si>
  <si>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</si>
  <si>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</si>
  <si>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</si>
  <si>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</si>
  <si>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</si>
  <si>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</si>
  <si>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</si>
  <si>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</si>
  <si>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</si>
  <si>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</si>
  <si>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</si>
  <si>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</si>
  <si>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</si>
  <si>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</si>
  <si>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</si>
  <si>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</si>
  <si>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</si>
  <si>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</si>
  <si>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</si>
  <si>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</si>
  <si>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</si>
  <si>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</si>
  <si>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</si>
  <si>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</si>
  <si>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</si>
  <si>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</si>
  <si>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</si>
  <si>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</si>
  <si>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</si>
  <si>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</si>
  <si>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</si>
  <si>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</si>
  <si>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</si>
  <si>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</si>
  <si>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</si>
  <si>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</si>
  <si>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</si>
  <si>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</si>
  <si>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</si>
  <si>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</si>
  <si>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</si>
  <si>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</si>
  <si>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</si>
  <si>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</si>
  <si>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</si>
  <si>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</si>
  <si>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</si>
  <si>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</si>
  <si>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</si>
  <si>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</si>
  <si>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</si>
  <si>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</si>
  <si>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</si>
  <si>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</si>
  <si>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</si>
  <si>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</si>
  <si>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</si>
  <si>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</si>
  <si>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</si>
  <si>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</si>
  <si>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</si>
  <si>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</si>
  <si>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</si>
  <si>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</si>
  <si>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</si>
  <si>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</si>
  <si>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</si>
  <si>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</si>
  <si>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</si>
  <si>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</si>
  <si>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</si>
  <si>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</si>
  <si>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</si>
  <si>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</si>
  <si>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</si>
  <si>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</si>
  <si>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</si>
  <si>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</si>
  <si>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</si>
  <si>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</si>
  <si>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</si>
  <si>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</si>
  <si>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</si>
  <si>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</si>
  <si>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</si>
  <si>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</si>
  <si>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</si>
  <si>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</si>
  <si>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</si>
  <si>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</si>
  <si>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</si>
  <si>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</si>
  <si>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</si>
  <si>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</si>
  <si>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</si>
  <si>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</si>
  <si>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</si>
  <si>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</si>
  <si>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</si>
  <si>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</si>
  <si>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</si>
  <si>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</si>
  <si>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</si>
  <si>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</si>
  <si>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</si>
  <si>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</si>
  <si>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</si>
  <si>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</si>
  <si>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</si>
  <si>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</si>
  <si>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</si>
  <si>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</si>
  <si>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</si>
  <si>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</si>
  <si>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</si>
  <si>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</si>
  <si>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</si>
  <si>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</si>
  <si>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</si>
  <si>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</si>
  <si>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</si>
  <si>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</si>
  <si>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</si>
  <si>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</si>
  <si>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</si>
  <si>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</si>
  <si>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</si>
  <si>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</si>
  <si>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</si>
  <si>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</si>
  <si>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</si>
  <si>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</si>
  <si>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</si>
  <si>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</si>
  <si>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</si>
  <si>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</si>
  <si>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</si>
  <si>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</si>
  <si>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</si>
  <si>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</si>
  <si>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</si>
  <si>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</si>
  <si>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</si>
  <si>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</si>
  <si>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</si>
  <si>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</si>
  <si>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</si>
  <si>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</si>
  <si>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</si>
  <si>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</si>
  <si>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</si>
  <si>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</si>
  <si>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</si>
  <si>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</si>
  <si>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</si>
  <si>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</si>
  <si>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</si>
  <si>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</si>
  <si>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</si>
  <si>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</si>
  <si>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</si>
  <si>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</si>
  <si>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</si>
  <si>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</si>
  <si>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</si>
  <si>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</si>
  <si>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</si>
  <si>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</si>
  <si>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</si>
  <si>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</si>
  <si>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</si>
  <si>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</si>
  <si>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</si>
  <si>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</si>
  <si>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</si>
  <si>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</si>
  <si>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</si>
  <si>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</si>
  <si>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</si>
  <si>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</si>
  <si>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</si>
  <si>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</si>
  <si>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</si>
  <si>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</si>
  <si>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</si>
  <si>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</si>
  <si>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</si>
  <si>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</si>
  <si>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</si>
  <si>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</si>
  <si>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</si>
  <si>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</si>
  <si>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</si>
  <si>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</si>
  <si>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</si>
  <si>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</si>
  <si>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</si>
  <si>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</si>
  <si>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</si>
  <si>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</si>
  <si>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</si>
  <si>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</si>
  <si>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</si>
  <si>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</si>
  <si>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</si>
  <si>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</si>
  <si>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</si>
  <si>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</si>
  <si>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</si>
  <si>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</si>
  <si>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</si>
  <si>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</si>
  <si>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</si>
  <si>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</si>
  <si>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</si>
  <si>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</si>
  <si>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</si>
  <si>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</si>
  <si>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</si>
  <si>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</si>
  <si>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</si>
  <si>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</si>
  <si>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</si>
  <si>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</si>
  <si>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</si>
  <si>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</si>
  <si>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</si>
  <si>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</si>
  <si>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</si>
  <si>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</si>
  <si>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</si>
  <si>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</si>
  <si>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</si>
  <si>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</si>
  <si>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</si>
  <si>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</si>
  <si>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</si>
  <si>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</si>
  <si>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</si>
  <si>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</si>
  <si>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</si>
  <si>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</si>
  <si>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</si>
  <si>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</si>
  <si>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</si>
  <si>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</si>
  <si>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</si>
  <si>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</si>
  <si>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</si>
  <si>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</si>
  <si>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</si>
  <si>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</si>
  <si>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</si>
  <si>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</si>
  <si>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</si>
  <si>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</si>
  <si>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</si>
  <si>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</si>
  <si>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</si>
  <si>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</si>
  <si>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</si>
  <si>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</si>
  <si>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</si>
  <si>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</si>
  <si>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</si>
  <si>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</si>
  <si>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</si>
  <si>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</si>
  <si>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</si>
  <si>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</si>
  <si>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</si>
  <si>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</si>
  <si>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</si>
  <si>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</si>
  <si>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</si>
  <si>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</si>
  <si>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</si>
  <si>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</si>
  <si>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</si>
  <si>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</si>
  <si>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</si>
  <si>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</si>
  <si>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</si>
  <si>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</si>
  <si>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</si>
  <si>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</si>
  <si>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</si>
  <si>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</si>
  <si>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</si>
  <si>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</si>
  <si>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</si>
  <si>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</si>
  <si>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</si>
  <si>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</si>
  <si>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</si>
  <si>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</si>
  <si>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</si>
  <si>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</si>
  <si>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</si>
  <si>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</si>
  <si>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</si>
  <si>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</si>
  <si>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</si>
  <si>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</si>
  <si>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</si>
  <si>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</si>
  <si>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</si>
  <si>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</si>
  <si>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</si>
  <si>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</si>
  <si>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</si>
  <si>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</si>
  <si>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</si>
  <si>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</si>
  <si>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</si>
  <si>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</si>
  <si>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</si>
  <si>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</si>
  <si>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</si>
  <si>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</si>
  <si>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</si>
  <si>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</si>
  <si>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</si>
  <si>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</si>
  <si>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</si>
  <si>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</si>
  <si>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</si>
  <si>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</si>
  <si>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</si>
  <si>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</si>
  <si>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</si>
  <si>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</si>
  <si>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</si>
  <si>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</si>
  <si>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</si>
  <si>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</si>
  <si>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</si>
  <si>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</si>
  <si>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</si>
  <si>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</si>
  <si>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</si>
  <si>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</si>
  <si>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</si>
  <si>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</si>
  <si>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</si>
  <si>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</si>
  <si>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</si>
  <si>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</si>
  <si>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</si>
  <si>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</si>
  <si>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</si>
  <si>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</si>
  <si>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</si>
  <si>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</si>
  <si>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</si>
  <si>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</si>
  <si>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</si>
  <si>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</si>
  <si>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</si>
  <si>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</si>
  <si>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</si>
  <si>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</si>
  <si>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</si>
  <si>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</si>
  <si>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</si>
  <si>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</si>
  <si>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</si>
  <si>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</si>
  <si>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</si>
  <si>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</si>
  <si>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</si>
  <si>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</si>
  <si>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</si>
  <si>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</si>
  <si>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</si>
  <si>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</si>
  <si>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</si>
  <si>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</si>
  <si>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</si>
  <si>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</si>
  <si>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</si>
  <si>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</si>
  <si>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</si>
  <si>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</si>
  <si>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</si>
  <si>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</si>
  <si>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</si>
  <si>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</si>
  <si>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</si>
  <si>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</si>
  <si>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</si>
  <si>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</si>
  <si>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</si>
  <si>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</si>
  <si>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</si>
  <si>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</si>
  <si>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</si>
  <si>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</si>
  <si>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</si>
  <si>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</si>
  <si>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</si>
  <si>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</si>
  <si>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</si>
  <si>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</si>
  <si>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</si>
  <si>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</si>
  <si>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</si>
  <si>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</si>
  <si>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</si>
  <si>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</si>
  <si>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</si>
  <si>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</si>
  <si>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</si>
  <si>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</si>
  <si>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</si>
  <si>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</si>
  <si>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</si>
  <si>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</si>
  <si>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</si>
  <si>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</si>
  <si>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</si>
  <si>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</si>
  <si>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</si>
  <si>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</si>
  <si>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</si>
  <si>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</si>
  <si>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</si>
  <si>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</si>
  <si>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</si>
  <si>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</si>
  <si>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</si>
  <si>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</si>
  <si>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</si>
  <si>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</si>
  <si>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</si>
  <si>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</si>
  <si>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</si>
  <si>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</si>
  <si>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</si>
  <si>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</si>
  <si>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</si>
  <si>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</si>
  <si>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</si>
  <si>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</si>
  <si>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</si>
  <si>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</si>
  <si>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</si>
  <si>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</si>
  <si>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</si>
  <si>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</si>
  <si>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</si>
  <si>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</si>
  <si>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</si>
  <si>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</si>
  <si>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</si>
  <si>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</si>
  <si>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</si>
  <si>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</si>
  <si>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</si>
  <si>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</si>
  <si>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</si>
  <si>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</si>
  <si>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</si>
  <si>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</si>
  <si>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</si>
  <si>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</si>
  <si>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</si>
  <si>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</si>
  <si>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</si>
  <si>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</si>
  <si>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</si>
  <si>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</si>
  <si>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</si>
  <si>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</si>
  <si>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</si>
  <si>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</si>
  <si>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</si>
  <si>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</si>
  <si>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</si>
  <si>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</si>
  <si>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</si>
  <si>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</si>
  <si>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</si>
  <si>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</si>
  <si>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</si>
  <si>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</si>
  <si>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</si>
  <si>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</si>
  <si>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</si>
  <si>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</si>
  <si>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</si>
  <si>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</si>
  <si>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</si>
  <si>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</si>
  <si>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</si>
  <si>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</si>
  <si>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</si>
  <si>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</si>
  <si>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</si>
  <si>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</si>
  <si>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</si>
  <si>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</si>
  <si>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</si>
  <si>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</si>
  <si>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</si>
  <si>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</si>
  <si>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</si>
  <si>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</si>
  <si>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</si>
  <si>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</si>
  <si>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</si>
  <si>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</si>
  <si>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</si>
  <si>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</si>
  <si>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</si>
  <si>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</si>
  <si>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</si>
  <si>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</si>
  <si>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</si>
  <si>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</si>
  <si>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</si>
  <si>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</si>
  <si>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</si>
  <si>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</si>
  <si>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</si>
  <si>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</si>
  <si>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</si>
  <si>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</si>
  <si>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</si>
  <si>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</si>
  <si>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</si>
  <si>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</si>
  <si>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</si>
  <si>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</si>
  <si>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</si>
  <si>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</si>
  <si>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</si>
  <si>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</si>
  <si>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</si>
  <si>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</si>
  <si>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</si>
  <si>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</si>
  <si>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</si>
  <si>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</si>
  <si>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</si>
  <si>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</si>
  <si>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</si>
  <si>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</si>
  <si>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</si>
  <si>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</si>
  <si>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</si>
  <si>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</si>
  <si>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</si>
  <si>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</si>
  <si>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</si>
  <si>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</si>
  <si>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</si>
  <si>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</si>
  <si>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</si>
  <si>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</si>
  <si>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</si>
  <si>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</si>
  <si>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</si>
  <si>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</si>
  <si>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</si>
  <si>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</si>
  <si>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</si>
  <si>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</si>
  <si>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</si>
  <si>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</si>
  <si>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</si>
  <si>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</si>
  <si>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</si>
  <si>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</si>
  <si>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</si>
  <si>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</si>
  <si>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</si>
  <si>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</si>
  <si>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</si>
  <si>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</si>
  <si>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</si>
  <si>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</si>
  <si>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</si>
  <si>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</si>
  <si>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</si>
  <si>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</si>
  <si>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</si>
  <si>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</si>
  <si>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</si>
  <si>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</si>
  <si>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</si>
  <si>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</si>
  <si>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</si>
  <si>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</si>
  <si>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</si>
  <si>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</si>
  <si>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</si>
  <si>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</si>
  <si>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</si>
  <si>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</si>
  <si>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</si>
  <si>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</si>
  <si>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</si>
  <si>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</si>
  <si>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</si>
  <si>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</si>
  <si>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</si>
  <si>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</si>
  <si>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</si>
  <si>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</si>
  <si>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</si>
  <si>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</si>
  <si>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</si>
  <si>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</si>
  <si>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</si>
  <si>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</si>
  <si>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</si>
  <si>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</si>
  <si>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</si>
  <si>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</si>
  <si>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</si>
  <si>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</si>
  <si>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</si>
  <si>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</si>
  <si>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</si>
  <si>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</si>
  <si>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</si>
  <si>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</si>
  <si>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</si>
  <si>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</si>
  <si>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</si>
  <si>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</si>
  <si>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</si>
  <si>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</si>
  <si>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</si>
  <si>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</si>
  <si>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</si>
  <si>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</si>
  <si>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</si>
  <si>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</si>
  <si>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</si>
  <si>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</si>
  <si>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</si>
  <si>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</si>
  <si>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</si>
  <si>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</si>
  <si>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</si>
  <si>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</si>
  <si>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</si>
  <si>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</si>
  <si>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</si>
  <si>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</si>
  <si>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</si>
  <si>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</si>
  <si>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</si>
  <si>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</si>
  <si>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</si>
  <si>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</si>
  <si>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</si>
  <si>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</si>
  <si>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</si>
  <si>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</si>
  <si>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</si>
  <si>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</si>
  <si>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</si>
  <si>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</si>
  <si>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</si>
  <si>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</si>
  <si>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</si>
  <si>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</si>
  <si>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</si>
  <si>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</si>
  <si>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</si>
  <si>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</si>
  <si>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</si>
  <si>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</si>
  <si>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</si>
  <si>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</si>
  <si>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</si>
  <si>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</si>
  <si>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</si>
  <si>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</si>
  <si>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</si>
  <si>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</si>
  <si>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</si>
  <si>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</si>
  <si>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</si>
  <si>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</si>
  <si>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</si>
  <si>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</si>
  <si>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</si>
  <si>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</si>
  <si>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</si>
  <si>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</si>
  <si>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</si>
  <si>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</si>
  <si>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</si>
  <si>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</si>
  <si>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</si>
  <si>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</si>
  <si>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</si>
  <si>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</si>
  <si>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</si>
  <si>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</si>
  <si>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</si>
  <si>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</si>
  <si>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</si>
  <si>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</si>
  <si>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</si>
  <si>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</si>
  <si>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</si>
  <si>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</si>
  <si>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</si>
  <si>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</si>
  <si>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</si>
  <si>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</si>
  <si>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</si>
  <si>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</si>
  <si>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</si>
  <si>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</si>
  <si>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</si>
  <si>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</si>
  <si>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</si>
  <si>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</si>
  <si>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</si>
  <si>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</si>
  <si>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</si>
  <si>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</si>
  <si>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</si>
  <si>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</si>
  <si>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</si>
  <si>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</si>
  <si>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</si>
  <si>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</si>
  <si>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</si>
  <si>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</si>
  <si>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</si>
  <si>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</si>
  <si>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</si>
  <si>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</si>
  <si>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</si>
  <si>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</si>
  <si>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</si>
  <si>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</si>
  <si>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</si>
  <si>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</si>
  <si>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</si>
  <si>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</si>
  <si>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</si>
  <si>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</si>
  <si>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</si>
  <si>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</si>
  <si>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</si>
  <si>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</si>
  <si>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</si>
  <si>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</si>
  <si>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</si>
  <si>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</si>
  <si>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</si>
  <si>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</si>
  <si>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</si>
  <si>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</si>
  <si>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</si>
  <si>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</si>
  <si>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</si>
  <si>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</si>
  <si>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</si>
  <si>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</si>
  <si>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</si>
  <si>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</si>
  <si>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</si>
  <si>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</si>
  <si>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</si>
  <si>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</si>
  <si>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</si>
  <si>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</si>
  <si>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</si>
  <si>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</si>
  <si>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</si>
  <si>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</si>
  <si>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</si>
  <si>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</si>
  <si>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</si>
  <si>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</si>
  <si>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</si>
  <si>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</si>
  <si>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</si>
  <si>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</si>
  <si>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</si>
  <si>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</si>
  <si>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</si>
  <si>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</si>
  <si>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</si>
  <si>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</si>
  <si>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</si>
  <si>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</si>
  <si>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</si>
  <si>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</si>
  <si>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</si>
  <si>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</si>
  <si>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</si>
  <si>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</si>
  <si>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</si>
  <si>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</si>
  <si>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</si>
  <si>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</si>
  <si>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</si>
  <si>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</si>
  <si>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</si>
  <si>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</si>
  <si>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</si>
  <si>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</si>
  <si>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</si>
  <si>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</si>
  <si>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</si>
  <si>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</si>
  <si>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</si>
  <si>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</si>
  <si>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</si>
  <si>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</si>
  <si>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</si>
  <si>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</si>
  <si>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</si>
  <si>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</si>
  <si>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</si>
  <si>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</si>
  <si>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</si>
  <si>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</si>
  <si>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</si>
  <si>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</si>
  <si>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</si>
  <si>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</si>
  <si>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</si>
  <si>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</si>
  <si>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</si>
  <si>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</si>
  <si>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</si>
  <si>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</si>
  <si>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</si>
  <si>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</si>
  <si>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</si>
  <si>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</si>
  <si>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</si>
  <si>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</si>
  <si>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</si>
  <si>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</si>
  <si>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</si>
  <si>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</si>
  <si>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</si>
  <si>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</si>
  <si>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</si>
  <si>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</si>
  <si>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</si>
  <si>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</si>
  <si>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</si>
  <si>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</si>
  <si>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</si>
  <si>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</si>
  <si>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</si>
  <si>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</si>
  <si>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</si>
  <si>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</si>
  <si>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</si>
  <si>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</si>
  <si>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</si>
  <si>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</si>
  <si>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</si>
  <si>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</si>
  <si>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</si>
  <si>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</si>
  <si>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</si>
  <si>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</si>
  <si>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</si>
  <si>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</si>
  <si>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</si>
  <si>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</si>
  <si>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</si>
  <si>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</si>
  <si>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</si>
  <si>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</si>
  <si>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</si>
  <si>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</si>
  <si>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</si>
  <si>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</si>
  <si>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</si>
  <si>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</si>
  <si>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</si>
  <si>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</si>
  <si>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</si>
  <si>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</si>
  <si>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</si>
  <si>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</si>
  <si>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</si>
  <si>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</si>
  <si>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</si>
  <si>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</si>
  <si>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</si>
  <si>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</si>
  <si>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</si>
  <si>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</si>
  <si>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</si>
  <si>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</si>
  <si>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</si>
  <si>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</si>
  <si>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</si>
  <si>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</si>
  <si>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</si>
  <si>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</si>
  <si>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</si>
  <si>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</si>
  <si>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</si>
  <si>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</si>
  <si>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</si>
  <si>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</si>
  <si>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</si>
  <si>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</si>
  <si>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</si>
  <si>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</si>
  <si>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</si>
  <si>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</si>
  <si>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</si>
  <si>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</si>
  <si>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</si>
  <si>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</si>
  <si>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</si>
  <si>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</si>
  <si>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</si>
  <si>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</si>
  <si>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</si>
  <si>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</si>
  <si>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</si>
  <si>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</si>
  <si>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</si>
  <si>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</si>
  <si>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</si>
  <si>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</si>
  <si>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</si>
  <si>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</si>
  <si>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</si>
  <si>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</si>
  <si>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</si>
  <si>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</si>
  <si>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</si>
  <si>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</si>
  <si>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</si>
  <si>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</si>
  <si>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</si>
  <si>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</si>
  <si>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</si>
  <si>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</si>
  <si>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</si>
  <si>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</si>
  <si>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</si>
  <si>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</si>
  <si>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</si>
  <si>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</si>
  <si>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</si>
  <si>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</si>
  <si>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</si>
  <si>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</si>
  <si>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</si>
  <si>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</si>
  <si>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</si>
  <si>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</si>
  <si>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</si>
  <si>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</si>
  <si>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</si>
  <si>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</si>
  <si>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</si>
  <si>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</si>
  <si>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</si>
  <si>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</si>
  <si>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</si>
  <si>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</si>
  <si>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</si>
  <si>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</si>
  <si>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</si>
  <si>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</si>
  <si>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</si>
  <si>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</si>
  <si>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</si>
  <si>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</si>
  <si>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</si>
  <si>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</si>
  <si>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</si>
  <si>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</si>
  <si>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</si>
  <si>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</si>
  <si>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</si>
  <si>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</si>
  <si>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</si>
  <si>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</si>
  <si>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</si>
  <si>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</si>
  <si>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</si>
  <si>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</si>
  <si>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</si>
  <si>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</si>
  <si>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</si>
  <si>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</si>
  <si>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</si>
  <si>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</si>
  <si>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</si>
  <si>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</si>
  <si>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</si>
  <si>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</si>
  <si>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</si>
  <si>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</si>
  <si>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</si>
  <si>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</si>
  <si>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</si>
  <si>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</si>
  <si>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</si>
  <si>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</si>
  <si>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</si>
  <si>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</si>
  <si>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</si>
  <si>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</si>
  <si>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</si>
  <si>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</si>
  <si>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</si>
  <si>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</si>
  <si>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</si>
  <si>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</si>
  <si>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</si>
  <si>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</si>
  <si>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</si>
  <si>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</si>
  <si>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</si>
  <si>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</si>
  <si>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</si>
  <si>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</si>
  <si>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</si>
  <si>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</si>
  <si>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</si>
  <si>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</si>
  <si>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</si>
  <si>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</si>
  <si>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</si>
  <si>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</si>
  <si>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</si>
  <si>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</si>
  <si>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</si>
  <si>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</si>
  <si>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</si>
  <si>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</si>
  <si>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</si>
  <si>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</si>
  <si>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</si>
  <si>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</si>
  <si>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</si>
  <si>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</si>
  <si>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</si>
  <si>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</si>
  <si>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</si>
  <si>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</si>
  <si>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</si>
  <si>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</si>
  <si>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</si>
  <si>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</si>
  <si>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</si>
  <si>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</si>
  <si>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</si>
  <si>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</si>
  <si>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</si>
  <si>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</si>
  <si>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</si>
  <si>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</si>
  <si>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</si>
  <si>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</si>
  <si>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</si>
  <si>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</si>
  <si>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</si>
  <si>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</si>
  <si>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</si>
  <si>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</si>
  <si>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</si>
  <si>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</si>
  <si>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</si>
  <si>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</si>
  <si>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</si>
  <si>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</si>
  <si>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</si>
  <si>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</si>
  <si>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</si>
  <si>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</si>
  <si>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</si>
  <si>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</si>
  <si>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</si>
  <si>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</si>
  <si>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</si>
  <si>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</si>
  <si>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</si>
  <si>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</si>
  <si>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</si>
  <si>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</si>
  <si>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</si>
  <si>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</si>
  <si>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</si>
  <si>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</si>
  <si>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</si>
  <si>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</si>
  <si>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</si>
  <si>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</si>
  <si>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</si>
  <si>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</si>
  <si>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</si>
  <si>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</si>
  <si>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</si>
  <si>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</si>
  <si>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</si>
  <si>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</si>
  <si>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</si>
  <si>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</si>
  <si>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</si>
  <si>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</si>
  <si>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</si>
  <si>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</si>
  <si>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</si>
  <si>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</si>
  <si>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</si>
  <si>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</si>
  <si>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</si>
  <si>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</si>
  <si>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</si>
  <si>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</si>
  <si>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</si>
  <si>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</si>
  <si>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</si>
  <si>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</si>
  <si>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</si>
  <si>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</si>
  <si>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</si>
  <si>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</si>
  <si>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</si>
  <si>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</si>
  <si>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</si>
  <si>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</si>
  <si>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</si>
  <si>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</si>
  <si>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</si>
  <si>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</si>
  <si>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</si>
  <si>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</si>
  <si>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</si>
  <si>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</si>
  <si>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</si>
  <si>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</si>
  <si>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</si>
  <si>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</si>
  <si>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</si>
  <si>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</si>
  <si>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</si>
  <si>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</si>
  <si>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</si>
  <si>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</si>
  <si>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</si>
  <si>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</si>
  <si>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</si>
  <si>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</si>
  <si>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</si>
  <si>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</si>
  <si>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</si>
  <si>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</si>
  <si>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</si>
  <si>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</si>
  <si>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</si>
  <si>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</si>
  <si>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</si>
  <si>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</si>
  <si>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</si>
  <si>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</si>
  <si>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</si>
  <si>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</si>
  <si>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</si>
  <si>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</si>
  <si>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</si>
  <si>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</si>
  <si>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</si>
  <si>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</si>
  <si>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</si>
  <si>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</si>
  <si>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</si>
  <si>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</si>
  <si>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</si>
  <si>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</si>
  <si>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</si>
  <si>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</si>
  <si>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</si>
  <si>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</si>
  <si>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</si>
  <si>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</si>
  <si>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</si>
  <si>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</si>
  <si>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</si>
  <si>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</si>
  <si>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</si>
  <si>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</si>
  <si>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</si>
  <si>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</si>
  <si>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</si>
  <si>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</si>
  <si>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</si>
  <si>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</si>
  <si>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</si>
  <si>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</si>
  <si>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</si>
  <si>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</si>
  <si>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</si>
  <si>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</si>
  <si>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</si>
  <si>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</si>
  <si>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</si>
  <si>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</si>
  <si>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</si>
  <si>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</si>
  <si>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</si>
  <si>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</si>
  <si>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</si>
  <si>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</si>
  <si>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</si>
  <si>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</si>
  <si>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</si>
  <si>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</si>
  <si>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</si>
  <si>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</si>
  <si>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</si>
  <si>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</si>
  <si>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</si>
  <si>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</si>
  <si>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</si>
  <si>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</si>
  <si>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</si>
  <si>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</si>
  <si>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</si>
  <si>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</si>
  <si>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</si>
  <si>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</si>
  <si>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</si>
  <si>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</si>
  <si>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</si>
  <si>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</si>
  <si>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</si>
  <si>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</si>
  <si>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</si>
  <si>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</si>
  <si>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</si>
  <si>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</si>
  <si>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</si>
  <si>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</si>
  <si>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</si>
  <si>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</si>
  <si>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</si>
  <si>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</si>
  <si>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</si>
  <si>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</si>
  <si>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</si>
  <si>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</si>
  <si>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</si>
  <si>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</si>
  <si>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</si>
  <si>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</si>
  <si>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</si>
  <si>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</si>
  <si>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</si>
  <si>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</si>
  <si>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</si>
  <si>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</si>
  <si>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</si>
  <si>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</si>
  <si>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</si>
  <si>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</si>
  <si>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</si>
  <si>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</si>
  <si>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</si>
  <si>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</si>
  <si>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</si>
  <si>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</si>
  <si>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</si>
  <si>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</si>
  <si>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</si>
  <si>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</si>
  <si>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</si>
  <si>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</si>
  <si>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</si>
  <si>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</si>
  <si>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</si>
  <si>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</si>
  <si>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</si>
  <si>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</si>
  <si>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</si>
  <si>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</si>
  <si>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</si>
  <si>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</si>
  <si>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</si>
  <si>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</si>
  <si>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</si>
  <si>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</si>
  <si>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</si>
  <si>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</si>
  <si>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</si>
  <si>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</si>
  <si>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</si>
  <si>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</si>
  <si>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</si>
  <si>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</si>
  <si>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</si>
  <si>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</si>
  <si>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</si>
  <si>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</si>
  <si>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</si>
  <si>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</si>
  <si>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</si>
  <si>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</si>
  <si>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</si>
  <si>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</si>
  <si>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</si>
  <si>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</si>
  <si>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</si>
  <si>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</si>
  <si>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</si>
  <si>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</si>
  <si>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</si>
  <si>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</si>
  <si>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</si>
  <si>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</si>
  <si>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</si>
  <si>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</si>
  <si>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</si>
  <si>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</si>
  <si>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</si>
  <si>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</si>
  <si>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</si>
  <si>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</si>
  <si>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</si>
  <si>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</si>
  <si>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</si>
  <si>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</si>
  <si>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</si>
  <si>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</si>
  <si>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</si>
  <si>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</si>
  <si>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</si>
  <si>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</si>
  <si>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</si>
  <si>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</si>
  <si>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</si>
  <si>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</si>
  <si>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</si>
  <si>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</si>
  <si>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</si>
  <si>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</si>
  <si>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</si>
  <si>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</si>
  <si>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</si>
  <si>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</si>
  <si>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</si>
  <si>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</si>
  <si>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</si>
  <si>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</si>
  <si>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</si>
  <si>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</si>
  <si>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</si>
  <si>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</si>
  <si>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</si>
  <si>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</si>
  <si>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</si>
  <si>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</si>
  <si>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</si>
  <si>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</si>
  <si>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</si>
  <si>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</si>
  <si>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</si>
  <si>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</si>
  <si>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</si>
  <si>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</si>
  <si>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</si>
  <si>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</si>
  <si>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</si>
  <si>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</si>
  <si>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</si>
  <si>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</si>
  <si>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</si>
  <si>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</si>
  <si>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</si>
  <si>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</si>
  <si>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</si>
  <si>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</si>
  <si>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</si>
  <si>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</si>
  <si>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</si>
  <si>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</si>
  <si>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</si>
  <si>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</si>
  <si>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</si>
  <si>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</si>
  <si>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</si>
  <si>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</si>
  <si>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</si>
  <si>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</si>
  <si>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</si>
  <si>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</si>
  <si>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</si>
  <si>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</si>
  <si>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</si>
  <si>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</si>
  <si>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</si>
  <si>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</si>
  <si>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</si>
  <si>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</si>
  <si>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</si>
  <si>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</si>
  <si>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</si>
  <si>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</si>
  <si>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</si>
  <si>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</si>
  <si>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</si>
  <si>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</si>
  <si>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</si>
  <si>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</si>
  <si>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</si>
  <si>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</si>
  <si>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</si>
  <si>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</si>
  <si>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</si>
  <si>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</si>
  <si>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</si>
  <si>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</si>
  <si>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</si>
  <si>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</si>
  <si>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</si>
  <si>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</si>
  <si>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</si>
  <si>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</si>
  <si>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</si>
  <si>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</si>
  <si>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</si>
  <si>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</si>
  <si>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</si>
  <si>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</si>
  <si>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</si>
  <si>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</si>
  <si>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</si>
  <si>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</si>
  <si>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</si>
  <si>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</si>
  <si>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</si>
  <si>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</si>
  <si>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</si>
  <si>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</si>
  <si>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</si>
  <si>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</si>
  <si>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</si>
  <si>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</si>
  <si>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</si>
  <si>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</si>
  <si>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</si>
  <si>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</si>
  <si>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</si>
  <si>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</si>
  <si>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</si>
  <si>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</si>
  <si>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</si>
  <si>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</si>
  <si>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</si>
  <si>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</si>
  <si>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</si>
  <si>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</si>
  <si>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</si>
  <si>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</si>
  <si>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</si>
  <si>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</si>
  <si>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</si>
  <si>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</si>
  <si>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</si>
  <si>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</si>
  <si>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</si>
  <si>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</si>
  <si>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</si>
  <si>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</si>
  <si>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</si>
  <si>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</si>
  <si>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</si>
  <si>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</si>
  <si>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</si>
  <si>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</si>
  <si>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</si>
  <si>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</si>
  <si>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</si>
  <si>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</si>
  <si>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</si>
  <si>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</si>
  <si>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</si>
  <si>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</si>
  <si>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</si>
  <si>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</si>
  <si>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</si>
  <si>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</si>
  <si>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</si>
  <si>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</si>
  <si>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</si>
  <si>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</si>
  <si>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</si>
  <si>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</si>
  <si>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</si>
  <si>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</si>
  <si>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</si>
  <si>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</si>
  <si>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</si>
  <si>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</si>
  <si>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</si>
  <si>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</si>
  <si>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</si>
  <si>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</si>
  <si>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</si>
  <si>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</si>
  <si>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</si>
  <si>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</si>
  <si>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</si>
  <si>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</si>
  <si>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</si>
  <si>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</si>
  <si>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</si>
  <si>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</si>
  <si>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</si>
  <si>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</si>
  <si>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</si>
  <si>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</si>
  <si>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</si>
  <si>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</si>
  <si>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</si>
  <si>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</si>
  <si>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</si>
  <si>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</si>
  <si>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</si>
  <si>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</si>
  <si>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</si>
  <si>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</si>
  <si>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</si>
  <si>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</si>
  <si>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</si>
  <si>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</si>
  <si>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</si>
  <si>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</si>
  <si>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</si>
  <si>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</si>
  <si>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</si>
  <si>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</si>
  <si>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</si>
  <si>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</si>
  <si>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</si>
  <si>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</si>
  <si>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</si>
  <si>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</si>
  <si>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</si>
  <si>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</si>
  <si>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</si>
  <si>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</si>
  <si>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</si>
  <si>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</si>
  <si>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</si>
  <si>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</si>
  <si>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</si>
  <si>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</si>
  <si>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</si>
  <si>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</si>
  <si>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</si>
  <si>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</si>
  <si>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</si>
  <si>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</si>
  <si>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</si>
  <si>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</si>
  <si>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</si>
  <si>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</si>
  <si>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</si>
  <si>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</si>
  <si>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</si>
  <si>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</si>
  <si>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</si>
  <si>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</si>
  <si>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</si>
  <si>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</si>
  <si>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</si>
  <si>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</si>
  <si>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</si>
  <si>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</si>
  <si>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</si>
  <si>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</si>
  <si>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</si>
  <si>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</si>
  <si>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</si>
  <si>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</si>
  <si>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</si>
  <si>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</si>
  <si>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</si>
  <si>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</si>
  <si>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</si>
  <si>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</si>
  <si>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</si>
  <si>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</si>
  <si>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</si>
  <si>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</si>
  <si>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</si>
  <si>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</si>
  <si>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</si>
  <si>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</si>
  <si>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</si>
  <si>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</si>
  <si>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</si>
  <si>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</si>
  <si>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</si>
  <si>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</si>
  <si>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</si>
  <si>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</si>
  <si>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</si>
  <si>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</si>
  <si>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</si>
  <si>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</si>
  <si>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</si>
  <si>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</si>
  <si>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</si>
  <si>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</si>
  <si>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</si>
  <si>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</si>
  <si>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</si>
  <si>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</si>
  <si>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</si>
  <si>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</si>
  <si>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</si>
  <si>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</si>
  <si>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</si>
  <si>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</si>
  <si>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</si>
  <si>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</si>
  <si>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</si>
  <si>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</si>
  <si>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</si>
  <si>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</si>
  <si>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</si>
  <si>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</si>
  <si>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</si>
  <si>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</si>
  <si>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</si>
  <si>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</si>
  <si>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</si>
  <si>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</si>
  <si>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</si>
  <si>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</si>
  <si>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</si>
  <si>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</si>
  <si>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</si>
  <si>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</si>
  <si>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</si>
  <si>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</si>
  <si>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</si>
  <si>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</si>
  <si>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</si>
  <si>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</si>
  <si>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</si>
  <si>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</si>
  <si>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</si>
  <si>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</si>
  <si>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</si>
  <si>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</si>
  <si>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</si>
  <si>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</si>
  <si>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</si>
  <si>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</si>
  <si>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</si>
  <si>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</si>
  <si>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</si>
  <si>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</si>
  <si>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</si>
  <si>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</si>
  <si>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</si>
  <si>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</si>
  <si>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</si>
  <si>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</si>
  <si>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</si>
  <si>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</si>
  <si>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</si>
  <si>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</si>
  <si>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</si>
  <si>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</si>
  <si>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</si>
  <si>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</si>
  <si>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</si>
  <si>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</si>
  <si>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</si>
  <si>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</si>
  <si>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</si>
  <si>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</si>
  <si>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</si>
  <si>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</si>
  <si>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</si>
  <si>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</si>
  <si>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</si>
  <si>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</si>
  <si>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</si>
  <si>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</si>
  <si>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</si>
  <si>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</si>
  <si>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</si>
  <si>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</si>
  <si>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</si>
  <si>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</si>
  <si>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</si>
  <si>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</si>
  <si>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</si>
  <si>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</si>
  <si>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</si>
  <si>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</si>
  <si>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</si>
  <si>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</si>
  <si>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</si>
  <si>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</si>
  <si>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</si>
  <si>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</si>
  <si>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</si>
  <si>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</si>
  <si>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</si>
  <si>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</si>
  <si>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</si>
  <si>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</si>
  <si>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</si>
  <si>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</si>
  <si>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</si>
  <si>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</si>
  <si>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</si>
  <si>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</si>
  <si>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</si>
  <si>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</si>
  <si>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</si>
  <si>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</si>
  <si>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</si>
  <si>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</si>
  <si>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</si>
  <si>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</si>
  <si>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</si>
  <si>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</si>
  <si>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</si>
  <si>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</si>
  <si>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</si>
  <si>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</si>
  <si>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</si>
  <si>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</si>
  <si>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</si>
  <si>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</si>
  <si>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</si>
  <si>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</si>
  <si>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</si>
  <si>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</si>
  <si>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</si>
  <si>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</si>
  <si>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</si>
  <si>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</si>
  <si>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</si>
  <si>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</si>
  <si>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</si>
  <si>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</si>
  <si>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</si>
  <si>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</si>
  <si>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</si>
  <si>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</si>
  <si>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</si>
  <si>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</si>
  <si>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</si>
  <si>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</si>
  <si>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</si>
  <si>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</si>
  <si>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</si>
  <si>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</si>
  <si>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</si>
  <si>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</si>
  <si>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</si>
  <si>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</si>
  <si>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</si>
  <si>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</si>
  <si>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</si>
  <si>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</si>
  <si>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</si>
  <si>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</si>
  <si>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</si>
  <si>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</si>
  <si>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</si>
  <si>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</si>
  <si>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</si>
  <si>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</si>
  <si>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</si>
  <si>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</si>
  <si>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</si>
  <si>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</si>
  <si>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</si>
  <si>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</si>
  <si>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</si>
  <si>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</si>
  <si>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</si>
  <si>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</si>
  <si>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</si>
  <si>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</si>
  <si>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</si>
  <si>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</si>
  <si>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</si>
  <si>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</si>
  <si>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</si>
  <si>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</si>
  <si>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</si>
  <si>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</si>
  <si>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</si>
  <si>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</si>
  <si>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</si>
  <si>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</si>
  <si>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</si>
  <si>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</si>
  <si>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</si>
  <si>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</si>
  <si>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</si>
  <si>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</si>
  <si>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</si>
  <si>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</si>
  <si>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</si>
  <si>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</si>
  <si>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</si>
  <si>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</si>
  <si>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</si>
  <si>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</si>
  <si>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</si>
  <si>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</si>
  <si>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</si>
  <si>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</si>
  <si>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</si>
  <si>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</si>
  <si>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</si>
  <si>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</si>
  <si>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</si>
  <si>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</si>
  <si>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</si>
  <si>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</si>
  <si>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</si>
  <si>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</si>
  <si>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</si>
  <si>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</si>
  <si>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</si>
  <si>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</si>
  <si>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</si>
  <si>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</si>
  <si>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</si>
  <si>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</si>
  <si>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</si>
  <si>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</si>
  <si>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</si>
  <si>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</si>
  <si>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</si>
  <si>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</si>
  <si>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</si>
  <si>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</si>
  <si>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</si>
  <si>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</si>
  <si>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</si>
  <si>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</si>
  <si>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</si>
  <si>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</si>
  <si>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</si>
  <si>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</si>
  <si>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</si>
  <si>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</si>
  <si>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</si>
  <si>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</si>
  <si>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</si>
  <si>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</si>
  <si>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</si>
  <si>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</si>
  <si>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</si>
  <si>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</si>
  <si>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</si>
  <si>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</si>
  <si>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</si>
  <si>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</si>
  <si>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</si>
  <si>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</si>
  <si>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</si>
  <si>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</si>
  <si>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</si>
  <si>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</si>
  <si>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</si>
  <si>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</si>
  <si>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</si>
  <si>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</si>
  <si>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</si>
  <si>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</si>
  <si>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</si>
  <si>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</si>
  <si>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</si>
  <si>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</si>
  <si>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</si>
  <si>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</si>
  <si>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</si>
  <si>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</si>
  <si>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</si>
  <si>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</si>
  <si>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</si>
  <si>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</si>
  <si>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</si>
  <si>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</si>
  <si>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</si>
  <si>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</si>
  <si>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</si>
  <si>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</si>
  <si>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</si>
  <si>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</si>
  <si>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</si>
  <si>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</si>
  <si>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</si>
  <si>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</si>
  <si>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</si>
  <si>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</si>
  <si>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</si>
  <si>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</si>
  <si>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</si>
  <si>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</si>
  <si>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</si>
  <si>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</si>
  <si>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</si>
  <si>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</si>
  <si>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</si>
  <si>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</si>
  <si>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</si>
  <si>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</si>
  <si>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</si>
  <si>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</si>
  <si>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</si>
  <si>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</si>
  <si>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</si>
  <si>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</si>
  <si>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</si>
  <si>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</si>
  <si>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</si>
  <si>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</si>
  <si>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</si>
  <si>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</si>
  <si>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</si>
  <si>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</si>
  <si>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</si>
  <si>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</si>
  <si>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</si>
  <si>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</si>
  <si>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</si>
  <si>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</si>
  <si>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</si>
  <si>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</si>
  <si>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</si>
  <si>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</si>
  <si>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</si>
  <si>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</si>
  <si>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</si>
  <si>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</si>
  <si>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</si>
  <si>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</si>
  <si>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</si>
  <si>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</si>
  <si>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</si>
  <si>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</si>
  <si>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</si>
  <si>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</si>
  <si>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</si>
  <si>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</si>
  <si>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</si>
  <si>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</si>
  <si>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</si>
  <si>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</si>
  <si>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</si>
  <si>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</si>
  <si>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</si>
  <si>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</si>
  <si>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</si>
  <si>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</si>
  <si>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</si>
  <si>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</si>
  <si>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</si>
  <si>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</si>
  <si>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</si>
  <si>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</si>
  <si>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</si>
  <si>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</si>
  <si>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</si>
  <si>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</si>
  <si>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</si>
  <si>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</si>
  <si>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</si>
  <si>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</si>
  <si>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</si>
  <si>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</si>
  <si>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</si>
  <si>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</si>
  <si>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</si>
  <si>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</si>
  <si>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</si>
  <si>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</si>
  <si>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</si>
  <si>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</si>
  <si>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</si>
  <si>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</si>
  <si>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</si>
  <si>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</si>
  <si>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</si>
  <si>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</si>
  <si>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</si>
  <si>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</si>
  <si>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</si>
  <si>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</si>
  <si>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</si>
  <si>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</si>
  <si>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</si>
  <si>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</si>
  <si>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</si>
  <si>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</si>
  <si>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</si>
  <si>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</si>
  <si>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</si>
  <si>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</si>
  <si>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</si>
  <si>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</si>
  <si>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</si>
  <si>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</si>
  <si>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</si>
  <si>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</si>
  <si>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</si>
  <si>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</si>
  <si>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</si>
  <si>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</si>
  <si>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</si>
  <si>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</si>
  <si>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</si>
  <si>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</si>
  <si>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</si>
  <si>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CLFF_1000$$$EG50Z01000 Auto Acc.assign OKB9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</si>
  <si>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</si>
  <si>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</si>
  <si>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</si>
  <si>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</si>
  <si>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</si>
  <si>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</si>
  <si>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</si>
  <si>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</si>
  <si>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</si>
  <si>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</si>
  <si>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</si>
  <si>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</si>
  <si>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</si>
  <si>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</si>
  <si>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</si>
  <si>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</si>
  <si>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 xml:space="preserve">H000002956 </t>
  </si>
  <si>
    <t xml:space="preserve">H000002954 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</si>
  <si>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</si>
  <si>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</si>
  <si>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</si>
  <si>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</si>
  <si>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</si>
  <si>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</si>
  <si>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</si>
  <si>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</si>
  <si>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</si>
  <si>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</si>
  <si>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</si>
  <si>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</si>
  <si>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</si>
  <si>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</si>
  <si>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</si>
  <si>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</si>
  <si>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</si>
  <si>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</si>
  <si>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</si>
  <si>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</si>
  <si>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</si>
  <si>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</si>
  <si>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</si>
  <si>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</si>
  <si>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</si>
  <si>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</si>
  <si>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</si>
  <si>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</si>
  <si>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</si>
  <si>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</si>
  <si>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</si>
  <si>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</si>
  <si>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</si>
  <si>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</si>
  <si>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</si>
  <si>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</si>
  <si>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</si>
  <si>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</si>
  <si>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</si>
  <si>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</si>
  <si>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</si>
  <si>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</si>
  <si>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</si>
  <si>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</si>
  <si>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</si>
  <si>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</si>
  <si>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</si>
  <si>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</si>
  <si>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</si>
  <si>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</si>
  <si>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</si>
  <si>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</si>
  <si>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</si>
  <si>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</si>
  <si>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</si>
  <si>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</si>
  <si>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</si>
  <si>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</si>
  <si>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</si>
  <si>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</si>
  <si>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</si>
  <si>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</si>
  <si>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</si>
  <si>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</si>
  <si>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</si>
  <si>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</si>
  <si>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</si>
  <si>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</si>
  <si>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</si>
  <si>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</si>
  <si>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</si>
  <si>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</si>
  <si>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</si>
  <si>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</si>
  <si>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</si>
  <si>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</si>
  <si>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</si>
  <si>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</si>
  <si>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</si>
  <si>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</si>
  <si>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</si>
  <si>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L000011242_IO</t>
  </si>
  <si>
    <t>H000002956</t>
  </si>
  <si>
    <t>H000002954</t>
  </si>
  <si>
    <t>DFLTPGCOH_T-01_001777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</si>
</sst>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4.895352777778" createdVersion="7" refreshedVersion="7" minRefreshableVersion="3" recordCount="4583" xr:uid="{11839AE3-6158-4318-87AD-2C711D0BF451}">
  <cacheSource type="worksheet">
    <worksheetSource name="Proc"/>
  </cacheSource>
  <cacheFields count="19">
    <cacheField name="App" numFmtId="0">
      <sharedItems containsBlank="1" count="159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1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8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9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2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0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9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9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8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8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4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4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4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4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4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4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4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4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4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4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4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4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64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4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4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4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4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4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4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4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4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4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4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4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4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4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4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4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4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4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4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4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4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4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4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4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4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4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4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4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4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4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4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4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4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4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4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4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4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4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4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4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4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4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4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4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4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4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4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4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4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4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4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4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4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4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4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4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4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4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4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4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4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4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4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4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4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4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4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4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4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4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4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4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4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4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4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4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4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4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4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4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4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4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4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4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4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4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4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4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4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4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4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4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4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64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4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1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1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1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1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1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1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1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1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1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1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1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0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0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9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9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9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9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9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9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9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8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8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8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7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7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7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7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7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7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7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7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7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7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7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7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7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7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7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7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7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7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7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7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7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7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7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7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7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7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7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7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7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7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7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7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7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7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7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7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7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7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6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6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6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6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6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6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6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5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5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5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5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5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5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5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5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4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4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4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4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4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4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4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4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4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4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4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4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1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1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1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1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1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1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1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1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1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1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1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1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1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1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0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0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0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0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0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9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9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9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9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9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9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9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9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9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9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9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9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9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9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9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9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9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9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9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9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9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9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9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9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9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9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9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9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9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9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9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9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9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9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9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9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9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9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9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9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9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9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9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9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9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9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9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9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9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9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9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9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9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9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9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9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9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9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9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9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9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9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9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9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9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9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9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9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9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9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9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9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9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9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9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9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9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9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9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9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9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9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9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9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9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9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9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9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9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9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9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9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9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9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9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9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9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9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9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9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9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9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9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9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9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9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9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9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9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9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9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9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9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9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9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9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9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9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9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9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9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9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9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9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9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9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9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9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7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7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7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7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7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7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7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7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7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7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7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7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7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7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7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7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6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6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5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5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45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5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5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5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5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45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5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5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45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45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45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5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5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45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5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5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4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4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4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4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4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4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4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4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4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4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4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4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4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4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4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4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4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4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4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4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4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4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4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4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4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4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4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4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4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4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4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4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4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4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4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4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4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4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4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4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4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4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4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4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4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4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4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4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4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4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4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4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4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4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4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4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4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4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4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4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4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4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4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4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4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4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4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4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4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4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4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4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4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4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4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4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4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4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4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4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4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4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4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4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4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4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4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4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4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4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4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4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4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4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4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4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4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4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4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4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4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4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4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4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4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4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4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4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4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4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4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4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4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4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4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0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0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0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0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0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0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0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0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0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0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0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0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9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9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9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9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9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9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9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9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9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9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9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9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9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9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9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9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9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9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9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9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9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9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9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9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9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9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9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9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9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6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6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6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6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6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6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6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6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6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5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4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4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4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4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4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4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3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3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3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3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3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3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3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2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2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2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2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2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2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2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2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2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2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2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2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1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1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1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1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1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1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1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1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1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1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1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1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8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8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8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8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8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8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8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8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8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8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8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8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8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8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8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8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8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8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8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8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8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8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8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8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8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8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7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7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7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7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7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7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7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7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4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3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3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3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3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3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3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21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1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1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1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1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1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1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1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1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21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21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1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1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1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1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1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1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1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1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1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1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1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9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9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9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9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9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9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9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9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9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9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9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9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9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9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9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9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9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7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7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7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7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2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2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2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2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2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1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1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6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0"/>
    <n v="5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0"/>
    <n v="5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0"/>
    <n v="5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0"/>
    <n v="5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0"/>
    <n v="5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0"/>
    <n v="5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0"/>
    <n v="5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0"/>
    <n v="5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0"/>
    <n v="5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0"/>
    <n v="5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0"/>
    <n v="5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0"/>
    <n v="5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0"/>
    <n v="5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0"/>
    <n v="5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0"/>
    <n v="5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0"/>
    <n v="5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0"/>
    <n v="5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0"/>
    <n v="5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0"/>
    <n v="5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0"/>
    <n v="5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0"/>
    <n v="5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0"/>
    <n v="5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0"/>
    <n v="5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0"/>
    <n v="5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0"/>
    <n v="5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0"/>
    <n v="5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0"/>
    <n v="5"/>
    <s v="Yulia Glazyrina"/>
    <m/>
  </r>
  <r>
    <x v="405"/>
    <x v="1"/>
    <x v="2"/>
    <s v="CTEMPEU_1000PL80GHR227"/>
    <s v="G000001445"/>
    <s v="G000001445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TEMPEU_1000PL80GFO016"/>
    <s v="G000001447"/>
    <s v="G000001447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TEMPEU_1000PL80GFO025"/>
    <s v="G000001445"/>
    <s v="G000001445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TEMPNA_1000PH80GFO123"/>
    <s v="G000001445"/>
    <s v="G000001445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TEMPNA_1000PH80GFO003"/>
    <s v="G000001447"/>
    <s v="G000001447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TEMPNA_1000PH80GFO043"/>
    <s v="G000001445"/>
    <s v="G000001445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EMERAL_70006502ID6502"/>
    <s v="G000001445"/>
    <s v="G000001445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LFF_1000$$$IT50YIT001"/>
    <s v="G000001378"/>
    <s v="G000001378"/>
    <s v="LFF (MDG-F)"/>
    <s v="IT50YIT001"/>
    <m/>
    <b v="1"/>
    <x v="0"/>
    <x v="0"/>
    <d v="2025-10-28T00:00:00"/>
    <m/>
    <m/>
    <x v="0"/>
    <n v="4"/>
    <s v="Jay-R Lizardo"/>
    <m/>
  </r>
  <r>
    <x v="405"/>
    <x v="1"/>
    <x v="2"/>
    <s v="CTEMPEU_1000FR40701604"/>
    <s v="G000001449"/>
    <s v="G000001449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LFF_1000$$$DE10GIT04K"/>
    <s v="G000001446"/>
    <s v="G000001446"/>
    <s v="LFF (MDG-F)"/>
    <s v="DE10GIT04K"/>
    <m/>
    <b v="1"/>
    <x v="0"/>
    <x v="0"/>
    <d v="2025-10-28T00:00:00"/>
    <m/>
    <m/>
    <x v="0"/>
    <n v="4"/>
    <s v="Jay-R Lizardo"/>
    <m/>
  </r>
  <r>
    <x v="405"/>
    <x v="1"/>
    <x v="2"/>
    <s v="CLFF_1000$$$DE10638210"/>
    <s v="G000001449"/>
    <s v="G000001449"/>
    <s v="LFF (MDG-F)"/>
    <s v="DE10638210"/>
    <m/>
    <b v="1"/>
    <x v="0"/>
    <x v="0"/>
    <d v="2025-10-28T00:00:00"/>
    <m/>
    <m/>
    <x v="0"/>
    <n v="4"/>
    <s v="Jay-R Lizardo"/>
    <m/>
  </r>
  <r>
    <x v="405"/>
    <x v="1"/>
    <x v="6"/>
    <s v="CLFF_1000$$$DE10GIT101"/>
    <s v="G000001446"/>
    <s v="G000000893"/>
    <s v="LFF (MDG-F)"/>
    <s v="DE10GIT101"/>
    <m/>
    <b v="0"/>
    <x v="0"/>
    <x v="0"/>
    <d v="2025-10-28T00:00:00"/>
    <m/>
    <m/>
    <x v="0"/>
    <n v="4"/>
    <s v="Jay-R Lizardo"/>
    <m/>
  </r>
  <r>
    <x v="405"/>
    <x v="1"/>
    <x v="2"/>
    <s v="CLFF_1000$$$DE10GIT02K"/>
    <s v="G000001446"/>
    <s v="G000001446"/>
    <s v="LFF (MDG-F)"/>
    <s v="DE10GIT02K"/>
    <m/>
    <b v="1"/>
    <x v="0"/>
    <x v="0"/>
    <d v="2025-10-28T00:00:00"/>
    <m/>
    <m/>
    <x v="0"/>
    <n v="4"/>
    <s v="Jay-R Lizardo"/>
    <m/>
  </r>
  <r>
    <x v="405"/>
    <x v="1"/>
    <x v="2"/>
    <s v="CLFF_1000$$$DE10669638"/>
    <s v="G000001447"/>
    <s v="G000001447"/>
    <s v="LFF (MDG-F)"/>
    <s v="DE10669638"/>
    <m/>
    <b v="1"/>
    <x v="0"/>
    <x v="0"/>
    <d v="2025-10-28T00:00:00"/>
    <m/>
    <m/>
    <x v="0"/>
    <n v="4"/>
    <s v="Jay-R Lizardo"/>
    <m/>
  </r>
  <r>
    <x v="405"/>
    <x v="1"/>
    <x v="2"/>
    <s v="CLFF_1000$$$DE10669636"/>
    <s v="G000001445"/>
    <s v="G000001445"/>
    <s v="LFF (MDG-F)"/>
    <s v="DE10669636"/>
    <m/>
    <b v="1"/>
    <x v="0"/>
    <x v="0"/>
    <d v="2025-10-28T00:00:00"/>
    <m/>
    <m/>
    <x v="0"/>
    <n v="4"/>
    <s v="Jay-R Lizardo"/>
    <m/>
  </r>
  <r>
    <x v="405"/>
    <x v="1"/>
    <x v="2"/>
    <s v="CTEMPNA_1000US20CA8407"/>
    <s v="G000001445"/>
    <s v="G000001445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LFF_1000$$$CH65GIT20H"/>
    <s v="G000001378"/>
    <s v="G000001378"/>
    <s v="LFF (MDG-F)"/>
    <s v="CH65GIT20H"/>
    <m/>
    <b v="1"/>
    <x v="0"/>
    <x v="0"/>
    <d v="2025-10-28T00:00:00"/>
    <m/>
    <m/>
    <x v="0"/>
    <n v="4"/>
    <s v="Jay-R Lizardo"/>
    <m/>
  </r>
  <r>
    <x v="405"/>
    <x v="1"/>
    <x v="2"/>
    <s v="CNOW_7210$$$0000010260"/>
    <s v="G000001446"/>
    <s v="G000001446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NOW_7210$$$0000052358"/>
    <s v="G000000253"/>
    <s v="G000000253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LFF_7210$$$2123C00103"/>
    <s v="G000001445"/>
    <s v="G000001445"/>
    <s v="LFF (MDG-F)"/>
    <s v="2123C00103"/>
    <m/>
    <b v="1"/>
    <x v="0"/>
    <x v="0"/>
    <d v="2025-10-28T00:00:00"/>
    <m/>
    <m/>
    <x v="0"/>
    <n v="4"/>
    <s v="Jay-R Lizardo"/>
    <m/>
  </r>
  <r>
    <x v="405"/>
    <x v="1"/>
    <x v="2"/>
    <s v="CLFF_7210$$$2123GM1110"/>
    <s v="G000001445"/>
    <s v="G000001445"/>
    <s v="LFF (MDG-F)"/>
    <s v="2123GM1110"/>
    <m/>
    <b v="1"/>
    <x v="0"/>
    <x v="0"/>
    <d v="2025-10-28T00:00:00"/>
    <m/>
    <m/>
    <x v="0"/>
    <n v="4"/>
    <s v="Jay-R Lizardo"/>
    <m/>
  </r>
  <r>
    <x v="405"/>
    <x v="1"/>
    <x v="2"/>
    <s v="CLFF_7210$$$2123GMS050"/>
    <s v="G000001447"/>
    <s v="G000001447"/>
    <s v="LFF (MDG-F)"/>
    <s v="2123GMS050"/>
    <m/>
    <b v="1"/>
    <x v="0"/>
    <x v="0"/>
    <d v="2025-10-28T00:00:00"/>
    <m/>
    <m/>
    <x v="0"/>
    <n v="4"/>
    <s v="Jay-R Lizardo"/>
    <m/>
  </r>
  <r>
    <x v="405"/>
    <x v="1"/>
    <x v="2"/>
    <s v="CLFF_7210$$$2123GMS080"/>
    <s v="G000001447"/>
    <s v="G000001447"/>
    <s v="LFF (MDG-F)"/>
    <s v="2123GMS080"/>
    <m/>
    <b v="1"/>
    <x v="0"/>
    <x v="0"/>
    <d v="2025-10-28T00:00:00"/>
    <m/>
    <m/>
    <x v="0"/>
    <n v="4"/>
    <s v="Jay-R Lizardo"/>
    <m/>
  </r>
  <r>
    <x v="405"/>
    <x v="1"/>
    <x v="2"/>
    <s v="CLFF_7210$$$2123L50005"/>
    <s v="G000001445"/>
    <s v="G000001445"/>
    <s v="LFF (MDG-F)"/>
    <s v="2123L50005"/>
    <m/>
    <b v="1"/>
    <x v="0"/>
    <x v="0"/>
    <d v="2025-10-28T00:00:00"/>
    <m/>
    <m/>
    <x v="0"/>
    <n v="4"/>
    <s v="Jay-R Lizardo"/>
    <m/>
  </r>
  <r>
    <x v="405"/>
    <x v="1"/>
    <x v="2"/>
    <s v="CLFF_7210$$$2123OF0010"/>
    <s v="G000001445"/>
    <s v="G000001445"/>
    <s v="LFF (MDG-F)"/>
    <s v="2123OF0010"/>
    <m/>
    <b v="1"/>
    <x v="0"/>
    <x v="0"/>
    <d v="2025-10-28T00:00:00"/>
    <m/>
    <m/>
    <x v="0"/>
    <n v="4"/>
    <s v="Jay-R Lizardo"/>
    <m/>
  </r>
  <r>
    <x v="405"/>
    <x v="1"/>
    <x v="2"/>
    <s v="CLFF_7210$$$2123TPSZ93"/>
    <s v="G000001445"/>
    <s v="G000001445"/>
    <s v="LFF (MDG-F)"/>
    <s v="2123TPSZ93"/>
    <m/>
    <b v="1"/>
    <x v="0"/>
    <x v="0"/>
    <d v="2025-10-28T00:00:00"/>
    <m/>
    <m/>
    <x v="0"/>
    <n v="4"/>
    <s v="Jay-R Lizardo"/>
    <m/>
  </r>
  <r>
    <x v="405"/>
    <x v="1"/>
    <x v="2"/>
    <s v="CLFF_7210$$$2123TQJZ94"/>
    <s v="G000001445"/>
    <s v="G000001445"/>
    <s v="LFF (MDG-F)"/>
    <s v="2123TQJZ94"/>
    <m/>
    <b v="1"/>
    <x v="0"/>
    <x v="0"/>
    <d v="2025-10-28T00:00:00"/>
    <m/>
    <m/>
    <x v="0"/>
    <n v="4"/>
    <s v="Jay-R Lizardo"/>
    <m/>
  </r>
  <r>
    <x v="405"/>
    <x v="1"/>
    <x v="2"/>
    <s v="CLFF_7210$$$2123GIT134"/>
    <s v="G000001446"/>
    <s v="G000001446"/>
    <s v="LFF (MDG-F)"/>
    <s v="2123GIT134"/>
    <m/>
    <b v="1"/>
    <x v="0"/>
    <x v="0"/>
    <d v="2025-10-28T00:00:00"/>
    <m/>
    <m/>
    <x v="0"/>
    <n v="4"/>
    <s v="Jay-R Lizardo"/>
    <m/>
  </r>
  <r>
    <x v="405"/>
    <x v="1"/>
    <x v="2"/>
    <s v="CLFF_7210$$$2123YIT004"/>
    <s v="G000001445"/>
    <s v="G000001445"/>
    <s v="LFF (MDG-F)"/>
    <s v="2123YIT004"/>
    <m/>
    <b v="1"/>
    <x v="0"/>
    <x v="0"/>
    <d v="2025-10-28T00:00:00"/>
    <m/>
    <m/>
    <x v="0"/>
    <n v="4"/>
    <s v="Jay-R Lizardo"/>
    <m/>
  </r>
  <r>
    <x v="405"/>
    <x v="1"/>
    <x v="2"/>
    <s v="CLFF_7210$$$2123YIT005"/>
    <s v="G000001445"/>
    <s v="G000001445"/>
    <s v="LFF (MDG-F)"/>
    <s v="2123YIT005"/>
    <m/>
    <b v="1"/>
    <x v="0"/>
    <x v="0"/>
    <d v="2025-10-28T00:00:00"/>
    <m/>
    <m/>
    <x v="0"/>
    <n v="4"/>
    <s v="Jay-R Lizardo"/>
    <m/>
  </r>
  <r>
    <x v="405"/>
    <x v="1"/>
    <x v="2"/>
    <s v="CLFF_1000$$$DE10YIT016"/>
    <s v="G000001448"/>
    <s v="G000001448"/>
    <s v="LFF (MDG-F)"/>
    <s v="DE10YIT016"/>
    <m/>
    <b v="1"/>
    <x v="0"/>
    <x v="0"/>
    <d v="2025-10-28T00:00:00"/>
    <m/>
    <m/>
    <x v="0"/>
    <n v="4"/>
    <s v="Jay-R Lizardo"/>
    <m/>
  </r>
  <r>
    <x v="405"/>
    <x v="1"/>
    <x v="2"/>
    <s v="CLFF_7210$$$2123YIT008"/>
    <s v="G000001448"/>
    <s v="G000001448"/>
    <s v="LFF (MDG-F)"/>
    <s v="2123YIT008"/>
    <m/>
    <b v="1"/>
    <x v="0"/>
    <x v="0"/>
    <d v="2025-10-28T00:00:00"/>
    <m/>
    <m/>
    <x v="0"/>
    <n v="4"/>
    <s v="Jay-R Lizardo"/>
    <m/>
  </r>
  <r>
    <x v="405"/>
    <x v="1"/>
    <x v="2"/>
    <s v="CTEMPEU_1000PL80GIT004"/>
    <s v="G000001448"/>
    <s v="G000001448"/>
    <s v="Non-LFF"/>
    <s v=""/>
    <m/>
    <b v="1"/>
    <x v="0"/>
    <x v="0"/>
    <d v="2025-10-28T00:00:00"/>
    <m/>
    <m/>
    <x v="0"/>
    <n v="4"/>
    <s v="Jay-R Lizardo"/>
    <m/>
  </r>
  <r>
    <x v="405"/>
    <x v="1"/>
    <x v="2"/>
    <s v="CLFF_7210$$$2123YIT009"/>
    <s v="G000001449"/>
    <s v="G000001449"/>
    <s v="LFF (MDG-F)"/>
    <s v="2123YIT009"/>
    <m/>
    <b v="1"/>
    <x v="0"/>
    <x v="0"/>
    <d v="2025-10-28T00:00:00"/>
    <m/>
    <m/>
    <x v="0"/>
    <n v="4"/>
    <s v="Jay-R Lizardo"/>
    <m/>
  </r>
  <r>
    <x v="405"/>
    <x v="1"/>
    <x v="2"/>
    <s v="CTEMPEU_1000PL80YIT002"/>
    <s v="G000001449"/>
    <s v="G000001449"/>
    <s v="Non-LFF"/>
    <s v=""/>
    <m/>
    <b v="1"/>
    <x v="0"/>
    <x v="0"/>
    <d v="2025-10-28T00:00:00"/>
    <m/>
    <m/>
    <x v="0"/>
    <n v="4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0"/>
    <n v="4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0"/>
    <n v="4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0"/>
    <n v="4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0"/>
    <n v="4"/>
    <s v="Ruby Grace Garcia"/>
    <m/>
  </r>
  <r>
    <x v="407"/>
    <x v="1"/>
    <x v="5"/>
    <s v="ITEMPEU_003200004221 "/>
    <s v="L000011242"/>
    <s v="L000011242_IO"/>
    <s v="Non-LFF"/>
    <s v=""/>
    <m/>
    <b v="0"/>
    <x v="2"/>
    <x v="0"/>
    <d v="2025-10-29T00:00:00"/>
    <m/>
    <m/>
    <x v="0"/>
    <n v="3"/>
    <s v="Ruby Grace Garcia"/>
    <m/>
  </r>
  <r>
    <x v="408"/>
    <x v="1"/>
    <x v="3"/>
    <s v="ITEMPEU_001700006137"/>
    <s v="H000004596"/>
    <n v="0"/>
    <s v="Non-LFF"/>
    <s v=""/>
    <m/>
    <b v="0"/>
    <x v="1"/>
    <x v="0"/>
    <d v="2025-10-24T00:00:00"/>
    <m/>
    <m/>
    <x v="1"/>
    <n v="6"/>
    <s v="Anna Glab"/>
    <m/>
  </r>
  <r>
    <x v="408"/>
    <x v="1"/>
    <x v="3"/>
    <s v="ITEMPEU_001700006138"/>
    <s v="H000004597"/>
    <n v="0"/>
    <s v="Non-LFF"/>
    <s v=""/>
    <m/>
    <b v="0"/>
    <x v="1"/>
    <x v="0"/>
    <d v="2025-10-24T00:00:00"/>
    <m/>
    <m/>
    <x v="1"/>
    <n v="6"/>
    <s v="Anna Glab"/>
    <m/>
  </r>
  <r>
    <x v="409"/>
    <x v="1"/>
    <x v="5"/>
    <s v="PLEAN_X310801AE5013201 SP CONG/EVENTS-AE-SHARED"/>
    <s v="H000002956 "/>
    <s v="H000002956"/>
    <s v="Non-LFF"/>
    <s v=""/>
    <m/>
    <b v="0"/>
    <x v="1"/>
    <x v="0"/>
    <d v="2025-10-31T00:00:00"/>
    <m/>
    <m/>
    <x v="0"/>
    <n v="1"/>
    <s v="Niel Esto"/>
    <m/>
  </r>
  <r>
    <x v="409"/>
    <x v="1"/>
    <x v="5"/>
    <s v="PLEAN_X310801AE5030201 SP-REG-OTHER M&amp;S-ePIL Gulf"/>
    <s v="H000002954 "/>
    <s v="H000002954"/>
    <s v="Non-LFF"/>
    <s v=""/>
    <m/>
    <b v="0"/>
    <x v="1"/>
    <x v="0"/>
    <d v="2025-10-31T00:00:00"/>
    <m/>
    <m/>
    <x v="0"/>
    <n v="1"/>
    <s v="Niel Esto"/>
    <m/>
  </r>
  <r>
    <x v="409"/>
    <x v="1"/>
    <x v="2"/>
    <s v="PLEAN_X310801ZA5010501 SP PROM MAT-ZA-NDD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801ZA5015505 SP PROM OTHERS-ZA-SHARED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6"/>
    <s v="CLFF_1000$$$EG50Z01000 Auto Acc.assign OKB9"/>
    <s v="H000000263"/>
    <s v="DFLTPGCOH_T-01_001777"/>
    <s v="LFF (MDG-F)"/>
    <s v="EG50Z01000"/>
    <m/>
    <b v="0"/>
    <x v="1"/>
    <x v="0"/>
    <d v="2025-10-31T00:00:00"/>
    <m/>
    <m/>
    <x v="0"/>
    <n v="1"/>
    <s v="Niel Esto"/>
    <m/>
  </r>
  <r>
    <x v="409"/>
    <x v="1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201AE5015502 SP PROM OTHERS-EA-FERT"/>
    <s v="H000000277"/>
    <s v="H000000277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201ZA5010501 SP PROM MAT-ZA-FERT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201ZA5013501 SP COZA/EVENTS-ZA-FERT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301ZA5010501 SP PROM MAT-ZA-DIAB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301ZA5013502 SP COZA/EVENTS-ZA-DIAB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301ZA5015505 SP PROM OTHERS-ZA-DIAB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201ZA5015505 SP PROM OTHERS-ZA-FERT"/>
    <s v="H000000325"/>
    <s v="H000000325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0"/>
    <n v="1"/>
    <s v="Niel Esto"/>
    <m/>
  </r>
  <r>
    <x v="409"/>
    <x v="1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0"/>
    <n v="1"/>
    <s v="Niel Esto"/>
    <m/>
  </r>
  <r>
    <x v="410"/>
    <x v="1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872$100_C05"/>
    <s v="H000000224"/>
    <s v="H000000224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872$70_C56"/>
    <s v="H000000224"/>
    <s v="H000000224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GHTE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2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3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4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5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6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7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8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9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60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61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62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63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64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65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66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O454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O633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R111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R112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R113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E351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F916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C218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HACH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RADI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R109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CSCALA_1759$R110"/>
    <s v="H000003613"/>
    <s v="H000003613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0"/>
    <n v="1"/>
    <s v="Rayneil Reas"/>
    <m/>
  </r>
  <r>
    <x v="410"/>
    <x v="1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0"/>
    <n v="1"/>
    <s v="Rayneil Reas"/>
    <m/>
  </r>
  <r>
    <x v="411"/>
    <x v="1"/>
    <x v="6"/>
    <s v="CLFF_1000$$$CH01GFO001"/>
    <s v="G000000631"/>
    <s v="G000000630"/>
    <s v="LFF (MDG-F)"/>
    <s v="CH01GFO001"/>
    <m/>
    <b v="0"/>
    <x v="0"/>
    <x v="0"/>
    <d v="2025-10-31T00:00:00"/>
    <m/>
    <m/>
    <x v="0"/>
    <n v="1"/>
    <s v="Jojeff Tagnong"/>
    <m/>
  </r>
  <r>
    <x v="411"/>
    <x v="1"/>
    <x v="6"/>
    <s v="CLFF_1000$$$CH50GIT040"/>
    <s v="G000000631"/>
    <s v="G000000630"/>
    <s v="LFF (MDG-F)"/>
    <s v="CH50GIT040"/>
    <m/>
    <b v="0"/>
    <x v="0"/>
    <x v="0"/>
    <d v="2025-10-31T00:00:00"/>
    <m/>
    <m/>
    <x v="0"/>
    <n v="1"/>
    <s v="Jojeff Tagnong"/>
    <m/>
  </r>
  <r>
    <x v="411"/>
    <x v="1"/>
    <x v="6"/>
    <s v="CLFF_1000$$$CH50GM2100"/>
    <s v="G000000631"/>
    <s v="G000000630"/>
    <s v="LFF (MDG-F)"/>
    <s v="CH50GM2100"/>
    <m/>
    <b v="0"/>
    <x v="0"/>
    <x v="0"/>
    <d v="2025-10-31T00:00:00"/>
    <m/>
    <m/>
    <x v="0"/>
    <n v="1"/>
    <s v="Jojeff Tagnong"/>
    <m/>
  </r>
  <r>
    <x v="411"/>
    <x v="1"/>
    <x v="6"/>
    <s v="CLFF_1000$$$CH50GM2200"/>
    <s v="G000000631"/>
    <s v="G000000630"/>
    <s v="LFF (MDG-F)"/>
    <s v="CH50GM2200"/>
    <m/>
    <b v="0"/>
    <x v="0"/>
    <x v="0"/>
    <d v="2025-10-31T00:00:00"/>
    <m/>
    <m/>
    <x v="0"/>
    <n v="1"/>
    <s v="Jojeff Tagnong"/>
    <m/>
  </r>
  <r>
    <x v="411"/>
    <x v="1"/>
    <x v="6"/>
    <s v="CLFF_1000$$$CH50GM2201"/>
    <s v="G000000631"/>
    <s v="G000000630"/>
    <s v="LFF (MDG-F)"/>
    <s v="CH50GM2201"/>
    <m/>
    <b v="0"/>
    <x v="0"/>
    <x v="0"/>
    <d v="2025-10-31T00:00:00"/>
    <m/>
    <m/>
    <x v="0"/>
    <n v="1"/>
    <s v="Jojeff Tagnong"/>
    <m/>
  </r>
  <r>
    <x v="411"/>
    <x v="1"/>
    <x v="6"/>
    <s v="CLFF_1000$$$CH50L98043"/>
    <s v="G000000631"/>
    <s v="G000000630"/>
    <s v="LFF (MDG-F)"/>
    <s v="CH50L98043"/>
    <m/>
    <b v="0"/>
    <x v="0"/>
    <x v="0"/>
    <d v="2025-10-31T00:00:00"/>
    <m/>
    <m/>
    <x v="0"/>
    <n v="1"/>
    <s v="Jojeff Tagnong"/>
    <m/>
  </r>
  <r>
    <x v="411"/>
    <x v="1"/>
    <x v="6"/>
    <s v="CLFF_1000$$$CH65GIT022"/>
    <s v="G000000631"/>
    <s v="G000000630"/>
    <s v="LFF (MDG-F)"/>
    <s v="CH65GIT022"/>
    <m/>
    <b v="0"/>
    <x v="0"/>
    <x v="0"/>
    <d v="2025-10-31T00:00:00"/>
    <m/>
    <m/>
    <x v="0"/>
    <n v="1"/>
    <s v="Jojeff Tagnong"/>
    <m/>
  </r>
  <r>
    <x v="411"/>
    <x v="1"/>
    <x v="6"/>
    <s v="CLFF_1000$$$CH65GM2100"/>
    <s v="G000000631"/>
    <s v="G000000630"/>
    <s v="LFF (MDG-F)"/>
    <s v="CH65GM2100"/>
    <m/>
    <b v="0"/>
    <x v="0"/>
    <x v="0"/>
    <d v="2025-10-31T00:00:00"/>
    <m/>
    <m/>
    <x v="0"/>
    <n v="1"/>
    <s v="Jojeff Tagnong"/>
    <m/>
  </r>
  <r>
    <x v="411"/>
    <x v="1"/>
    <x v="6"/>
    <s v="CLFF_1000$$$CH65GM2201"/>
    <s v="G000000631"/>
    <s v="G000000630"/>
    <s v="LFF (MDG-F)"/>
    <s v="CH65GM2201"/>
    <m/>
    <b v="0"/>
    <x v="0"/>
    <x v="0"/>
    <d v="2025-10-31T00:00:00"/>
    <m/>
    <m/>
    <x v="0"/>
    <n v="1"/>
    <s v="Jojeff Tagnong"/>
    <m/>
  </r>
  <r>
    <x v="411"/>
    <x v="1"/>
    <x v="6"/>
    <s v="CLFF_1000$$$CH65GM4100"/>
    <s v="G000000631"/>
    <s v="G000000630"/>
    <s v="LFF (MDG-F)"/>
    <s v="CH65GM4100"/>
    <m/>
    <b v="0"/>
    <x v="0"/>
    <x v="0"/>
    <d v="2025-10-31T00:00:00"/>
    <m/>
    <m/>
    <x v="0"/>
    <n v="1"/>
    <s v="Jojeff Tagnong"/>
    <m/>
  </r>
  <r>
    <x v="411"/>
    <x v="1"/>
    <x v="6"/>
    <s v="CLFF_1000$$$CH75GIT040"/>
    <s v="G000000631"/>
    <s v="G000000630"/>
    <s v="LFF (MDG-F)"/>
    <s v="CH75GIT040"/>
    <m/>
    <b v="0"/>
    <x v="0"/>
    <x v="0"/>
    <d v="2025-10-31T00:00:00"/>
    <m/>
    <m/>
    <x v="0"/>
    <n v="1"/>
    <s v="Jojeff Tagnong"/>
    <m/>
  </r>
  <r>
    <x v="411"/>
    <x v="1"/>
    <x v="6"/>
    <s v="CLFF_1000$$$CH75GM2100"/>
    <s v="G000000631"/>
    <s v="G000000630"/>
    <s v="LFF (MDG-F)"/>
    <s v="CH75GM2100"/>
    <m/>
    <b v="0"/>
    <x v="0"/>
    <x v="0"/>
    <d v="2025-10-31T00:00:00"/>
    <m/>
    <m/>
    <x v="0"/>
    <n v="1"/>
    <s v="Jojeff Tagnong"/>
    <m/>
  </r>
  <r>
    <x v="411"/>
    <x v="1"/>
    <x v="6"/>
    <s v="CLFF_1000$$$CH75GM2200"/>
    <s v="G000000631"/>
    <s v="G000000630"/>
    <s v="LFF (MDG-F)"/>
    <s v="CH75GM2200"/>
    <m/>
    <b v="0"/>
    <x v="0"/>
    <x v="0"/>
    <d v="2025-10-31T00:00:00"/>
    <m/>
    <m/>
    <x v="0"/>
    <n v="1"/>
    <s v="Jojeff Tagnong"/>
    <m/>
  </r>
  <r>
    <x v="411"/>
    <x v="1"/>
    <x v="6"/>
    <s v="CLFF_1000$$$CH81GM2100"/>
    <s v="G000000631"/>
    <s v="G000000630"/>
    <s v="LFF (MDG-F)"/>
    <s v="CH81GM2100"/>
    <m/>
    <b v="0"/>
    <x v="0"/>
    <x v="0"/>
    <d v="2025-10-31T00:00:00"/>
    <m/>
    <m/>
    <x v="0"/>
    <n v="1"/>
    <s v="Jojeff Tagnong"/>
    <m/>
  </r>
  <r>
    <x v="411"/>
    <x v="1"/>
    <x v="6"/>
    <s v="CLFF_1000$$$CH82GM2100"/>
    <s v="G000000631"/>
    <s v="G000000630"/>
    <s v="LFF (MDG-F)"/>
    <s v="CH82GM2100"/>
    <m/>
    <b v="0"/>
    <x v="0"/>
    <x v="0"/>
    <d v="2025-10-31T00:00:00"/>
    <m/>
    <m/>
    <x v="0"/>
    <n v="1"/>
    <s v="Jojeff Tagnong"/>
    <m/>
  </r>
  <r>
    <x v="411"/>
    <x v="1"/>
    <x v="6"/>
    <s v="CLFF_1000$$$CH82GM2200"/>
    <s v="G000000631"/>
    <s v="G000000630"/>
    <s v="LFF (MDG-F)"/>
    <s v="CH82GM2200"/>
    <m/>
    <b v="0"/>
    <x v="0"/>
    <x v="0"/>
    <d v="2025-10-31T00:00:00"/>
    <m/>
    <m/>
    <x v="0"/>
    <n v="1"/>
    <s v="Jojeff Tagnong"/>
    <m/>
  </r>
  <r>
    <x v="411"/>
    <x v="1"/>
    <x v="2"/>
    <s v="CNOW_7210$$$0000051902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2"/>
    <s v="CNOW_7210$$$0000056400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2"/>
    <s v="CNOW_7210$$$0000056407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2"/>
    <s v="CNOW_7210$$$0000056440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2"/>
    <s v="CNOW_7210$$$0000056480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2"/>
    <s v="CNOW_7210$$$0000056971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2"/>
    <s v="CTEMPEU_1000CH70AD1L90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2"/>
    <s v="CTEMPEU_1000CH70ADF100"/>
    <s v="G000000631"/>
    <s v="G000000631"/>
    <s v="Non-LFF"/>
    <s v=""/>
    <m/>
    <b v="1"/>
    <x v="0"/>
    <x v="0"/>
    <d v="2025-10-31T00:00:00"/>
    <m/>
    <m/>
    <x v="0"/>
    <n v="1"/>
    <s v="Jojeff Tagnong"/>
    <m/>
  </r>
  <r>
    <x v="411"/>
    <x v="1"/>
    <x v="6"/>
    <s v="CLFF_1000$$$CH01GFO000 FO-CFO"/>
    <s v="G000000631"/>
    <s v="G000000630"/>
    <s v="LFF (MDG-F)"/>
    <s v="CH01GFO000"/>
    <m/>
    <b v="0"/>
    <x v="0"/>
    <x v="0"/>
    <d v="2025-10-31T00:00:00"/>
    <m/>
    <m/>
    <x v="0"/>
    <n v="1"/>
    <s v="Jojeff Tagnong"/>
    <m/>
  </r>
  <r>
    <x v="411"/>
    <x v="1"/>
    <x v="6"/>
    <s v="CLFF_1000$$$CH65GM2200 Finance Reporting,Compliance&amp;Controlling"/>
    <s v="G000000631"/>
    <s v="G000000630"/>
    <s v="LFF (MDG-F)"/>
    <s v="CH65GM2200"/>
    <m/>
    <b v="0"/>
    <x v="0"/>
    <x v="0"/>
    <d v="2025-10-31T00:00:00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1"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5" firstHeaderRow="1" firstDataRow="1" firstDataCol="1" rowPageCount="1" colPageCount="1"/>
  <pivotFields count="19">
    <pivotField axis="axisRow" showAll="0" sortType="ascending">
      <items count="1594">
        <item m="1" x="978"/>
        <item x="0"/>
        <item m="1" x="1048"/>
        <item m="1" x="1469"/>
        <item m="1" x="631"/>
        <item m="1" x="1486"/>
        <item m="1" x="1008"/>
        <item m="1" x="1098"/>
        <item m="1" x="1519"/>
        <item m="1" x="1313"/>
        <item m="1" x="1001"/>
        <item m="1" x="1585"/>
        <item m="1" x="1331"/>
        <item m="1" x="1575"/>
        <item m="1" x="949"/>
        <item m="1" x="850"/>
        <item m="1" x="554"/>
        <item m="1" x="815"/>
        <item m="1" x="1539"/>
        <item m="1" x="607"/>
        <item m="1" x="915"/>
        <item m="1" x="1283"/>
        <item m="1" x="998"/>
        <item m="1" x="1091"/>
        <item m="1" x="1387"/>
        <item m="1" x="1572"/>
        <item m="1" x="1033"/>
        <item m="1" x="1055"/>
        <item m="1" x="820"/>
        <item m="1" x="1221"/>
        <item m="1" x="980"/>
        <item m="1" x="1526"/>
        <item m="1" x="1183"/>
        <item m="1" x="616"/>
        <item m="1" x="724"/>
        <item m="1" x="1511"/>
        <item m="1" x="1275"/>
        <item m="1" x="529"/>
        <item m="1" x="1361"/>
        <item m="1" x="1027"/>
        <item m="1" x="1322"/>
        <item m="1" x="908"/>
        <item m="1" x="1260"/>
        <item m="1" x="519"/>
        <item m="1" x="549"/>
        <item m="1" x="1588"/>
        <item m="1" x="1267"/>
        <item m="1" x="1335"/>
        <item m="1" x="1442"/>
        <item m="1" x="1211"/>
        <item m="1" x="1309"/>
        <item m="1" x="1148"/>
        <item m="1" x="603"/>
        <item m="1" x="794"/>
        <item m="1" x="1570"/>
        <item m="1" x="1138"/>
        <item m="1" x="1278"/>
        <item m="1" x="806"/>
        <item m="1" x="767"/>
        <item m="1" x="1059"/>
        <item m="1" x="951"/>
        <item m="1" x="984"/>
        <item m="1" x="543"/>
        <item m="1" x="682"/>
        <item m="1" x="1344"/>
        <item m="1" x="1561"/>
        <item m="1" x="747"/>
        <item m="1" x="1152"/>
        <item m="1" x="1162"/>
        <item m="1" x="1339"/>
        <item m="1" x="1449"/>
        <item m="1" x="1327"/>
        <item m="1" x="622"/>
        <item m="1" x="1470"/>
        <item m="1" x="1200"/>
        <item m="1" x="1187"/>
        <item m="1" x="722"/>
        <item m="1" x="1075"/>
        <item m="1" x="1422"/>
        <item m="1" x="540"/>
        <item m="1" x="1119"/>
        <item m="1" x="1472"/>
        <item m="1" x="1310"/>
        <item m="1" x="1045"/>
        <item m="1" x="1087"/>
        <item m="1" x="968"/>
        <item m="1" x="1203"/>
        <item m="1" x="1015"/>
        <item m="1" x="1247"/>
        <item m="1" x="731"/>
        <item m="1" x="1560"/>
        <item m="1" x="1085"/>
        <item m="1" x="1371"/>
        <item m="1" x="448"/>
        <item m="1" x="1576"/>
        <item m="1" x="1112"/>
        <item m="1" x="1401"/>
        <item m="1" x="1314"/>
        <item m="1" x="1092"/>
        <item m="1" x="602"/>
        <item m="1" x="609"/>
        <item m="1" x="649"/>
        <item m="1" x="831"/>
        <item m="1" x="1255"/>
        <item m="1" x="1016"/>
        <item m="1" x="1132"/>
        <item m="1" x="1195"/>
        <item m="1" x="1342"/>
        <item m="1" x="1425"/>
        <item m="1" x="987"/>
        <item m="1" x="708"/>
        <item m="1" x="551"/>
        <item m="1" x="694"/>
        <item m="1" x="1569"/>
        <item m="1" x="726"/>
        <item m="1" x="1407"/>
        <item m="1" x="1336"/>
        <item m="1" x="954"/>
        <item m="1" x="1026"/>
        <item m="1" x="892"/>
        <item m="1" x="1149"/>
        <item m="1" x="1524"/>
        <item m="1" x="700"/>
        <item m="1" x="648"/>
        <item m="1" x="583"/>
        <item m="1" x="1249"/>
        <item m="1" x="1509"/>
        <item m="1" x="1437"/>
        <item m="1" x="1094"/>
        <item m="1" x="618"/>
        <item m="1" x="1343"/>
        <item m="1" x="795"/>
        <item m="1" x="1049"/>
        <item m="1" x="1224"/>
        <item m="1" x="1332"/>
        <item m="1" x="452"/>
        <item m="1" x="1281"/>
        <item m="1" x="1244"/>
        <item m="1" x="685"/>
        <item m="1" x="1133"/>
        <item m="1" x="1021"/>
        <item m="1" x="974"/>
        <item m="1" x="707"/>
        <item m="1" x="643"/>
        <item m="1" x="883"/>
        <item m="1" x="1070"/>
        <item m="1" x="477"/>
        <item m="1" x="816"/>
        <item m="1" x="675"/>
        <item m="1" x="417"/>
        <item m="1" x="927"/>
        <item m="1" x="1128"/>
        <item m="1" x="1010"/>
        <item m="1" x="1056"/>
        <item m="1" x="1375"/>
        <item m="1" x="957"/>
        <item m="1" x="1483"/>
        <item m="1" x="1207"/>
        <item m="1" x="1146"/>
        <item m="1" x="660"/>
        <item m="1" x="1293"/>
        <item m="1" x="1571"/>
        <item m="1" x="1259"/>
        <item m="1" x="1243"/>
        <item m="1" x="530"/>
        <item m="1" x="578"/>
        <item m="1" x="1113"/>
        <item m="1" x="619"/>
        <item m="1" x="1556"/>
        <item m="1" x="1222"/>
        <item m="1" x="1147"/>
        <item m="1" x="1099"/>
        <item m="1" x="900"/>
        <item m="1" x="528"/>
        <item m="1" x="628"/>
        <item m="1" x="734"/>
        <item m="1" x="1467"/>
        <item m="1" x="1499"/>
        <item m="1" x="1198"/>
        <item m="1" x="925"/>
        <item m="1" x="1013"/>
        <item m="1" x="523"/>
        <item m="1" x="563"/>
        <item m="1" x="902"/>
        <item m="1" x="1127"/>
        <item m="1" x="1040"/>
        <item m="1" x="698"/>
        <item m="1" x="931"/>
        <item m="1" x="645"/>
        <item m="1" x="840"/>
        <item m="1" x="762"/>
        <item m="1" x="597"/>
        <item m="1" x="733"/>
        <item m="1" x="1103"/>
        <item m="1" x="513"/>
        <item m="1" x="752"/>
        <item m="1" x="544"/>
        <item m="1" x="1237"/>
        <item m="1" x="1426"/>
        <item m="1" x="1036"/>
        <item m="1" x="680"/>
        <item m="1" x="1330"/>
        <item m="1" x="1175"/>
        <item m="1" x="692"/>
        <item m="1" x="693"/>
        <item m="1" x="878"/>
        <item m="1" x="568"/>
        <item m="1" x="757"/>
        <item m="1" x="552"/>
        <item m="1" x="738"/>
        <item m="1" x="1306"/>
        <item m="1" x="817"/>
        <item m="1" x="1184"/>
        <item m="1" x="1234"/>
        <item m="1" x="1368"/>
        <item m="1" x="1372"/>
        <item m="1" x="1089"/>
        <item m="1" x="930"/>
        <item m="1" x="969"/>
        <item m="1" x="1536"/>
        <item m="1" x="829"/>
        <item m="1" x="641"/>
        <item m="1" x="1019"/>
        <item m="1" x="476"/>
        <item m="1" x="1540"/>
        <item m="1" x="1003"/>
        <item m="1" x="437"/>
        <item m="1" x="1458"/>
        <item m="1" x="1501"/>
        <item m="1" x="1338"/>
        <item m="1" x="715"/>
        <item m="1" x="454"/>
        <item m="1" x="1388"/>
        <item m="1" x="779"/>
        <item m="1" x="415"/>
        <item m="1" x="1559"/>
        <item m="1" x="803"/>
        <item m="1" x="958"/>
        <item m="1" x="1403"/>
        <item m="1" x="490"/>
        <item m="1" x="1315"/>
        <item m="1" x="1123"/>
        <item m="1" x="988"/>
        <item m="1" x="858"/>
        <item m="1" x="605"/>
        <item m="1" x="1106"/>
        <item m="1" x="808"/>
        <item m="1" x="1346"/>
        <item m="1" x="668"/>
        <item m="1" x="1416"/>
        <item m="1" x="1423"/>
        <item m="1" x="1107"/>
        <item m="1" x="1297"/>
        <item m="1" x="714"/>
        <item m="1" x="1011"/>
        <item m="1" x="1300"/>
        <item m="1" x="884"/>
        <item m="1" x="1174"/>
        <item m="1" x="813"/>
        <item m="1" x="598"/>
        <item m="1" x="802"/>
        <item m="1" x="1568"/>
        <item m="1" x="1510"/>
        <item m="1" x="655"/>
        <item m="1" x="1456"/>
        <item m="1" x="462"/>
        <item m="1" x="1478"/>
        <item m="1" x="497"/>
        <item m="1" x="799"/>
        <item m="1" x="897"/>
        <item m="1" x="844"/>
        <item m="1" x="1451"/>
        <item m="1" x="1354"/>
        <item m="1" x="595"/>
        <item m="1" x="1165"/>
        <item m="1" x="1373"/>
        <item m="1" x="1507"/>
        <item m="1" x="1414"/>
        <item m="1" x="500"/>
        <item m="1" x="1580"/>
        <item m="1" x="651"/>
        <item m="1" x="932"/>
        <item m="1" x="1376"/>
        <item m="1" x="499"/>
        <item m="1" x="1435"/>
        <item m="1" x="664"/>
        <item m="1" x="1308"/>
        <item m="1" x="1172"/>
        <item m="1" x="1150"/>
        <item m="1" x="729"/>
        <item m="1" x="691"/>
        <item m="1" x="1503"/>
        <item m="1" x="444"/>
        <item m="1" x="626"/>
        <item m="1" x="1285"/>
        <item m="1" x="1396"/>
        <item m="1" x="1323"/>
        <item m="1" x="1527"/>
        <item m="1" x="1031"/>
        <item m="1" x="658"/>
        <item m="1" x="778"/>
        <item m="1" x="1097"/>
        <item m="1" x="839"/>
        <item m="1" x="1167"/>
        <item m="1" x="780"/>
        <item m="1" x="582"/>
        <item m="1" x="1235"/>
        <item m="1" x="637"/>
        <item m="1" x="517"/>
        <item m="1" x="1369"/>
        <item m="1" x="1516"/>
        <item m="1" x="1217"/>
        <item m="1" x="482"/>
        <item m="1" x="1408"/>
        <item m="1" x="1206"/>
        <item m="1" x="1316"/>
        <item m="1" x="1455"/>
        <item m="1" x="683"/>
        <item m="1" x="875"/>
        <item m="1" x="713"/>
        <item m="1" x="981"/>
        <item m="1" x="905"/>
        <item m="1" x="935"/>
        <item m="1" x="1471"/>
        <item m="1" x="917"/>
        <item m="1" x="1120"/>
        <item m="1" x="652"/>
        <item m="1" x="851"/>
        <item m="1" x="825"/>
        <item m="1" x="1168"/>
        <item m="1" x="1071"/>
        <item m="1" x="1299"/>
        <item m="1" x="821"/>
        <item m="1" x="1457"/>
        <item m="1" x="659"/>
        <item m="1" x="585"/>
        <item m="1" x="841"/>
        <item m="1" x="1382"/>
        <item m="1" x="492"/>
        <item m="1" x="493"/>
        <item m="1" x="789"/>
        <item m="1" x="1462"/>
        <item m="1" x="856"/>
        <item m="1" x="501"/>
        <item m="1" x="661"/>
        <item m="1" x="903"/>
        <item m="1" x="1214"/>
        <item m="1" x="1186"/>
        <item m="1" x="857"/>
        <item m="1" x="438"/>
        <item m="1" x="576"/>
        <item m="1" x="788"/>
        <item m="1" x="676"/>
        <item m="1" x="433"/>
        <item m="1" x="1386"/>
        <item m="1" x="1515"/>
        <item m="1" x="985"/>
        <item m="1" x="1415"/>
        <item m="1" x="1475"/>
        <item m="1" x="498"/>
        <item m="1" x="1513"/>
        <item m="1" x="1251"/>
        <item m="1" x="674"/>
        <item m="1" x="860"/>
        <item m="1" x="764"/>
        <item m="1" x="1126"/>
        <item m="1" x="697"/>
        <item m="1" x="913"/>
        <item m="1" x="1208"/>
        <item m="1" x="1333"/>
        <item m="1" x="836"/>
        <item m="1" x="964"/>
        <item m="1" x="776"/>
        <item m="1" x="702"/>
        <item m="1" x="1213"/>
        <item m="1" x="1328"/>
        <item m="1" x="1490"/>
        <item m="1" x="532"/>
        <item m="1" x="736"/>
        <item m="1" x="1176"/>
        <item m="1" x="577"/>
        <item m="1" x="864"/>
        <item m="1" x="1245"/>
        <item m="1" x="510"/>
        <item m="1" x="720"/>
        <item m="1" x="830"/>
        <item m="1" x="1436"/>
        <item m="1" x="669"/>
        <item m="1" x="939"/>
        <item m="1" x="1492"/>
        <item m="1" x="620"/>
        <item m="1" x="809"/>
        <item m="1" x="997"/>
        <item m="1" x="1334"/>
        <item m="1" x="632"/>
        <item m="1" x="888"/>
        <item m="1" x="730"/>
        <item m="1" x="1226"/>
        <item m="1" x="1412"/>
        <item m="1" x="538"/>
        <item m="1" x="758"/>
        <item m="1" x="1494"/>
        <item m="1" x="1459"/>
        <item m="1" x="559"/>
        <item m="1" x="876"/>
        <item m="1" x="1400"/>
        <item m="1" x="1531"/>
        <item m="1" x="1402"/>
        <item m="1" x="1377"/>
        <item m="1" x="508"/>
        <item m="1" x="684"/>
        <item m="1" x="766"/>
        <item m="1" x="755"/>
        <item m="1" x="982"/>
        <item m="1" x="470"/>
        <item m="1" x="1169"/>
        <item m="1" x="1240"/>
        <item m="1" x="422"/>
        <item m="1" x="1500"/>
        <item m="1" x="1362"/>
        <item m="1" x="1491"/>
        <item m="1" x="1521"/>
        <item m="1" x="1557"/>
        <item m="1" x="1495"/>
        <item m="1" x="859"/>
        <item m="1" x="1219"/>
        <item m="1" x="826"/>
        <item m="1" x="1232"/>
        <item m="1" x="1197"/>
        <item m="1" x="635"/>
        <item m="1" x="673"/>
        <item m="1" x="811"/>
        <item m="1" x="1276"/>
        <item m="1" x="796"/>
        <item m="1" x="542"/>
        <item m="1" x="1541"/>
        <item m="1" x="1291"/>
        <item m="1" x="1124"/>
        <item m="1" x="1156"/>
        <item m="1" x="1205"/>
        <item m="1" x="630"/>
        <item m="1" x="972"/>
        <item m="1" x="1317"/>
        <item m="1" x="468"/>
        <item m="1" x="711"/>
        <item m="1" x="611"/>
        <item m="1" x="608"/>
        <item m="1" x="612"/>
        <item m="1" x="413"/>
        <item m="1" x="634"/>
        <item m="1" x="1431"/>
        <item m="1" x="435"/>
        <item m="1" x="1081"/>
        <item m="1" x="1518"/>
        <item m="1" x="1329"/>
        <item m="1" x="589"/>
        <item m="1" x="1589"/>
        <item m="1" x="518"/>
        <item m="1" x="885"/>
        <item m="1" x="1108"/>
        <item m="1" x="564"/>
        <item m="1" x="1017"/>
        <item m="1" x="1177"/>
        <item m="1" x="1445"/>
        <item m="1" x="1347"/>
        <item m="1" x="426"/>
        <item m="1" x="1109"/>
        <item m="1" x="509"/>
        <item m="1" x="745"/>
        <item m="1" x="717"/>
        <item m="1" x="479"/>
        <item m="1" x="1072"/>
        <item m="1" x="1079"/>
        <item m="1" x="1179"/>
        <item m="1" x="928"/>
        <item m="1" x="1428"/>
        <item m="1" x="837"/>
        <item m="1" x="1547"/>
        <item m="1" x="1182"/>
        <item m="1" x="1073"/>
        <item m="1" x="737"/>
        <item m="1" x="1145"/>
        <item m="1" x="1443"/>
        <item m="1" x="1508"/>
        <item m="1" x="1487"/>
        <item m="1" x="1417"/>
        <item m="1" x="1166"/>
        <item m="1" x="1279"/>
        <item m="1" x="792"/>
        <item m="1" x="1241"/>
        <item m="1" x="1066"/>
        <item m="1" x="1025"/>
        <item m="1" x="1023"/>
        <item m="1" x="1024"/>
        <item m="1" x="721"/>
        <item m="1" x="765"/>
        <item m="1" x="1378"/>
        <item m="1" x="943"/>
        <item m="1" x="785"/>
        <item m="1" x="827"/>
        <item m="1" x="873"/>
        <item m="1" x="1125"/>
        <item m="1" x="1463"/>
        <item m="1" x="1552"/>
        <item m="1" x="670"/>
        <item m="1" x="621"/>
        <item m="1" x="458"/>
        <item m="1" x="480"/>
        <item m="1" x="777"/>
        <item m="1" x="565"/>
        <item m="1" x="893"/>
        <item m="1" x="1429"/>
        <item m="1" x="770"/>
        <item m="1" x="562"/>
        <item m="1" x="1321"/>
        <item m="1" x="439"/>
        <item m="1" x="1447"/>
        <item m="1" x="1522"/>
        <item m="1" x="1586"/>
        <item m="1" x="1461"/>
        <item m="1" x="704"/>
        <item m="1" x="481"/>
        <item m="1" x="945"/>
        <item m="1" x="1029"/>
        <item m="1" x="1225"/>
        <item m="1" x="1193"/>
        <item m="1" x="1229"/>
        <item m="1" x="1006"/>
        <item m="1" x="1044"/>
        <item m="1" x="1485"/>
        <item m="1" x="1248"/>
        <item m="1" x="1218"/>
        <item m="1" x="1157"/>
        <item m="1" x="1230"/>
        <item m="1" x="431"/>
        <item m="1" x="436"/>
        <item m="1" x="1039"/>
        <item m="1" x="1424"/>
        <item m="1" x="994"/>
        <item m="1" x="1564"/>
        <item m="1" x="963"/>
        <item m="1" x="1139"/>
        <item m="1" x="1210"/>
        <item m="1" x="824"/>
        <item m="1" x="656"/>
        <item m="1" x="1032"/>
        <item m="1" x="718"/>
        <item m="1" x="1573"/>
        <item m="1" x="1488"/>
        <item m="1" x="1301"/>
        <item m="1" x="558"/>
        <item m="1" x="485"/>
        <item m="1" x="1058"/>
        <item m="1" x="1302"/>
        <item m="1" x="1591"/>
        <item m="1" x="937"/>
        <item m="1" x="1538"/>
        <item m="1" x="472"/>
        <item m="1" x="586"/>
        <item m="1" x="898"/>
        <item m="1" x="989"/>
        <item m="1" x="1418"/>
        <item m="1" x="742"/>
        <item m="1" x="1421"/>
        <item m="1" x="838"/>
        <item m="1" x="1410"/>
        <item m="1" x="1574"/>
        <item m="1" x="502"/>
        <item m="1" x="1558"/>
        <item m="1" x="449"/>
        <item m="1" x="1311"/>
        <item m="1" x="929"/>
        <item m="1" x="760"/>
        <item m="1" x="723"/>
        <item m="1" x="867"/>
        <item m="1" x="466"/>
        <item m="1" x="1551"/>
        <item m="1" x="550"/>
        <item m="1" x="571"/>
        <item m="1" x="1444"/>
        <item m="1" x="1523"/>
        <item m="1" x="1037"/>
        <item m="1" x="1178"/>
        <item m="1" x="879"/>
        <item m="1" x="992"/>
        <item m="1" x="1141"/>
        <item m="1" x="1258"/>
        <item m="1" x="845"/>
        <item m="1" x="1121"/>
        <item m="1" x="940"/>
        <item m="1" x="1577"/>
        <item m="1" x="430"/>
        <item m="1" x="869"/>
        <item m="1" x="810"/>
        <item m="1" x="771"/>
        <item m="1" x="1565"/>
        <item m="1" x="1383"/>
        <item m="1" x="1514"/>
        <item m="1" x="527"/>
        <item m="1" x="1525"/>
        <item m="1" x="1512"/>
        <item m="1" x="1389"/>
        <item m="1" x="624"/>
        <item m="1" x="993"/>
        <item m="1" x="1086"/>
        <item m="1" x="832"/>
        <item m="1" x="1430"/>
        <item m="1" x="1216"/>
        <item m="1" x="1236"/>
        <item m="1" x="1130"/>
        <item m="1" x="473"/>
        <item m="1" x="1303"/>
        <item m="1" x="1465"/>
        <item m="1" x="870"/>
        <item m="1" x="1584"/>
        <item m="1" x="1078"/>
        <item m="1" x="665"/>
        <item m="1" x="798"/>
        <item m="1" x="834"/>
        <item m="1" x="1493"/>
        <item m="1" x="1477"/>
        <item m="1" x="537"/>
        <item m="1" x="539"/>
        <item m="1" x="453"/>
        <item m="1" x="1413"/>
        <item m="1" x="455"/>
        <item m="1" x="872"/>
        <item m="1" x="772"/>
        <item m="1" x="1228"/>
        <item m="1" x="1171"/>
        <item m="1" x="1520"/>
        <item m="1" x="1452"/>
        <item m="1" x="944"/>
        <item m="1" x="1158"/>
        <item m="1" x="1393"/>
        <item m="1" x="506"/>
        <item m="1" x="938"/>
        <item m="1" x="868"/>
        <item m="1" x="1562"/>
        <item m="1" x="1529"/>
        <item m="1" x="960"/>
        <item m="1" x="566"/>
        <item m="1" x="861"/>
        <item m="1" x="1034"/>
        <item m="1" x="488"/>
        <item m="1" x="1324"/>
        <item m="1" x="918"/>
        <item m="1" x="728"/>
        <item m="1" x="822"/>
        <item m="1" x="1268"/>
        <item m="1" x="1567"/>
        <item m="1" x="646"/>
        <item m="1" x="1419"/>
        <item m="1" x="640"/>
        <item m="1" x="1204"/>
        <item m="1" x="976"/>
        <item m="1" x="907"/>
        <item m="1" x="629"/>
        <item m="1" x="696"/>
        <item m="1" x="484"/>
        <item m="1" x="1284"/>
        <item m="1" x="797"/>
        <item m="1" x="521"/>
        <item m="1" x="1135"/>
        <item m="1" x="1450"/>
        <item m="1" x="990"/>
        <item m="1" x="948"/>
        <item m="1" x="419"/>
        <item m="1" x="1555"/>
        <item m="1" x="805"/>
        <item m="1" x="865"/>
        <item m="1" x="1272"/>
        <item m="1" x="1549"/>
        <item m="1" x="1474"/>
        <item m="1" x="1325"/>
        <item m="1" x="1440"/>
        <item m="1" x="601"/>
        <item m="1" x="800"/>
        <item m="1" x="633"/>
        <item m="1" x="425"/>
        <item m="1" x="1038"/>
        <item m="1" x="487"/>
        <item m="1" x="709"/>
        <item m="1" x="653"/>
        <item m="1" x="599"/>
        <item m="1" x="1554"/>
        <item m="1" x="650"/>
        <item m="1" x="1252"/>
        <item m="1" x="1464"/>
        <item m="1" x="590"/>
        <item m="1" x="494"/>
        <item m="1" x="1287"/>
        <item m="1" x="1263"/>
        <item m="1" x="1304"/>
        <item m="1" x="1223"/>
        <item m="1" x="567"/>
        <item m="1" x="923"/>
        <item m="1" x="1191"/>
        <item m="1" x="1441"/>
        <item m="1" x="1035"/>
        <item m="1" x="1153"/>
        <item m="1" x="1497"/>
        <item m="1" x="909"/>
        <item m="1" x="753"/>
        <item m="1" x="986"/>
        <item m="1" x="933"/>
        <item m="1" x="863"/>
        <item m="1" x="1380"/>
        <item m="1" x="1067"/>
        <item m="1" x="1163"/>
        <item m="1" x="414"/>
        <item m="1" x="959"/>
        <item m="1" x="561"/>
        <item m="1" x="828"/>
        <item m="1" x="966"/>
        <item m="1" x="496"/>
        <item m="1" x="613"/>
        <item m="1" x="1068"/>
        <item m="1" x="1265"/>
        <item m="1" x="1535"/>
        <item m="1" x="1578"/>
        <item m="1" x="1188"/>
        <item m="1" x="536"/>
        <item m="1" x="464"/>
        <item m="1" x="1050"/>
        <item m="1" x="672"/>
        <item m="1" x="946"/>
        <item m="1" x="574"/>
        <item m="1" x="677"/>
        <item m="1" x="1104"/>
        <item m="1" x="1460"/>
        <item m="1" x="1391"/>
        <item m="1" x="807"/>
        <item m="1" x="842"/>
        <item m="1" x="1118"/>
        <item m="1" x="1548"/>
        <item m="1" x="1274"/>
        <item m="1" x="440"/>
        <item m="1" x="1502"/>
        <item m="1" x="548"/>
        <item m="1" x="1194"/>
        <item m="1" x="1239"/>
        <item m="1" x="1242"/>
        <item m="1" x="1582"/>
        <item m="1" x="475"/>
        <item m="1" x="1253"/>
        <item m="1" x="1350"/>
        <item m="1" x="1122"/>
        <item m="1" x="1292"/>
        <item m="1" x="534"/>
        <item m="1" x="926"/>
        <item m="1" x="773"/>
        <item m="1" x="1385"/>
        <item m="1" x="1480"/>
        <item m="1" x="1009"/>
        <item m="1" x="1448"/>
        <item m="1" x="1496"/>
        <item m="1" x="849"/>
        <item m="1" x="1352"/>
        <item m="1" x="1215"/>
        <item m="1" x="1498"/>
        <item m="1" x="1542"/>
        <item m="1" x="1280"/>
        <item m="1" x="890"/>
        <item m="1" x="695"/>
        <item m="1" x="1530"/>
        <item m="1" x="1077"/>
        <item m="1" x="1051"/>
        <item m="1" x="1060"/>
        <item m="1" x="1581"/>
        <item m="1" x="1305"/>
        <item m="1" x="1000"/>
        <item m="1" x="1269"/>
        <item m="1" x="1246"/>
        <item m="1" x="862"/>
        <item m="1" x="763"/>
        <item m="1" x="1262"/>
        <item m="1" x="657"/>
        <item m="1" x="614"/>
        <item m="1" x="556"/>
        <item m="1" x="1543"/>
        <item m="1" x="1159"/>
        <item m="1" x="894"/>
        <item m="1" x="975"/>
        <item m="1" x="456"/>
        <item m="1" x="1532"/>
        <item m="1" x="1083"/>
        <item m="1" x="1231"/>
        <item m="1" x="679"/>
        <item m="1" x="1363"/>
        <item m="1" x="866"/>
        <item m="1" x="759"/>
        <item m="1" x="1587"/>
        <item m="1" x="889"/>
        <item m="1" x="1528"/>
        <item m="1" x="1114"/>
        <item m="1" x="790"/>
        <item m="1" x="581"/>
        <item m="1" x="524"/>
        <item m="1" x="818"/>
        <item m="1" x="515"/>
        <item m="1" x="486"/>
        <item m="1" x="503"/>
        <item m="1" x="782"/>
        <item m="1" x="627"/>
        <item m="1" x="934"/>
        <item m="1" x="991"/>
        <item m="1" x="1090"/>
        <item m="1" x="961"/>
        <item m="1" x="1294"/>
        <item m="1" x="1358"/>
        <item m="1" x="570"/>
        <item m="1" x="580"/>
        <item m="1" x="769"/>
        <item m="1" x="911"/>
        <item m="1" x="701"/>
        <item m="1" x="1254"/>
        <item m="1" x="1004"/>
        <item m="1" x="921"/>
        <item m="1" x="1054"/>
        <item m="1" x="1360"/>
        <item m="1" x="1298"/>
        <item m="1" x="1384"/>
        <item m="1" x="1140"/>
        <item m="1" x="560"/>
        <item m="1" x="1566"/>
        <item m="1" x="979"/>
        <item m="1" x="594"/>
        <item m="1" x="418"/>
        <item m="1" x="1563"/>
        <item m="1" x="1047"/>
        <item m="1" x="1014"/>
        <item m="1" x="786"/>
        <item m="1" x="666"/>
        <item m="1" x="750"/>
        <item m="1" x="904"/>
        <item m="1" x="1479"/>
        <item m="1" x="1398"/>
        <item m="1" x="774"/>
        <item m="1" x="847"/>
        <item m="1" x="854"/>
        <item m="1" x="1392"/>
        <item m="1" x="995"/>
        <item m="1" x="467"/>
        <item m="1" x="1028"/>
        <item m="1" x="1307"/>
        <item m="1" x="1433"/>
        <item m="1" x="1326"/>
        <item m="1" x="1134"/>
        <item m="1" x="1432"/>
        <item m="1" x="446"/>
        <item m="1" x="1349"/>
        <item m="1" x="428"/>
        <item m="1" x="768"/>
        <item m="1" x="432"/>
        <item m="1" x="591"/>
        <item m="1" x="681"/>
        <item m="1" x="687"/>
        <item m="1" x="1105"/>
        <item m="1" x="1359"/>
        <item m="1" x="886"/>
        <item m="1" x="457"/>
        <item m="1" x="663"/>
        <item m="1" x="451"/>
        <item m="1" x="1446"/>
        <item m="1" x="671"/>
        <item m="1" x="1007"/>
        <item m="1" x="1466"/>
        <item m="1" x="793"/>
        <item m="1" x="735"/>
        <item m="1" x="1131"/>
        <item m="1" x="688"/>
        <item m="1" x="996"/>
        <item m="1" x="1290"/>
        <item m="1" x="429"/>
        <item m="1" x="942"/>
        <item m="1" x="1061"/>
        <item m="1" x="553"/>
        <item m="1" x="895"/>
        <item m="1" x="1030"/>
        <item m="1" x="781"/>
        <item m="1" x="819"/>
        <item m="1" x="546"/>
        <item m="1" x="952"/>
        <item m="1" x="416"/>
        <item m="1" x="1088"/>
        <item m="1" x="1481"/>
        <item m="1" x="1202"/>
        <item m="1" x="1196"/>
        <item m="1" x="1095"/>
        <item m="1" x="421"/>
        <item m="1" x="1227"/>
        <item m="1" x="1270"/>
        <item m="1" x="1076"/>
        <item m="1" x="420"/>
        <item m="1" x="1427"/>
        <item m="1" x="1394"/>
        <item m="1" x="424"/>
        <item m="1" x="703"/>
        <item m="1" x="1093"/>
        <item m="1" x="1348"/>
        <item m="1" x="545"/>
        <item m="1" x="441"/>
        <item m="1" x="600"/>
        <item m="1" x="491"/>
        <item m="1" x="899"/>
        <item m="1" x="712"/>
        <item m="1" x="710"/>
        <item m="1" x="881"/>
        <item m="1" x="983"/>
        <item m="1" x="887"/>
        <item m="1" x="1084"/>
        <item m="1" x="936"/>
        <item m="1" x="801"/>
        <item m="1" x="916"/>
        <item m="1" x="1409"/>
        <item m="1" x="1504"/>
        <item m="1" x="761"/>
        <item m="1" x="1484"/>
        <item m="1" x="526"/>
        <item m="1" x="1473"/>
        <item m="1" x="1170"/>
        <item m="1" x="1341"/>
        <item m="1" x="1420"/>
        <item m="1" x="1100"/>
        <item m="1" x="1312"/>
        <item m="1" x="604"/>
        <item m="1" x="587"/>
        <item m="1" x="1209"/>
        <item m="1" x="1181"/>
        <item m="1" x="743"/>
        <item m="1" x="1579"/>
        <item m="1" x="1151"/>
        <item m="1" x="891"/>
        <item m="1" x="965"/>
        <item m="1" x="924"/>
        <item m="1" x="1434"/>
        <item m="1" x="1438"/>
        <item m="1" x="434"/>
        <item m="1" x="1318"/>
        <item m="1" x="1364"/>
        <item m="1" x="483"/>
        <item m="1" x="855"/>
        <item m="1" x="846"/>
        <item m="1" x="1353"/>
        <item m="1" x="1052"/>
        <item m="1" x="1256"/>
        <item m="1" x="922"/>
        <item m="1" x="1273"/>
        <item m="1" x="461"/>
        <item m="1" x="584"/>
        <item m="1" x="1553"/>
        <item m="1" x="1173"/>
        <item m="1" x="1545"/>
        <item m="1" x="465"/>
        <item m="1" x="725"/>
        <item m="1" x="541"/>
        <item m="1" x="474"/>
        <item m="1" x="489"/>
        <item m="1" x="1041"/>
        <item m="1" x="1074"/>
        <item m="1" x="746"/>
        <item m="1" x="1164"/>
        <item m="1" x="1482"/>
        <item m="1" x="833"/>
        <item m="1" x="912"/>
        <item m="1" x="1062"/>
        <item m="1" x="1550"/>
        <item m="1" x="727"/>
        <item m="1" x="739"/>
        <item m="1" x="749"/>
        <item m="1" x="1370"/>
        <item m="1" x="1506"/>
        <item m="1" x="423"/>
        <item m="1" x="1250"/>
        <item m="1" x="1546"/>
        <item m="1" x="647"/>
        <item m="1" x="962"/>
        <item m="1" x="1583"/>
        <item m="1" x="1489"/>
        <item m="1" x="636"/>
        <item m="1" x="748"/>
        <item m="1" x="835"/>
        <item m="1" x="1160"/>
        <item m="1" x="1357"/>
        <item m="1" x="592"/>
        <item m="1" x="1063"/>
        <item m="1" x="588"/>
        <item m="1" x="557"/>
        <item m="1" x="505"/>
        <item m="1" x="1476"/>
        <item m="1" x="1069"/>
        <item m="1" x="1517"/>
        <item m="1" x="910"/>
        <item m="1" x="1534"/>
        <item m="1" x="1286"/>
        <item m="1" x="575"/>
        <item m="1" x="1390"/>
        <item m="1" x="1404"/>
        <item m="1" x="1064"/>
        <item m="1" x="1439"/>
        <item m="1" x="1277"/>
        <item m="1" x="1142"/>
        <item m="1" x="459"/>
        <item m="1" x="1288"/>
        <item m="1" x="1020"/>
        <item m="1" x="953"/>
        <item m="1" x="1296"/>
        <item m="1" x="880"/>
        <item m="1" x="514"/>
        <item m="1" x="686"/>
        <item m="1" x="463"/>
        <item m="1" x="812"/>
        <item m="1" x="1190"/>
        <item m="1" x="775"/>
        <item m="1" x="638"/>
        <item m="1" x="853"/>
        <item m="1" x="531"/>
        <item m="1" x="783"/>
        <item m="1" x="654"/>
        <item m="1" x="1005"/>
        <item m="1" x="1592"/>
        <item m="1" x="1046"/>
        <item m="1" x="642"/>
        <item m="1" x="919"/>
        <item m="1" x="625"/>
        <item m="1" x="678"/>
        <item m="1" x="970"/>
        <item m="1" x="1238"/>
        <item m="1" x="955"/>
        <item m="1" x="1405"/>
        <item m="1" x="967"/>
        <item m="1" x="1201"/>
        <item m="1" x="516"/>
        <item m="1" x="999"/>
        <item m="1" x="639"/>
        <item m="1" x="569"/>
        <item m="1" x="1295"/>
        <item m="1" x="610"/>
        <item m="1" x="1319"/>
        <item m="1" x="511"/>
        <item m="1" x="1136"/>
        <item m="1" x="1143"/>
        <item m="1" x="547"/>
        <item m="1" x="1065"/>
        <item m="1" x="443"/>
        <item m="1" x="1266"/>
        <item m="1" x="971"/>
        <item m="1" x="1192"/>
        <item m="1" x="1161"/>
        <item m="1" x="1381"/>
        <item m="1" x="1154"/>
        <item m="1" x="732"/>
        <item m="1" x="1233"/>
        <item m="1" x="1367"/>
        <item m="1" x="1057"/>
        <item m="1" x="1189"/>
        <item m="1" x="522"/>
        <item m="1" x="1355"/>
        <item m="1" x="1012"/>
        <item m="1" x="877"/>
        <item m="1" x="1261"/>
        <item m="1" x="787"/>
        <item m="1" x="1110"/>
        <item m="1" x="644"/>
        <item m="1" x="740"/>
        <item m="1" x="1137"/>
        <item m="1" x="906"/>
        <item m="1" x="450"/>
        <item m="1" x="784"/>
        <item m="1" x="1264"/>
        <item m="1" x="1366"/>
        <item m="1" x="469"/>
        <item m="1" x="754"/>
        <item m="1" x="689"/>
        <item m="1" x="1022"/>
        <item m="1" x="1115"/>
        <item m="1" x="555"/>
        <item m="1" x="1537"/>
        <item m="1" x="520"/>
        <item m="1" x="593"/>
        <item m="1" x="1374"/>
        <item m="1" x="882"/>
        <item m="1" x="896"/>
        <item m="1" x="950"/>
        <item m="1" x="525"/>
        <item m="1" x="804"/>
        <item m="1" x="1199"/>
        <item m="1" x="1111"/>
        <item m="1" x="901"/>
        <item m="1" x="848"/>
        <item m="1" x="478"/>
        <item m="1" x="716"/>
        <item m="1" x="1180"/>
        <item m="1" x="814"/>
        <item m="1" x="977"/>
        <item m="1" x="914"/>
        <item m="1" x="1096"/>
        <item m="1" x="460"/>
        <item m="1" x="941"/>
        <item m="1" x="615"/>
        <item m="1" x="1018"/>
        <item m="1" x="1144"/>
        <item m="1" x="1220"/>
        <item m="1" x="1155"/>
        <item m="1" x="1116"/>
        <item m="1" x="1042"/>
        <item m="1" x="1453"/>
        <item m="1" x="1345"/>
        <item m="1" x="596"/>
        <item m="1" x="1337"/>
        <item m="1" x="791"/>
        <item m="1" x="1101"/>
        <item m="1" x="507"/>
        <item m="1" x="1080"/>
        <item m="1" x="947"/>
        <item m="1" x="1379"/>
        <item m="1" x="533"/>
        <item m="1" x="1590"/>
        <item m="1" x="572"/>
        <item m="1" x="512"/>
        <item m="1" x="1082"/>
        <item m="1" x="1282"/>
        <item m="1" x="1185"/>
        <item m="1" x="471"/>
        <item m="1" x="623"/>
        <item m="1" x="1411"/>
        <item m="1" x="1351"/>
        <item m="1" x="606"/>
        <item m="1" x="579"/>
        <item m="1" x="874"/>
        <item m="1" x="495"/>
        <item m="1" x="1102"/>
        <item m="1" x="535"/>
        <item m="1" x="705"/>
        <item m="1" x="1002"/>
        <item m="1" x="1533"/>
        <item m="1" x="573"/>
        <item m="1" x="843"/>
        <item m="1" x="690"/>
        <item m="1" x="852"/>
        <item m="1" x="1406"/>
        <item m="1" x="1289"/>
        <item m="1" x="751"/>
        <item m="1" x="504"/>
        <item m="1" x="1454"/>
        <item m="1" x="617"/>
        <item m="1" x="1399"/>
        <item m="1" x="956"/>
        <item m="1" x="1340"/>
        <item m="1" x="699"/>
        <item m="1" x="871"/>
        <item m="1" x="1356"/>
        <item m="1" x="1544"/>
        <item m="1" x="1320"/>
        <item m="1" x="719"/>
        <item m="1" x="662"/>
        <item m="1" x="1365"/>
        <item m="1" x="1129"/>
        <item m="1" x="973"/>
        <item m="1" x="1397"/>
        <item m="1" x="445"/>
        <item m="1" x="442"/>
        <item m="1" x="1117"/>
        <item m="1" x="1257"/>
        <item m="1" x="1212"/>
        <item m="1" x="1395"/>
        <item m="1" x="920"/>
        <item m="1" x="667"/>
        <item m="1" x="741"/>
        <item m="1" x="1271"/>
        <item m="1" x="823"/>
        <item m="1" x="1053"/>
        <item m="1" x="1468"/>
        <item m="1" x="706"/>
        <item m="1" x="1043"/>
        <item m="1" x="427"/>
        <item m="1" x="75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m="1" x="744"/>
        <item m="1" x="1505"/>
        <item m="1" x="447"/>
        <item m="1" x="41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1">
    <i>
      <x/>
    </i>
    <i r="1">
      <x v="1583"/>
    </i>
    <i r="2">
      <x v="3"/>
    </i>
    <i r="2">
      <x v="11"/>
    </i>
    <i r="1">
      <x v="1585"/>
    </i>
    <i r="2">
      <x v="8"/>
    </i>
    <i r="1">
      <x v="1586"/>
    </i>
    <i r="2">
      <x v="3"/>
    </i>
    <i r="2">
      <x v="11"/>
    </i>
    <i r="1">
      <x v="1587"/>
    </i>
    <i r="2">
      <x v="3"/>
    </i>
    <i r="1">
      <x v="1588"/>
    </i>
    <i r="2">
      <x v="3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r="1">
      <x v="1580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9" totalsRowShown="0" totalsRowDxfId="23">
  <autoFilter ref="A1:C132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584" totalsRowShown="0">
  <autoFilter ref="A1:S458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1440</v>
      </c>
    </row>
    <row r="5" spans="1:2">
      <c r="A5" s="111" t="s">
        <v>369</v>
      </c>
      <c r="B5" s="150">
        <v>1378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19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1044</v>
      </c>
    </row>
    <row r="15" spans="1:2">
      <c r="A15" s="111" t="s">
        <v>369</v>
      </c>
      <c r="B15" s="150">
        <v>1021</v>
      </c>
    </row>
    <row r="16" spans="1:2">
      <c r="A16" s="111" t="s">
        <v>370</v>
      </c>
      <c r="B16" s="150">
        <v>1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1578</v>
      </c>
    </row>
    <row r="20" spans="1:2">
      <c r="A20" s="111" t="s">
        <v>369</v>
      </c>
      <c r="B20" s="150">
        <v>1554</v>
      </c>
    </row>
    <row r="21" spans="1:2">
      <c r="A21" s="111" t="s">
        <v>404</v>
      </c>
      <c r="B21" s="150">
        <v>2</v>
      </c>
    </row>
    <row r="22" spans="1:2">
      <c r="A22" s="111" t="s">
        <v>370</v>
      </c>
      <c r="B22" s="150">
        <v>2</v>
      </c>
    </row>
    <row r="23" spans="1:2">
      <c r="A23" s="111" t="s">
        <v>398</v>
      </c>
      <c r="B23" s="150">
        <v>8</v>
      </c>
    </row>
    <row r="24" spans="1:2">
      <c r="A24" s="111" t="s">
        <v>377</v>
      </c>
      <c r="B24" s="150">
        <v>11</v>
      </c>
    </row>
    <row r="25" spans="1:2">
      <c r="A25" s="111" t="s">
        <v>375</v>
      </c>
      <c r="B25" s="150">
        <v>1</v>
      </c>
    </row>
    <row r="26" spans="1:2">
      <c r="A26" s="17" t="s">
        <v>570</v>
      </c>
      <c r="B26" s="150">
        <v>512</v>
      </c>
    </row>
    <row r="27" spans="1:2">
      <c r="A27" s="111" t="s">
        <v>369</v>
      </c>
      <c r="B27" s="150">
        <v>504</v>
      </c>
    </row>
    <row r="28" spans="1:2">
      <c r="A28" s="111" t="s">
        <v>377</v>
      </c>
      <c r="B28" s="150">
        <v>8</v>
      </c>
    </row>
    <row r="29" spans="1:2">
      <c r="A29" s="17" t="s">
        <v>381</v>
      </c>
      <c r="B29" s="150">
        <v>4574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14" sqref="A14:B1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129</v>
      </c>
      <c r="C5"/>
      <c r="D5"/>
      <c r="E5"/>
    </row>
    <row r="6" spans="1:6">
      <c r="A6" s="111" t="s">
        <v>6629</v>
      </c>
      <c r="B6" s="150">
        <v>35</v>
      </c>
      <c r="C6" s="126"/>
      <c r="D6" s="124"/>
      <c r="E6" s="124"/>
    </row>
    <row r="7" spans="1:6">
      <c r="A7" s="112" t="s">
        <v>369</v>
      </c>
      <c r="B7" s="150">
        <v>34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6637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6719</v>
      </c>
      <c r="B11" s="150">
        <v>26</v>
      </c>
      <c r="C11"/>
      <c r="D11"/>
    </row>
    <row r="12" spans="1:6">
      <c r="A12" s="112" t="s">
        <v>369</v>
      </c>
      <c r="B12" s="150">
        <v>8</v>
      </c>
      <c r="C12" s="126"/>
      <c r="D12"/>
    </row>
    <row r="13" spans="1:6">
      <c r="A13" s="112" t="s">
        <v>375</v>
      </c>
      <c r="B13" s="150">
        <v>18</v>
      </c>
      <c r="C13"/>
      <c r="D13"/>
    </row>
    <row r="14" spans="1:6">
      <c r="A14" s="111" t="s">
        <v>6670</v>
      </c>
      <c r="B14" s="150">
        <v>46</v>
      </c>
      <c r="C14" s="126"/>
      <c r="D14"/>
    </row>
    <row r="15" spans="1:6">
      <c r="A15" s="112" t="s">
        <v>369</v>
      </c>
      <c r="B15" s="150">
        <v>46</v>
      </c>
      <c r="C15"/>
      <c r="D15" s="124"/>
      <c r="E15" s="124"/>
    </row>
    <row r="16" spans="1:6">
      <c r="A16" s="111" t="s">
        <v>6643</v>
      </c>
      <c r="B16" s="150">
        <v>21</v>
      </c>
      <c r="C16"/>
      <c r="D16"/>
    </row>
    <row r="17" spans="1:5">
      <c r="A17" s="112" t="s">
        <v>369</v>
      </c>
      <c r="B17" s="150">
        <v>18</v>
      </c>
      <c r="C17"/>
      <c r="D17" s="124"/>
      <c r="E17" s="124"/>
    </row>
    <row r="18" spans="1:5">
      <c r="A18" s="112" t="s">
        <v>370</v>
      </c>
      <c r="B18" s="150">
        <v>2</v>
      </c>
      <c r="C18" s="126"/>
      <c r="D18"/>
    </row>
    <row r="19" spans="1:5">
      <c r="A19" s="112" t="s">
        <v>375</v>
      </c>
      <c r="B19" s="150">
        <v>1</v>
      </c>
      <c r="C19" s="47"/>
      <c r="D19"/>
    </row>
    <row r="20" spans="1:5">
      <c r="A20" s="17" t="s">
        <v>4327</v>
      </c>
      <c r="B20" s="150">
        <v>229</v>
      </c>
      <c r="C20" s="126"/>
    </row>
    <row r="21" spans="1:5" ht="17.25" customHeight="1">
      <c r="A21" s="111" t="s">
        <v>4413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5479</v>
      </c>
      <c r="B24" s="150">
        <v>178</v>
      </c>
    </row>
    <row r="25" spans="1:5">
      <c r="A25" s="112" t="s">
        <v>369</v>
      </c>
      <c r="B25" s="150">
        <v>177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11" t="s">
        <v>6161</v>
      </c>
      <c r="B27" s="150">
        <v>17</v>
      </c>
    </row>
    <row r="28" spans="1:5">
      <c r="A28" s="112" t="s">
        <v>369</v>
      </c>
      <c r="B28" s="150">
        <v>14</v>
      </c>
    </row>
    <row r="29" spans="1:5">
      <c r="A29" s="112" t="s">
        <v>692</v>
      </c>
      <c r="B29" s="150">
        <v>3</v>
      </c>
    </row>
    <row r="30" spans="1:5">
      <c r="A30" s="111" t="s">
        <v>6437</v>
      </c>
      <c r="B30" s="150">
        <v>21</v>
      </c>
    </row>
    <row r="31" spans="1:5">
      <c r="A31" s="112" t="s">
        <v>369</v>
      </c>
      <c r="B31" s="150">
        <v>20</v>
      </c>
      <c r="C31" s="30"/>
    </row>
    <row r="32" spans="1:5">
      <c r="A32" s="112" t="s">
        <v>692</v>
      </c>
      <c r="B32" s="150">
        <v>1</v>
      </c>
      <c r="C32" s="30"/>
    </row>
    <row r="33" spans="1:3">
      <c r="A33" s="111" t="s">
        <v>6640</v>
      </c>
      <c r="B33" s="150">
        <v>2</v>
      </c>
      <c r="C33" s="30"/>
    </row>
    <row r="34" spans="1:3">
      <c r="A34" s="112" t="s">
        <v>404</v>
      </c>
      <c r="B34" s="150">
        <v>2</v>
      </c>
      <c r="C34" s="30"/>
    </row>
    <row r="35" spans="1:3">
      <c r="A35" s="17" t="s">
        <v>381</v>
      </c>
      <c r="B35" s="150">
        <v>358</v>
      </c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9"/>
  <sheetViews>
    <sheetView topLeftCell="A1308" workbookViewId="0">
      <selection activeCell="A1329" sqref="A132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  <row r="1323" spans="1:3">
      <c r="A1323" t="s">
        <v>6573</v>
      </c>
      <c r="B1323">
        <v>1</v>
      </c>
      <c r="C1323" s="149" t="s">
        <v>4</v>
      </c>
    </row>
    <row r="1324" spans="1:3">
      <c r="A1324" t="s">
        <v>6600</v>
      </c>
      <c r="B1324">
        <v>24</v>
      </c>
      <c r="C1324" s="149" t="s">
        <v>4</v>
      </c>
    </row>
    <row r="1325" spans="1:3">
      <c r="A1325" t="s">
        <v>6575</v>
      </c>
      <c r="B1325">
        <v>1</v>
      </c>
      <c r="C1325" s="149" t="s">
        <v>4</v>
      </c>
    </row>
    <row r="1326" spans="1:3">
      <c r="A1326" t="s">
        <v>6607</v>
      </c>
      <c r="B1326">
        <v>1</v>
      </c>
      <c r="C1326" s="149" t="s">
        <v>4</v>
      </c>
    </row>
    <row r="1327" spans="1:3">
      <c r="A1327" t="s">
        <v>6609</v>
      </c>
      <c r="B1327">
        <v>2</v>
      </c>
      <c r="C1327" s="149" t="s">
        <v>4</v>
      </c>
    </row>
    <row r="1328" spans="1:3">
      <c r="A1328" t="s">
        <v>6630</v>
      </c>
      <c r="B1328">
        <v>4</v>
      </c>
      <c r="C1328" s="149" t="s">
        <v>4</v>
      </c>
    </row>
    <row r="1329" spans="1:3">
      <c r="A1329" t="s">
        <v>6670</v>
      </c>
      <c r="B1329">
        <v>46</v>
      </c>
      <c r="C1329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584"/>
  <sheetViews>
    <sheetView tabSelected="1" zoomScale="105" zoomScaleNormal="105" workbookViewId="0">
      <selection activeCell="D4590" sqref="D459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226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201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201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201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201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201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201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201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201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201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201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201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197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194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194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194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194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194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194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194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194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194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194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194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194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194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194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194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194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194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194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194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194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194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194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194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194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194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194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194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194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194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194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194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194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194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194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194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193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193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193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193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193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193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193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193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193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193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193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193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193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193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193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193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193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193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193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193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193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193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193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193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193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193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193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193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193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193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193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193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193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193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193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193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193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193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193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193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193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193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193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193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193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193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193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193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193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193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193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193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193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193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193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193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193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193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193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192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192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192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192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192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191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189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189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188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185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185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185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185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185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185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185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185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185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185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185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185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185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185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184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184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184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184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184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179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179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179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174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174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174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174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174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174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174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174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174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174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174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174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174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174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174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174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174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174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170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170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170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165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164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150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150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149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149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149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139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124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124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124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124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124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124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124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124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124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124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124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124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124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124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124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124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124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124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124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124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121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121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121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121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120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120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120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120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120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120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120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120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120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120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120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120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120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120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120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120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120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120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120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120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120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120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120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120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120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120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120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120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120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120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119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119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119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119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119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119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119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119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119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119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119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119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119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119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119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119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119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119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115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115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115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115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115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115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115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115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115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115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115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115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115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115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115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115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115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115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115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115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115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115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115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115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115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115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115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115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115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115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115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115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115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115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115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115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115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115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115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115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115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115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115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115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115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115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115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115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115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115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115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115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115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115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115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115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115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115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115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115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115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115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115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115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115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115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115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115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115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115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115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115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115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115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115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115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115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115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115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115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115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115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115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115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115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115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115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115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115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115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115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115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109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109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104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104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99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99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99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99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99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99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99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99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99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99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99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99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99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99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99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99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99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99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99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99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99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99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99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99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99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99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99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99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99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99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99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99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99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99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99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99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99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99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99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99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99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99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99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99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99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99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99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99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99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99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99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99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99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99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99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99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99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99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99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99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99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99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99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99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99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99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99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99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99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99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99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99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99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99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99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99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99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99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99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99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99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99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99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99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99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99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99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99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99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99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99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99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99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99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99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99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99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99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99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99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99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99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99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99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99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96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96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96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96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97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94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94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89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89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89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89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89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89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89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89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89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89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89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87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87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87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87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87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87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87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87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87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87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87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87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87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87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87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87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87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87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87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87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87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87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87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87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87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87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87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87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87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87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87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87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87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87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87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87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87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87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87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87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87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87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87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87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87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87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87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87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87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87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87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87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87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87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87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87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87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87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87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87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87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87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87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87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87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87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87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87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87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87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87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87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87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87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87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87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87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87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87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87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87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87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87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87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87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87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87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87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87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87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87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87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87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87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87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87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87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87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87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87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87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87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87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87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87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87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87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87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87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87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87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87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87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87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87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87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87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87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87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87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87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87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87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87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87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87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87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87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87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87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87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87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87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87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87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87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87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87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87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87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87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87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87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87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87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87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87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87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87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87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87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87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87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87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87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87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87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87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87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87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87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87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87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87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87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87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87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87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87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87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87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87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87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87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87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87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87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87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87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87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87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87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87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87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87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87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87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87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87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87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87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87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87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87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87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87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87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87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87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87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87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87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87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87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87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87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87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87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87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87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87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87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87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87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87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87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87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87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87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87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87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87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87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87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87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87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87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87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87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87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87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87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87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87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87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87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87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87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87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87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87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87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87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87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87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87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87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87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87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87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87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87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87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87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87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87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87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87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87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87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87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87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87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87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87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87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87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87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87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87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87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87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87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87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87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87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87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87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87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87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87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87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87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87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87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87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87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87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87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87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87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87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87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87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87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87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87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87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87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87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87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87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87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87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87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87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87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87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87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87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87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87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87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87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87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87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87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87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87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87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87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87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87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87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87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87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87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87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87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87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87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87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87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87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87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85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85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85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85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85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85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85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85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85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85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84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84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84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83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83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83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83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83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83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82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82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80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79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79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79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78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78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78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76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76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76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76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76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76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76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73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73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73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73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73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73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73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73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73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73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73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73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73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73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73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73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73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73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73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73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73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73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73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73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73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73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73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73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73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72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72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70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70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70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70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70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70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70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70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70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70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68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68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68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68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68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68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68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68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67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67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67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67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67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67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67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67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67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67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67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67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67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67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67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67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67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65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65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65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65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65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65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65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65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65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65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65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65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65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65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65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65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65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65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65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65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65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65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65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65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65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65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65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65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65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65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65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65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65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65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65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65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65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65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65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65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65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65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65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65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65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65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65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65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65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65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65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65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65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65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65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65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65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65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65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65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65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65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65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65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65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65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65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65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65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65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65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65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65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65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65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65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65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65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65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65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65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65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65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65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65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65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65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65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65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65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65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65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65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65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65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65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65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65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65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65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65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65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65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65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65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65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65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65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65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65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65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65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65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65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65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65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65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65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65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65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65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65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65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65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65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65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65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65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65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65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65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65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65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65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65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65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65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65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65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65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65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65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65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65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65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65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65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65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65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65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65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65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65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65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65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65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65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65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65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65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65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65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65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65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65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65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65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65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65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65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65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65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65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65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65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65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65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65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65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65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65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65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65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65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65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65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65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65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65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65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65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65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65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65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65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65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65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65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65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65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65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65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65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65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65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65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65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65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65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65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65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65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65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65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65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65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65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65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65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65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65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65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65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65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65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65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65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65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65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65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65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65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65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65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65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65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65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65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65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65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65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65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65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65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65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65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65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65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65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65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65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65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65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65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65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65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65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65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65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65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65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65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65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65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65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65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65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65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65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65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65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65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65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65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65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65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65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65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65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65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65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65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65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65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65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65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65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65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65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65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65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65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65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65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65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64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64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64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64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64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64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64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64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64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64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64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64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64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64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64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64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64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64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64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64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64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64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64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64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64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64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64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64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64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64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64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64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64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64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64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64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64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64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64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64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64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64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64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64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64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64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64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64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64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64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64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64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64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64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64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64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64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64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64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64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64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64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64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64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64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64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64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64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64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64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64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64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64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64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64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64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64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64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64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64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64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64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64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64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64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64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64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64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64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64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64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64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64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64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64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64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64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64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64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64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64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64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64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64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64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64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64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64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64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64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64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64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64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64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64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64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64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64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64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64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64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64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64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64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64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64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64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64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64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64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64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64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64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64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64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64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64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64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64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64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64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64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64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64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64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64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64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64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64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64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64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64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64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64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64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64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64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64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64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64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64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64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64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64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64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64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64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64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64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64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64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64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64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64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64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64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64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64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64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64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64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64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64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64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64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64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64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64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64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64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64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64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64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64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64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64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64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64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64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64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64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64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61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61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61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61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61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61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61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61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61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61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61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61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61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61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61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61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61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61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61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61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61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61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61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61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61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61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61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61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61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61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61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61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61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61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61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61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61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61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61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61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61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61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61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60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60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59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59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59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59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59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59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59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58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58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58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57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57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57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57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57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57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57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57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57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57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57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57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57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57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57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57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57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57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57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57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57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57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57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57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57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57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57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57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57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57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57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57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57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57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57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57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57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57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57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57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57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57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57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57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57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57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57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57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57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57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57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57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57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57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57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57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57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57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57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57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57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57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57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57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57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57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57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57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57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57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57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57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57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57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57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57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57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57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57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57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57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57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57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57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57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57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57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57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57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57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57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57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57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57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56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56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56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56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56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56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56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56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56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56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56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56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56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56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56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56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56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56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56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55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55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55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55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55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55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55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55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55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55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55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55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55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55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55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55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55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55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54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54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54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54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54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54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54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54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54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54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54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54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51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51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51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51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51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51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51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51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51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51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51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51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51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51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51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51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51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51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51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51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51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51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51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51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51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51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51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51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51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50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50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50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50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50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50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50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50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50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50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50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50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50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50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50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50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50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50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50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50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50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50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50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50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50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50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50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50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50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50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50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50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50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50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50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49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49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49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49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49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49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49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49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49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49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49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49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49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49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49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49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49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49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49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49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49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49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49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49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49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49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49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49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49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49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49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49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49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49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49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49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49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49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49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49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49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49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49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49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49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49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49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49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49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49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49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49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49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49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49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49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49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49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49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49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49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49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49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49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49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49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49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49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49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49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49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49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49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49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49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49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49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49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49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49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49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49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49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49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49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49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49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49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49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49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49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49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49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49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49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49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49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49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49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49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49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49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49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49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49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49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49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49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49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49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49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49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49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49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49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49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49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49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49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49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49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49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49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49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49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49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49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49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49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49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49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49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49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49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49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49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49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49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49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49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49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49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49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49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49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49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49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49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49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49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49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49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49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49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49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49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49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49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49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49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49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49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49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49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49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49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49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49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49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49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49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49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49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49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49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49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49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49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49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49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49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49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49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49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49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49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49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49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49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49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49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49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49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49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49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49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49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49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49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49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49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49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49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49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49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49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49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49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49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49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49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49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49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49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49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49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49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49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49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49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49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49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49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49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49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49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49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49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49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49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49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49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49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49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49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49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47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47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47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47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47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47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47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47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47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47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47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47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47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47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47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47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46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46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46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46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46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46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46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46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46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46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46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46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46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46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46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46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46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46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46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46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46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46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46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46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46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46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46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46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46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46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46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46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46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46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46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46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46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46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46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45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45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45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45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45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45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45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45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45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45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45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45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45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45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45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45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45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45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44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44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44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44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44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44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44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44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44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44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44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44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44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44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44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44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44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44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44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44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44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44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44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44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44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44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44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44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44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44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44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44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44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44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44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44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44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44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44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44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44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44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44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44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44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44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44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44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44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44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44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44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44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44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44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44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44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44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44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44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44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44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44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44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44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44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44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44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44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44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44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44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44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44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44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44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44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44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44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44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44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44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44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44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44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44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44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44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44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44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44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44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44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44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44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44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44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44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44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44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44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44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44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44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44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44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44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44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44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44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44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44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44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44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44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40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40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40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40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40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40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40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40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40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40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40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40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39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39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39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39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39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39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39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39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39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39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39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39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39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39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39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39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39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39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39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39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39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39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39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39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39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39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39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39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39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39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39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36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36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36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36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36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36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36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36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36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35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34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34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34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34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34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34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33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33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33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33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33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33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33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33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33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33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33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33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33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33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33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33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33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33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33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33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32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32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32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32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32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32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32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32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32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32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32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32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31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31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31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31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31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31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31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31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31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31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31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31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28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28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28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28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28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28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28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28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28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28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28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28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28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28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28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28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28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28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28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28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28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28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28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28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28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28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28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28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28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28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28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28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28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28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28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28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28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28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28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28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28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28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28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28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28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28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28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28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28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28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27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27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27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27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27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27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27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27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27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27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27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27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27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27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27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27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24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23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23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23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23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23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23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21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21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21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21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21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21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21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21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21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21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21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21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21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21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21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21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21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21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21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21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21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21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21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21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21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21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21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21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21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21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21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21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21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21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21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21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21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21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21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21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21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21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21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21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21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21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21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19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19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19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19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19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19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19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19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19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19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19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19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19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19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19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19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19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19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19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19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19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19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19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19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19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19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19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19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17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17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17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17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12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12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12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12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12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11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11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11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11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11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11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11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11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11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11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11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11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</v>
      </c>
      <c r="R4417" s="159" t="s">
        <v>6564</v>
      </c>
      <c r="S4417" s="150"/>
    </row>
    <row r="4418" spans="1:19" hidden="1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</v>
      </c>
      <c r="R4418" s="159" t="s">
        <v>498</v>
      </c>
      <c r="S4418" s="150"/>
    </row>
    <row r="4419" spans="1:19" hidden="1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</v>
      </c>
      <c r="R4419" s="159" t="s">
        <v>498</v>
      </c>
      <c r="S4419" s="150"/>
    </row>
    <row r="4420" spans="1:19" hidden="1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</v>
      </c>
      <c r="R4420" s="159" t="s">
        <v>498</v>
      </c>
      <c r="S4420" s="150"/>
    </row>
    <row r="4421" spans="1:19" hidden="1">
      <c r="A4421" t="s">
        <v>6573</v>
      </c>
      <c r="B4421" s="150" t="str">
        <f>IFERROR(VLOOKUP(Proc[[#This Row],[App]],Table2[],3,0),"open")</f>
        <v>ok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</v>
      </c>
      <c r="R4421" s="159" t="s">
        <v>6574</v>
      </c>
      <c r="S4421" s="150"/>
    </row>
    <row r="4422" spans="1:19" hidden="1">
      <c r="A4422" t="s">
        <v>6575</v>
      </c>
      <c r="B4422" s="150" t="str">
        <f>IFERROR(VLOOKUP(Proc[[#This Row],[App]],Table2[],3,0),"open")</f>
        <v>ok</v>
      </c>
      <c r="C4422" t="s">
        <v>369</v>
      </c>
      <c r="D4422" t="s">
        <v>6601</v>
      </c>
      <c r="E4422" t="s">
        <v>4915</v>
      </c>
      <c r="F4422" s="150" t="s">
        <v>4915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</v>
      </c>
      <c r="R4422" s="161" t="s">
        <v>764</v>
      </c>
      <c r="S4422" s="150"/>
    </row>
    <row r="4423" spans="1:19" hidden="1">
      <c r="A4423" t="s">
        <v>6600</v>
      </c>
      <c r="B4423" s="150" t="str">
        <f>IFERROR(VLOOKUP(Proc[[#This Row],[App]],Table2[],3,0),"open")</f>
        <v>ok</v>
      </c>
      <c r="C4423" t="s">
        <v>369</v>
      </c>
      <c r="D4423" t="s">
        <v>6576</v>
      </c>
      <c r="E4423" t="s">
        <v>6602</v>
      </c>
      <c r="F4423" s="150" t="s">
        <v>6602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5</v>
      </c>
      <c r="R4423" s="161" t="s">
        <v>5710</v>
      </c>
      <c r="S4423" s="150"/>
    </row>
    <row r="4424" spans="1:19" hidden="1">
      <c r="A4424" t="s">
        <v>6600</v>
      </c>
      <c r="B4424" s="150" t="str">
        <f>IFERROR(VLOOKUP(Proc[[#This Row],[App]],Table2[],3,0),"open")</f>
        <v>ok</v>
      </c>
      <c r="C4424" s="149" t="s">
        <v>369</v>
      </c>
      <c r="D4424" t="s">
        <v>6577</v>
      </c>
      <c r="E4424" t="s">
        <v>6602</v>
      </c>
      <c r="F4424" s="150" t="s">
        <v>6602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5</v>
      </c>
      <c r="R4424" s="161" t="s">
        <v>5710</v>
      </c>
      <c r="S4424" s="150"/>
    </row>
    <row r="4425" spans="1:19" hidden="1">
      <c r="A4425" s="149" t="s">
        <v>6600</v>
      </c>
      <c r="B4425" s="150" t="str">
        <f>IFERROR(VLOOKUP(Proc[[#This Row],[App]],Table2[],3,0),"open")</f>
        <v>ok</v>
      </c>
      <c r="C4425" s="149" t="s">
        <v>369</v>
      </c>
      <c r="D4425" t="s">
        <v>6578</v>
      </c>
      <c r="E4425" t="s">
        <v>6602</v>
      </c>
      <c r="F4425" s="150" t="s">
        <v>6602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5</v>
      </c>
      <c r="R4425" s="161" t="s">
        <v>5710</v>
      </c>
      <c r="S4425" s="150"/>
    </row>
    <row r="4426" spans="1:19" hidden="1">
      <c r="A4426" s="149" t="s">
        <v>6600</v>
      </c>
      <c r="B4426" s="150" t="str">
        <f>IFERROR(VLOOKUP(Proc[[#This Row],[App]],Table2[],3,0),"open")</f>
        <v>ok</v>
      </c>
      <c r="C4426" s="149" t="s">
        <v>377</v>
      </c>
      <c r="D4426" t="s">
        <v>6579</v>
      </c>
      <c r="E4426" t="s">
        <v>6602</v>
      </c>
      <c r="F4426" s="150" t="s">
        <v>6276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5</v>
      </c>
      <c r="R4426" s="161" t="s">
        <v>5710</v>
      </c>
      <c r="S4426" s="150"/>
    </row>
    <row r="4427" spans="1:19" hidden="1">
      <c r="A4427" s="149" t="s">
        <v>6600</v>
      </c>
      <c r="B4427" s="150" t="str">
        <f>IFERROR(VLOOKUP(Proc[[#This Row],[App]],Table2[],3,0),"open")</f>
        <v>ok</v>
      </c>
      <c r="C4427" s="149" t="s">
        <v>369</v>
      </c>
      <c r="D4427" t="s">
        <v>6580</v>
      </c>
      <c r="E4427" t="s">
        <v>6602</v>
      </c>
      <c r="F4427" s="150" t="s">
        <v>6602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5</v>
      </c>
      <c r="R4427" s="161" t="s">
        <v>5710</v>
      </c>
      <c r="S4427" s="150"/>
    </row>
    <row r="4428" spans="1:19" hidden="1">
      <c r="A4428" s="149" t="s">
        <v>6600</v>
      </c>
      <c r="B4428" s="150" t="str">
        <f>IFERROR(VLOOKUP(Proc[[#This Row],[App]],Table2[],3,0),"open")</f>
        <v>ok</v>
      </c>
      <c r="C4428" s="149" t="s">
        <v>369</v>
      </c>
      <c r="D4428" t="s">
        <v>6581</v>
      </c>
      <c r="E4428" t="s">
        <v>6602</v>
      </c>
      <c r="F4428" s="150" t="s">
        <v>6602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5</v>
      </c>
      <c r="R4428" s="161" t="s">
        <v>5710</v>
      </c>
      <c r="S4428" s="150"/>
    </row>
    <row r="4429" spans="1:19" hidden="1">
      <c r="A4429" s="149" t="s">
        <v>6600</v>
      </c>
      <c r="B4429" s="150" t="str">
        <f>IFERROR(VLOOKUP(Proc[[#This Row],[App]],Table2[],3,0),"open")</f>
        <v>ok</v>
      </c>
      <c r="C4429" s="149" t="s">
        <v>369</v>
      </c>
      <c r="D4429" t="s">
        <v>6582</v>
      </c>
      <c r="E4429" t="s">
        <v>6602</v>
      </c>
      <c r="F4429" s="150" t="s">
        <v>6602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5</v>
      </c>
      <c r="R4429" s="161" t="s">
        <v>5710</v>
      </c>
      <c r="S4429" s="150"/>
    </row>
    <row r="4430" spans="1:19" hidden="1">
      <c r="A4430" s="149" t="s">
        <v>6600</v>
      </c>
      <c r="B4430" s="150" t="str">
        <f>IFERROR(VLOOKUP(Proc[[#This Row],[App]],Table2[],3,0),"open")</f>
        <v>ok</v>
      </c>
      <c r="C4430" s="149" t="s">
        <v>369</v>
      </c>
      <c r="D4430" t="s">
        <v>6583</v>
      </c>
      <c r="E4430" t="s">
        <v>6602</v>
      </c>
      <c r="F4430" s="150" t="s">
        <v>6602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5</v>
      </c>
      <c r="R4430" s="161" t="s">
        <v>5710</v>
      </c>
      <c r="S4430" s="150"/>
    </row>
    <row r="4431" spans="1:19" hidden="1">
      <c r="A4431" s="149" t="s">
        <v>6600</v>
      </c>
      <c r="B4431" s="150" t="str">
        <f>IFERROR(VLOOKUP(Proc[[#This Row],[App]],Table2[],3,0),"open")</f>
        <v>ok</v>
      </c>
      <c r="C4431" s="149" t="s">
        <v>369</v>
      </c>
      <c r="D4431" t="s">
        <v>6584</v>
      </c>
      <c r="E4431" t="s">
        <v>6602</v>
      </c>
      <c r="F4431" s="150" t="s">
        <v>6602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5</v>
      </c>
      <c r="R4431" s="161" t="s">
        <v>5710</v>
      </c>
      <c r="S4431" s="150"/>
    </row>
    <row r="4432" spans="1:19" hidden="1">
      <c r="A4432" s="149" t="s">
        <v>6600</v>
      </c>
      <c r="B4432" s="150" t="str">
        <f>IFERROR(VLOOKUP(Proc[[#This Row],[App]],Table2[],3,0),"open")</f>
        <v>ok</v>
      </c>
      <c r="C4432" s="149" t="s">
        <v>369</v>
      </c>
      <c r="D4432" t="s">
        <v>6585</v>
      </c>
      <c r="E4432" t="s">
        <v>6602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5</v>
      </c>
      <c r="R4432" s="161" t="s">
        <v>5710</v>
      </c>
      <c r="S4432" s="150"/>
    </row>
    <row r="4433" spans="1:19" hidden="1">
      <c r="A4433" s="149" t="s">
        <v>6600</v>
      </c>
      <c r="B4433" s="150" t="str">
        <f>IFERROR(VLOOKUP(Proc[[#This Row],[App]],Table2[],3,0),"open")</f>
        <v>ok</v>
      </c>
      <c r="C4433" s="149" t="s">
        <v>377</v>
      </c>
      <c r="D4433" t="s">
        <v>6586</v>
      </c>
      <c r="E4433" t="s">
        <v>5771</v>
      </c>
      <c r="F4433" s="150" t="s">
        <v>6276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5</v>
      </c>
      <c r="R4433" s="161" t="s">
        <v>5710</v>
      </c>
      <c r="S4433" s="150"/>
    </row>
    <row r="4434" spans="1:19" hidden="1">
      <c r="A4434" s="149" t="s">
        <v>6600</v>
      </c>
      <c r="B4434" s="150" t="str">
        <f>IFERROR(VLOOKUP(Proc[[#This Row],[App]],Table2[],3,0),"open")</f>
        <v>ok</v>
      </c>
      <c r="C4434" s="149" t="s">
        <v>369</v>
      </c>
      <c r="D4434" t="s">
        <v>6587</v>
      </c>
      <c r="E4434" t="s">
        <v>6603</v>
      </c>
      <c r="F4434" s="150" t="s">
        <v>6603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5</v>
      </c>
      <c r="R4434" s="161" t="s">
        <v>5710</v>
      </c>
      <c r="S4434" s="150"/>
    </row>
    <row r="4435" spans="1:19" hidden="1">
      <c r="A4435" s="149" t="s">
        <v>6600</v>
      </c>
      <c r="B4435" s="150" t="str">
        <f>IFERROR(VLOOKUP(Proc[[#This Row],[App]],Table2[],3,0),"open")</f>
        <v>ok</v>
      </c>
      <c r="C4435" s="149" t="s">
        <v>369</v>
      </c>
      <c r="D4435" t="s">
        <v>6588</v>
      </c>
      <c r="E4435" t="s">
        <v>6603</v>
      </c>
      <c r="F4435" s="150" t="s">
        <v>6603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5</v>
      </c>
      <c r="R4435" s="161" t="s">
        <v>5710</v>
      </c>
      <c r="S4435" s="150"/>
    </row>
    <row r="4436" spans="1:19" hidden="1">
      <c r="A4436" s="149" t="s">
        <v>6600</v>
      </c>
      <c r="B4436" s="150" t="str">
        <f>IFERROR(VLOOKUP(Proc[[#This Row],[App]],Table2[],3,0),"open")</f>
        <v>ok</v>
      </c>
      <c r="C4436" s="149" t="s">
        <v>377</v>
      </c>
      <c r="D4436" t="s">
        <v>6589</v>
      </c>
      <c r="E4436" t="s">
        <v>6603</v>
      </c>
      <c r="F4436" s="150" t="s">
        <v>6276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5</v>
      </c>
      <c r="R4436" s="161" t="s">
        <v>5710</v>
      </c>
      <c r="S4436" s="150"/>
    </row>
    <row r="4437" spans="1:19" hidden="1">
      <c r="A4437" s="149" t="s">
        <v>6600</v>
      </c>
      <c r="B4437" s="150" t="str">
        <f>IFERROR(VLOOKUP(Proc[[#This Row],[App]],Table2[],3,0),"open")</f>
        <v>ok</v>
      </c>
      <c r="C4437" s="149" t="s">
        <v>377</v>
      </c>
      <c r="D4437" t="s">
        <v>6590</v>
      </c>
      <c r="E4437" t="s">
        <v>6603</v>
      </c>
      <c r="F4437" s="150" t="s">
        <v>6276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5</v>
      </c>
      <c r="R4437" s="161" t="s">
        <v>5710</v>
      </c>
      <c r="S4437" s="150"/>
    </row>
    <row r="4438" spans="1:19" hidden="1">
      <c r="A4438" s="149" t="s">
        <v>6600</v>
      </c>
      <c r="B4438" s="150" t="str">
        <f>IFERROR(VLOOKUP(Proc[[#This Row],[App]],Table2[],3,0),"open")</f>
        <v>ok</v>
      </c>
      <c r="C4438" s="149" t="s">
        <v>377</v>
      </c>
      <c r="D4438" t="s">
        <v>6591</v>
      </c>
      <c r="E4438" t="s">
        <v>6603</v>
      </c>
      <c r="F4438" s="150" t="s">
        <v>6276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5</v>
      </c>
      <c r="R4438" s="161" t="s">
        <v>5710</v>
      </c>
      <c r="S4438" s="150"/>
    </row>
    <row r="4439" spans="1:19" hidden="1">
      <c r="A4439" s="149" t="s">
        <v>6600</v>
      </c>
      <c r="B4439" s="150" t="str">
        <f>IFERROR(VLOOKUP(Proc[[#This Row],[App]],Table2[],3,0),"open")</f>
        <v>ok</v>
      </c>
      <c r="C4439" s="149" t="s">
        <v>377</v>
      </c>
      <c r="D4439" t="s">
        <v>6592</v>
      </c>
      <c r="E4439" t="s">
        <v>6603</v>
      </c>
      <c r="F4439" s="150" t="s">
        <v>6276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5</v>
      </c>
      <c r="R4439" s="161" t="s">
        <v>5710</v>
      </c>
      <c r="S4439" s="150"/>
    </row>
    <row r="4440" spans="1:19" hidden="1">
      <c r="A4440" s="149" t="s">
        <v>6600</v>
      </c>
      <c r="B4440" s="150" t="str">
        <f>IFERROR(VLOOKUP(Proc[[#This Row],[App]],Table2[],3,0),"open")</f>
        <v>ok</v>
      </c>
      <c r="C4440" s="149" t="s">
        <v>369</v>
      </c>
      <c r="D4440" t="s">
        <v>6593</v>
      </c>
      <c r="E4440" t="s">
        <v>6603</v>
      </c>
      <c r="F4440" s="150" t="s">
        <v>6603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5</v>
      </c>
      <c r="R4440" s="161" t="s">
        <v>5710</v>
      </c>
      <c r="S4440" s="150"/>
    </row>
    <row r="4441" spans="1:19" hidden="1">
      <c r="A4441" s="149" t="s">
        <v>6600</v>
      </c>
      <c r="B4441" s="150" t="str">
        <f>IFERROR(VLOOKUP(Proc[[#This Row],[App]],Table2[],3,0),"open")</f>
        <v>ok</v>
      </c>
      <c r="C4441" s="149" t="s">
        <v>369</v>
      </c>
      <c r="D4441" t="s">
        <v>6594</v>
      </c>
      <c r="E4441" t="s">
        <v>6603</v>
      </c>
      <c r="F4441" s="150" t="s">
        <v>6603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5</v>
      </c>
      <c r="R4441" s="161" t="s">
        <v>5710</v>
      </c>
      <c r="S4441" s="150"/>
    </row>
    <row r="4442" spans="1:19" hidden="1">
      <c r="A4442" s="149" t="s">
        <v>6600</v>
      </c>
      <c r="B4442" s="150" t="str">
        <f>IFERROR(VLOOKUP(Proc[[#This Row],[App]],Table2[],3,0),"open")</f>
        <v>ok</v>
      </c>
      <c r="C4442" s="149" t="s">
        <v>369</v>
      </c>
      <c r="D4442" t="s">
        <v>6595</v>
      </c>
      <c r="E4442" t="s">
        <v>6603</v>
      </c>
      <c r="F4442" s="150" t="s">
        <v>6603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5</v>
      </c>
      <c r="R4442" s="161" t="s">
        <v>5710</v>
      </c>
      <c r="S4442" s="150"/>
    </row>
    <row r="4443" spans="1:19" hidden="1">
      <c r="A4443" s="149" t="s">
        <v>6600</v>
      </c>
      <c r="B4443" s="150" t="str">
        <f>IFERROR(VLOOKUP(Proc[[#This Row],[App]],Table2[],3,0),"open")</f>
        <v>ok</v>
      </c>
      <c r="C4443" s="149" t="s">
        <v>369</v>
      </c>
      <c r="D4443" t="s">
        <v>6596</v>
      </c>
      <c r="E4443" t="s">
        <v>6603</v>
      </c>
      <c r="F4443" s="150" t="s">
        <v>6603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5</v>
      </c>
      <c r="R4443" s="161" t="s">
        <v>5710</v>
      </c>
      <c r="S4443" s="150"/>
    </row>
    <row r="4444" spans="1:19" hidden="1">
      <c r="A4444" s="149" t="s">
        <v>6600</v>
      </c>
      <c r="B4444" s="150" t="str">
        <f>IFERROR(VLOOKUP(Proc[[#This Row],[App]],Table2[],3,0),"open")</f>
        <v>ok</v>
      </c>
      <c r="C4444" s="149" t="s">
        <v>369</v>
      </c>
      <c r="D4444" t="s">
        <v>6597</v>
      </c>
      <c r="E4444" t="s">
        <v>6604</v>
      </c>
      <c r="F4444" s="150" t="s">
        <v>6604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5</v>
      </c>
      <c r="R4444" s="161" t="s">
        <v>5710</v>
      </c>
      <c r="S4444" s="150"/>
    </row>
    <row r="4445" spans="1:19" hidden="1">
      <c r="A4445" s="149" t="s">
        <v>6600</v>
      </c>
      <c r="B4445" s="150" t="str">
        <f>IFERROR(VLOOKUP(Proc[[#This Row],[App]],Table2[],3,0),"open")</f>
        <v>ok</v>
      </c>
      <c r="C4445" s="149" t="s">
        <v>369</v>
      </c>
      <c r="D4445" t="s">
        <v>6598</v>
      </c>
      <c r="E4445" t="s">
        <v>6604</v>
      </c>
      <c r="F4445" s="150" t="s">
        <v>6604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5</v>
      </c>
      <c r="R4445" s="161" t="s">
        <v>5710</v>
      </c>
      <c r="S4445" s="150"/>
    </row>
    <row r="4446" spans="1:19" hidden="1">
      <c r="A4446" s="149" t="s">
        <v>6600</v>
      </c>
      <c r="B4446" s="150" t="str">
        <f>IFERROR(VLOOKUP(Proc[[#This Row],[App]],Table2[],3,0),"open")</f>
        <v>ok</v>
      </c>
      <c r="C4446" s="149" t="s">
        <v>369</v>
      </c>
      <c r="D4446" t="s">
        <v>6599</v>
      </c>
      <c r="E4446" t="s">
        <v>6604</v>
      </c>
      <c r="F4446" s="150" t="s">
        <v>6604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5</v>
      </c>
      <c r="R4446" s="161" t="s">
        <v>5710</v>
      </c>
      <c r="S4446" s="150"/>
    </row>
    <row r="4447" spans="1:19" hidden="1">
      <c r="A4447" t="s">
        <v>6607</v>
      </c>
      <c r="B4447" s="150" t="str">
        <f>IFERROR(VLOOKUP(Proc[[#This Row],[App]],Table2[],3,0),"open")</f>
        <v>ok</v>
      </c>
      <c r="C4447" s="149" t="s">
        <v>369</v>
      </c>
      <c r="D4447" t="s">
        <v>6608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5</v>
      </c>
      <c r="R4447" s="161" t="s">
        <v>780</v>
      </c>
      <c r="S4447" s="150"/>
    </row>
    <row r="4448" spans="1:19" hidden="1">
      <c r="A4448" t="s">
        <v>6609</v>
      </c>
      <c r="B4448" s="150" t="str">
        <f>IFERROR(VLOOKUP(Proc[[#This Row],[App]],Table2[],3,0),"open")</f>
        <v>ok</v>
      </c>
      <c r="C4448" s="149" t="s">
        <v>369</v>
      </c>
      <c r="D4448" t="s">
        <v>6635</v>
      </c>
      <c r="E4448" t="s">
        <v>6610</v>
      </c>
      <c r="F4448" s="149" t="s">
        <v>6610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5</v>
      </c>
      <c r="R4448" s="161" t="s">
        <v>542</v>
      </c>
      <c r="S4448" s="150"/>
    </row>
    <row r="4449" spans="1:19" hidden="1">
      <c r="A4449" s="149" t="s">
        <v>6609</v>
      </c>
      <c r="B4449" s="150" t="str">
        <f>IFERROR(VLOOKUP(Proc[[#This Row],[App]],Table2[],3,0),"open")</f>
        <v>ok</v>
      </c>
      <c r="C4449" s="149" t="s">
        <v>369</v>
      </c>
      <c r="D4449" t="s">
        <v>6636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6639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5</v>
      </c>
      <c r="R4449" s="161" t="s">
        <v>542</v>
      </c>
      <c r="S4449" s="150"/>
    </row>
    <row r="4450" spans="1:19" hidden="1">
      <c r="A4450" t="s">
        <v>6629</v>
      </c>
      <c r="B4450" s="150" t="str">
        <f>IFERROR(VLOOKUP(Proc[[#This Row],[App]],Table2[],3,0),"open")</f>
        <v>open</v>
      </c>
      <c r="C4450" s="149" t="s">
        <v>369</v>
      </c>
      <c r="D4450" t="s">
        <v>5293</v>
      </c>
      <c r="E4450" t="s">
        <v>6624</v>
      </c>
      <c r="F4450" s="150" t="s">
        <v>6624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6436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4</v>
      </c>
      <c r="R4450" s="163" t="s">
        <v>1459</v>
      </c>
      <c r="S4450" s="150"/>
    </row>
    <row r="4451" spans="1:19" hidden="1">
      <c r="A4451" t="s">
        <v>6629</v>
      </c>
      <c r="B4451" s="150" t="str">
        <f>IFERROR(VLOOKUP(Proc[[#This Row],[App]],Table2[],3,0),"open")</f>
        <v>open</v>
      </c>
      <c r="C4451" s="149" t="s">
        <v>369</v>
      </c>
      <c r="D4451" t="s">
        <v>5442</v>
      </c>
      <c r="E4451" t="s">
        <v>6625</v>
      </c>
      <c r="F4451" s="150" t="s">
        <v>6625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6436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4</v>
      </c>
      <c r="R4451" s="163" t="s">
        <v>1459</v>
      </c>
      <c r="S4451" s="150"/>
    </row>
    <row r="4452" spans="1:19" hidden="1">
      <c r="A4452" s="149" t="s">
        <v>6629</v>
      </c>
      <c r="B4452" s="150" t="str">
        <f>IFERROR(VLOOKUP(Proc[[#This Row],[App]],Table2[],3,0),"open")</f>
        <v>open</v>
      </c>
      <c r="C4452" s="149" t="s">
        <v>369</v>
      </c>
      <c r="D4452" t="s">
        <v>5295</v>
      </c>
      <c r="E4452" t="s">
        <v>6624</v>
      </c>
      <c r="F4452" s="150" t="s">
        <v>6624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6436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4</v>
      </c>
      <c r="R4452" s="163" t="s">
        <v>1459</v>
      </c>
      <c r="S4452" s="150"/>
    </row>
    <row r="4453" spans="1:19" hidden="1">
      <c r="A4453" s="149" t="s">
        <v>6629</v>
      </c>
      <c r="B4453" s="150" t="str">
        <f>IFERROR(VLOOKUP(Proc[[#This Row],[App]],Table2[],3,0),"open")</f>
        <v>open</v>
      </c>
      <c r="C4453" s="149" t="s">
        <v>369</v>
      </c>
      <c r="D4453" t="s">
        <v>5308</v>
      </c>
      <c r="E4453" t="s">
        <v>6624</v>
      </c>
      <c r="F4453" s="150" t="s">
        <v>6624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6436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4</v>
      </c>
      <c r="R4453" s="163" t="s">
        <v>1459</v>
      </c>
      <c r="S4453" s="150"/>
    </row>
    <row r="4454" spans="1:19" hidden="1">
      <c r="A4454" s="149" t="s">
        <v>6629</v>
      </c>
      <c r="B4454" s="150" t="str">
        <f>IFERROR(VLOOKUP(Proc[[#This Row],[App]],Table2[],3,0),"open")</f>
        <v>open</v>
      </c>
      <c r="C4454" s="149" t="s">
        <v>369</v>
      </c>
      <c r="D4454" t="s">
        <v>5440</v>
      </c>
      <c r="E4454" t="s">
        <v>6625</v>
      </c>
      <c r="F4454" s="150" t="s">
        <v>6625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6436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4</v>
      </c>
      <c r="R4454" s="163" t="s">
        <v>1459</v>
      </c>
      <c r="S4454" s="150"/>
    </row>
    <row r="4455" spans="1:19" hidden="1">
      <c r="A4455" s="149" t="s">
        <v>6629</v>
      </c>
      <c r="B4455" s="150" t="str">
        <f>IFERROR(VLOOKUP(Proc[[#This Row],[App]],Table2[],3,0),"open")</f>
        <v>open</v>
      </c>
      <c r="C4455" s="149" t="s">
        <v>369</v>
      </c>
      <c r="D4455" t="s">
        <v>5307</v>
      </c>
      <c r="E4455" t="s">
        <v>6624</v>
      </c>
      <c r="F4455" s="150" t="s">
        <v>6624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6436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4</v>
      </c>
      <c r="R4455" s="163" t="s">
        <v>1459</v>
      </c>
      <c r="S4455" s="150"/>
    </row>
    <row r="4456" spans="1:19" hidden="1">
      <c r="A4456" s="149" t="s">
        <v>6629</v>
      </c>
      <c r="B4456" s="150" t="str">
        <f>IFERROR(VLOOKUP(Proc[[#This Row],[App]],Table2[],3,0),"open")</f>
        <v>open</v>
      </c>
      <c r="C4456" s="149" t="s">
        <v>369</v>
      </c>
      <c r="D4456" t="s">
        <v>5312</v>
      </c>
      <c r="E4456" t="s">
        <v>6624</v>
      </c>
      <c r="F4456" s="150" t="s">
        <v>6624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6436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4</v>
      </c>
      <c r="R4456" s="163" t="s">
        <v>1459</v>
      </c>
      <c r="S4456" s="150"/>
    </row>
    <row r="4457" spans="1:19" hidden="1">
      <c r="A4457" s="149" t="s">
        <v>6629</v>
      </c>
      <c r="B4457" s="150" t="str">
        <f>IFERROR(VLOOKUP(Proc[[#This Row],[App]],Table2[],3,0),"open")</f>
        <v>open</v>
      </c>
      <c r="C4457" s="149" t="s">
        <v>369</v>
      </c>
      <c r="D4457" t="s">
        <v>6611</v>
      </c>
      <c r="E4457" t="s">
        <v>6605</v>
      </c>
      <c r="F4457" s="150" t="s">
        <v>6605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6436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4</v>
      </c>
      <c r="R4457" s="163" t="s">
        <v>1459</v>
      </c>
      <c r="S4457" s="150"/>
    </row>
    <row r="4458" spans="1:19" hidden="1">
      <c r="A4458" s="149" t="s">
        <v>6629</v>
      </c>
      <c r="B4458" s="150" t="str">
        <f>IFERROR(VLOOKUP(Proc[[#This Row],[App]],Table2[],3,0),"open")</f>
        <v>open</v>
      </c>
      <c r="C4458" s="149" t="s">
        <v>369</v>
      </c>
      <c r="D4458" t="s">
        <v>6612</v>
      </c>
      <c r="E4458" t="s">
        <v>6626</v>
      </c>
      <c r="F4458" s="150" t="s">
        <v>6626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6436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4</v>
      </c>
      <c r="R4458" s="163" t="s">
        <v>1459</v>
      </c>
      <c r="S4458" s="150"/>
    </row>
    <row r="4459" spans="1:19" hidden="1">
      <c r="A4459" s="149" t="s">
        <v>6629</v>
      </c>
      <c r="B4459" s="150" t="str">
        <f>IFERROR(VLOOKUP(Proc[[#This Row],[App]],Table2[],3,0),"open")</f>
        <v>open</v>
      </c>
      <c r="C4459" s="149" t="s">
        <v>369</v>
      </c>
      <c r="D4459" t="s">
        <v>1827</v>
      </c>
      <c r="E4459" t="s">
        <v>6627</v>
      </c>
      <c r="F4459" s="150" t="s">
        <v>6627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6436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4</v>
      </c>
      <c r="R4459" s="163" t="s">
        <v>1459</v>
      </c>
      <c r="S4459" s="150"/>
    </row>
    <row r="4460" spans="1:19" hidden="1">
      <c r="A4460" s="149" t="s">
        <v>6629</v>
      </c>
      <c r="B4460" s="150" t="str">
        <f>IFERROR(VLOOKUP(Proc[[#This Row],[App]],Table2[],3,0),"open")</f>
        <v>open</v>
      </c>
      <c r="C4460" s="149" t="s">
        <v>369</v>
      </c>
      <c r="D4460" t="s">
        <v>6613</v>
      </c>
      <c r="E4460" t="s">
        <v>6626</v>
      </c>
      <c r="F4460" s="150" t="s">
        <v>6626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6436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4</v>
      </c>
      <c r="R4460" s="163" t="s">
        <v>1459</v>
      </c>
      <c r="S4460" s="150"/>
    </row>
    <row r="4461" spans="1:19">
      <c r="A4461" s="149" t="s">
        <v>6629</v>
      </c>
      <c r="B4461" s="150" t="str">
        <f>IFERROR(VLOOKUP(Proc[[#This Row],[App]],Table2[],3,0),"open")</f>
        <v>open</v>
      </c>
      <c r="C4461" s="149" t="s">
        <v>375</v>
      </c>
      <c r="D4461" t="s">
        <v>6614</v>
      </c>
      <c r="E4461" t="s">
        <v>6627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6436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4</v>
      </c>
      <c r="R4461" s="163" t="s">
        <v>1459</v>
      </c>
      <c r="S4461" s="150"/>
    </row>
    <row r="4462" spans="1:19" hidden="1">
      <c r="A4462" s="149" t="s">
        <v>6629</v>
      </c>
      <c r="B4462" s="150" t="str">
        <f>IFERROR(VLOOKUP(Proc[[#This Row],[App]],Table2[],3,0),"open")</f>
        <v>open</v>
      </c>
      <c r="C4462" s="149" t="s">
        <v>369</v>
      </c>
      <c r="D4462" t="s">
        <v>6615</v>
      </c>
      <c r="E4462" t="s">
        <v>6627</v>
      </c>
      <c r="F4462" s="150" t="s">
        <v>6627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6436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4</v>
      </c>
      <c r="R4462" s="163" t="s">
        <v>1459</v>
      </c>
      <c r="S4462" s="150"/>
    </row>
    <row r="4463" spans="1:19" hidden="1">
      <c r="A4463" s="149" t="s">
        <v>6629</v>
      </c>
      <c r="B4463" s="150" t="str">
        <f>IFERROR(VLOOKUP(Proc[[#This Row],[App]],Table2[],3,0),"open")</f>
        <v>open</v>
      </c>
      <c r="C4463" s="149" t="s">
        <v>369</v>
      </c>
      <c r="D4463" t="s">
        <v>5437</v>
      </c>
      <c r="E4463" t="s">
        <v>6625</v>
      </c>
      <c r="F4463" s="150" t="s">
        <v>6625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6436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4</v>
      </c>
      <c r="R4463" s="163" t="s">
        <v>1459</v>
      </c>
      <c r="S4463" s="150"/>
    </row>
    <row r="4464" spans="1:19" hidden="1">
      <c r="A4464" s="149" t="s">
        <v>6629</v>
      </c>
      <c r="B4464" s="150" t="str">
        <f>IFERROR(VLOOKUP(Proc[[#This Row],[App]],Table2[],3,0),"open")</f>
        <v>open</v>
      </c>
      <c r="C4464" s="149" t="s">
        <v>369</v>
      </c>
      <c r="D4464" t="s">
        <v>5329</v>
      </c>
      <c r="E4464" t="s">
        <v>6624</v>
      </c>
      <c r="F4464" s="150" t="s">
        <v>6624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6436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4</v>
      </c>
      <c r="R4464" s="163" t="s">
        <v>1459</v>
      </c>
      <c r="S4464" s="150"/>
    </row>
    <row r="4465" spans="1:19" hidden="1">
      <c r="A4465" s="149" t="s">
        <v>6629</v>
      </c>
      <c r="B4465" s="150" t="str">
        <f>IFERROR(VLOOKUP(Proc[[#This Row],[App]],Table2[],3,0),"open")</f>
        <v>open</v>
      </c>
      <c r="C4465" s="149" t="s">
        <v>369</v>
      </c>
      <c r="D4465" t="s">
        <v>5367</v>
      </c>
      <c r="E4465" t="s">
        <v>6624</v>
      </c>
      <c r="F4465" s="150" t="s">
        <v>6624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6436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4</v>
      </c>
      <c r="R4465" s="163" t="s">
        <v>1459</v>
      </c>
      <c r="S4465" s="150"/>
    </row>
    <row r="4466" spans="1:19" hidden="1">
      <c r="A4466" s="149" t="s">
        <v>6629</v>
      </c>
      <c r="B4466" s="150" t="str">
        <f>IFERROR(VLOOKUP(Proc[[#This Row],[App]],Table2[],3,0),"open")</f>
        <v>open</v>
      </c>
      <c r="C4466" s="149" t="s">
        <v>369</v>
      </c>
      <c r="D4466" t="s">
        <v>6616</v>
      </c>
      <c r="E4466" t="s">
        <v>6605</v>
      </c>
      <c r="F4466" s="150" t="s">
        <v>6605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6436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4</v>
      </c>
      <c r="R4466" s="163" t="s">
        <v>1459</v>
      </c>
      <c r="S4466" s="150"/>
    </row>
    <row r="4467" spans="1:19" hidden="1">
      <c r="A4467" s="149" t="s">
        <v>6629</v>
      </c>
      <c r="B4467" s="150" t="str">
        <f>IFERROR(VLOOKUP(Proc[[#This Row],[App]],Table2[],3,0),"open")</f>
        <v>open</v>
      </c>
      <c r="C4467" s="149" t="s">
        <v>369</v>
      </c>
      <c r="D4467" t="s">
        <v>6617</v>
      </c>
      <c r="E4467" t="s">
        <v>6627</v>
      </c>
      <c r="F4467" s="150" t="s">
        <v>6627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6436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4</v>
      </c>
      <c r="R4467" s="163" t="s">
        <v>1459</v>
      </c>
      <c r="S4467" s="150"/>
    </row>
    <row r="4468" spans="1:19" hidden="1">
      <c r="A4468" s="149" t="s">
        <v>6629</v>
      </c>
      <c r="B4468" s="150" t="str">
        <f>IFERROR(VLOOKUP(Proc[[#This Row],[App]],Table2[],3,0),"open")</f>
        <v>open</v>
      </c>
      <c r="C4468" s="149" t="s">
        <v>369</v>
      </c>
      <c r="D4468" t="s">
        <v>6445</v>
      </c>
      <c r="E4468" t="s">
        <v>5447</v>
      </c>
      <c r="F4468" s="150" t="s">
        <v>5447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6436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4</v>
      </c>
      <c r="R4468" s="163" t="s">
        <v>1459</v>
      </c>
      <c r="S4468" s="150"/>
    </row>
    <row r="4469" spans="1:19" hidden="1">
      <c r="A4469" s="149" t="s">
        <v>6629</v>
      </c>
      <c r="B4469" s="150" t="str">
        <f>IFERROR(VLOOKUP(Proc[[#This Row],[App]],Table2[],3,0),"open")</f>
        <v>open</v>
      </c>
      <c r="C4469" s="149" t="s">
        <v>369</v>
      </c>
      <c r="D4469" t="s">
        <v>5418</v>
      </c>
      <c r="E4469" t="s">
        <v>6624</v>
      </c>
      <c r="F4469" s="150" t="s">
        <v>6624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6436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4</v>
      </c>
      <c r="R4469" s="163" t="s">
        <v>1459</v>
      </c>
      <c r="S4469" s="150"/>
    </row>
    <row r="4470" spans="1:19" hidden="1">
      <c r="A4470" s="149" t="s">
        <v>6629</v>
      </c>
      <c r="B4470" s="150" t="str">
        <f>IFERROR(VLOOKUP(Proc[[#This Row],[App]],Table2[],3,0),"open")</f>
        <v>open</v>
      </c>
      <c r="C4470" s="149" t="s">
        <v>369</v>
      </c>
      <c r="D4470" t="s">
        <v>5411</v>
      </c>
      <c r="E4470" t="s">
        <v>6624</v>
      </c>
      <c r="F4470" s="150" t="s">
        <v>6624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6436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4</v>
      </c>
      <c r="R4470" s="163" t="s">
        <v>1459</v>
      </c>
      <c r="S4470" s="150"/>
    </row>
    <row r="4471" spans="1:19" hidden="1">
      <c r="A4471" s="149" t="s">
        <v>6629</v>
      </c>
      <c r="B4471" s="150" t="str">
        <f>IFERROR(VLOOKUP(Proc[[#This Row],[App]],Table2[],3,0),"open")</f>
        <v>open</v>
      </c>
      <c r="C4471" s="149" t="s">
        <v>369</v>
      </c>
      <c r="D4471" t="s">
        <v>5443</v>
      </c>
      <c r="E4471" t="s">
        <v>6625</v>
      </c>
      <c r="F4471" s="150" t="s">
        <v>6625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6436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4</v>
      </c>
      <c r="R4471" s="163" t="s">
        <v>1459</v>
      </c>
      <c r="S4471" s="150"/>
    </row>
    <row r="4472" spans="1:19" hidden="1">
      <c r="A4472" s="149" t="s">
        <v>6629</v>
      </c>
      <c r="B4472" s="150" t="str">
        <f>IFERROR(VLOOKUP(Proc[[#This Row],[App]],Table2[],3,0),"open")</f>
        <v>open</v>
      </c>
      <c r="C4472" s="149" t="s">
        <v>369</v>
      </c>
      <c r="D4472" t="s">
        <v>5444</v>
      </c>
      <c r="E4472" t="s">
        <v>6625</v>
      </c>
      <c r="F4472" s="150" t="s">
        <v>6625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6436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4</v>
      </c>
      <c r="R4472" s="163" t="s">
        <v>1459</v>
      </c>
      <c r="S4472" s="150"/>
    </row>
    <row r="4473" spans="1:19" hidden="1">
      <c r="A4473" s="149" t="s">
        <v>6629</v>
      </c>
      <c r="B4473" s="150" t="str">
        <f>IFERROR(VLOOKUP(Proc[[#This Row],[App]],Table2[],3,0),"open")</f>
        <v>open</v>
      </c>
      <c r="C4473" s="149" t="s">
        <v>369</v>
      </c>
      <c r="D4473" t="s">
        <v>5413</v>
      </c>
      <c r="E4473" t="s">
        <v>6624</v>
      </c>
      <c r="F4473" s="150" t="s">
        <v>6624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6436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4</v>
      </c>
      <c r="R4473" s="163" t="s">
        <v>1459</v>
      </c>
      <c r="S4473" s="150"/>
    </row>
    <row r="4474" spans="1:19" hidden="1">
      <c r="A4474" s="149" t="s">
        <v>6629</v>
      </c>
      <c r="B4474" s="150" t="str">
        <f>IFERROR(VLOOKUP(Proc[[#This Row],[App]],Table2[],3,0),"open")</f>
        <v>open</v>
      </c>
      <c r="C4474" s="149" t="s">
        <v>369</v>
      </c>
      <c r="D4474" t="s">
        <v>5410</v>
      </c>
      <c r="E4474" t="s">
        <v>6624</v>
      </c>
      <c r="F4474" s="150" t="s">
        <v>6624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6436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4</v>
      </c>
      <c r="R4474" s="163" t="s">
        <v>1459</v>
      </c>
      <c r="S4474" s="150"/>
    </row>
    <row r="4475" spans="1:19" hidden="1">
      <c r="A4475" s="149" t="s">
        <v>6629</v>
      </c>
      <c r="B4475" s="150" t="str">
        <f>IFERROR(VLOOKUP(Proc[[#This Row],[App]],Table2[],3,0),"open")</f>
        <v>open</v>
      </c>
      <c r="C4475" s="149" t="s">
        <v>369</v>
      </c>
      <c r="D4475" t="s">
        <v>5417</v>
      </c>
      <c r="E4475" t="s">
        <v>6624</v>
      </c>
      <c r="F4475" s="150" t="s">
        <v>6624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6436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4</v>
      </c>
      <c r="R4475" s="163" t="s">
        <v>1459</v>
      </c>
      <c r="S4475" s="150"/>
    </row>
    <row r="4476" spans="1:19" hidden="1">
      <c r="A4476" s="149" t="s">
        <v>6629</v>
      </c>
      <c r="B4476" s="150" t="str">
        <f>IFERROR(VLOOKUP(Proc[[#This Row],[App]],Table2[],3,0),"open")</f>
        <v>open</v>
      </c>
      <c r="C4476" s="149" t="s">
        <v>369</v>
      </c>
      <c r="D4476" t="s">
        <v>5401</v>
      </c>
      <c r="E4476" t="s">
        <v>6624</v>
      </c>
      <c r="F4476" s="150" t="s">
        <v>6624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6436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4</v>
      </c>
      <c r="R4476" s="163" t="s">
        <v>1459</v>
      </c>
      <c r="S4476" s="150"/>
    </row>
    <row r="4477" spans="1:19" hidden="1">
      <c r="A4477" s="149" t="s">
        <v>6629</v>
      </c>
      <c r="B4477" s="150" t="str">
        <f>IFERROR(VLOOKUP(Proc[[#This Row],[App]],Table2[],3,0),"open")</f>
        <v>open</v>
      </c>
      <c r="C4477" s="149" t="s">
        <v>369</v>
      </c>
      <c r="D4477" t="s">
        <v>6618</v>
      </c>
      <c r="E4477" t="s">
        <v>6627</v>
      </c>
      <c r="F4477" s="150" t="s">
        <v>6627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6436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4</v>
      </c>
      <c r="R4477" s="163" t="s">
        <v>1459</v>
      </c>
      <c r="S4477" s="150"/>
    </row>
    <row r="4478" spans="1:19" hidden="1">
      <c r="A4478" s="149" t="s">
        <v>6629</v>
      </c>
      <c r="B4478" s="150" t="str">
        <f>IFERROR(VLOOKUP(Proc[[#This Row],[App]],Table2[],3,0),"open")</f>
        <v>open</v>
      </c>
      <c r="C4478" s="149" t="s">
        <v>369</v>
      </c>
      <c r="D4478" t="s">
        <v>5415</v>
      </c>
      <c r="E4478" t="s">
        <v>6624</v>
      </c>
      <c r="F4478" s="150" t="s">
        <v>6624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6436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4</v>
      </c>
      <c r="R4478" s="163" t="s">
        <v>1459</v>
      </c>
      <c r="S4478" s="150"/>
    </row>
    <row r="4479" spans="1:19" hidden="1">
      <c r="A4479" s="149" t="s">
        <v>6629</v>
      </c>
      <c r="B4479" s="150" t="str">
        <f>IFERROR(VLOOKUP(Proc[[#This Row],[App]],Table2[],3,0),"open")</f>
        <v>open</v>
      </c>
      <c r="C4479" s="149" t="s">
        <v>369</v>
      </c>
      <c r="D4479" t="s">
        <v>5414</v>
      </c>
      <c r="E4479" t="s">
        <v>6624</v>
      </c>
      <c r="F4479" s="150" t="s">
        <v>6624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6436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4</v>
      </c>
      <c r="R4479" s="163" t="s">
        <v>1459</v>
      </c>
      <c r="S4479" s="150"/>
    </row>
    <row r="4480" spans="1:19" hidden="1">
      <c r="A4480" s="149" t="s">
        <v>6629</v>
      </c>
      <c r="B4480" s="150" t="str">
        <f>IFERROR(VLOOKUP(Proc[[#This Row],[App]],Table2[],3,0),"open")</f>
        <v>open</v>
      </c>
      <c r="C4480" s="149" t="s">
        <v>369</v>
      </c>
      <c r="D4480" t="s">
        <v>6619</v>
      </c>
      <c r="E4480" t="s">
        <v>6628</v>
      </c>
      <c r="F4480" s="150" t="s">
        <v>6628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6436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4</v>
      </c>
      <c r="R4480" s="163" t="s">
        <v>1459</v>
      </c>
      <c r="S4480" s="150"/>
    </row>
    <row r="4481" spans="1:19" hidden="1">
      <c r="A4481" s="149" t="s">
        <v>6629</v>
      </c>
      <c r="B4481" s="150" t="str">
        <f>IFERROR(VLOOKUP(Proc[[#This Row],[App]],Table2[],3,0),"open")</f>
        <v>open</v>
      </c>
      <c r="C4481" s="149" t="s">
        <v>369</v>
      </c>
      <c r="D4481" t="s">
        <v>6620</v>
      </c>
      <c r="E4481" t="s">
        <v>6628</v>
      </c>
      <c r="F4481" s="150" t="s">
        <v>6628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6436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4</v>
      </c>
      <c r="R4481" s="163" t="s">
        <v>1459</v>
      </c>
      <c r="S4481" s="150"/>
    </row>
    <row r="4482" spans="1:19" hidden="1">
      <c r="A4482" s="149" t="s">
        <v>6629</v>
      </c>
      <c r="B4482" s="150" t="str">
        <f>IFERROR(VLOOKUP(Proc[[#This Row],[App]],Table2[],3,0),"open")</f>
        <v>open</v>
      </c>
      <c r="C4482" s="149" t="s">
        <v>369</v>
      </c>
      <c r="D4482" t="s">
        <v>6621</v>
      </c>
      <c r="E4482" t="s">
        <v>6628</v>
      </c>
      <c r="F4482" s="150" t="s">
        <v>6628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6436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4</v>
      </c>
      <c r="R4482" s="163" t="s">
        <v>1459</v>
      </c>
      <c r="S4482" s="150"/>
    </row>
    <row r="4483" spans="1:19" hidden="1">
      <c r="A4483" s="149" t="s">
        <v>6629</v>
      </c>
      <c r="B4483" s="150" t="str">
        <f>IFERROR(VLOOKUP(Proc[[#This Row],[App]],Table2[],3,0),"open")</f>
        <v>open</v>
      </c>
      <c r="C4483" s="149" t="s">
        <v>369</v>
      </c>
      <c r="D4483" t="s">
        <v>6622</v>
      </c>
      <c r="E4483" t="s">
        <v>6626</v>
      </c>
      <c r="F4483" s="150" t="s">
        <v>6626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6436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4</v>
      </c>
      <c r="R4483" s="163" t="s">
        <v>1459</v>
      </c>
      <c r="S4483" s="150"/>
    </row>
    <row r="4484" spans="1:19" hidden="1">
      <c r="A4484" s="149" t="s">
        <v>6629</v>
      </c>
      <c r="B4484" s="150" t="str">
        <f>IFERROR(VLOOKUP(Proc[[#This Row],[App]],Table2[],3,0),"open")</f>
        <v>open</v>
      </c>
      <c r="C4484" s="149" t="s">
        <v>369</v>
      </c>
      <c r="D4484" t="s">
        <v>6623</v>
      </c>
      <c r="E4484" t="s">
        <v>6626</v>
      </c>
      <c r="F4484" s="150" t="s">
        <v>6626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6436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4</v>
      </c>
      <c r="R4484" s="163" t="s">
        <v>1459</v>
      </c>
      <c r="S4484" s="150"/>
    </row>
    <row r="4485" spans="1:19" hidden="1">
      <c r="A4485" t="s">
        <v>6630</v>
      </c>
      <c r="B4485" s="150" t="str">
        <f>IFERROR(VLOOKUP(Proc[[#This Row],[App]],Table2[],3,0),"open")</f>
        <v>ok</v>
      </c>
      <c r="C4485" s="149" t="s">
        <v>369</v>
      </c>
      <c r="D4485" t="s">
        <v>6631</v>
      </c>
      <c r="E4485" t="s">
        <v>6606</v>
      </c>
      <c r="F4485" s="150" t="s">
        <v>6606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6436</v>
      </c>
      <c r="M4485" s="162">
        <v>45958</v>
      </c>
      <c r="N4485" s="162"/>
      <c r="O4485" s="162"/>
      <c r="P4485" s="163" t="str">
        <f ca="1">IF(Proc[[#This Row],[DaysAgeing]]&gt;5,"yep","on track")</f>
        <v>on track</v>
      </c>
      <c r="Q4485" s="3">
        <f ca="1">IF(Proc[[#This Row],[DateClosed]]="",ABS(NETWORKDAYS(Proc[[#This Row],[DateOpened]],TODAY()))-1,ABS(NETWORKDAYS(Proc[[#This Row],[DateOpened]],Proc[[#This Row],[DateClosed]]))-1)</f>
        <v>4</v>
      </c>
      <c r="R4485" s="163" t="s">
        <v>489</v>
      </c>
      <c r="S4485" s="150"/>
    </row>
    <row r="4486" spans="1:19" hidden="1">
      <c r="A4486" t="s">
        <v>6630</v>
      </c>
      <c r="B4486" s="150" t="str">
        <f>IFERROR(VLOOKUP(Proc[[#This Row],[App]],Table2[],3,0),"open")</f>
        <v>ok</v>
      </c>
      <c r="C4486" s="149" t="s">
        <v>369</v>
      </c>
      <c r="D4486" t="s">
        <v>6632</v>
      </c>
      <c r="E4486" t="s">
        <v>6606</v>
      </c>
      <c r="F4486" s="150" t="s">
        <v>6606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6436</v>
      </c>
      <c r="M4486" s="162">
        <v>45958</v>
      </c>
      <c r="N4486" s="162"/>
      <c r="O4486" s="162"/>
      <c r="P4486" s="163" t="str">
        <f ca="1">IF(Proc[[#This Row],[DaysAgeing]]&gt;5,"yep","on track")</f>
        <v>on track</v>
      </c>
      <c r="Q4486" s="3">
        <f ca="1">IF(Proc[[#This Row],[DateClosed]]="",ABS(NETWORKDAYS(Proc[[#This Row],[DateOpened]],TODAY()))-1,ABS(NETWORKDAYS(Proc[[#This Row],[DateOpened]],Proc[[#This Row],[DateClosed]]))-1)</f>
        <v>4</v>
      </c>
      <c r="R4486" s="163" t="s">
        <v>489</v>
      </c>
      <c r="S4486" s="150"/>
    </row>
    <row r="4487" spans="1:19" hidden="1">
      <c r="A4487" s="149" t="s">
        <v>6630</v>
      </c>
      <c r="B4487" s="150" t="str">
        <f>IFERROR(VLOOKUP(Proc[[#This Row],[App]],Table2[],3,0),"open")</f>
        <v>ok</v>
      </c>
      <c r="C4487" s="149" t="s">
        <v>369</v>
      </c>
      <c r="D4487" t="s">
        <v>6633</v>
      </c>
      <c r="E4487" t="s">
        <v>6606</v>
      </c>
      <c r="F4487" s="150" t="s">
        <v>6606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6436</v>
      </c>
      <c r="M4487" s="162">
        <v>45958</v>
      </c>
      <c r="N4487" s="162"/>
      <c r="O4487" s="162"/>
      <c r="P4487" s="163" t="str">
        <f ca="1">IF(Proc[[#This Row],[DaysAgeing]]&gt;5,"yep","on track")</f>
        <v>on track</v>
      </c>
      <c r="Q4487" s="3">
        <f ca="1">IF(Proc[[#This Row],[DateClosed]]="",ABS(NETWORKDAYS(Proc[[#This Row],[DateOpened]],TODAY()))-1,ABS(NETWORKDAYS(Proc[[#This Row],[DateOpened]],Proc[[#This Row],[DateClosed]]))-1)</f>
        <v>4</v>
      </c>
      <c r="R4487" s="163" t="s">
        <v>489</v>
      </c>
      <c r="S4487" s="150"/>
    </row>
    <row r="4488" spans="1:19" hidden="1">
      <c r="A4488" s="149" t="s">
        <v>6630</v>
      </c>
      <c r="B4488" s="150" t="str">
        <f>IFERROR(VLOOKUP(Proc[[#This Row],[App]],Table2[],3,0),"open")</f>
        <v>ok</v>
      </c>
      <c r="C4488" s="149" t="s">
        <v>369</v>
      </c>
      <c r="D4488" t="s">
        <v>6634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6436</v>
      </c>
      <c r="M4488" s="162">
        <v>45958</v>
      </c>
      <c r="N4488" s="162"/>
      <c r="O4488" s="162"/>
      <c r="P4488" s="163" t="str">
        <f ca="1">IF(Proc[[#This Row],[DaysAgeing]]&gt;5,"yep","on track")</f>
        <v>on track</v>
      </c>
      <c r="Q4488" s="3">
        <f ca="1">IF(Proc[[#This Row],[DateClosed]]="",ABS(NETWORKDAYS(Proc[[#This Row],[DateOpened]],TODAY()))-1,ABS(NETWORKDAYS(Proc[[#This Row],[DateOpened]],Proc[[#This Row],[DateClosed]]))-1)</f>
        <v>4</v>
      </c>
      <c r="R4488" s="163" t="s">
        <v>489</v>
      </c>
      <c r="S4488" s="150"/>
    </row>
    <row r="4489" spans="1:19">
      <c r="A4489" t="s">
        <v>6637</v>
      </c>
      <c r="B4489" s="150" t="str">
        <f>IFERROR(VLOOKUP(Proc[[#This Row],[App]],Table2[],3,0),"open")</f>
        <v>open</v>
      </c>
      <c r="C4489" t="s">
        <v>370</v>
      </c>
      <c r="D4489" t="s">
        <v>6638</v>
      </c>
      <c r="E4489" t="s">
        <v>447</v>
      </c>
      <c r="F4489" s="150" t="s">
        <v>6748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0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6436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3</v>
      </c>
      <c r="R4489" s="163" t="s">
        <v>489</v>
      </c>
      <c r="S4489" s="150"/>
    </row>
    <row r="4490" spans="1:19">
      <c r="A4490" t="s">
        <v>6640</v>
      </c>
      <c r="B4490" s="150" t="str">
        <f>IFERROR(VLOOKUP(Proc[[#This Row],[App]],Table2[],3,0),"open")</f>
        <v>open</v>
      </c>
      <c r="C4490" t="s">
        <v>404</v>
      </c>
      <c r="D4490" t="s">
        <v>6746</v>
      </c>
      <c r="E4490" t="s">
        <v>6641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6436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</v>
      </c>
      <c r="R4490" s="165" t="s">
        <v>498</v>
      </c>
      <c r="S4490" s="150"/>
    </row>
    <row r="4491" spans="1:19">
      <c r="A4491" t="s">
        <v>6640</v>
      </c>
      <c r="B4491" s="150" t="str">
        <f>IFERROR(VLOOKUP(Proc[[#This Row],[App]],Table2[],3,0),"open")</f>
        <v>open</v>
      </c>
      <c r="C4491" t="s">
        <v>404</v>
      </c>
      <c r="D4491" t="s">
        <v>6747</v>
      </c>
      <c r="E4491" t="s">
        <v>6642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6436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</v>
      </c>
      <c r="R4491" s="165" t="s">
        <v>498</v>
      </c>
      <c r="S4491" s="150"/>
    </row>
    <row r="4492" spans="1:19">
      <c r="A4492" t="s">
        <v>6643</v>
      </c>
      <c r="B4492" s="150" t="str">
        <f>IFERROR(VLOOKUP(Proc[[#This Row],[App]],Table2[],3,0),"open")</f>
        <v>open</v>
      </c>
      <c r="C4492" s="149" t="s">
        <v>370</v>
      </c>
      <c r="D4492" t="s">
        <v>6644</v>
      </c>
      <c r="E4492" t="s">
        <v>6665</v>
      </c>
      <c r="F4492" s="150" t="s">
        <v>6749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0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6436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1</v>
      </c>
      <c r="R4492" s="165" t="s">
        <v>6669</v>
      </c>
      <c r="S4492" s="150"/>
    </row>
    <row r="4493" spans="1:19">
      <c r="A4493" s="149" t="s">
        <v>6643</v>
      </c>
      <c r="B4493" s="150" t="str">
        <f>IFERROR(VLOOKUP(Proc[[#This Row],[App]],Table2[],3,0),"open")</f>
        <v>open</v>
      </c>
      <c r="C4493" s="149" t="s">
        <v>370</v>
      </c>
      <c r="D4493" t="s">
        <v>6645</v>
      </c>
      <c r="E4493" t="s">
        <v>6666</v>
      </c>
      <c r="F4493" s="150" t="s">
        <v>6750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0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6436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1</v>
      </c>
      <c r="R4493" s="165" t="s">
        <v>6669</v>
      </c>
      <c r="S4493" s="150"/>
    </row>
    <row r="4494" spans="1:19" hidden="1">
      <c r="A4494" s="149" t="s">
        <v>6643</v>
      </c>
      <c r="B4494" s="150" t="str">
        <f>IFERROR(VLOOKUP(Proc[[#This Row],[App]],Table2[],3,0),"open")</f>
        <v>open</v>
      </c>
      <c r="C4494" s="149" t="s">
        <v>369</v>
      </c>
      <c r="D4494" t="s">
        <v>6646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6436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1</v>
      </c>
      <c r="R4494" s="165" t="s">
        <v>6669</v>
      </c>
      <c r="S4494" s="150"/>
    </row>
    <row r="4495" spans="1:19" hidden="1">
      <c r="A4495" s="149" t="s">
        <v>6643</v>
      </c>
      <c r="B4495" s="150" t="str">
        <f>IFERROR(VLOOKUP(Proc[[#This Row],[App]],Table2[],3,0),"open")</f>
        <v>open</v>
      </c>
      <c r="C4495" s="149" t="s">
        <v>369</v>
      </c>
      <c r="D4495" t="s">
        <v>6647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6436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1</v>
      </c>
      <c r="R4495" s="165" t="s">
        <v>6669</v>
      </c>
      <c r="S4495" s="150"/>
    </row>
    <row r="4496" spans="1:19">
      <c r="A4496" s="149" t="s">
        <v>6643</v>
      </c>
      <c r="B4496" s="150" t="str">
        <f>IFERROR(VLOOKUP(Proc[[#This Row],[App]],Table2[],3,0),"open")</f>
        <v>open</v>
      </c>
      <c r="C4496" s="149" t="s">
        <v>375</v>
      </c>
      <c r="D4496" t="s">
        <v>6648</v>
      </c>
      <c r="E4496" t="s">
        <v>6667</v>
      </c>
      <c r="F4496" s="150" t="s">
        <v>6751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6436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1</v>
      </c>
      <c r="R4496" s="165" t="s">
        <v>6669</v>
      </c>
      <c r="S4496" s="150"/>
    </row>
    <row r="4497" spans="1:19" hidden="1">
      <c r="A4497" s="149" t="s">
        <v>6643</v>
      </c>
      <c r="B4497" s="150" t="str">
        <f>IFERROR(VLOOKUP(Proc[[#This Row],[App]],Table2[],3,0),"open")</f>
        <v>open</v>
      </c>
      <c r="C4497" s="149" t="s">
        <v>369</v>
      </c>
      <c r="D4497" t="s">
        <v>6649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6436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1</v>
      </c>
      <c r="R4497" s="165" t="s">
        <v>6669</v>
      </c>
      <c r="S4497" s="150"/>
    </row>
    <row r="4498" spans="1:19" hidden="1">
      <c r="A4498" s="149" t="s">
        <v>6643</v>
      </c>
      <c r="B4498" s="150" t="str">
        <f>IFERROR(VLOOKUP(Proc[[#This Row],[App]],Table2[],3,0),"open")</f>
        <v>open</v>
      </c>
      <c r="C4498" s="149" t="s">
        <v>369</v>
      </c>
      <c r="D4498" t="s">
        <v>6650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6436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1</v>
      </c>
      <c r="R4498" s="165" t="s">
        <v>6669</v>
      </c>
      <c r="S4498" s="150"/>
    </row>
    <row r="4499" spans="1:19" hidden="1">
      <c r="A4499" s="149" t="s">
        <v>6643</v>
      </c>
      <c r="B4499" s="150" t="str">
        <f>IFERROR(VLOOKUP(Proc[[#This Row],[App]],Table2[],3,0),"open")</f>
        <v>open</v>
      </c>
      <c r="C4499" s="149" t="s">
        <v>369</v>
      </c>
      <c r="D4499" t="s">
        <v>6651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6436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1</v>
      </c>
      <c r="R4499" s="165" t="s">
        <v>6669</v>
      </c>
      <c r="S4499" s="150"/>
    </row>
    <row r="4500" spans="1:19" hidden="1">
      <c r="A4500" s="149" t="s">
        <v>6643</v>
      </c>
      <c r="B4500" s="150" t="str">
        <f>IFERROR(VLOOKUP(Proc[[#This Row],[App]],Table2[],3,0),"open")</f>
        <v>open</v>
      </c>
      <c r="C4500" s="149" t="s">
        <v>369</v>
      </c>
      <c r="D4500" t="s">
        <v>6652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6436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1</v>
      </c>
      <c r="R4500" s="165" t="s">
        <v>6669</v>
      </c>
      <c r="S4500" s="150"/>
    </row>
    <row r="4501" spans="1:19" hidden="1">
      <c r="A4501" s="149" t="s">
        <v>6643</v>
      </c>
      <c r="B4501" s="150" t="str">
        <f>IFERROR(VLOOKUP(Proc[[#This Row],[App]],Table2[],3,0),"open")</f>
        <v>open</v>
      </c>
      <c r="C4501" s="149" t="s">
        <v>369</v>
      </c>
      <c r="D4501" t="s">
        <v>6653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6436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1</v>
      </c>
      <c r="R4501" s="165" t="s">
        <v>6669</v>
      </c>
      <c r="S4501" s="150"/>
    </row>
    <row r="4502" spans="1:19" hidden="1">
      <c r="A4502" s="149" t="s">
        <v>6643</v>
      </c>
      <c r="B4502" s="150" t="str">
        <f>IFERROR(VLOOKUP(Proc[[#This Row],[App]],Table2[],3,0),"open")</f>
        <v>open</v>
      </c>
      <c r="C4502" s="149" t="s">
        <v>369</v>
      </c>
      <c r="D4502" t="s">
        <v>6654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6436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1</v>
      </c>
      <c r="R4502" s="165" t="s">
        <v>6669</v>
      </c>
      <c r="S4502" s="150"/>
    </row>
    <row r="4503" spans="1:19" hidden="1">
      <c r="A4503" s="149" t="s">
        <v>6643</v>
      </c>
      <c r="B4503" s="150" t="str">
        <f>IFERROR(VLOOKUP(Proc[[#This Row],[App]],Table2[],3,0),"open")</f>
        <v>open</v>
      </c>
      <c r="C4503" s="149" t="s">
        <v>369</v>
      </c>
      <c r="D4503" t="s">
        <v>6655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6436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1</v>
      </c>
      <c r="R4503" s="165" t="s">
        <v>6669</v>
      </c>
      <c r="S4503" s="150"/>
    </row>
    <row r="4504" spans="1:19" hidden="1">
      <c r="A4504" s="149" t="s">
        <v>6643</v>
      </c>
      <c r="B4504" s="150" t="str">
        <f>IFERROR(VLOOKUP(Proc[[#This Row],[App]],Table2[],3,0),"open")</f>
        <v>open</v>
      </c>
      <c r="C4504" s="149" t="s">
        <v>369</v>
      </c>
      <c r="D4504" t="s">
        <v>6656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6436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1</v>
      </c>
      <c r="R4504" s="165" t="s">
        <v>6669</v>
      </c>
      <c r="S4504" s="150"/>
    </row>
    <row r="4505" spans="1:19" hidden="1">
      <c r="A4505" s="149" t="s">
        <v>6643</v>
      </c>
      <c r="B4505" s="150" t="str">
        <f>IFERROR(VLOOKUP(Proc[[#This Row],[App]],Table2[],3,0),"open")</f>
        <v>open</v>
      </c>
      <c r="C4505" s="149" t="s">
        <v>369</v>
      </c>
      <c r="D4505" t="s">
        <v>6657</v>
      </c>
      <c r="E4505" t="s">
        <v>6668</v>
      </c>
      <c r="F4505" s="150" t="s">
        <v>6668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6436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1</v>
      </c>
      <c r="R4505" s="165" t="s">
        <v>6669</v>
      </c>
      <c r="S4505" s="150"/>
    </row>
    <row r="4506" spans="1:19" hidden="1">
      <c r="A4506" s="149" t="s">
        <v>6643</v>
      </c>
      <c r="B4506" s="150" t="str">
        <f>IFERROR(VLOOKUP(Proc[[#This Row],[App]],Table2[],3,0),"open")</f>
        <v>open</v>
      </c>
      <c r="C4506" s="149" t="s">
        <v>369</v>
      </c>
      <c r="D4506" t="s">
        <v>6658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6436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1</v>
      </c>
      <c r="R4506" s="165" t="s">
        <v>6669</v>
      </c>
      <c r="S4506" s="150"/>
    </row>
    <row r="4507" spans="1:19" hidden="1">
      <c r="A4507" s="149" t="s">
        <v>6643</v>
      </c>
      <c r="B4507" s="150" t="str">
        <f>IFERROR(VLOOKUP(Proc[[#This Row],[App]],Table2[],3,0),"open")</f>
        <v>open</v>
      </c>
      <c r="C4507" s="149" t="s">
        <v>369</v>
      </c>
      <c r="D4507" t="s">
        <v>6659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6436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1</v>
      </c>
      <c r="R4507" s="165" t="s">
        <v>6669</v>
      </c>
      <c r="S4507" s="150"/>
    </row>
    <row r="4508" spans="1:19" hidden="1">
      <c r="A4508" s="149" t="s">
        <v>6643</v>
      </c>
      <c r="B4508" s="150" t="str">
        <f>IFERROR(VLOOKUP(Proc[[#This Row],[App]],Table2[],3,0),"open")</f>
        <v>open</v>
      </c>
      <c r="C4508" s="149" t="s">
        <v>369</v>
      </c>
      <c r="D4508" t="s">
        <v>6660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6436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1</v>
      </c>
      <c r="R4508" s="165" t="s">
        <v>6669</v>
      </c>
      <c r="S4508" s="150"/>
    </row>
    <row r="4509" spans="1:19" hidden="1">
      <c r="A4509" s="149" t="s">
        <v>6643</v>
      </c>
      <c r="B4509" s="150" t="str">
        <f>IFERROR(VLOOKUP(Proc[[#This Row],[App]],Table2[],3,0),"open")</f>
        <v>open</v>
      </c>
      <c r="C4509" s="149" t="s">
        <v>369</v>
      </c>
      <c r="D4509" t="s">
        <v>6661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6436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1</v>
      </c>
      <c r="R4509" s="165" t="s">
        <v>6669</v>
      </c>
      <c r="S4509" s="150"/>
    </row>
    <row r="4510" spans="1:19" hidden="1">
      <c r="A4510" s="149" t="s">
        <v>6643</v>
      </c>
      <c r="B4510" s="150" t="str">
        <f>IFERROR(VLOOKUP(Proc[[#This Row],[App]],Table2[],3,0),"open")</f>
        <v>open</v>
      </c>
      <c r="C4510" s="149" t="s">
        <v>369</v>
      </c>
      <c r="D4510" t="s">
        <v>6662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6436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1</v>
      </c>
      <c r="R4510" s="165" t="s">
        <v>6669</v>
      </c>
      <c r="S4510" s="150"/>
    </row>
    <row r="4511" spans="1:19" hidden="1">
      <c r="A4511" s="149" t="s">
        <v>6643</v>
      </c>
      <c r="B4511" s="150" t="str">
        <f>IFERROR(VLOOKUP(Proc[[#This Row],[App]],Table2[],3,0),"open")</f>
        <v>open</v>
      </c>
      <c r="C4511" s="149" t="s">
        <v>369</v>
      </c>
      <c r="D4511" t="s">
        <v>6663</v>
      </c>
      <c r="E4511" t="s">
        <v>6668</v>
      </c>
      <c r="F4511" s="150" t="s">
        <v>6668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6436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1</v>
      </c>
      <c r="R4511" s="165" t="s">
        <v>6669</v>
      </c>
      <c r="S4511" s="150"/>
    </row>
    <row r="4512" spans="1:19" hidden="1">
      <c r="A4512" s="149" t="s">
        <v>6643</v>
      </c>
      <c r="B4512" s="150" t="str">
        <f>IFERROR(VLOOKUP(Proc[[#This Row],[App]],Table2[],3,0),"open")</f>
        <v>open</v>
      </c>
      <c r="C4512" s="149" t="s">
        <v>369</v>
      </c>
      <c r="D4512" t="s">
        <v>6664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6436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1</v>
      </c>
      <c r="R4512" s="165" t="s">
        <v>6669</v>
      </c>
      <c r="S4512" s="150"/>
    </row>
    <row r="4513" spans="1:19" hidden="1">
      <c r="A4513" t="s">
        <v>6670</v>
      </c>
      <c r="B4513" s="150" t="str">
        <f>IFERROR(VLOOKUP(Proc[[#This Row],[App]],Table2[],3,0),"open")</f>
        <v>ok</v>
      </c>
      <c r="C4513" s="149" t="s">
        <v>369</v>
      </c>
      <c r="D4513" t="s">
        <v>6671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6436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1</v>
      </c>
      <c r="R4513" s="165" t="s">
        <v>1013</v>
      </c>
      <c r="S4513" s="150"/>
    </row>
    <row r="4514" spans="1:19" hidden="1">
      <c r="A4514" s="149" t="s">
        <v>6670</v>
      </c>
      <c r="B4514" s="150" t="str">
        <f>IFERROR(VLOOKUP(Proc[[#This Row],[App]],Table2[],3,0),"open")</f>
        <v>ok</v>
      </c>
      <c r="C4514" s="149" t="s">
        <v>369</v>
      </c>
      <c r="D4514" t="s">
        <v>6672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6436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1</v>
      </c>
      <c r="R4514" s="165" t="s">
        <v>1013</v>
      </c>
      <c r="S4514" s="150"/>
    </row>
    <row r="4515" spans="1:19" hidden="1">
      <c r="A4515" s="149" t="s">
        <v>6670</v>
      </c>
      <c r="B4515" s="150" t="str">
        <f>IFERROR(VLOOKUP(Proc[[#This Row],[App]],Table2[],3,0),"open")</f>
        <v>ok</v>
      </c>
      <c r="C4515" s="149" t="s">
        <v>369</v>
      </c>
      <c r="D4515" t="s">
        <v>6673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6436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1</v>
      </c>
      <c r="R4515" s="165" t="s">
        <v>1013</v>
      </c>
      <c r="S4515" s="150"/>
    </row>
    <row r="4516" spans="1:19" hidden="1">
      <c r="A4516" s="149" t="s">
        <v>6670</v>
      </c>
      <c r="B4516" s="150" t="str">
        <f>IFERROR(VLOOKUP(Proc[[#This Row],[App]],Table2[],3,0),"open")</f>
        <v>ok</v>
      </c>
      <c r="C4516" s="149" t="s">
        <v>369</v>
      </c>
      <c r="D4516" t="s">
        <v>6674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6436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1</v>
      </c>
      <c r="R4516" s="165" t="s">
        <v>1013</v>
      </c>
      <c r="S4516" s="150"/>
    </row>
    <row r="4517" spans="1:19" hidden="1">
      <c r="A4517" s="149" t="s">
        <v>6670</v>
      </c>
      <c r="B4517" s="150" t="str">
        <f>IFERROR(VLOOKUP(Proc[[#This Row],[App]],Table2[],3,0),"open")</f>
        <v>ok</v>
      </c>
      <c r="C4517" s="149" t="s">
        <v>369</v>
      </c>
      <c r="D4517" t="s">
        <v>6675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6436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1</v>
      </c>
      <c r="R4517" s="165" t="s">
        <v>1013</v>
      </c>
      <c r="S4517" s="150"/>
    </row>
    <row r="4518" spans="1:19" hidden="1">
      <c r="A4518" s="149" t="s">
        <v>6670</v>
      </c>
      <c r="B4518" s="150" t="str">
        <f>IFERROR(VLOOKUP(Proc[[#This Row],[App]],Table2[],3,0),"open")</f>
        <v>ok</v>
      </c>
      <c r="C4518" s="149" t="s">
        <v>369</v>
      </c>
      <c r="D4518" t="s">
        <v>6676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6436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1</v>
      </c>
      <c r="R4518" s="165" t="s">
        <v>1013</v>
      </c>
      <c r="S4518" s="150"/>
    </row>
    <row r="4519" spans="1:19" hidden="1">
      <c r="A4519" s="149" t="s">
        <v>6670</v>
      </c>
      <c r="B4519" s="150" t="str">
        <f>IFERROR(VLOOKUP(Proc[[#This Row],[App]],Table2[],3,0),"open")</f>
        <v>ok</v>
      </c>
      <c r="C4519" s="149" t="s">
        <v>369</v>
      </c>
      <c r="D4519" t="s">
        <v>6677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6436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1</v>
      </c>
      <c r="R4519" s="165" t="s">
        <v>1013</v>
      </c>
      <c r="S4519" s="150"/>
    </row>
    <row r="4520" spans="1:19" hidden="1">
      <c r="A4520" s="149" t="s">
        <v>6670</v>
      </c>
      <c r="B4520" s="150" t="str">
        <f>IFERROR(VLOOKUP(Proc[[#This Row],[App]],Table2[],3,0),"open")</f>
        <v>ok</v>
      </c>
      <c r="C4520" s="149" t="s">
        <v>369</v>
      </c>
      <c r="D4520" t="s">
        <v>6678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6436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1</v>
      </c>
      <c r="R4520" s="165" t="s">
        <v>1013</v>
      </c>
      <c r="S4520" s="150"/>
    </row>
    <row r="4521" spans="1:19" hidden="1">
      <c r="A4521" s="149" t="s">
        <v>6670</v>
      </c>
      <c r="B4521" s="150" t="str">
        <f>IFERROR(VLOOKUP(Proc[[#This Row],[App]],Table2[],3,0),"open")</f>
        <v>ok</v>
      </c>
      <c r="C4521" s="149" t="s">
        <v>369</v>
      </c>
      <c r="D4521" t="s">
        <v>6679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6436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1</v>
      </c>
      <c r="R4521" s="165" t="s">
        <v>1013</v>
      </c>
      <c r="S4521" s="150"/>
    </row>
    <row r="4522" spans="1:19" hidden="1">
      <c r="A4522" s="149" t="s">
        <v>6670</v>
      </c>
      <c r="B4522" s="150" t="str">
        <f>IFERROR(VLOOKUP(Proc[[#This Row],[App]],Table2[],3,0),"open")</f>
        <v>ok</v>
      </c>
      <c r="C4522" s="149" t="s">
        <v>369</v>
      </c>
      <c r="D4522" t="s">
        <v>6680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6436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1</v>
      </c>
      <c r="R4522" s="165" t="s">
        <v>1013</v>
      </c>
      <c r="S4522" s="150"/>
    </row>
    <row r="4523" spans="1:19" hidden="1">
      <c r="A4523" s="149" t="s">
        <v>6670</v>
      </c>
      <c r="B4523" s="150" t="str">
        <f>IFERROR(VLOOKUP(Proc[[#This Row],[App]],Table2[],3,0),"open")</f>
        <v>ok</v>
      </c>
      <c r="C4523" s="149" t="s">
        <v>369</v>
      </c>
      <c r="D4523" t="s">
        <v>6681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6436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1</v>
      </c>
      <c r="R4523" s="165" t="s">
        <v>1013</v>
      </c>
      <c r="S4523" s="150"/>
    </row>
    <row r="4524" spans="1:19" hidden="1">
      <c r="A4524" s="149" t="s">
        <v>6670</v>
      </c>
      <c r="B4524" s="150" t="str">
        <f>IFERROR(VLOOKUP(Proc[[#This Row],[App]],Table2[],3,0),"open")</f>
        <v>ok</v>
      </c>
      <c r="C4524" s="149" t="s">
        <v>369</v>
      </c>
      <c r="D4524" t="s">
        <v>6682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6436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1</v>
      </c>
      <c r="R4524" s="165" t="s">
        <v>1013</v>
      </c>
      <c r="S4524" s="150"/>
    </row>
    <row r="4525" spans="1:19" hidden="1">
      <c r="A4525" s="149" t="s">
        <v>6670</v>
      </c>
      <c r="B4525" s="150" t="str">
        <f>IFERROR(VLOOKUP(Proc[[#This Row],[App]],Table2[],3,0),"open")</f>
        <v>ok</v>
      </c>
      <c r="C4525" s="149" t="s">
        <v>369</v>
      </c>
      <c r="D4525" t="s">
        <v>6683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6436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1</v>
      </c>
      <c r="R4525" s="165" t="s">
        <v>1013</v>
      </c>
      <c r="S4525" s="150"/>
    </row>
    <row r="4526" spans="1:19" hidden="1">
      <c r="A4526" s="149" t="s">
        <v>6670</v>
      </c>
      <c r="B4526" s="150" t="str">
        <f>IFERROR(VLOOKUP(Proc[[#This Row],[App]],Table2[],3,0),"open")</f>
        <v>ok</v>
      </c>
      <c r="C4526" s="149" t="s">
        <v>369</v>
      </c>
      <c r="D4526" t="s">
        <v>6684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6436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1</v>
      </c>
      <c r="R4526" s="165" t="s">
        <v>1013</v>
      </c>
      <c r="S4526" s="150"/>
    </row>
    <row r="4527" spans="1:19" hidden="1">
      <c r="A4527" s="149" t="s">
        <v>6670</v>
      </c>
      <c r="B4527" s="150" t="str">
        <f>IFERROR(VLOOKUP(Proc[[#This Row],[App]],Table2[],3,0),"open")</f>
        <v>ok</v>
      </c>
      <c r="C4527" s="149" t="s">
        <v>369</v>
      </c>
      <c r="D4527" t="s">
        <v>6685</v>
      </c>
      <c r="E4527" t="s">
        <v>6717</v>
      </c>
      <c r="F4527" s="150" t="s">
        <v>6717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6436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1</v>
      </c>
      <c r="R4527" s="165" t="s">
        <v>1013</v>
      </c>
      <c r="S4527" s="150"/>
    </row>
    <row r="4528" spans="1:19" hidden="1">
      <c r="A4528" s="149" t="s">
        <v>6670</v>
      </c>
      <c r="B4528" s="150" t="str">
        <f>IFERROR(VLOOKUP(Proc[[#This Row],[App]],Table2[],3,0),"open")</f>
        <v>ok</v>
      </c>
      <c r="C4528" s="149" t="s">
        <v>369</v>
      </c>
      <c r="D4528" t="s">
        <v>6686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6436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1</v>
      </c>
      <c r="R4528" s="165" t="s">
        <v>1013</v>
      </c>
      <c r="S4528" s="150"/>
    </row>
    <row r="4529" spans="1:19" hidden="1">
      <c r="A4529" s="149" t="s">
        <v>6670</v>
      </c>
      <c r="B4529" s="150" t="str">
        <f>IFERROR(VLOOKUP(Proc[[#This Row],[App]],Table2[],3,0),"open")</f>
        <v>ok</v>
      </c>
      <c r="C4529" s="149" t="s">
        <v>369</v>
      </c>
      <c r="D4529" t="s">
        <v>6687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6436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1</v>
      </c>
      <c r="R4529" s="165" t="s">
        <v>1013</v>
      </c>
      <c r="S4529" s="150"/>
    </row>
    <row r="4530" spans="1:19" hidden="1">
      <c r="A4530" s="149" t="s">
        <v>6670</v>
      </c>
      <c r="B4530" s="150" t="str">
        <f>IFERROR(VLOOKUP(Proc[[#This Row],[App]],Table2[],3,0),"open")</f>
        <v>ok</v>
      </c>
      <c r="C4530" s="149" t="s">
        <v>369</v>
      </c>
      <c r="D4530" t="s">
        <v>6688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6436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1</v>
      </c>
      <c r="R4530" s="165" t="s">
        <v>1013</v>
      </c>
      <c r="S4530" s="150"/>
    </row>
    <row r="4531" spans="1:19" hidden="1">
      <c r="A4531" s="149" t="s">
        <v>6670</v>
      </c>
      <c r="B4531" s="150" t="str">
        <f>IFERROR(VLOOKUP(Proc[[#This Row],[App]],Table2[],3,0),"open")</f>
        <v>ok</v>
      </c>
      <c r="C4531" s="149" t="s">
        <v>369</v>
      </c>
      <c r="D4531" t="s">
        <v>6689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6436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1</v>
      </c>
      <c r="R4531" s="165" t="s">
        <v>1013</v>
      </c>
      <c r="S4531" s="150"/>
    </row>
    <row r="4532" spans="1:19" hidden="1">
      <c r="A4532" s="149" t="s">
        <v>6670</v>
      </c>
      <c r="B4532" s="150" t="str">
        <f>IFERROR(VLOOKUP(Proc[[#This Row],[App]],Table2[],3,0),"open")</f>
        <v>ok</v>
      </c>
      <c r="C4532" s="149" t="s">
        <v>369</v>
      </c>
      <c r="D4532" t="s">
        <v>6690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6436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1</v>
      </c>
      <c r="R4532" s="165" t="s">
        <v>1013</v>
      </c>
      <c r="S4532" s="150"/>
    </row>
    <row r="4533" spans="1:19" hidden="1">
      <c r="A4533" s="149" t="s">
        <v>6670</v>
      </c>
      <c r="B4533" s="150" t="str">
        <f>IFERROR(VLOOKUP(Proc[[#This Row],[App]],Table2[],3,0),"open")</f>
        <v>ok</v>
      </c>
      <c r="C4533" s="149" t="s">
        <v>369</v>
      </c>
      <c r="D4533" t="s">
        <v>6691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6436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1</v>
      </c>
      <c r="R4533" s="165" t="s">
        <v>1013</v>
      </c>
      <c r="S4533" s="150"/>
    </row>
    <row r="4534" spans="1:19" hidden="1">
      <c r="A4534" s="149" t="s">
        <v>6670</v>
      </c>
      <c r="B4534" s="150" t="str">
        <f>IFERROR(VLOOKUP(Proc[[#This Row],[App]],Table2[],3,0),"open")</f>
        <v>ok</v>
      </c>
      <c r="C4534" s="149" t="s">
        <v>369</v>
      </c>
      <c r="D4534" t="s">
        <v>6692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6436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1</v>
      </c>
      <c r="R4534" s="165" t="s">
        <v>1013</v>
      </c>
      <c r="S4534" s="150"/>
    </row>
    <row r="4535" spans="1:19" hidden="1">
      <c r="A4535" s="149" t="s">
        <v>6670</v>
      </c>
      <c r="B4535" s="150" t="str">
        <f>IFERROR(VLOOKUP(Proc[[#This Row],[App]],Table2[],3,0),"open")</f>
        <v>ok</v>
      </c>
      <c r="C4535" s="149" t="s">
        <v>369</v>
      </c>
      <c r="D4535" t="s">
        <v>6693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6436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1</v>
      </c>
      <c r="R4535" s="165" t="s">
        <v>1013</v>
      </c>
      <c r="S4535" s="150"/>
    </row>
    <row r="4536" spans="1:19" hidden="1">
      <c r="A4536" s="149" t="s">
        <v>6670</v>
      </c>
      <c r="B4536" s="150" t="str">
        <f>IFERROR(VLOOKUP(Proc[[#This Row],[App]],Table2[],3,0),"open")</f>
        <v>ok</v>
      </c>
      <c r="C4536" s="149" t="s">
        <v>369</v>
      </c>
      <c r="D4536" t="s">
        <v>6694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6436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1</v>
      </c>
      <c r="R4536" s="165" t="s">
        <v>1013</v>
      </c>
      <c r="S4536" s="150"/>
    </row>
    <row r="4537" spans="1:19" hidden="1">
      <c r="A4537" s="149" t="s">
        <v>6670</v>
      </c>
      <c r="B4537" s="150" t="str">
        <f>IFERROR(VLOOKUP(Proc[[#This Row],[App]],Table2[],3,0),"open")</f>
        <v>ok</v>
      </c>
      <c r="C4537" s="149" t="s">
        <v>369</v>
      </c>
      <c r="D4537" t="s">
        <v>6695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6436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1</v>
      </c>
      <c r="R4537" s="165" t="s">
        <v>1013</v>
      </c>
      <c r="S4537" s="150"/>
    </row>
    <row r="4538" spans="1:19" hidden="1">
      <c r="A4538" s="149" t="s">
        <v>6670</v>
      </c>
      <c r="B4538" s="150" t="str">
        <f>IFERROR(VLOOKUP(Proc[[#This Row],[App]],Table2[],3,0),"open")</f>
        <v>ok</v>
      </c>
      <c r="C4538" s="149" t="s">
        <v>369</v>
      </c>
      <c r="D4538" t="s">
        <v>6696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6436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1</v>
      </c>
      <c r="R4538" s="165" t="s">
        <v>1013</v>
      </c>
      <c r="S4538" s="150"/>
    </row>
    <row r="4539" spans="1:19" hidden="1">
      <c r="A4539" s="149" t="s">
        <v>6670</v>
      </c>
      <c r="B4539" s="150" t="str">
        <f>IFERROR(VLOOKUP(Proc[[#This Row],[App]],Table2[],3,0),"open")</f>
        <v>ok</v>
      </c>
      <c r="C4539" s="149" t="s">
        <v>369</v>
      </c>
      <c r="D4539" t="s">
        <v>6697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6436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1</v>
      </c>
      <c r="R4539" s="165" t="s">
        <v>1013</v>
      </c>
      <c r="S4539" s="150"/>
    </row>
    <row r="4540" spans="1:19" hidden="1">
      <c r="A4540" s="149" t="s">
        <v>6670</v>
      </c>
      <c r="B4540" s="150" t="str">
        <f>IFERROR(VLOOKUP(Proc[[#This Row],[App]],Table2[],3,0),"open")</f>
        <v>ok</v>
      </c>
      <c r="C4540" s="149" t="s">
        <v>369</v>
      </c>
      <c r="D4540" t="s">
        <v>6698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6436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1</v>
      </c>
      <c r="R4540" s="165" t="s">
        <v>1013</v>
      </c>
      <c r="S4540" s="150"/>
    </row>
    <row r="4541" spans="1:19" hidden="1">
      <c r="A4541" s="149" t="s">
        <v>6670</v>
      </c>
      <c r="B4541" s="150" t="str">
        <f>IFERROR(VLOOKUP(Proc[[#This Row],[App]],Table2[],3,0),"open")</f>
        <v>ok</v>
      </c>
      <c r="C4541" s="149" t="s">
        <v>369</v>
      </c>
      <c r="D4541" t="s">
        <v>6699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6436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1</v>
      </c>
      <c r="R4541" s="165" t="s">
        <v>1013</v>
      </c>
      <c r="S4541" s="150"/>
    </row>
    <row r="4542" spans="1:19" hidden="1">
      <c r="A4542" s="149" t="s">
        <v>6670</v>
      </c>
      <c r="B4542" s="150" t="str">
        <f>IFERROR(VLOOKUP(Proc[[#This Row],[App]],Table2[],3,0),"open")</f>
        <v>ok</v>
      </c>
      <c r="C4542" s="149" t="s">
        <v>369</v>
      </c>
      <c r="D4542" t="s">
        <v>6700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6436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1</v>
      </c>
      <c r="R4542" s="165" t="s">
        <v>1013</v>
      </c>
      <c r="S4542" s="150"/>
    </row>
    <row r="4543" spans="1:19" hidden="1">
      <c r="A4543" s="149" t="s">
        <v>6670</v>
      </c>
      <c r="B4543" s="150" t="str">
        <f>IFERROR(VLOOKUP(Proc[[#This Row],[App]],Table2[],3,0),"open")</f>
        <v>ok</v>
      </c>
      <c r="C4543" s="149" t="s">
        <v>369</v>
      </c>
      <c r="D4543" t="s">
        <v>6701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6436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1</v>
      </c>
      <c r="R4543" s="165" t="s">
        <v>1013</v>
      </c>
      <c r="S4543" s="150"/>
    </row>
    <row r="4544" spans="1:19" hidden="1">
      <c r="A4544" s="149" t="s">
        <v>6670</v>
      </c>
      <c r="B4544" s="150" t="str">
        <f>IFERROR(VLOOKUP(Proc[[#This Row],[App]],Table2[],3,0),"open")</f>
        <v>ok</v>
      </c>
      <c r="C4544" s="149" t="s">
        <v>369</v>
      </c>
      <c r="D4544" t="s">
        <v>6702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6436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1</v>
      </c>
      <c r="R4544" s="165" t="s">
        <v>1013</v>
      </c>
      <c r="S4544" s="150"/>
    </row>
    <row r="4545" spans="1:19" hidden="1">
      <c r="A4545" s="149" t="s">
        <v>6670</v>
      </c>
      <c r="B4545" s="150" t="str">
        <f>IFERROR(VLOOKUP(Proc[[#This Row],[App]],Table2[],3,0),"open")</f>
        <v>ok</v>
      </c>
      <c r="C4545" s="149" t="s">
        <v>369</v>
      </c>
      <c r="D4545" t="s">
        <v>6703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6436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1</v>
      </c>
      <c r="R4545" s="165" t="s">
        <v>1013</v>
      </c>
      <c r="S4545" s="150"/>
    </row>
    <row r="4546" spans="1:19" hidden="1">
      <c r="A4546" s="149" t="s">
        <v>6670</v>
      </c>
      <c r="B4546" s="150" t="str">
        <f>IFERROR(VLOOKUP(Proc[[#This Row],[App]],Table2[],3,0),"open")</f>
        <v>ok</v>
      </c>
      <c r="C4546" s="149" t="s">
        <v>369</v>
      </c>
      <c r="D4546" t="s">
        <v>6704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6436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1</v>
      </c>
      <c r="R4546" s="165" t="s">
        <v>1013</v>
      </c>
      <c r="S4546" s="150"/>
    </row>
    <row r="4547" spans="1:19" hidden="1">
      <c r="A4547" s="149" t="s">
        <v>6670</v>
      </c>
      <c r="B4547" s="150" t="str">
        <f>IFERROR(VLOOKUP(Proc[[#This Row],[App]],Table2[],3,0),"open")</f>
        <v>ok</v>
      </c>
      <c r="C4547" s="149" t="s">
        <v>369</v>
      </c>
      <c r="D4547" t="s">
        <v>6705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6436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1</v>
      </c>
      <c r="R4547" s="165" t="s">
        <v>1013</v>
      </c>
      <c r="S4547" s="150"/>
    </row>
    <row r="4548" spans="1:19" hidden="1">
      <c r="A4548" s="149" t="s">
        <v>6670</v>
      </c>
      <c r="B4548" s="150" t="str">
        <f>IFERROR(VLOOKUP(Proc[[#This Row],[App]],Table2[],3,0),"open")</f>
        <v>ok</v>
      </c>
      <c r="C4548" s="149" t="s">
        <v>369</v>
      </c>
      <c r="D4548" t="s">
        <v>6706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6436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1</v>
      </c>
      <c r="R4548" s="165" t="s">
        <v>1013</v>
      </c>
      <c r="S4548" s="150"/>
    </row>
    <row r="4549" spans="1:19" hidden="1">
      <c r="A4549" s="149" t="s">
        <v>6670</v>
      </c>
      <c r="B4549" s="150" t="str">
        <f>IFERROR(VLOOKUP(Proc[[#This Row],[App]],Table2[],3,0),"open")</f>
        <v>ok</v>
      </c>
      <c r="C4549" s="149" t="s">
        <v>369</v>
      </c>
      <c r="D4549" t="s">
        <v>6707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6436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1</v>
      </c>
      <c r="R4549" s="165" t="s">
        <v>1013</v>
      </c>
      <c r="S4549" s="150"/>
    </row>
    <row r="4550" spans="1:19" hidden="1">
      <c r="A4550" s="149" t="s">
        <v>6670</v>
      </c>
      <c r="B4550" s="150" t="str">
        <f>IFERROR(VLOOKUP(Proc[[#This Row],[App]],Table2[],3,0),"open")</f>
        <v>ok</v>
      </c>
      <c r="C4550" s="149" t="s">
        <v>369</v>
      </c>
      <c r="D4550" t="s">
        <v>6708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6436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1</v>
      </c>
      <c r="R4550" s="165" t="s">
        <v>1013</v>
      </c>
      <c r="S4550" s="150"/>
    </row>
    <row r="4551" spans="1:19" hidden="1">
      <c r="A4551" s="149" t="s">
        <v>6670</v>
      </c>
      <c r="B4551" s="150" t="str">
        <f>IFERROR(VLOOKUP(Proc[[#This Row],[App]],Table2[],3,0),"open")</f>
        <v>ok</v>
      </c>
      <c r="C4551" s="149" t="s">
        <v>369</v>
      </c>
      <c r="D4551" t="s">
        <v>6709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6436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1</v>
      </c>
      <c r="R4551" s="165" t="s">
        <v>1013</v>
      </c>
      <c r="S4551" s="150"/>
    </row>
    <row r="4552" spans="1:19" hidden="1">
      <c r="A4552" s="149" t="s">
        <v>6670</v>
      </c>
      <c r="B4552" s="150" t="str">
        <f>IFERROR(VLOOKUP(Proc[[#This Row],[App]],Table2[],3,0),"open")</f>
        <v>ok</v>
      </c>
      <c r="C4552" s="149" t="s">
        <v>369</v>
      </c>
      <c r="D4552" t="s">
        <v>6710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6436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1</v>
      </c>
      <c r="R4552" s="165" t="s">
        <v>1013</v>
      </c>
      <c r="S4552" s="150"/>
    </row>
    <row r="4553" spans="1:19" hidden="1">
      <c r="A4553" s="149" t="s">
        <v>6670</v>
      </c>
      <c r="B4553" s="150" t="str">
        <f>IFERROR(VLOOKUP(Proc[[#This Row],[App]],Table2[],3,0),"open")</f>
        <v>ok</v>
      </c>
      <c r="C4553" s="149" t="s">
        <v>369</v>
      </c>
      <c r="D4553" t="s">
        <v>6711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6436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1</v>
      </c>
      <c r="R4553" s="165" t="s">
        <v>1013</v>
      </c>
      <c r="S4553" s="150"/>
    </row>
    <row r="4554" spans="1:19" hidden="1">
      <c r="A4554" s="149" t="s">
        <v>6670</v>
      </c>
      <c r="B4554" s="150" t="str">
        <f>IFERROR(VLOOKUP(Proc[[#This Row],[App]],Table2[],3,0),"open")</f>
        <v>ok</v>
      </c>
      <c r="C4554" s="149" t="s">
        <v>369</v>
      </c>
      <c r="D4554" t="s">
        <v>6712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6436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1</v>
      </c>
      <c r="R4554" s="165" t="s">
        <v>1013</v>
      </c>
      <c r="S4554" s="150"/>
    </row>
    <row r="4555" spans="1:19" hidden="1">
      <c r="A4555" s="149" t="s">
        <v>6670</v>
      </c>
      <c r="B4555" s="150" t="str">
        <f>IFERROR(VLOOKUP(Proc[[#This Row],[App]],Table2[],3,0),"open")</f>
        <v>ok</v>
      </c>
      <c r="C4555" s="149" t="s">
        <v>369</v>
      </c>
      <c r="D4555" t="s">
        <v>6713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6436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1</v>
      </c>
      <c r="R4555" s="165" t="s">
        <v>1013</v>
      </c>
      <c r="S4555" s="150"/>
    </row>
    <row r="4556" spans="1:19" hidden="1">
      <c r="A4556" s="149" t="s">
        <v>6670</v>
      </c>
      <c r="B4556" s="150" t="str">
        <f>IFERROR(VLOOKUP(Proc[[#This Row],[App]],Table2[],3,0),"open")</f>
        <v>ok</v>
      </c>
      <c r="C4556" s="149" t="s">
        <v>369</v>
      </c>
      <c r="D4556" t="s">
        <v>6714</v>
      </c>
      <c r="E4556" t="s">
        <v>6718</v>
      </c>
      <c r="F4556" s="150" t="s">
        <v>6718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6436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1</v>
      </c>
      <c r="R4556" s="165" t="s">
        <v>1013</v>
      </c>
      <c r="S4556" s="150"/>
    </row>
    <row r="4557" spans="1:19" hidden="1">
      <c r="A4557" s="149" t="s">
        <v>6670</v>
      </c>
      <c r="B4557" s="150" t="str">
        <f>IFERROR(VLOOKUP(Proc[[#This Row],[App]],Table2[],3,0),"open")</f>
        <v>ok</v>
      </c>
      <c r="C4557" s="149" t="s">
        <v>369</v>
      </c>
      <c r="D4557" t="s">
        <v>6715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6436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1</v>
      </c>
      <c r="R4557" s="165" t="s">
        <v>1013</v>
      </c>
      <c r="S4557" s="150"/>
    </row>
    <row r="4558" spans="1:19" hidden="1">
      <c r="A4558" s="149" t="s">
        <v>6670</v>
      </c>
      <c r="B4558" s="150" t="str">
        <f>IFERROR(VLOOKUP(Proc[[#This Row],[App]],Table2[],3,0),"open")</f>
        <v>ok</v>
      </c>
      <c r="C4558" s="149" t="s">
        <v>369</v>
      </c>
      <c r="D4558" t="s">
        <v>6716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6436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1</v>
      </c>
      <c r="R4558" s="165" t="s">
        <v>1013</v>
      </c>
      <c r="S4558" s="150"/>
    </row>
    <row r="4559" spans="1:19">
      <c r="A4559" t="s">
        <v>6719</v>
      </c>
      <c r="B4559" s="150" t="str">
        <f>IFERROR(VLOOKUP(Proc[[#This Row],[App]],Table2[],3,0),"open")</f>
        <v>open</v>
      </c>
      <c r="C4559" s="149" t="s">
        <v>375</v>
      </c>
      <c r="D4559" t="s">
        <v>6720</v>
      </c>
      <c r="E4559" t="s">
        <v>3023</v>
      </c>
      <c r="F4559" s="150" t="s">
        <v>476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0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6436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1</v>
      </c>
      <c r="R4559" s="165" t="s">
        <v>515</v>
      </c>
      <c r="S4559" s="150"/>
    </row>
    <row r="4560" spans="1:19">
      <c r="A4560" s="149" t="s">
        <v>6719</v>
      </c>
      <c r="B4560" s="150" t="str">
        <f>IFERROR(VLOOKUP(Proc[[#This Row],[App]],Table2[],3,0),"open")</f>
        <v>open</v>
      </c>
      <c r="C4560" s="149" t="s">
        <v>375</v>
      </c>
      <c r="D4560" t="s">
        <v>6721</v>
      </c>
      <c r="E4560" t="s">
        <v>3023</v>
      </c>
      <c r="F4560" s="150" t="s">
        <v>476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0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6436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1</v>
      </c>
      <c r="R4560" s="165" t="s">
        <v>515</v>
      </c>
      <c r="S4560" s="150"/>
    </row>
    <row r="4561" spans="1:19">
      <c r="A4561" s="149" t="s">
        <v>6719</v>
      </c>
      <c r="B4561" s="150" t="str">
        <f>IFERROR(VLOOKUP(Proc[[#This Row],[App]],Table2[],3,0),"open")</f>
        <v>open</v>
      </c>
      <c r="C4561" s="149" t="s">
        <v>375</v>
      </c>
      <c r="D4561" t="s">
        <v>6722</v>
      </c>
      <c r="E4561" t="s">
        <v>3023</v>
      </c>
      <c r="F4561" s="150" t="s">
        <v>476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0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6436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1</v>
      </c>
      <c r="R4561" s="165" t="s">
        <v>515</v>
      </c>
      <c r="S4561" s="150"/>
    </row>
    <row r="4562" spans="1:19">
      <c r="A4562" s="149" t="s">
        <v>6719</v>
      </c>
      <c r="B4562" s="150" t="str">
        <f>IFERROR(VLOOKUP(Proc[[#This Row],[App]],Table2[],3,0),"open")</f>
        <v>open</v>
      </c>
      <c r="C4562" s="149" t="s">
        <v>375</v>
      </c>
      <c r="D4562" t="s">
        <v>6723</v>
      </c>
      <c r="E4562" t="s">
        <v>3023</v>
      </c>
      <c r="F4562" s="150" t="s">
        <v>476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0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6436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1</v>
      </c>
      <c r="R4562" s="165" t="s">
        <v>515</v>
      </c>
      <c r="S4562" s="150"/>
    </row>
    <row r="4563" spans="1:19">
      <c r="A4563" s="149" t="s">
        <v>6719</v>
      </c>
      <c r="B4563" s="150" t="str">
        <f>IFERROR(VLOOKUP(Proc[[#This Row],[App]],Table2[],3,0),"open")</f>
        <v>open</v>
      </c>
      <c r="C4563" s="149" t="s">
        <v>375</v>
      </c>
      <c r="D4563" t="s">
        <v>6724</v>
      </c>
      <c r="E4563" t="s">
        <v>3023</v>
      </c>
      <c r="F4563" s="150" t="s">
        <v>476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0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6436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1</v>
      </c>
      <c r="R4563" s="165" t="s">
        <v>515</v>
      </c>
      <c r="S4563" s="150"/>
    </row>
    <row r="4564" spans="1:19">
      <c r="A4564" s="149" t="s">
        <v>6719</v>
      </c>
      <c r="B4564" s="150" t="str">
        <f>IFERROR(VLOOKUP(Proc[[#This Row],[App]],Table2[],3,0),"open")</f>
        <v>open</v>
      </c>
      <c r="C4564" s="149" t="s">
        <v>375</v>
      </c>
      <c r="D4564" t="s">
        <v>6725</v>
      </c>
      <c r="E4564" t="s">
        <v>3023</v>
      </c>
      <c r="F4564" s="150" t="s">
        <v>476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0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6436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1</v>
      </c>
      <c r="R4564" s="165" t="s">
        <v>515</v>
      </c>
      <c r="S4564" s="150"/>
    </row>
    <row r="4565" spans="1:19">
      <c r="A4565" s="149" t="s">
        <v>6719</v>
      </c>
      <c r="B4565" s="150" t="str">
        <f>IFERROR(VLOOKUP(Proc[[#This Row],[App]],Table2[],3,0),"open")</f>
        <v>open</v>
      </c>
      <c r="C4565" s="149" t="s">
        <v>375</v>
      </c>
      <c r="D4565" t="s">
        <v>6726</v>
      </c>
      <c r="E4565" t="s">
        <v>3023</v>
      </c>
      <c r="F4565" s="150" t="s">
        <v>476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0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6436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1</v>
      </c>
      <c r="R4565" s="165" t="s">
        <v>515</v>
      </c>
      <c r="S4565" s="150"/>
    </row>
    <row r="4566" spans="1:19">
      <c r="A4566" s="149" t="s">
        <v>6719</v>
      </c>
      <c r="B4566" s="150" t="str">
        <f>IFERROR(VLOOKUP(Proc[[#This Row],[App]],Table2[],3,0),"open")</f>
        <v>open</v>
      </c>
      <c r="C4566" s="149" t="s">
        <v>375</v>
      </c>
      <c r="D4566" t="s">
        <v>6727</v>
      </c>
      <c r="E4566" t="s">
        <v>3023</v>
      </c>
      <c r="F4566" s="150" t="s">
        <v>476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0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6436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1</v>
      </c>
      <c r="R4566" s="165" t="s">
        <v>515</v>
      </c>
      <c r="S4566" s="150"/>
    </row>
    <row r="4567" spans="1:19">
      <c r="A4567" s="149" t="s">
        <v>6719</v>
      </c>
      <c r="B4567" s="150" t="str">
        <f>IFERROR(VLOOKUP(Proc[[#This Row],[App]],Table2[],3,0),"open")</f>
        <v>open</v>
      </c>
      <c r="C4567" s="149" t="s">
        <v>375</v>
      </c>
      <c r="D4567" t="s">
        <v>6728</v>
      </c>
      <c r="E4567" t="s">
        <v>3023</v>
      </c>
      <c r="F4567" s="150" t="s">
        <v>476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0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6436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1</v>
      </c>
      <c r="R4567" s="165" t="s">
        <v>515</v>
      </c>
      <c r="S4567" s="150"/>
    </row>
    <row r="4568" spans="1:19">
      <c r="A4568" s="149" t="s">
        <v>6719</v>
      </c>
      <c r="B4568" s="150" t="str">
        <f>IFERROR(VLOOKUP(Proc[[#This Row],[App]],Table2[],3,0),"open")</f>
        <v>open</v>
      </c>
      <c r="C4568" s="149" t="s">
        <v>375</v>
      </c>
      <c r="D4568" t="s">
        <v>6729</v>
      </c>
      <c r="E4568" t="s">
        <v>3023</v>
      </c>
      <c r="F4568" s="150" t="s">
        <v>476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0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6436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1</v>
      </c>
      <c r="R4568" s="165" t="s">
        <v>515</v>
      </c>
      <c r="S4568" s="150"/>
    </row>
    <row r="4569" spans="1:19">
      <c r="A4569" s="149" t="s">
        <v>6719</v>
      </c>
      <c r="B4569" s="150" t="str">
        <f>IFERROR(VLOOKUP(Proc[[#This Row],[App]],Table2[],3,0),"open")</f>
        <v>open</v>
      </c>
      <c r="C4569" s="149" t="s">
        <v>375</v>
      </c>
      <c r="D4569" t="s">
        <v>6730</v>
      </c>
      <c r="E4569" t="s">
        <v>3023</v>
      </c>
      <c r="F4569" s="150" t="s">
        <v>476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0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6436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1</v>
      </c>
      <c r="R4569" s="165" t="s">
        <v>515</v>
      </c>
      <c r="S4569" s="150"/>
    </row>
    <row r="4570" spans="1:19">
      <c r="A4570" s="149" t="s">
        <v>6719</v>
      </c>
      <c r="B4570" s="150" t="str">
        <f>IFERROR(VLOOKUP(Proc[[#This Row],[App]],Table2[],3,0),"open")</f>
        <v>open</v>
      </c>
      <c r="C4570" s="149" t="s">
        <v>375</v>
      </c>
      <c r="D4570" t="s">
        <v>6731</v>
      </c>
      <c r="E4570" t="s">
        <v>3023</v>
      </c>
      <c r="F4570" s="150" t="s">
        <v>476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0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6436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1</v>
      </c>
      <c r="R4570" s="165" t="s">
        <v>515</v>
      </c>
      <c r="S4570" s="150"/>
    </row>
    <row r="4571" spans="1:19">
      <c r="A4571" s="149" t="s">
        <v>6719</v>
      </c>
      <c r="B4571" s="150" t="str">
        <f>IFERROR(VLOOKUP(Proc[[#This Row],[App]],Table2[],3,0),"open")</f>
        <v>open</v>
      </c>
      <c r="C4571" s="149" t="s">
        <v>375</v>
      </c>
      <c r="D4571" t="s">
        <v>6732</v>
      </c>
      <c r="E4571" t="s">
        <v>3023</v>
      </c>
      <c r="F4571" s="150" t="s">
        <v>476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0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6436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1</v>
      </c>
      <c r="R4571" s="165" t="s">
        <v>515</v>
      </c>
      <c r="S4571" s="150"/>
    </row>
    <row r="4572" spans="1:19">
      <c r="A4572" s="149" t="s">
        <v>6719</v>
      </c>
      <c r="B4572" s="150" t="str">
        <f>IFERROR(VLOOKUP(Proc[[#This Row],[App]],Table2[],3,0),"open")</f>
        <v>open</v>
      </c>
      <c r="C4572" s="149" t="s">
        <v>375</v>
      </c>
      <c r="D4572" t="s">
        <v>6733</v>
      </c>
      <c r="E4572" t="s">
        <v>3023</v>
      </c>
      <c r="F4572" s="150" t="s">
        <v>476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0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6436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1</v>
      </c>
      <c r="R4572" s="165" t="s">
        <v>515</v>
      </c>
      <c r="S4572" s="150"/>
    </row>
    <row r="4573" spans="1:19">
      <c r="A4573" s="149" t="s">
        <v>6719</v>
      </c>
      <c r="B4573" s="150" t="str">
        <f>IFERROR(VLOOKUP(Proc[[#This Row],[App]],Table2[],3,0),"open")</f>
        <v>open</v>
      </c>
      <c r="C4573" s="149" t="s">
        <v>375</v>
      </c>
      <c r="D4573" t="s">
        <v>6734</v>
      </c>
      <c r="E4573" t="s">
        <v>3023</v>
      </c>
      <c r="F4573" s="150" t="s">
        <v>476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0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6436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1</v>
      </c>
      <c r="R4573" s="165" t="s">
        <v>515</v>
      </c>
      <c r="S4573" s="150"/>
    </row>
    <row r="4574" spans="1:19">
      <c r="A4574" s="149" t="s">
        <v>6719</v>
      </c>
      <c r="B4574" s="150" t="str">
        <f>IFERROR(VLOOKUP(Proc[[#This Row],[App]],Table2[],3,0),"open")</f>
        <v>open</v>
      </c>
      <c r="C4574" s="149" t="s">
        <v>375</v>
      </c>
      <c r="D4574" t="s">
        <v>6735</v>
      </c>
      <c r="E4574" t="s">
        <v>3023</v>
      </c>
      <c r="F4574" s="150" t="s">
        <v>476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0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6436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1</v>
      </c>
      <c r="R4574" s="165" t="s">
        <v>515</v>
      </c>
      <c r="S4574" s="150"/>
    </row>
    <row r="4575" spans="1:19" hidden="1">
      <c r="A4575" s="149" t="s">
        <v>6719</v>
      </c>
      <c r="B4575" s="150" t="str">
        <f>IFERROR(VLOOKUP(Proc[[#This Row],[App]],Table2[],3,0),"open")</f>
        <v>open</v>
      </c>
      <c r="C4575" s="149" t="s">
        <v>369</v>
      </c>
      <c r="D4575" t="s">
        <v>6736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6436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1</v>
      </c>
      <c r="R4575" s="165" t="s">
        <v>515</v>
      </c>
      <c r="S4575" s="150"/>
    </row>
    <row r="4576" spans="1:19" hidden="1">
      <c r="A4576" s="149" t="s">
        <v>6719</v>
      </c>
      <c r="B4576" s="150" t="str">
        <f>IFERROR(VLOOKUP(Proc[[#This Row],[App]],Table2[],3,0),"open")</f>
        <v>open</v>
      </c>
      <c r="C4576" s="149" t="s">
        <v>369</v>
      </c>
      <c r="D4576" t="s">
        <v>6737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6436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1</v>
      </c>
      <c r="R4576" s="165" t="s">
        <v>515</v>
      </c>
      <c r="S4576" s="150"/>
    </row>
    <row r="4577" spans="1:19" hidden="1">
      <c r="A4577" s="149" t="s">
        <v>6719</v>
      </c>
      <c r="B4577" s="150" t="str">
        <f>IFERROR(VLOOKUP(Proc[[#This Row],[App]],Table2[],3,0),"open")</f>
        <v>open</v>
      </c>
      <c r="C4577" s="149" t="s">
        <v>369</v>
      </c>
      <c r="D4577" t="s">
        <v>6738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6436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1</v>
      </c>
      <c r="R4577" s="165" t="s">
        <v>515</v>
      </c>
      <c r="S4577" s="150"/>
    </row>
    <row r="4578" spans="1:19" hidden="1">
      <c r="A4578" s="149" t="s">
        <v>6719</v>
      </c>
      <c r="B4578" s="150" t="str">
        <f>IFERROR(VLOOKUP(Proc[[#This Row],[App]],Table2[],3,0),"open")</f>
        <v>open</v>
      </c>
      <c r="C4578" s="149" t="s">
        <v>369</v>
      </c>
      <c r="D4578" t="s">
        <v>6739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6436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1</v>
      </c>
      <c r="R4578" s="165" t="s">
        <v>515</v>
      </c>
      <c r="S4578" s="150"/>
    </row>
    <row r="4579" spans="1:19" hidden="1">
      <c r="A4579" s="149" t="s">
        <v>6719</v>
      </c>
      <c r="B4579" s="150" t="str">
        <f>IFERROR(VLOOKUP(Proc[[#This Row],[App]],Table2[],3,0),"open")</f>
        <v>open</v>
      </c>
      <c r="C4579" s="149" t="s">
        <v>369</v>
      </c>
      <c r="D4579" t="s">
        <v>6740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6436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1</v>
      </c>
      <c r="R4579" s="165" t="s">
        <v>515</v>
      </c>
      <c r="S4579" s="150"/>
    </row>
    <row r="4580" spans="1:19" hidden="1">
      <c r="A4580" s="149" t="s">
        <v>6719</v>
      </c>
      <c r="B4580" s="150" t="str">
        <f>IFERROR(VLOOKUP(Proc[[#This Row],[App]],Table2[],3,0),"open")</f>
        <v>open</v>
      </c>
      <c r="C4580" s="149" t="s">
        <v>369</v>
      </c>
      <c r="D4580" t="s">
        <v>6741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6436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1</v>
      </c>
      <c r="R4580" s="165" t="s">
        <v>515</v>
      </c>
      <c r="S4580" s="150"/>
    </row>
    <row r="4581" spans="1:19" hidden="1">
      <c r="A4581" s="149" t="s">
        <v>6719</v>
      </c>
      <c r="B4581" s="150" t="str">
        <f>IFERROR(VLOOKUP(Proc[[#This Row],[App]],Table2[],3,0),"open")</f>
        <v>open</v>
      </c>
      <c r="C4581" s="149" t="s">
        <v>369</v>
      </c>
      <c r="D4581" t="s">
        <v>6742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6436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1</v>
      </c>
      <c r="R4581" s="165" t="s">
        <v>515</v>
      </c>
      <c r="S4581" s="150"/>
    </row>
    <row r="4582" spans="1:19" hidden="1">
      <c r="A4582" s="149" t="s">
        <v>6719</v>
      </c>
      <c r="B4582" s="150" t="str">
        <f>IFERROR(VLOOKUP(Proc[[#This Row],[App]],Table2[],3,0),"open")</f>
        <v>open</v>
      </c>
      <c r="C4582" s="149" t="s">
        <v>369</v>
      </c>
      <c r="D4582" t="s">
        <v>6743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6436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1</v>
      </c>
      <c r="R4582" s="165" t="s">
        <v>515</v>
      </c>
      <c r="S4582" s="150"/>
    </row>
    <row r="4583" spans="1:19">
      <c r="A4583" s="149" t="s">
        <v>6719</v>
      </c>
      <c r="B4583" s="150" t="str">
        <f>IFERROR(VLOOKUP(Proc[[#This Row],[App]],Table2[],3,0),"open")</f>
        <v>open</v>
      </c>
      <c r="C4583" s="149" t="s">
        <v>375</v>
      </c>
      <c r="D4583" t="s">
        <v>6744</v>
      </c>
      <c r="E4583" t="s">
        <v>3023</v>
      </c>
      <c r="F4583" s="150" t="s">
        <v>476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0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6436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1</v>
      </c>
      <c r="R4583" s="165" t="s">
        <v>515</v>
      </c>
      <c r="S4583" s="150"/>
    </row>
    <row r="4584" spans="1:19">
      <c r="A4584" s="149" t="s">
        <v>6719</v>
      </c>
      <c r="B4584" s="150" t="str">
        <f>IFERROR(VLOOKUP(Proc[[#This Row],[App]],Table2[],3,0),"open")</f>
        <v>open</v>
      </c>
      <c r="C4584" s="149" t="s">
        <v>375</v>
      </c>
      <c r="D4584" t="s">
        <v>6745</v>
      </c>
      <c r="E4584" t="s">
        <v>3023</v>
      </c>
      <c r="F4584" s="150" t="s">
        <v>476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0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6436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1</v>
      </c>
      <c r="R4584" s="165" t="s">
        <v>515</v>
      </c>
      <c r="S458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G2:G4584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  <row r="141" spans="1:2">
      <c r="A141" s="165" t="s">
        <v>6669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2025-11-03T13:30:10Z</dcterms:modified>
  <cp:category/>
  <cp:contentStatus/>
</cp:coreProperties>
</file>