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B14019CB-BDA9-44DD-BC41-A4D0468C1EF7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8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714" i="1" l="1"/>
  <c r="F4713" i="1"/>
  <c r="F4712" i="1"/>
  <c r="F4711" i="1"/>
  <c r="F4710" i="1"/>
  <c r="F4709" i="1"/>
  <c r="F4708" i="1"/>
  <c r="F4707" i="1"/>
  <c r="F4706" i="1"/>
  <c r="F4705" i="1"/>
  <c r="F4704" i="1"/>
  <c r="F4703" i="1"/>
  <c r="F4702" i="1"/>
  <c r="F4701" i="1"/>
  <c r="F4700" i="1"/>
  <c r="F4699" i="1"/>
  <c r="F4698" i="1"/>
  <c r="F4697" i="1"/>
  <c r="F4696" i="1"/>
  <c r="F4695" i="1"/>
  <c r="F4694" i="1"/>
  <c r="F4693" i="1"/>
  <c r="F4692" i="1"/>
  <c r="F4691" i="1"/>
  <c r="F4690" i="1"/>
  <c r="F4689" i="1"/>
  <c r="F4688" i="1"/>
  <c r="F4687" i="1"/>
  <c r="F4686" i="1"/>
  <c r="F4685" i="1"/>
  <c r="F4684" i="1"/>
  <c r="F4682" i="1"/>
  <c r="F4681" i="1"/>
  <c r="F4680" i="1"/>
  <c r="F4679" i="1"/>
  <c r="F4678" i="1"/>
  <c r="F4677" i="1"/>
  <c r="F4676" i="1"/>
  <c r="F4675" i="1"/>
  <c r="F4673" i="1"/>
  <c r="F4672" i="1"/>
  <c r="F4670" i="1"/>
  <c r="F4669" i="1"/>
  <c r="F4668" i="1"/>
  <c r="F4667" i="1"/>
  <c r="F4666" i="1"/>
  <c r="F4665" i="1"/>
  <c r="F4664" i="1"/>
  <c r="F4663" i="1"/>
  <c r="F4662" i="1"/>
  <c r="F4661" i="1"/>
  <c r="F4660" i="1"/>
  <c r="F4659" i="1"/>
  <c r="F4658" i="1"/>
  <c r="F4657" i="1"/>
  <c r="F4656" i="1"/>
  <c r="F4655" i="1"/>
  <c r="F4654" i="1"/>
  <c r="F4653" i="1"/>
  <c r="F4652" i="1"/>
  <c r="F4651" i="1"/>
  <c r="F4650" i="1"/>
  <c r="F4649" i="1"/>
  <c r="F4648" i="1"/>
  <c r="F4647" i="1"/>
  <c r="F4646" i="1"/>
  <c r="F4645" i="1"/>
  <c r="F4644" i="1"/>
  <c r="F4643" i="1"/>
  <c r="F4642" i="1"/>
  <c r="F4641" i="1"/>
  <c r="F4640" i="1"/>
  <c r="F4639" i="1"/>
  <c r="F4638" i="1"/>
  <c r="F4637" i="1"/>
  <c r="F4636" i="1"/>
  <c r="F4635" i="1"/>
  <c r="F4634" i="1"/>
  <c r="F4633" i="1"/>
  <c r="F4632" i="1"/>
  <c r="F4631" i="1"/>
  <c r="F4630" i="1"/>
  <c r="F4629" i="1"/>
  <c r="F4628" i="1"/>
  <c r="F4627" i="1"/>
  <c r="F4626" i="1"/>
  <c r="F4625" i="1"/>
  <c r="F4624" i="1"/>
  <c r="F4623" i="1"/>
  <c r="F4622" i="1"/>
  <c r="F4621" i="1"/>
  <c r="F4620" i="1"/>
  <c r="F4619" i="1"/>
  <c r="F4618" i="1"/>
  <c r="F4617" i="1"/>
  <c r="F4615" i="1"/>
  <c r="F4614" i="1"/>
  <c r="K4714" i="1"/>
  <c r="Q4714" i="1"/>
  <c r="P4714" i="1" s="1"/>
  <c r="B4714" i="1"/>
  <c r="H4714" i="1"/>
  <c r="J4714" i="1"/>
  <c r="Q4713" i="1"/>
  <c r="P4713" i="1" s="1"/>
  <c r="B4713" i="1"/>
  <c r="H4713" i="1"/>
  <c r="J4713" i="1"/>
  <c r="K4713" i="1"/>
  <c r="H4712" i="1"/>
  <c r="J4712" i="1"/>
  <c r="K4712" i="1"/>
  <c r="Q4712" i="1"/>
  <c r="P4712" i="1" s="1"/>
  <c r="B4712" i="1"/>
  <c r="H4711" i="1"/>
  <c r="J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J4709" i="1"/>
  <c r="K4709" i="1"/>
  <c r="B4708" i="1"/>
  <c r="H4708" i="1"/>
  <c r="J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J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J4702" i="1"/>
  <c r="K4702" i="1"/>
  <c r="Q4702" i="1"/>
  <c r="P4702" i="1" s="1"/>
  <c r="B4701" i="1" l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 l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 l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 l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 l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<sst xmlns="http://schemas.openxmlformats.org/spreadsheetml/2006/main" count="41879" uniqueCount="6928">
  <si>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</si>
  <si>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</si>
  <si>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</si>
  <si>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</si>
  <si>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</si>
  <si>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</si>
  <si>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</si>
  <si>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</si>
  <si>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</si>
  <si>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</si>
  <si>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</si>
  <si>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</si>
  <si>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</si>
  <si>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</si>
  <si>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</si>
  <si>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</si>
  <si>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</si>
  <si>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</si>
  <si>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</si>
  <si>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</si>
  <si>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</si>
  <si>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</si>
  <si>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</si>
  <si>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</si>
  <si>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</si>
  <si>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</si>
  <si>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</si>
  <si>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</si>
  <si>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</si>
  <si>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</si>
  <si>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</si>
  <si>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</si>
  <si>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</si>
  <si>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</si>
  <si>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</si>
  <si>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</si>
  <si>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</si>
  <si>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</si>
  <si>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</si>
  <si>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</si>
  <si>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</si>
  <si>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</si>
  <si>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</si>
  <si>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</si>
  <si>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</si>
  <si>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</si>
  <si>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</si>
  <si>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</si>
  <si>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</si>
  <si>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</si>
  <si>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</si>
  <si>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</si>
  <si>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</si>
  <si>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</si>
  <si>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</si>
  <si>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</si>
  <si>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</si>
  <si>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</si>
  <si>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</si>
  <si>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</si>
  <si>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</si>
  <si>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</si>
  <si>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</si>
  <si>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</si>
  <si>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</si>
  <si>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</si>
  <si>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</si>
  <si>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</si>
  <si>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</si>
  <si>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</si>
  <si>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</si>
  <si>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</si>
  <si>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</si>
  <si>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</si>
  <si>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</si>
  <si>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</si>
  <si>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</si>
  <si>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</si>
  <si>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</si>
  <si>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</si>
  <si>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</si>
  <si>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</si>
  <si>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</si>
  <si>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</si>
  <si>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</si>
  <si>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</si>
  <si>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</si>
  <si>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</si>
  <si>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</si>
  <si>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</si>
  <si>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</si>
  <si>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</si>
  <si>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</si>
  <si>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</si>
  <si>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</si>
  <si>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</si>
  <si>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</si>
  <si>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</si>
  <si>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</si>
  <si>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</si>
  <si>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</si>
  <si>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</si>
  <si>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</si>
  <si>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</si>
  <si>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</si>
  <si>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</si>
  <si>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</si>
  <si>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</si>
  <si>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</si>
  <si>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</si>
  <si>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</si>
  <si>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</si>
  <si>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</si>
  <si>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</si>
  <si>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</si>
  <si>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</si>
  <si>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</si>
  <si>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</si>
  <si>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</si>
  <si>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</si>
  <si>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</si>
  <si>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</si>
  <si>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</si>
  <si>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</si>
  <si>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</si>
  <si>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</si>
  <si>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</si>
  <si>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</si>
  <si>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</si>
  <si>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</si>
  <si>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</si>
  <si>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</si>
  <si>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</si>
  <si>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</si>
  <si>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</si>
  <si>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</si>
  <si>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</si>
  <si>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</si>
  <si>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</si>
  <si>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</si>
  <si>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</si>
  <si>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</si>
  <si>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</si>
  <si>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</si>
  <si>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</si>
  <si>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</si>
  <si>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</si>
  <si>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</si>
  <si>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</si>
  <si>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</si>
  <si>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</si>
  <si>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</si>
  <si>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</si>
  <si>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</si>
  <si>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</si>
  <si>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</si>
  <si>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</si>
  <si>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</si>
  <si>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</si>
  <si>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</si>
  <si>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</si>
  <si>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</si>
  <si>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</si>
  <si>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</si>
  <si>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</si>
  <si>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</si>
  <si>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</si>
  <si>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</si>
  <si>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</si>
  <si>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</si>
  <si>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</si>
  <si>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</si>
  <si>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</si>
  <si>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</si>
  <si>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</si>
  <si>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</si>
  <si>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</si>
  <si>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</si>
  <si>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</si>
  <si>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</si>
  <si>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</si>
  <si>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</si>
  <si>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</si>
  <si>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</si>
  <si>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</si>
  <si>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</si>
  <si>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</si>
  <si>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</si>
  <si>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</si>
  <si>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</si>
  <si>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</si>
  <si>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</si>
  <si>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</si>
  <si>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</si>
  <si>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</si>
  <si>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</si>
  <si>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</si>
  <si>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</si>
  <si>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</si>
  <si>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</si>
  <si>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</si>
  <si>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</si>
  <si>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</si>
  <si>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</si>
  <si>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</si>
  <si>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</si>
  <si>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</si>
  <si>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</si>
  <si>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</si>
  <si>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</si>
  <si>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</si>
  <si>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</si>
  <si>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</si>
  <si>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</si>
  <si>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</si>
  <si>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</si>
  <si>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</si>
  <si>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</si>
  <si>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</si>
  <si>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</si>
  <si>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</si>
  <si>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</si>
  <si>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</si>
  <si>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</si>
  <si>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</si>
  <si>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</si>
  <si>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</si>
  <si>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</si>
  <si>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</si>
  <si>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</si>
  <si>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</si>
  <si>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</si>
  <si>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</si>
  <si>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</si>
  <si>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</si>
  <si>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</si>
  <si>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</si>
  <si>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</si>
  <si>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</si>
  <si>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</si>
  <si>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</si>
  <si>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</si>
  <si>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</si>
  <si>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</si>
  <si>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</si>
  <si>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</si>
  <si>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</si>
  <si>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</si>
  <si>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</si>
  <si>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</si>
  <si>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</si>
  <si>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</si>
  <si>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</si>
  <si>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</si>
  <si>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</si>
  <si>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</si>
  <si>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</si>
  <si>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</si>
  <si>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</si>
  <si>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</si>
  <si>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</si>
  <si>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</si>
  <si>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</si>
  <si>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</si>
  <si>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</si>
  <si>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</si>
  <si>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</si>
  <si>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</si>
  <si>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</si>
  <si>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</si>
  <si>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</si>
  <si>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</si>
  <si>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</si>
  <si>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</si>
  <si>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</si>
  <si>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</si>
  <si>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</si>
  <si>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</si>
  <si>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</si>
  <si>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</si>
  <si>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</si>
  <si>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</si>
  <si>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</si>
  <si>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</si>
  <si>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</si>
  <si>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</si>
  <si>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</si>
  <si>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</si>
  <si>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</si>
  <si>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</si>
  <si>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</si>
  <si>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</si>
  <si>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</si>
  <si>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</si>
  <si>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</si>
  <si>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</si>
  <si>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</si>
  <si>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</si>
  <si>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</si>
  <si>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</si>
  <si>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</si>
  <si>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</si>
  <si>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</si>
  <si>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</si>
  <si>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</si>
  <si>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</si>
  <si>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</si>
  <si>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</si>
  <si>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</si>
  <si>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</si>
  <si>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</si>
  <si>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</si>
  <si>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</si>
  <si>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</si>
  <si>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</si>
  <si>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</si>
  <si>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</si>
  <si>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</si>
  <si>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</si>
  <si>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</si>
  <si>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</si>
  <si>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</si>
  <si>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</si>
  <si>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</si>
  <si>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</si>
  <si>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</si>
  <si>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</si>
  <si>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</si>
  <si>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</si>
  <si>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</si>
  <si>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</si>
  <si>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</si>
  <si>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</si>
  <si>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</si>
  <si>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</si>
  <si>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</si>
  <si>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</si>
  <si>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</si>
  <si>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</si>
  <si>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</si>
  <si>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</si>
  <si>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</si>
  <si>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</si>
  <si>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</si>
  <si>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</si>
  <si>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</si>
  <si>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</si>
  <si>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</si>
  <si>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</si>
  <si>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</si>
  <si>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</si>
  <si>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</si>
  <si>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</si>
  <si>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</si>
  <si>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</si>
  <si>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</si>
  <si>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</si>
  <si>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</si>
  <si>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</si>
  <si>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</si>
  <si>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</si>
  <si>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</si>
  <si>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</si>
  <si>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</si>
  <si>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</si>
  <si>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</si>
  <si>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</si>
  <si>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</si>
  <si>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</si>
  <si>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</si>
  <si>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</si>
  <si>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</si>
  <si>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</si>
  <si>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</si>
  <si>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</si>
  <si>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</si>
  <si>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</si>
  <si>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</si>
  <si>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</si>
  <si>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</si>
  <si>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</si>
  <si>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</si>
  <si>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</si>
  <si>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</si>
  <si>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</si>
  <si>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</si>
  <si>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</si>
  <si>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</si>
  <si>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</si>
  <si>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</si>
  <si>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</si>
  <si>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</si>
  <si>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</si>
  <si>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</si>
  <si>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</si>
  <si>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</si>
  <si>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</si>
  <si>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</si>
  <si>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</si>
  <si>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</si>
  <si>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</si>
  <si>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</si>
  <si>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</si>
  <si>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</si>
  <si>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</si>
  <si>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</si>
  <si>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</si>
  <si>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</si>
  <si>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</si>
  <si>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</si>
  <si>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</si>
  <si>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</si>
  <si>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</si>
  <si>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</si>
  <si>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</si>
  <si>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</si>
  <si>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</si>
  <si>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</si>
  <si>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</si>
  <si>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</si>
  <si>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</si>
  <si>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</si>
  <si>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</si>
  <si>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</si>
  <si>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</si>
  <si>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</si>
  <si>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</si>
  <si>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</si>
  <si>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</si>
  <si>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</si>
  <si>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</si>
  <si>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</si>
  <si>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</si>
  <si>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</si>
  <si>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</si>
  <si>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</si>
  <si>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</si>
  <si>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</si>
  <si>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</si>
  <si>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</si>
  <si>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</si>
  <si>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</si>
  <si>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</si>
  <si>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</si>
  <si>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</si>
  <si>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</si>
  <si>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</si>
  <si>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</si>
  <si>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</si>
  <si>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</si>
  <si>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</si>
  <si>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</si>
  <si>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</si>
  <si>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</si>
  <si>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</si>
  <si>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</si>
  <si>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</si>
  <si>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</si>
  <si>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</si>
  <si>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</si>
  <si>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</si>
  <si>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</si>
  <si>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</si>
  <si>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</si>
  <si>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</si>
  <si>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</si>
  <si>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</si>
  <si>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</si>
  <si>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</si>
  <si>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</si>
  <si>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</si>
  <si>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</si>
  <si>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</si>
  <si>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</si>
  <si>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</si>
  <si>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</si>
  <si>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</si>
  <si>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</si>
  <si>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</si>
  <si>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</si>
  <si>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</si>
  <si>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</si>
  <si>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</si>
  <si>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</si>
  <si>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</si>
  <si>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</si>
  <si>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</si>
  <si>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</si>
  <si>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</si>
  <si>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</si>
  <si>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</si>
  <si>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</si>
  <si>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</si>
  <si>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</si>
  <si>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</si>
  <si>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</si>
  <si>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</si>
  <si>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</si>
  <si>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</si>
  <si>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</si>
  <si>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</si>
  <si>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</si>
  <si>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</si>
  <si>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</si>
  <si>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</si>
  <si>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</si>
  <si>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</si>
  <si>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</si>
  <si>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</si>
  <si>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</si>
  <si>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</si>
  <si>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</si>
  <si>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</si>
  <si>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</si>
  <si>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</si>
  <si>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</si>
  <si>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</si>
  <si>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</si>
  <si>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</si>
  <si>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</si>
  <si>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</si>
  <si>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</si>
  <si>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</si>
  <si>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</si>
  <si>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</si>
  <si>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</si>
  <si>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</si>
  <si>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</si>
  <si>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</si>
  <si>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</si>
  <si>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</si>
  <si>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</si>
  <si>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</si>
  <si>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</si>
  <si>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</si>
  <si>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</si>
  <si>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</si>
  <si>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</si>
  <si>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</si>
  <si>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</si>
  <si>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</si>
  <si>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</si>
  <si>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</si>
  <si>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</si>
  <si>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</si>
  <si>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</si>
  <si>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</si>
  <si>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</si>
  <si>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</si>
  <si>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</si>
  <si>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</si>
  <si>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</si>
  <si>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</si>
  <si>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</si>
  <si>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</si>
  <si>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</si>
  <si>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</si>
  <si>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</si>
  <si>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</si>
  <si>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</si>
  <si>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</si>
  <si>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</si>
  <si>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</si>
  <si>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</si>
  <si>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</si>
  <si>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</si>
  <si>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</si>
  <si>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</si>
  <si>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</si>
  <si>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</si>
  <si>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</si>
  <si>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</si>
  <si>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</si>
  <si>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</si>
  <si>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</si>
  <si>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</si>
  <si>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</si>
  <si>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</si>
  <si>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</si>
  <si>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</si>
  <si>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</si>
  <si>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</si>
  <si>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</si>
  <si>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</si>
  <si>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</si>
  <si>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</si>
  <si>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</si>
  <si>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</si>
  <si>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</si>
  <si>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</si>
  <si>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</si>
  <si>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</si>
  <si>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</si>
  <si>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</si>
  <si>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</si>
  <si>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</si>
  <si>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</si>
  <si>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</si>
  <si>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</si>
  <si>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</si>
  <si>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</si>
  <si>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</si>
  <si>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</si>
  <si>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</si>
  <si>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</si>
  <si>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</si>
  <si>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</si>
  <si>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</si>
  <si>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</si>
  <si>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</si>
  <si>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</si>
  <si>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</si>
  <si>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</si>
  <si>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</si>
  <si>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</si>
  <si>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</si>
  <si>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</si>
  <si>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</si>
  <si>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</si>
  <si>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</si>
  <si>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</si>
  <si>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</si>
  <si>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</si>
  <si>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</si>
  <si>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</si>
  <si>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</si>
  <si>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</si>
  <si>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</si>
  <si>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</si>
  <si>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</si>
  <si>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</si>
  <si>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</si>
  <si>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</si>
  <si>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</si>
  <si>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</si>
  <si>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</si>
  <si>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</si>
  <si>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</si>
  <si>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</si>
  <si>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</si>
  <si>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</si>
  <si>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</si>
  <si>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</si>
  <si>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</si>
  <si>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</si>
  <si>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</si>
  <si>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</si>
  <si>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</si>
  <si>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</si>
  <si>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</si>
  <si>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</si>
  <si>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</si>
  <si>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</si>
  <si>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</si>
  <si>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</si>
  <si>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</si>
  <si>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</si>
  <si>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</si>
  <si>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</si>
  <si>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</si>
  <si>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</si>
  <si>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</si>
  <si>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</si>
  <si>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</si>
  <si>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</si>
  <si>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</si>
  <si>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</si>
  <si>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</si>
  <si>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</si>
  <si>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</si>
  <si>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</si>
  <si>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</si>
  <si>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</si>
  <si>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</si>
  <si>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</si>
  <si>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</si>
  <si>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</si>
  <si>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</si>
  <si>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</si>
  <si>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</si>
  <si>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</si>
  <si>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</si>
  <si>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</si>
  <si>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</si>
  <si>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</si>
  <si>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</si>
  <si>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</si>
  <si>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</si>
  <si>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</si>
  <si>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</si>
  <si>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</si>
  <si>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</si>
  <si>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</si>
  <si>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</si>
  <si>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</si>
  <si>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</si>
  <si>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</si>
  <si>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</si>
  <si>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</si>
  <si>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</si>
  <si>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</si>
  <si>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</si>
  <si>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</si>
  <si>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</si>
  <si>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</si>
  <si>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</si>
  <si>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</si>
  <si>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</si>
  <si>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</si>
  <si>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</si>
  <si>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</si>
  <si>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</si>
  <si>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</si>
  <si>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</si>
  <si>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</si>
  <si>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</si>
  <si>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</si>
  <si>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</si>
  <si>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</si>
  <si>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</si>
  <si>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</si>
  <si>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</si>
  <si>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</si>
  <si>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</si>
  <si>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</si>
  <si>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</si>
  <si>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</si>
  <si>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</si>
  <si>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</si>
  <si>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</si>
  <si>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</si>
  <si>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</si>
  <si>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</si>
  <si>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</si>
  <si>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</si>
  <si>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</si>
  <si>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</si>
  <si>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</si>
  <si>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</si>
  <si>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</si>
  <si>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</si>
  <si>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</si>
  <si>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</si>
  <si>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</si>
  <si>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</si>
  <si>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</si>
  <si>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</si>
  <si>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</si>
  <si>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</si>
  <si>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</si>
  <si>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</si>
  <si>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</si>
  <si>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</si>
  <si>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</si>
  <si>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</si>
  <si>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</si>
  <si>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</si>
  <si>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</si>
  <si>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</si>
  <si>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</si>
  <si>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</si>
  <si>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</si>
  <si>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</si>
  <si>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</si>
  <si>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</si>
  <si>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</si>
  <si>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</si>
  <si>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</si>
  <si>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</si>
  <si>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</si>
  <si>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</si>
  <si>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</si>
  <si>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</si>
  <si>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</si>
  <si>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</si>
  <si>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</si>
  <si>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</si>
  <si>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</si>
  <si>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</si>
  <si>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</si>
  <si>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</si>
  <si>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</si>
  <si>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</si>
  <si>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</si>
  <si>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</si>
  <si>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</si>
  <si>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</si>
  <si>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</si>
  <si>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</si>
  <si>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</si>
  <si>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</si>
  <si>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</si>
  <si>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</si>
  <si>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</si>
  <si>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</si>
  <si>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</si>
  <si>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</si>
  <si>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</si>
  <si>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</si>
  <si>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</si>
  <si>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</si>
  <si>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</si>
  <si>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</si>
  <si>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</si>
  <si>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</si>
  <si>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</si>
  <si>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</si>
  <si>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</si>
  <si>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</si>
  <si>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</si>
  <si>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</si>
  <si>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</si>
  <si>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</si>
  <si>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</si>
  <si>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</si>
  <si>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</si>
  <si>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</si>
  <si>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</si>
  <si>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</si>
  <si>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</si>
  <si>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</si>
  <si>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</si>
  <si>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</si>
  <si>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</si>
  <si>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</si>
  <si>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</si>
  <si>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</si>
  <si>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</si>
  <si>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</si>
  <si>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</si>
  <si>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</si>
  <si>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</si>
  <si>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</si>
  <si>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</si>
  <si>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</si>
  <si>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</si>
  <si>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</si>
  <si>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</si>
  <si>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</si>
  <si>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</si>
  <si>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</si>
  <si>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</si>
  <si>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</si>
  <si>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</si>
  <si>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</si>
  <si>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</si>
  <si>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</si>
  <si>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</si>
  <si>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</si>
  <si>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</si>
  <si>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</si>
  <si>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</si>
  <si>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</si>
  <si>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</si>
  <si>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</si>
  <si>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</si>
  <si>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</si>
  <si>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</si>
  <si>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</si>
  <si>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</si>
  <si>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</si>
  <si>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</si>
  <si>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</si>
  <si>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</si>
  <si>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</si>
  <si>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</si>
  <si>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</si>
  <si>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</si>
  <si>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</si>
  <si>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</si>
  <si>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</si>
  <si>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</si>
  <si>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</si>
  <si>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</si>
  <si>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</si>
  <si>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</si>
  <si>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</si>
  <si>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</si>
  <si>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</si>
  <si>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</si>
  <si>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</si>
  <si>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</si>
  <si>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</si>
  <si>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</si>
  <si>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</si>
  <si>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</si>
  <si>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</si>
  <si>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</si>
  <si>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</si>
  <si>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</si>
  <si>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</si>
  <si>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</si>
  <si>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</si>
  <si>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</si>
  <si>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</si>
  <si>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</si>
  <si>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</si>
  <si>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</si>
  <si>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</si>
  <si>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</si>
  <si>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</si>
  <si>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</si>
  <si>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</si>
  <si>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</si>
  <si>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</si>
  <si>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</si>
  <si>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</si>
  <si>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</si>
  <si>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</si>
  <si>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</si>
  <si>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</si>
  <si>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</si>
  <si>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</si>
  <si>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</si>
  <si>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</si>
  <si>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</si>
  <si>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</si>
  <si>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</si>
  <si>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</si>
  <si>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</si>
  <si>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</si>
  <si>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</si>
  <si>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</si>
  <si>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</si>
  <si>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</si>
  <si>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</si>
  <si>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</si>
  <si>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</si>
  <si>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</si>
  <si>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</si>
  <si>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</si>
  <si>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</si>
  <si>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</si>
  <si>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</si>
  <si>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</si>
  <si>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</si>
  <si>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</si>
  <si>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</si>
  <si>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</si>
  <si>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</si>
  <si>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</si>
  <si>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</si>
  <si>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</si>
  <si>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</si>
  <si>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</si>
  <si>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</si>
  <si>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</si>
  <si>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</si>
  <si>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</si>
  <si>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</si>
  <si>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</si>
  <si>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</si>
  <si>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</si>
  <si>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</si>
  <si>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</si>
  <si>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</si>
  <si>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</si>
  <si>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</si>
  <si>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</si>
  <si>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</si>
  <si>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</si>
  <si>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</si>
  <si>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</si>
  <si>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</si>
  <si>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</si>
  <si>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</si>
  <si>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</si>
  <si>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</si>
  <si>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</si>
  <si>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</si>
  <si>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</si>
  <si>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</si>
  <si>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</si>
  <si>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</si>
  <si>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</si>
  <si>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</si>
  <si>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</si>
  <si>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</si>
  <si>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</si>
  <si>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</si>
  <si>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</si>
  <si>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</si>
  <si>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</si>
  <si>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</si>
  <si>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</si>
  <si>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</si>
  <si>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</si>
  <si>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</si>
  <si>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</si>
  <si>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</si>
  <si>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</si>
  <si>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</si>
  <si>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</si>
  <si>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</si>
  <si>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</si>
  <si>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</si>
  <si>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</si>
  <si>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</si>
  <si>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</si>
  <si>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</si>
  <si>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</si>
  <si>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</si>
  <si>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</si>
  <si>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</si>
  <si>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</si>
  <si>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</si>
  <si>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</si>
  <si>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</si>
  <si>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</si>
  <si>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</si>
  <si>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</si>
  <si>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</si>
  <si>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</si>
  <si>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</si>
  <si>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</si>
  <si>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</si>
  <si>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</si>
  <si>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</si>
  <si>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</si>
  <si>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</si>
  <si>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</si>
  <si>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</si>
  <si>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</si>
  <si>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</si>
  <si>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</si>
  <si>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</si>
  <si>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</si>
  <si>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</si>
  <si>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</si>
  <si>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</si>
  <si>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</si>
  <si>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</si>
  <si>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</si>
  <si>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</si>
  <si>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</si>
  <si>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</si>
  <si>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</si>
  <si>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</si>
  <si>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</si>
  <si>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</si>
  <si>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</si>
  <si>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</si>
  <si>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</si>
  <si>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</si>
  <si>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</si>
  <si>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</si>
  <si>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</si>
  <si>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</si>
  <si>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</si>
  <si>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</si>
  <si>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</si>
  <si>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</si>
  <si>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</si>
  <si>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</si>
  <si>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</si>
  <si>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</si>
  <si>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</si>
  <si>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</si>
  <si>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</si>
  <si>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</si>
  <si>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</si>
  <si>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</si>
  <si>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</si>
  <si>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</si>
  <si>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</si>
  <si>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</si>
  <si>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</si>
  <si>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</si>
  <si>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</si>
  <si>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</si>
  <si>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</si>
  <si>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</si>
  <si>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</si>
  <si>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</si>
  <si>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</si>
  <si>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</si>
  <si>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</si>
  <si>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</si>
  <si>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</si>
  <si>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</si>
  <si>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</si>
  <si>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</si>
  <si>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</si>
  <si>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</si>
  <si>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</si>
  <si>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</si>
  <si>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</si>
  <si>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</si>
  <si>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</si>
  <si>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</si>
  <si>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</si>
  <si>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</si>
  <si>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</si>
  <si>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</si>
  <si>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</si>
  <si>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</si>
  <si>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</si>
  <si>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</si>
  <si>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</si>
  <si>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</si>
  <si>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</si>
  <si>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</si>
  <si>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</si>
  <si>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</si>
  <si>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</si>
  <si>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</si>
  <si>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</si>
  <si>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</si>
  <si>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</si>
  <si>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</si>
  <si>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</si>
  <si>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</si>
  <si>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</si>
  <si>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</si>
  <si>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</si>
  <si>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</si>
  <si>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</si>
  <si>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</si>
  <si>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</si>
  <si>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</si>
  <si>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</si>
  <si>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</si>
  <si>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</si>
  <si>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</si>
  <si>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</si>
  <si>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</si>
  <si>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</si>
  <si>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</si>
  <si>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</si>
  <si>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</si>
  <si>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</si>
  <si>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</si>
  <si>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</si>
  <si>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</si>
  <si>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</si>
  <si>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</si>
  <si>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</si>
  <si>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</si>
  <si>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</si>
  <si>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</si>
  <si>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</si>
  <si>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</si>
  <si>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</si>
  <si>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</si>
  <si>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</si>
  <si>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</si>
  <si>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</si>
  <si>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</si>
  <si>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</si>
  <si>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</si>
  <si>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</si>
  <si>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</si>
  <si>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</si>
  <si>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</si>
  <si>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</si>
  <si>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</si>
  <si>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</si>
  <si>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</si>
  <si>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</si>
  <si>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</si>
  <si>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</si>
  <si>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</si>
  <si>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</si>
  <si>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</si>
  <si>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</si>
  <si>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</si>
  <si>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</si>
  <si>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</si>
  <si>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</si>
  <si>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</si>
  <si>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</si>
  <si>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</si>
  <si>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</si>
  <si>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</si>
  <si>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</si>
  <si>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</si>
  <si>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</si>
  <si>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</si>
  <si>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</si>
  <si>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</si>
  <si>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</si>
  <si>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</si>
  <si>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</si>
  <si>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</si>
  <si>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</si>
  <si>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</si>
  <si>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</si>
  <si>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</si>
  <si>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</si>
  <si>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</si>
  <si>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</si>
  <si>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</si>
  <si>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</si>
  <si>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</si>
  <si>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</si>
  <si>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</si>
  <si>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</si>
  <si>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</si>
  <si>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</si>
  <si>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</si>
  <si>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</si>
  <si>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</si>
  <si>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</si>
  <si>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</si>
  <si>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</si>
  <si>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</si>
  <si>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</si>
  <si>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</si>
  <si>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</si>
  <si>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</si>
  <si>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</si>
  <si>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</si>
  <si>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</si>
  <si>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</si>
  <si>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</si>
  <si>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</si>
  <si>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</si>
  <si>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</si>
  <si>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</si>
  <si>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</si>
  <si>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</si>
  <si>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</si>
  <si>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</si>
  <si>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</si>
  <si>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</si>
  <si>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</si>
  <si>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</si>
  <si>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</si>
  <si>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</si>
  <si>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</si>
  <si>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</si>
  <si>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</si>
  <si>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</si>
  <si>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</si>
  <si>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</si>
  <si>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</si>
  <si>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</si>
  <si>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</si>
  <si>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</si>
  <si>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</si>
  <si>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</si>
  <si>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</si>
  <si>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</si>
  <si>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</si>
  <si>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</si>
  <si>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</si>
  <si>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</si>
  <si>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</si>
  <si>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</si>
  <si>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</si>
  <si>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</si>
  <si>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</si>
  <si>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</si>
  <si>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</si>
  <si>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</si>
  <si>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</si>
  <si>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</si>
  <si>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</si>
  <si>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</si>
  <si>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</si>
  <si>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</si>
  <si>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</si>
  <si>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</si>
  <si>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</si>
  <si>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</si>
  <si>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</si>
  <si>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</si>
  <si>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</si>
  <si>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</si>
  <si>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</si>
  <si>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</si>
  <si>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</si>
  <si>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</si>
  <si>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</si>
  <si>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</si>
  <si>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</si>
  <si>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</si>
  <si>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</si>
  <si>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</si>
  <si>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</si>
  <si>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</si>
  <si>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</si>
  <si>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</si>
  <si>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</si>
  <si>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</si>
  <si>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</si>
  <si>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</si>
  <si>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</si>
  <si>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</si>
  <si>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</si>
  <si>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</si>
  <si>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</si>
  <si>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</si>
  <si>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</si>
  <si>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</si>
  <si>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</si>
  <si>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</si>
  <si>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</si>
  <si>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</si>
  <si>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</si>
  <si>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</si>
  <si>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</si>
  <si>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</si>
  <si>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</si>
  <si>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</si>
  <si>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</si>
  <si>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</si>
  <si>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</si>
  <si>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</si>
  <si>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</si>
  <si>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</si>
  <si>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</si>
  <si>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</si>
  <si>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</si>
  <si>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</si>
  <si>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</si>
  <si>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</si>
  <si>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</si>
  <si>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</si>
  <si>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</si>
  <si>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</si>
  <si>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</si>
  <si>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</si>
  <si>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</si>
  <si>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</si>
  <si>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</si>
  <si>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</si>
  <si>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</si>
  <si>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</si>
  <si>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</si>
  <si>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</si>
  <si>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</si>
  <si>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</si>
  <si>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</si>
  <si>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</si>
  <si>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</si>
  <si>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</si>
  <si>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</si>
  <si>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</si>
  <si>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</si>
  <si>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</si>
  <si>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</si>
  <si>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</si>
  <si>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</si>
  <si>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</si>
  <si>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</si>
  <si>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</si>
  <si>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</si>
  <si>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</si>
  <si>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</si>
  <si>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</si>
  <si>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</si>
  <si>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</si>
  <si>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</si>
  <si>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</si>
  <si>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</si>
  <si>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</si>
  <si>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</si>
  <si>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</si>
  <si>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</si>
  <si>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</si>
  <si>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</si>
  <si>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</si>
  <si>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</si>
  <si>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</si>
  <si>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</si>
  <si>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</si>
  <si>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</si>
  <si>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</si>
  <si>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</si>
  <si>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</si>
  <si>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</si>
  <si>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</si>
  <si>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</si>
  <si>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</si>
  <si>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</si>
  <si>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</si>
  <si>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</si>
  <si>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</si>
  <si>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</si>
  <si>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</si>
  <si>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</si>
  <si>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</si>
  <si>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</si>
  <si>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</si>
  <si>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</si>
  <si>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</si>
  <si>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</si>
  <si>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</si>
  <si>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</si>
  <si>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</si>
  <si>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</si>
  <si>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</si>
  <si>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</si>
  <si>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</si>
  <si>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</si>
  <si>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</si>
  <si>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</si>
  <si>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</si>
  <si>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</si>
  <si>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</si>
  <si>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</si>
  <si>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</si>
  <si>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</si>
  <si>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</si>
  <si>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</si>
  <si>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</si>
  <si>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</si>
  <si>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</si>
  <si>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</si>
  <si>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</si>
  <si>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</si>
  <si>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</si>
  <si>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</si>
  <si>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</si>
  <si>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</si>
  <si>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</si>
  <si>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</si>
  <si>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</si>
  <si>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</si>
  <si>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</si>
  <si>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</si>
  <si>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</si>
  <si>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</si>
  <si>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</si>
  <si>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</si>
  <si>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</si>
  <si>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</si>
  <si>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</si>
  <si>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</si>
  <si>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</si>
  <si>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</si>
  <si>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</si>
  <si>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</si>
  <si>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</si>
  <si>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</si>
  <si>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</si>
  <si>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</si>
  <si>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</si>
  <si>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</si>
  <si>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</si>
  <si>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</si>
  <si>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</si>
  <si>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</si>
  <si>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</si>
  <si>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</si>
  <si>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</si>
  <si>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</si>
  <si>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</si>
  <si>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</si>
  <si>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</si>
  <si>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</si>
  <si>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</si>
  <si>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</si>
  <si>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</si>
  <si>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</si>
  <si>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</si>
  <si>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</si>
  <si>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</si>
  <si>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</si>
  <si>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</si>
  <si>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</si>
  <si>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</si>
  <si>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</si>
  <si>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</si>
  <si>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</si>
  <si>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</si>
  <si>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</si>
  <si>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</si>
  <si>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</si>
  <si>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</si>
  <si>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</si>
  <si>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</si>
  <si>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</si>
  <si>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</si>
  <si>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</si>
  <si>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</si>
  <si>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</si>
  <si>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</si>
  <si>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</si>
  <si>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</si>
  <si>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</si>
  <si>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</si>
  <si>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</si>
  <si>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</si>
  <si>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</si>
  <si>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</si>
  <si>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</si>
  <si>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</si>
  <si>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</si>
  <si>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</si>
  <si>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</si>
  <si>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</si>
  <si>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</si>
  <si>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</si>
  <si>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</si>
  <si>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</si>
  <si>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</si>
  <si>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</si>
  <si>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</si>
  <si>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</si>
  <si>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</si>
  <si>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</si>
  <si>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</si>
  <si>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</si>
  <si>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</si>
  <si>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</si>
  <si>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</si>
  <si>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</si>
  <si>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</si>
  <si>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</si>
  <si>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</si>
  <si>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</si>
  <si>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</si>
  <si>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</si>
  <si>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</si>
  <si>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</si>
  <si>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</si>
  <si>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</si>
  <si>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</si>
  <si>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</si>
  <si>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</si>
  <si>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</si>
  <si>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</si>
  <si>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</si>
  <si>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</si>
  <si>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</si>
  <si>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</si>
  <si>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</si>
  <si>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</si>
  <si>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</si>
  <si>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</si>
  <si>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</si>
  <si>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</si>
  <si>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</si>
  <si>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</si>
  <si>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</si>
  <si>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</si>
  <si>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</si>
  <si>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</si>
  <si>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</si>
  <si>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</si>
  <si>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</si>
  <si>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</si>
  <si>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</si>
  <si>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</si>
  <si>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</si>
  <si>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</si>
  <si>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</si>
  <si>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</si>
  <si>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</si>
  <si>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</si>
  <si>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</si>
  <si>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</si>
  <si>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</si>
  <si>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</si>
  <si>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</si>
  <si>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</si>
  <si>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</si>
  <si>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</si>
  <si>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</si>
  <si>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</si>
  <si>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</si>
  <si>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</si>
  <si>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</si>
  <si>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</si>
  <si>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</si>
  <si>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</si>
  <si>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</si>
  <si>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</si>
  <si>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</si>
  <si>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</si>
  <si>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</si>
  <si>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</si>
  <si>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</si>
  <si>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</si>
  <si>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</si>
  <si>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</si>
  <si>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</si>
  <si>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</si>
  <si>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</si>
  <si>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</si>
  <si>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</si>
  <si>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</si>
  <si>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</si>
  <si>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</si>
  <si>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</si>
  <si>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</si>
  <si>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</si>
  <si>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</si>
  <si>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</si>
  <si>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</si>
  <si>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</si>
  <si>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</si>
  <si>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</si>
  <si>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</si>
  <si>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</si>
  <si>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</si>
  <si>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</si>
  <si>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</si>
  <si>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</si>
  <si>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</si>
  <si>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</si>
  <si>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</si>
  <si>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</si>
  <si>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</si>
  <si>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</si>
  <si>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</si>
  <si>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</si>
  <si>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</si>
  <si>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</si>
  <si>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</si>
  <si>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</si>
  <si>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</si>
  <si>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</si>
  <si>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</si>
  <si>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</si>
  <si>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</si>
  <si>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</si>
  <si>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</si>
  <si>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</si>
  <si>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</si>
  <si>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</si>
  <si>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</si>
  <si>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</si>
  <si>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</si>
  <si>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</si>
  <si>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</si>
  <si>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</si>
  <si>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</si>
  <si>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</si>
  <si>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</si>
  <si>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</si>
  <si>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</si>
  <si>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</si>
  <si>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</si>
  <si>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</si>
  <si>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</si>
  <si>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</si>
  <si>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</si>
  <si>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</si>
  <si>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</si>
  <si>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</si>
  <si>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</si>
  <si>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</si>
  <si>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</si>
  <si>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</si>
  <si>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</si>
  <si>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</si>
  <si>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</si>
  <si>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</si>
  <si>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</si>
  <si>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</si>
  <si>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</si>
  <si>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</si>
  <si>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</si>
  <si>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</si>
  <si>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</si>
  <si>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</si>
  <si>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</si>
  <si>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</si>
  <si>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</si>
  <si>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</si>
  <si>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</si>
  <si>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</si>
  <si>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</si>
  <si>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</si>
  <si>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</si>
  <si>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</si>
  <si>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</si>
  <si>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</si>
  <si>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</si>
  <si>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</si>
  <si>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</si>
  <si>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</si>
  <si>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</si>
  <si>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</si>
  <si>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</si>
  <si>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</si>
  <si>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</si>
  <si>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</si>
  <si>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</si>
  <si>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</si>
  <si>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</si>
  <si>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</si>
  <si>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</si>
  <si>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</si>
  <si>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</si>
  <si>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</si>
  <si>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</si>
  <si>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</si>
  <si>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</si>
  <si>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</si>
  <si>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</si>
  <si>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</si>
  <si>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</si>
  <si>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</si>
  <si>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</si>
  <si>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</si>
  <si>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</si>
  <si>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</si>
  <si>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</si>
  <si>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</si>
  <si>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</si>
  <si>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</si>
  <si>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</si>
  <si>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</si>
  <si>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</si>
  <si>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</si>
  <si>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</si>
  <si>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</si>
  <si>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</si>
  <si>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</si>
  <si>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</si>
  <si>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</si>
  <si>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</si>
  <si>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</si>
  <si>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</si>
  <si>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</si>
  <si>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</si>
  <si>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</si>
  <si>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</si>
  <si>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</si>
  <si>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</si>
  <si>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</si>
  <si>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</si>
  <si>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</si>
  <si>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</si>
  <si>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</si>
  <si>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</si>
  <si>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</si>
  <si>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</si>
  <si>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</si>
  <si>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</si>
  <si>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</si>
  <si>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</si>
  <si>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</si>
  <si>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</si>
  <si>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</si>
  <si>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</si>
  <si>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</si>
  <si>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</si>
  <si>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</si>
  <si>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</si>
  <si>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</si>
  <si>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</si>
  <si>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</si>
  <si>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</si>
  <si>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</si>
  <si>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</si>
  <si>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</si>
  <si>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</si>
  <si>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</si>
  <si>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</si>
  <si>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</si>
  <si>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</si>
  <si>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</si>
  <si>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</si>
  <si>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</si>
  <si>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</si>
  <si>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</si>
  <si>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</si>
  <si>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</si>
  <si>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</si>
  <si>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</si>
  <si>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</si>
  <si>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</si>
  <si>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</si>
  <si>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</si>
  <si>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</si>
  <si>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</si>
  <si>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</si>
  <si>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</si>
  <si>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</si>
  <si>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</si>
  <si>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</si>
  <si>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</si>
  <si>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</si>
  <si>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</si>
  <si>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</si>
  <si>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</si>
  <si>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</si>
  <si>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</si>
  <si>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</si>
  <si>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</si>
  <si>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</si>
  <si>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</si>
  <si>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</si>
  <si>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</si>
  <si>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</si>
  <si>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</si>
  <si>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</si>
  <si>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</si>
  <si>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</si>
  <si>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</si>
  <si>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</si>
  <si>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</si>
  <si>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</si>
  <si>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</si>
  <si>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</si>
  <si>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</si>
  <si>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</si>
  <si>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</si>
  <si>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</si>
  <si>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</si>
  <si>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</si>
  <si>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</si>
  <si>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</si>
  <si>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</si>
  <si>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</si>
  <si>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</si>
  <si>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</si>
  <si>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</si>
  <si>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</si>
  <si>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</si>
  <si>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</si>
  <si>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</si>
  <si>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</si>
  <si>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</si>
  <si>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</si>
  <si>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</si>
  <si>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</si>
  <si>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</si>
  <si>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</si>
  <si>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</si>
  <si>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</si>
  <si>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</si>
  <si>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</si>
  <si>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</si>
  <si>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</si>
  <si>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</si>
  <si>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</si>
  <si>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</si>
  <si>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</si>
  <si>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</si>
  <si>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</si>
  <si>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</si>
  <si>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</si>
  <si>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</si>
  <si>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</si>
  <si>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</si>
  <si>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</si>
  <si>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</si>
  <si>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</si>
  <si>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</si>
  <si>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</si>
  <si>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</si>
  <si>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</si>
  <si>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</si>
  <si>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</si>
  <si>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</si>
  <si>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</si>
  <si>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</si>
  <si>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</si>
  <si>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</si>
  <si>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</si>
  <si>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</si>
  <si>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</si>
  <si>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</si>
  <si>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</si>
  <si>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</si>
  <si>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</si>
  <si>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</si>
  <si>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</si>
  <si>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</si>
  <si>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</si>
  <si>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</si>
  <si>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</si>
  <si>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</si>
  <si>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</si>
  <si>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</si>
  <si>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</si>
  <si>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</si>
  <si>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</si>
  <si>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</si>
  <si>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</si>
  <si>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</si>
  <si>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</si>
  <si>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</si>
  <si>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</si>
  <si>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</si>
  <si>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</si>
  <si>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</si>
  <si>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</si>
  <si>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</si>
  <si>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</si>
  <si>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</si>
  <si>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</si>
  <si>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</si>
  <si>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</si>
  <si>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</si>
  <si>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</si>
  <si>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</si>
  <si>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</si>
  <si>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</si>
  <si>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</si>
  <si>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</si>
  <si>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</si>
  <si>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</si>
  <si>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</si>
  <si>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</si>
  <si>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</si>
  <si>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</si>
  <si>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</si>
  <si>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</si>
  <si>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</si>
  <si>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</si>
  <si>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</si>
  <si>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</si>
  <si>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</si>
  <si>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</si>
  <si>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</si>
  <si>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</si>
  <si>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</si>
  <si>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</si>
  <si>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</si>
  <si>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</si>
  <si>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</si>
  <si>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</si>
  <si>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</si>
  <si>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</si>
  <si>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</si>
  <si>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</si>
  <si>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</si>
  <si>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</si>
  <si>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</si>
  <si>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</si>
  <si>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</si>
  <si>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</si>
  <si>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</si>
  <si>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</si>
  <si>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</si>
  <si>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</si>
  <si>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</si>
  <si>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</si>
  <si>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</si>
  <si>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</si>
  <si>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</si>
  <si>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</si>
  <si>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</si>
  <si>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</si>
  <si>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</si>
  <si>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</si>
  <si>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</si>
  <si>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</si>
  <si>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</si>
  <si>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</si>
  <si>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</si>
  <si>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</si>
  <si>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</si>
  <si>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</si>
  <si>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</si>
  <si>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</si>
  <si>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</si>
  <si>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</si>
  <si>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</si>
  <si>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</si>
  <si>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</si>
  <si>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</si>
  <si>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</si>
  <si>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</si>
  <si>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</si>
  <si>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</si>
  <si>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</si>
  <si>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</si>
  <si>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</si>
  <si>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</si>
  <si>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</si>
  <si>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</si>
  <si>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</si>
  <si>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</si>
  <si>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</si>
  <si>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</si>
  <si>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</si>
  <si>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</si>
  <si>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</si>
  <si>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</si>
  <si>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</si>
  <si>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</si>
  <si>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</si>
  <si>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</si>
  <si>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</si>
  <si>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</si>
  <si>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</si>
  <si>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</si>
  <si>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</si>
  <si>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</si>
  <si>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</si>
  <si>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</si>
  <si>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</si>
  <si>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</si>
  <si>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</si>
  <si>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</si>
  <si>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</si>
  <si>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</si>
  <si>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</si>
  <si>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</si>
  <si>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</si>
  <si>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</si>
  <si>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</si>
  <si>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</si>
  <si>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</si>
  <si>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</si>
  <si>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</si>
  <si>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</si>
  <si>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</si>
  <si>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</si>
  <si>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</si>
  <si>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</si>
  <si>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</si>
  <si>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</si>
  <si>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</si>
  <si>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</si>
  <si>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</si>
  <si>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</si>
  <si>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</si>
  <si>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</si>
  <si>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</si>
  <si>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</si>
  <si>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</si>
  <si>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</si>
  <si>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</si>
  <si>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</si>
  <si>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</si>
  <si>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</si>
  <si>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</si>
  <si>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</si>
  <si>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</si>
  <si>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</si>
  <si>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</si>
  <si>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</si>
  <si>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</si>
  <si>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</si>
  <si>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</si>
  <si>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</si>
  <si>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</si>
  <si>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</si>
  <si>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</si>
  <si>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</si>
  <si>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</si>
  <si>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</si>
  <si>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</si>
  <si>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</si>
  <si>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</si>
  <si>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</si>
  <si>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</si>
  <si>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</si>
  <si>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</si>
  <si>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</si>
  <si>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</si>
  <si>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</si>
  <si>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</si>
  <si>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</si>
  <si>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</si>
  <si>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</si>
  <si>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</si>
  <si>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</si>
  <si>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</si>
  <si>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</si>
  <si>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</si>
  <si>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</si>
  <si>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</si>
  <si>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</si>
  <si>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</si>
  <si>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</si>
  <si>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</si>
  <si>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</si>
  <si>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</si>
  <si>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</si>
  <si>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</si>
  <si>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</si>
  <si>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</si>
  <si>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</si>
  <si>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</si>
  <si>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</si>
  <si>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</si>
  <si>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</si>
  <si>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</si>
  <si>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</si>
  <si>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</si>
  <si>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</si>
  <si>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</si>
  <si>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</si>
  <si>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</si>
  <si>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</si>
  <si>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</si>
  <si>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</si>
  <si>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</si>
  <si>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</si>
  <si>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</si>
  <si>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</si>
  <si>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</si>
  <si>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</si>
  <si>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</si>
  <si>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</si>
  <si>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</si>
  <si>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</si>
  <si>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</si>
  <si>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</si>
  <si>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</si>
  <si>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</si>
  <si>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</si>
  <si>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</si>
  <si>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</si>
  <si>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</si>
  <si>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</si>
  <si>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</si>
  <si>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</si>
  <si>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</si>
  <si>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</si>
  <si>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</si>
  <si>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</si>
  <si>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</si>
  <si>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</si>
  <si>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</si>
  <si>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</si>
  <si>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</si>
  <si>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</si>
  <si>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</si>
  <si>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</si>
  <si>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</si>
  <si>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</si>
  <si>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</si>
  <si>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</si>
  <si>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</si>
  <si>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</si>
  <si>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</si>
  <si>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</si>
  <si>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</si>
  <si>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</si>
  <si>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</si>
  <si>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</si>
  <si>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</si>
  <si>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</si>
  <si>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</si>
  <si>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</si>
  <si>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</si>
  <si>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</si>
  <si>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</si>
  <si>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</si>
  <si>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</si>
  <si>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</si>
  <si>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</si>
  <si>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</si>
  <si>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</si>
  <si>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</si>
  <si>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</si>
  <si>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</si>
  <si>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</si>
  <si>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</si>
  <si>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</si>
  <si>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</si>
  <si>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</si>
  <si>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</si>
  <si>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</si>
  <si>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</si>
  <si>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</si>
  <si>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</si>
  <si>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</si>
  <si>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</si>
  <si>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</si>
  <si>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</si>
  <si>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</si>
  <si>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</si>
  <si>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</si>
  <si>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</si>
  <si>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</si>
  <si>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</si>
  <si>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</si>
  <si>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</si>
  <si>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</si>
  <si>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</si>
  <si>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</si>
  <si>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</si>
  <si>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</si>
  <si>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</si>
  <si>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</si>
  <si>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</si>
  <si>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</si>
  <si>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</si>
  <si>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</si>
  <si>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</si>
  <si>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</si>
  <si>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</si>
  <si>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</si>
  <si>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</si>
  <si>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</si>
  <si>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</si>
  <si>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</si>
  <si>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</si>
  <si>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</si>
  <si>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</si>
  <si>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</si>
  <si>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</si>
  <si>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</si>
  <si>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</si>
  <si>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</si>
  <si>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</si>
  <si>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</si>
  <si>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</si>
  <si>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</si>
  <si>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</si>
  <si>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</si>
  <si>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</si>
  <si>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</si>
  <si>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</si>
  <si>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</si>
  <si>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</si>
  <si>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</si>
  <si>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</si>
  <si>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</si>
  <si>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</si>
  <si>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</si>
  <si>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</si>
  <si>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</si>
  <si>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</si>
  <si>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</si>
  <si>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</si>
  <si>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</si>
  <si>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</si>
  <si>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</si>
  <si>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</si>
  <si>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</si>
  <si>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</si>
  <si>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</si>
  <si>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</si>
  <si>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</si>
  <si>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</si>
  <si>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</si>
  <si>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</si>
  <si>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</si>
  <si>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</si>
  <si>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</si>
  <si>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</si>
  <si>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</si>
  <si>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</si>
  <si>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</si>
  <si>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</si>
  <si>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</si>
  <si>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</si>
  <si>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</si>
  <si>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</si>
  <si>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</si>
  <si>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</si>
  <si>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</si>
  <si>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</si>
  <si>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</si>
  <si>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</si>
  <si>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</si>
  <si>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</si>
  <si>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</si>
  <si>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</si>
  <si>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</si>
  <si>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</si>
  <si>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</si>
  <si>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</si>
  <si>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</si>
  <si>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</si>
  <si>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</si>
  <si>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</si>
  <si>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</si>
  <si>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</si>
  <si>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</si>
  <si>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</si>
  <si>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</si>
  <si>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</si>
  <si>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</si>
  <si>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</si>
  <si>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</si>
  <si>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</si>
  <si>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</si>
  <si>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</si>
  <si>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</si>
  <si>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</si>
  <si>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</si>
  <si>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</si>
  <si>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</si>
  <si>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</si>
  <si>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</si>
  <si>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</si>
  <si>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</si>
  <si>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</si>
  <si>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</si>
  <si>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</si>
  <si>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</si>
  <si>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</si>
  <si>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</si>
  <si>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</si>
  <si>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</si>
  <si>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</si>
  <si>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</si>
  <si>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</si>
  <si>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</si>
  <si>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</si>
  <si>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</si>
  <si>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</si>
  <si>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</si>
  <si>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</si>
  <si>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</si>
  <si>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</si>
  <si>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</si>
  <si>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</si>
  <si>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</si>
  <si>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</si>
  <si>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</si>
  <si>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</si>
  <si>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</si>
  <si>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</si>
  <si>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</si>
  <si>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</si>
  <si>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</si>
  <si>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</si>
  <si>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</si>
  <si>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</si>
  <si>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</si>
  <si>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</si>
  <si>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</si>
  <si>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</si>
  <si>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</si>
  <si>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</si>
  <si>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</si>
  <si>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</si>
  <si>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</si>
  <si>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</si>
  <si>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</si>
  <si>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</si>
  <si>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</si>
  <si>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</si>
  <si>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</si>
  <si>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</si>
  <si>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</si>
  <si>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</si>
  <si>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</si>
  <si>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</si>
  <si>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</si>
  <si>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</si>
  <si>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</si>
  <si>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</si>
  <si>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</si>
  <si>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</si>
  <si>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</si>
  <si>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</si>
  <si>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</si>
  <si>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</si>
  <si>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</si>
  <si>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</si>
  <si>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</si>
  <si>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</si>
  <si>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</si>
  <si>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</si>
  <si>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</si>
  <si>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</si>
  <si>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</si>
  <si>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</si>
  <si>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</si>
  <si>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</si>
  <si>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</si>
  <si>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</si>
  <si>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</si>
  <si>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</si>
  <si>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</si>
  <si>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</si>
  <si>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</si>
  <si>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</si>
  <si>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</si>
  <si>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</si>
  <si>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</si>
  <si>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</si>
  <si>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</si>
  <si>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</si>
  <si>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</si>
  <si>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</si>
  <si>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</si>
  <si>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</si>
  <si>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</si>
  <si>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</si>
  <si>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</si>
  <si>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</si>
  <si>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</si>
  <si>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</si>
  <si>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</si>
  <si>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</si>
  <si>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</si>
  <si>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</si>
  <si>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</si>
  <si>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</si>
  <si>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</si>
  <si>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</si>
  <si>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</si>
  <si>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</si>
  <si>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</si>
  <si>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</si>
  <si>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</si>
  <si>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</si>
  <si>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</si>
  <si>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</si>
  <si>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</si>
  <si>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</si>
  <si>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</si>
  <si>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</si>
  <si>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</si>
  <si>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</si>
  <si>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</si>
  <si>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</si>
  <si>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</si>
  <si>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</si>
  <si>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</si>
  <si>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</si>
  <si>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</si>
  <si>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</si>
  <si>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</si>
  <si>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</si>
  <si>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</si>
  <si>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</si>
  <si>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</si>
  <si>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</si>
  <si>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</si>
  <si>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</si>
  <si>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</si>
  <si>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</si>
  <si>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</si>
  <si>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</si>
  <si>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</si>
  <si>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</si>
  <si>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</si>
  <si>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</si>
  <si>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</si>
  <si>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</si>
  <si>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</si>
  <si>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</si>
  <si>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</si>
  <si>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</si>
  <si>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</si>
  <si>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</si>
  <si>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</si>
  <si>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</si>
  <si>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</si>
  <si>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</si>
  <si>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</si>
  <si>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</si>
  <si>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</si>
  <si>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</si>
  <si>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</si>
  <si>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</si>
  <si>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</si>
  <si>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</si>
  <si>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</si>
  <si>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</si>
  <si>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</si>
  <si>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</si>
  <si>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</si>
  <si>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</si>
  <si>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</si>
  <si>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</si>
  <si>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</si>
  <si>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</si>
  <si>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</si>
  <si>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</si>
  <si>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</si>
  <si>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</si>
  <si>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</si>
  <si>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</si>
  <si>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</si>
  <si>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</si>
  <si>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</si>
  <si>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</si>
  <si>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</si>
  <si>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</si>
  <si>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</si>
  <si>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</si>
  <si>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</si>
  <si>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</si>
  <si>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</si>
  <si>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</si>
  <si>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</si>
  <si>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</si>
  <si>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</si>
  <si>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</si>
  <si>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</si>
  <si>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</si>
  <si>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</si>
  <si>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</si>
  <si>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</si>
  <si>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</si>
  <si>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</si>
  <si>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</si>
  <si>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</si>
  <si>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</si>
  <si>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</si>
  <si>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</si>
  <si>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</si>
  <si>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</si>
  <si>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</si>
  <si>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</si>
  <si>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</si>
  <si>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</si>
  <si>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</si>
  <si>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</si>
  <si>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</si>
  <si>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</si>
  <si>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</si>
  <si>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</si>
  <si>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</si>
  <si>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</si>
  <si>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</si>
  <si>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</si>
  <si>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</si>
  <si>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</si>
  <si>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</si>
  <si>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</si>
  <si>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</si>
  <si>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</si>
  <si>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</si>
  <si>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</si>
  <si>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</si>
  <si>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</si>
  <si>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</si>
  <si>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</si>
  <si>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</si>
  <si>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</si>
  <si>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</si>
  <si>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</si>
  <si>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</si>
  <si>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</si>
  <si>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</si>
  <si>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</si>
  <si>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</si>
  <si>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</si>
  <si>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</si>
  <si>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</si>
  <si>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</si>
  <si>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</si>
  <si>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</si>
  <si>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</si>
  <si>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</si>
  <si>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</si>
  <si>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</si>
  <si>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</si>
  <si>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</si>
  <si>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</si>
  <si>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</si>
  <si>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</si>
  <si>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</si>
  <si>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</si>
  <si>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</si>
  <si>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</si>
  <si>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</si>
  <si>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</si>
  <si>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</si>
  <si>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</si>
  <si>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</si>
  <si>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</si>
  <si>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</si>
  <si>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</si>
  <si>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</si>
  <si>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</si>
  <si>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</si>
  <si>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</si>
  <si>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</si>
  <si>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</si>
  <si>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</si>
  <si>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</si>
  <si>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</si>
  <si>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</si>
  <si>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</si>
  <si>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</si>
  <si>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</si>
  <si>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</si>
  <si>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</si>
  <si>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</si>
  <si>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</si>
  <si>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</si>
  <si>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</si>
  <si>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</si>
  <si>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</si>
  <si>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</si>
  <si>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</si>
  <si>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</si>
  <si>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</si>
  <si>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</si>
  <si>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</si>
  <si>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</si>
  <si>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</si>
  <si>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</si>
  <si>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</si>
  <si>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</si>
  <si>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</si>
  <si>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</si>
  <si>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</si>
  <si>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</si>
  <si>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</si>
  <si>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</si>
  <si>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</si>
  <si>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</si>
  <si>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</si>
  <si>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</si>
  <si>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</si>
  <si>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</si>
  <si>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</si>
  <si>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</si>
  <si>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</si>
  <si>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</si>
  <si>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</si>
  <si>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</si>
  <si>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</si>
  <si>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</si>
  <si>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</si>
  <si>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</si>
  <si>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</si>
  <si>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</si>
  <si>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</si>
  <si>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</si>
  <si>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</si>
  <si>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</si>
  <si>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</si>
  <si>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</si>
  <si>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</si>
  <si>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</si>
  <si>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</si>
  <si>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</si>
  <si>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</si>
  <si>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</si>
  <si>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</si>
  <si>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</si>
  <si>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</si>
  <si>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</si>
  <si>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</si>
  <si>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</si>
  <si>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</si>
  <si>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</si>
  <si>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</si>
  <si>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</si>
  <si>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</si>
  <si>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</si>
  <si>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</si>
  <si>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</si>
  <si>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</si>
  <si>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</si>
  <si>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</si>
  <si>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</si>
  <si>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</si>
  <si>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</si>
  <si>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</si>
  <si>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</si>
  <si>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</si>
  <si>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</si>
  <si>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</si>
  <si>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</si>
  <si>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</si>
  <si>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</si>
  <si>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</si>
  <si>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</si>
  <si>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</si>
  <si>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</si>
  <si>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</si>
  <si>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</si>
  <si>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</si>
  <si>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</si>
  <si>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</si>
  <si>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</si>
  <si>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</si>
  <si>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</si>
  <si>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</si>
  <si>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</si>
  <si>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</si>
  <si>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</si>
  <si>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</si>
  <si>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</si>
  <si>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</si>
  <si>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</si>
  <si>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</si>
  <si>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</si>
  <si>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</si>
  <si>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</si>
  <si>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</si>
  <si>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</si>
  <si>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</si>
  <si>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</si>
  <si>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</si>
  <si>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</si>
  <si>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</si>
  <si>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</si>
  <si>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</si>
  <si>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</si>
  <si>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</si>
  <si>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</si>
  <si>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</si>
  <si>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</si>
  <si>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</si>
  <si>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</si>
  <si>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</si>
  <si>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</si>
  <si>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</si>
  <si>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</si>
  <si>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</si>
  <si>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</si>
  <si>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</si>
  <si>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</si>
  <si>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</si>
  <si>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</si>
  <si>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</si>
  <si>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</si>
  <si>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</si>
  <si>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</si>
  <si>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</si>
  <si>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</si>
  <si>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</si>
  <si>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</si>
  <si>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</si>
  <si>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</si>
  <si>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</si>
  <si>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</si>
  <si>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</si>
  <si>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</si>
  <si>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</si>
  <si>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</si>
  <si>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</si>
  <si>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</si>
  <si>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</si>
  <si>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</si>
  <si>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</si>
  <si>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</si>
  <si>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</si>
  <si>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</si>
  <si>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</si>
  <si>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</si>
  <si>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</si>
  <si>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</si>
  <si>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</si>
  <si>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</si>
  <si>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</si>
  <si>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</si>
  <si>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</si>
  <si>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</si>
  <si>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</si>
  <si>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</si>
  <si>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</si>
  <si>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</si>
  <si>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</si>
  <si>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</si>
  <si>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</si>
  <si>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</si>
  <si>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</si>
  <si>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</si>
  <si>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</si>
  <si>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</si>
  <si>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</si>
  <si>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</si>
  <si>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</si>
  <si>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</si>
  <si>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</si>
  <si>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</si>
  <si>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</si>
  <si>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</si>
  <si>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</si>
  <si>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</si>
  <si>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</si>
  <si>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</si>
  <si>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</si>
  <si>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</si>
  <si>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</si>
  <si>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</si>
  <si>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</si>
  <si>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</si>
  <si>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</si>
  <si>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</si>
  <si>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</si>
  <si>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</si>
  <si>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</si>
  <si>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</si>
  <si>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</si>
  <si>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</si>
  <si>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</si>
  <si>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</si>
  <si>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</si>
  <si>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</si>
  <si>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</si>
  <si>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</si>
  <si>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</si>
  <si>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</si>
  <si>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</si>
  <si>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</si>
  <si>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</si>
  <si>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</si>
  <si>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</si>
  <si>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</si>
  <si>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</si>
  <si>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</si>
  <si>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</si>
  <si>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</si>
  <si>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</si>
  <si>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</si>
  <si>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</si>
  <si>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</si>
  <si>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</si>
  <si>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</si>
  <si>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</si>
  <si>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</si>
  <si>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</si>
  <si>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</si>
  <si>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</si>
  <si>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</si>
  <si>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</si>
  <si>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</si>
  <si>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</si>
  <si>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</si>
  <si>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</si>
  <si>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</si>
  <si>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</si>
  <si>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</si>
  <si>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</si>
  <si>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</si>
  <si>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</si>
  <si>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</si>
  <si>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</si>
  <si>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</si>
  <si>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</si>
  <si>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</si>
  <si>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</si>
  <si>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</si>
  <si>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</si>
  <si>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</si>
  <si>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</si>
  <si>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</si>
  <si>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</si>
  <si>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</si>
  <si>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</si>
  <si>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</si>
  <si>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</si>
  <si>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</si>
  <si>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</si>
  <si>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</si>
  <si>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</si>
  <si>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</si>
  <si>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</si>
  <si>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</si>
  <si>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</si>
  <si>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</si>
  <si>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</si>
  <si>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</si>
  <si>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</si>
  <si>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</si>
  <si>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</si>
  <si>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</si>
  <si>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</si>
  <si>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</si>
  <si>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</si>
  <si>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</si>
  <si>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</si>
  <si>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</si>
  <si>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</si>
  <si>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</si>
  <si>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</si>
  <si>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</si>
  <si>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</si>
  <si>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</si>
  <si>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</si>
  <si>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</si>
  <si>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</si>
  <si>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</si>
  <si>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</si>
  <si>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</si>
  <si>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</si>
  <si>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</si>
  <si>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</si>
  <si>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</si>
  <si>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</si>
  <si>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</si>
  <si>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</si>
  <si>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</si>
  <si>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</si>
  <si>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</si>
  <si>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</si>
  <si>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</si>
  <si>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</si>
  <si>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</si>
  <si>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</si>
  <si>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</si>
  <si>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</si>
  <si>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</si>
  <si>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</si>
  <si>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</si>
  <si>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</si>
  <si>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</si>
  <si>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</si>
  <si>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</si>
  <si>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</si>
  <si>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</si>
  <si>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</si>
  <si>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</si>
  <si>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</si>
  <si>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</si>
  <si>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</si>
  <si>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</si>
  <si>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</si>
  <si>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</si>
  <si>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</si>
  <si>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</si>
  <si>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</si>
  <si>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</si>
  <si>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</si>
  <si>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</si>
  <si>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</si>
  <si>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</si>
  <si>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</si>
  <si>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</si>
  <si>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</si>
  <si>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</si>
  <si>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</si>
  <si>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</si>
  <si>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</si>
  <si>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</si>
  <si>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</si>
  <si>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</si>
  <si>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</si>
  <si>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</si>
  <si>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</si>
  <si>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</si>
  <si>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</si>
  <si>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</si>
  <si>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</si>
  <si>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</si>
  <si>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</si>
  <si>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</si>
  <si>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</si>
  <si>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</si>
  <si>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</si>
  <si>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</si>
  <si>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</si>
  <si>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</si>
  <si>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</si>
  <si>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</si>
  <si>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</si>
  <si>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</si>
  <si>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</si>
  <si>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</si>
  <si>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</si>
  <si>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</si>
  <si>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</si>
  <si>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</si>
  <si>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</si>
  <si>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</si>
  <si>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</si>
  <si>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</si>
  <si>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</si>
  <si>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</si>
  <si>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</si>
  <si>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</si>
  <si>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</si>
  <si>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</si>
  <si>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</si>
  <si>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</si>
  <si>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</si>
  <si>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</si>
  <si>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</si>
  <si>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</si>
  <si>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</si>
  <si>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</si>
  <si>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</si>
  <si>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</si>
  <si>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</si>
  <si>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</si>
  <si>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</si>
  <si>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</si>
  <si>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</si>
  <si>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</si>
  <si>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</si>
  <si>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</si>
  <si>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</si>
  <si>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</si>
  <si>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</si>
  <si>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</si>
  <si>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</si>
  <si>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</si>
  <si>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</si>
  <si>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</si>
  <si>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</si>
  <si>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</si>
  <si>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</si>
  <si>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</si>
  <si>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</si>
  <si>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</si>
  <si>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</si>
  <si>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</si>
  <si>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</si>
  <si>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</si>
  <si>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</si>
  <si>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</si>
  <si>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</si>
  <si>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</si>
  <si>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</si>
  <si>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</si>
  <si>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</si>
  <si>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</si>
  <si>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</si>
  <si>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</si>
  <si>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</si>
  <si>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</si>
  <si>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</si>
  <si>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</si>
  <si>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</si>
  <si>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</si>
  <si>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</si>
  <si>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</si>
  <si>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</si>
  <si>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</si>
  <si>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</si>
  <si>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</si>
  <si>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</si>
  <si>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</si>
  <si>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</si>
  <si>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</si>
  <si>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</si>
  <si>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</si>
  <si>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</si>
  <si>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</si>
  <si>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</si>
  <si>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</si>
  <si>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</si>
  <si>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</si>
  <si>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</si>
  <si>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</si>
  <si>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</si>
  <si>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</si>
  <si>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</si>
  <si>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</si>
  <si>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</si>
  <si>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</si>
  <si>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</si>
  <si>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</si>
  <si>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</si>
  <si>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</si>
  <si>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</si>
  <si>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</si>
  <si>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</si>
  <si>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</si>
  <si>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</si>
  <si>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</si>
  <si>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</si>
  <si>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</si>
  <si>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</si>
  <si>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</si>
  <si>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</si>
  <si>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</si>
  <si>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</si>
  <si>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</si>
  <si>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</si>
  <si>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</si>
  <si>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</si>
  <si>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</si>
  <si>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</si>
  <si>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</si>
  <si>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</si>
  <si>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</si>
  <si>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</si>
  <si>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</si>
  <si>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</si>
  <si>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</si>
  <si>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</si>
  <si>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</si>
  <si>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</si>
  <si>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</si>
  <si>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</si>
  <si>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</si>
  <si>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</si>
  <si>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</si>
  <si>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</si>
  <si>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</si>
  <si>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</si>
  <si>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</si>
  <si>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</si>
  <si>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</si>
  <si>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</si>
  <si>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</si>
  <si>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</si>
  <si>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</si>
  <si>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</si>
  <si>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</si>
  <si>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</si>
  <si>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</si>
  <si>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</si>
  <si>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</si>
  <si>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</si>
  <si>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</si>
  <si>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</si>
  <si>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</si>
  <si>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</si>
  <si>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</si>
  <si>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</si>
  <si>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</si>
  <si>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</si>
  <si>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</si>
  <si>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</si>
  <si>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</si>
  <si>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</si>
  <si>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</si>
  <si>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</si>
  <si>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</si>
  <si>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</si>
  <si>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</si>
  <si>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</si>
  <si>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</si>
  <si>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</si>
  <si>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</si>
  <si>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</si>
  <si>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</si>
  <si>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</si>
  <si>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</si>
  <si>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</si>
  <si>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</si>
  <si>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</si>
  <si>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</si>
  <si>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</si>
  <si>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</si>
  <si>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</si>
  <si>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</si>
  <si>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</si>
  <si>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</si>
  <si>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</si>
  <si>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</si>
  <si>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</si>
  <si>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</si>
  <si>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</si>
  <si>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</si>
  <si>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</si>
  <si>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</si>
  <si>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</si>
  <si>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</si>
  <si>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</si>
  <si>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</si>
  <si>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</si>
  <si>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</si>
  <si>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</si>
  <si>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</si>
  <si>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</si>
  <si>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</si>
  <si>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</si>
  <si>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</si>
  <si>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</si>
  <si>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</si>
  <si>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</si>
  <si>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</si>
  <si>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</si>
  <si>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</si>
  <si>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</si>
  <si>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</si>
  <si>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</si>
  <si>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</si>
  <si>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</si>
  <si>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</si>
  <si>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</si>
  <si>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</si>
  <si>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</si>
  <si>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</si>
  <si>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</si>
  <si>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</si>
  <si>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</si>
  <si>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</si>
  <si>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</si>
  <si>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</si>
  <si>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</si>
  <si>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</si>
  <si>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</si>
  <si>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</si>
  <si>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</si>
  <si>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</si>
  <si>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</si>
  <si>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</si>
  <si>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</si>
  <si>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</si>
  <si>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</si>
  <si>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</si>
  <si>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</si>
  <si>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</si>
  <si>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</si>
  <si>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</si>
  <si>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</si>
  <si>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</si>
  <si>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</si>
  <si>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</si>
  <si>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</si>
  <si>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</si>
  <si>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</si>
  <si>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</si>
  <si>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</si>
  <si>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</si>
  <si>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</si>
  <si>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</si>
  <si>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</si>
  <si>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</si>
  <si>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</si>
  <si>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</si>
  <si>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</si>
  <si>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</si>
  <si>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</si>
  <si>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</si>
  <si>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</si>
  <si>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</si>
  <si>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</si>
  <si>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</si>
  <si>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</si>
  <si>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</si>
  <si>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</si>
  <si>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</si>
  <si>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</si>
  <si>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</si>
  <si>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</si>
  <si>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</si>
  <si>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</si>
  <si>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</si>
  <si>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</si>
  <si>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</si>
  <si>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</si>
  <si>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</si>
  <si>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</si>
  <si>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</si>
  <si>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</si>
  <si>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</si>
  <si>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</si>
  <si>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</si>
  <si>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</si>
  <si>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</si>
  <si>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</si>
  <si>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</si>
  <si>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</si>
  <si>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</si>
  <si>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</si>
  <si>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</si>
  <si>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</si>
  <si>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</si>
  <si>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</si>
  <si>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</si>
  <si>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</si>
  <si>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</si>
  <si>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</si>
  <si>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</si>
  <si>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</si>
  <si>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</si>
  <si>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</si>
  <si>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</si>
  <si>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</si>
  <si>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</si>
  <si>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</si>
  <si>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</si>
  <si>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</si>
  <si>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</si>
  <si>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</si>
  <si>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</si>
  <si>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</si>
  <si>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</si>
  <si>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</si>
  <si>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</si>
  <si>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</si>
  <si>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</si>
  <si>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</si>
  <si>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</si>
  <si>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</si>
  <si>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</si>
  <si>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</si>
  <si>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</si>
  <si>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</si>
  <si>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</si>
  <si>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</si>
  <si>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</si>
  <si>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</si>
  <si>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</si>
  <si>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</si>
  <si>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</si>
  <si>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</si>
  <si>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</si>
  <si>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</si>
  <si>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</si>
  <si>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</si>
  <si>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</si>
  <si>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</si>
  <si>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</si>
  <si>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</si>
  <si>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</si>
  <si>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</si>
  <si>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</si>
  <si>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</si>
  <si>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</si>
  <si>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</si>
  <si>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</si>
  <si>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</si>
  <si>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</si>
  <si>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</si>
  <si>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</si>
  <si>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</si>
  <si>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</si>
  <si>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</si>
  <si>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</si>
  <si>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</si>
  <si>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</si>
  <si>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</si>
  <si>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</si>
  <si>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</si>
  <si>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</si>
  <si>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</si>
  <si>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</si>
  <si>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</si>
  <si>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</si>
  <si>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</si>
  <si>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</si>
  <si>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</si>
  <si>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</si>
  <si>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</si>
  <si>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</si>
  <si>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</si>
  <si>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</si>
  <si>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</si>
  <si>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</si>
  <si>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</si>
  <si>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</si>
  <si>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</si>
  <si>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</si>
  <si>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</si>
  <si>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</si>
  <si>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</si>
  <si>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</si>
  <si>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</si>
  <si>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</si>
  <si>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</si>
  <si>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</si>
  <si>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</si>
  <si>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</si>
  <si>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</si>
  <si>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</si>
  <si>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</si>
  <si>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</si>
  <si>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</si>
  <si>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</si>
  <si>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</si>
  <si>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</si>
  <si>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</si>
  <si>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</si>
  <si>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</si>
  <si>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</si>
  <si>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</si>
  <si>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</si>
  <si>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</si>
  <si>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</si>
  <si>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</si>
  <si>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</si>
  <si>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</si>
  <si>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</si>
  <si>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</si>
  <si>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</si>
  <si>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</si>
  <si>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</si>
  <si>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</si>
  <si>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</si>
  <si>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</si>
  <si>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</si>
  <si>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</si>
  <si>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</si>
  <si>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</si>
  <si>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</si>
  <si>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</si>
  <si>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</si>
  <si>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</si>
  <si>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</si>
  <si>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</si>
  <si>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</si>
  <si>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</si>
  <si>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</si>
  <si>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</si>
  <si>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</si>
  <si>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</si>
  <si>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</si>
  <si>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</si>
  <si>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</si>
  <si>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</si>
  <si>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</si>
  <si>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</si>
  <si>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</si>
  <si>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</si>
  <si>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</si>
  <si>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</si>
  <si>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</si>
  <si>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</si>
  <si>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</si>
  <si>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</si>
  <si>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</si>
  <si>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</si>
  <si>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</si>
  <si>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</si>
  <si>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</si>
  <si>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</si>
  <si>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</si>
  <si>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</si>
  <si>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</si>
  <si>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</si>
  <si>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</si>
  <si>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</si>
  <si>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</si>
  <si>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</si>
  <si>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</si>
  <si>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</si>
  <si>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</si>
  <si>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</si>
  <si>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</si>
  <si>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</si>
  <si>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</si>
  <si>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</si>
  <si>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</si>
  <si>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</si>
  <si>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</si>
  <si>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</si>
  <si>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</si>
  <si>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</si>
  <si>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</si>
  <si>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</si>
  <si>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</si>
  <si>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</si>
  <si>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</si>
  <si>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</si>
  <si>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</si>
  <si>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</si>
  <si>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</si>
  <si>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</si>
  <si>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</si>
  <si>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</si>
  <si>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</si>
  <si>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</si>
  <si>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</si>
  <si>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</si>
  <si>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</si>
  <si>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</si>
  <si>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</si>
  <si>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</si>
  <si>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</si>
  <si>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</si>
  <si>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</si>
  <si>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</si>
  <si>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</si>
  <si>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</si>
  <si>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</si>
  <si>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</si>
  <si>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</si>
  <si>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</si>
  <si>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</si>
  <si>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</si>
  <si>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</si>
  <si>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</si>
  <si>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</si>
  <si>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</si>
  <si>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</si>
  <si>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</si>
  <si>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</si>
  <si>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</si>
  <si>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</si>
  <si>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</si>
  <si>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</si>
  <si>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</si>
  <si>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</si>
  <si>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</si>
  <si>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</si>
  <si>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</si>
  <si>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</si>
  <si>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</si>
  <si>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</si>
  <si>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</si>
  <si>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</si>
  <si>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</si>
  <si>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</si>
  <si>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</si>
  <si>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</si>
  <si>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</si>
  <si>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</si>
  <si>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</si>
  <si>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</si>
  <si>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</si>
  <si>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</si>
  <si>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</si>
  <si>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</si>
  <si>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</si>
  <si>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</si>
  <si>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</si>
  <si>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</si>
  <si>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</si>
  <si>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</si>
  <si>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</si>
  <si>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</si>
  <si>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</si>
  <si>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</si>
  <si>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</si>
  <si>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</si>
  <si>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</si>
  <si>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</si>
  <si>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</si>
  <si>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</si>
  <si>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</si>
  <si>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</si>
  <si>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</si>
  <si>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</si>
  <si>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</si>
  <si>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</si>
  <si>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</si>
  <si>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</si>
  <si>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</si>
  <si>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</si>
  <si>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</si>
  <si>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</si>
  <si>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</si>
  <si>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</si>
  <si>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</si>
  <si>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</si>
  <si>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</si>
  <si>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</si>
  <si>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</si>
  <si>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</si>
  <si>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</si>
  <si>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</si>
  <si>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</si>
  <si>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</si>
  <si>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</si>
  <si>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</si>
  <si>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</si>
  <si>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</si>
  <si>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</si>
  <si>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</si>
  <si>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</si>
  <si>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</si>
  <si>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</si>
  <si>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</si>
  <si>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</si>
  <si>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</si>
  <si>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</si>
  <si>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</si>
  <si>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</si>
  <si>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</si>
  <si>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</si>
  <si>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</si>
  <si>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</si>
  <si>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</si>
  <si>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</si>
  <si>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</si>
  <si>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</si>
  <si>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</si>
  <si>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</si>
  <si>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</si>
  <si>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</si>
  <si>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</si>
  <si>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</si>
  <si>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</si>
  <si>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</si>
  <si>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</si>
  <si>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</si>
  <si>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</si>
  <si>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</si>
  <si>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</si>
  <si>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</si>
  <si>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</si>
  <si>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</si>
  <si>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</si>
  <si>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</si>
  <si>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</si>
  <si>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</si>
  <si>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</si>
  <si>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</si>
  <si>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</si>
  <si>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</si>
  <si>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</si>
  <si>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</si>
  <si>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</si>
  <si>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</si>
  <si>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</si>
  <si>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</si>
  <si>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</si>
  <si>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</si>
  <si>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</si>
  <si>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</si>
  <si>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</si>
  <si>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</si>
  <si>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</si>
  <si>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</si>
  <si>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</si>
  <si>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</si>
  <si>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</si>
  <si>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</si>
  <si>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</si>
  <si>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</si>
  <si>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</si>
  <si>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</si>
  <si>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</si>
  <si>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</si>
  <si>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</si>
  <si>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</si>
  <si>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</si>
  <si>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</si>
  <si>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</si>
  <si>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</si>
  <si>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</si>
  <si>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</si>
  <si>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</si>
  <si>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</si>
  <si>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</si>
  <si>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</si>
  <si>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</si>
  <si>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</si>
  <si>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</si>
  <si>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</si>
  <si>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</si>
  <si>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</si>
  <si>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</si>
  <si>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</si>
  <si>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</si>
  <si>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</si>
  <si>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</si>
  <si>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</si>
  <si>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</si>
  <si>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</si>
  <si>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</si>
  <si>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</si>
  <si>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</si>
  <si>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</si>
  <si>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</si>
  <si>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</si>
  <si>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</si>
  <si>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</si>
  <si>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</si>
  <si>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</si>
  <si>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</si>
  <si>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</si>
  <si>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</si>
  <si>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</si>
  <si>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</si>
  <si>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</si>
  <si>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</si>
  <si>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</si>
  <si>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</si>
  <si>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</si>
  <si>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</si>
  <si>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</si>
  <si>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</si>
  <si>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</si>
  <si>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</si>
  <si>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</si>
  <si>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</si>
  <si>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</si>
  <si>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</si>
  <si>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</si>
  <si>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</si>
  <si>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</si>
  <si>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</si>
  <si>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</si>
  <si>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</si>
  <si>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</si>
  <si>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</si>
  <si>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</si>
  <si>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</si>
  <si>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</si>
  <si>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</si>
  <si>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</si>
  <si>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</si>
  <si>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</si>
  <si>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</si>
  <si>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</si>
  <si>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</si>
  <si>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</si>
  <si>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</si>
  <si>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</si>
  <si>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</si>
  <si>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</si>
  <si>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</si>
  <si>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</si>
  <si>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</si>
  <si>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</si>
  <si>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</si>
  <si>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</si>
  <si>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</si>
  <si>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</si>
  <si>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</si>
  <si>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</si>
  <si>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</si>
  <si>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</si>
  <si>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</si>
  <si>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</si>
  <si>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</si>
  <si>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</si>
  <si>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</si>
  <si>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</si>
  <si>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</si>
  <si>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</si>
  <si>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</si>
  <si>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</si>
  <si>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</si>
  <si>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</si>
  <si>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</si>
  <si>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</si>
  <si>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</si>
  <si>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</si>
  <si>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</si>
  <si>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</si>
  <si>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</si>
  <si>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</si>
  <si>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</si>
  <si>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</si>
  <si>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</si>
  <si>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</si>
  <si>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</si>
  <si>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</si>
  <si>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</si>
  <si>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</si>
  <si>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</si>
  <si>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</si>
  <si>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</si>
  <si>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</si>
  <si>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</si>
  <si>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</si>
  <si>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</si>
  <si>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</si>
  <si>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</si>
  <si>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</si>
  <si>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</si>
  <si>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</si>
  <si>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</si>
  <si>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</si>
  <si>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</si>
  <si>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</si>
  <si>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</si>
  <si>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</si>
  <si>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</si>
  <si>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</si>
  <si>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</si>
  <si>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</si>
  <si>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</si>
  <si>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</si>
  <si>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</si>
  <si>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</si>
  <si>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</si>
  <si>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</si>
  <si>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</si>
  <si>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</si>
  <si>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</si>
  <si>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</si>
  <si>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</si>
  <si>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</si>
  <si>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</si>
  <si>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</si>
  <si>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</si>
  <si>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</si>
  <si>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</si>
  <si>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</si>
  <si>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</si>
  <si>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</si>
  <si>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</si>
  <si>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</si>
  <si>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</si>
  <si>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</si>
  <si>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</si>
  <si>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</si>
  <si>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</si>
  <si>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</si>
  <si>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</si>
  <si>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</si>
  <si>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</si>
  <si>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</si>
  <si>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</si>
  <si>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</si>
  <si>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</si>
  <si>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</si>
  <si>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</si>
  <si>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</si>
  <si>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</si>
  <si>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</si>
  <si>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</si>
  <si>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</si>
  <si>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</si>
  <si>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</si>
  <si>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</si>
  <si>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</si>
  <si>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</si>
  <si>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</si>
  <si>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</si>
  <si>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</si>
  <si>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</si>
  <si>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</si>
  <si>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</si>
  <si>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</si>
  <si>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</si>
  <si>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</si>
  <si>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</si>
  <si>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</si>
  <si>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</si>
  <si>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</si>
  <si>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</si>
  <si>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</si>
  <si>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</si>
  <si>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</si>
  <si>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</si>
  <si>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</si>
  <si>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</si>
  <si>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</si>
  <si>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</si>
  <si>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</si>
  <si>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</si>
  <si>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</si>
  <si>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</si>
  <si>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</si>
  <si>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</si>
  <si>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</si>
  <si>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</si>
  <si>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</si>
  <si>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</si>
  <si>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</si>
  <si>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</si>
  <si>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</si>
  <si>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</si>
  <si>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</si>
  <si>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</si>
  <si>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</si>
  <si>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</si>
  <si>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</si>
  <si>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</si>
  <si>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</si>
  <si>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</si>
  <si>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</si>
  <si>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</si>
  <si>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</si>
  <si>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</si>
  <si>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</si>
  <si>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</si>
  <si>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</si>
  <si>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</si>
  <si>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</si>
  <si>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</si>
  <si>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</si>
  <si>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</si>
  <si>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</si>
  <si>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</si>
  <si>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</si>
  <si>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</si>
  <si>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</si>
  <si>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</si>
  <si>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</si>
  <si>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</si>
  <si>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</si>
  <si>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</si>
  <si>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</si>
  <si>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</si>
  <si>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</si>
  <si>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</si>
  <si>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</si>
  <si>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</si>
  <si>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</si>
  <si>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</si>
  <si>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</si>
  <si>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</si>
  <si>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</si>
  <si>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</si>
  <si>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</si>
  <si>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</si>
  <si>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</si>
  <si>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</si>
  <si>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</si>
  <si>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</si>
  <si>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</si>
  <si>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</si>
  <si>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</si>
  <si>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</si>
  <si>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</si>
  <si>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</si>
  <si>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</si>
  <si>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</si>
  <si>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</si>
  <si>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</si>
  <si>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</si>
  <si>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</si>
  <si>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</si>
  <si>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</si>
  <si>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</si>
  <si>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</si>
  <si>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</si>
  <si>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</si>
  <si>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</si>
  <si>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</si>
  <si>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</si>
  <si>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</si>
  <si>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</si>
  <si>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</si>
  <si>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</si>
  <si>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</si>
  <si>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</si>
  <si>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</si>
  <si>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</si>
  <si>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</si>
  <si>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</si>
  <si>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</si>
  <si>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</si>
  <si>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</si>
  <si>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</si>
  <si>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</si>
  <si>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</si>
  <si>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</si>
  <si>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</si>
  <si>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</si>
  <si>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</si>
  <si>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</si>
  <si>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</si>
  <si>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</si>
  <si>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</si>
  <si>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</si>
  <si>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</si>
  <si>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</si>
  <si>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</si>
  <si>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</si>
  <si>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</si>
  <si>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</si>
  <si>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</si>
  <si>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</si>
  <si>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</si>
  <si>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</si>
  <si>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</si>
  <si>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</si>
  <si>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</si>
  <si>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</si>
  <si>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</si>
  <si>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</si>
  <si>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</si>
  <si>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</si>
  <si>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</si>
  <si>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</si>
  <si>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</si>
  <si>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</si>
  <si>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</si>
  <si>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</si>
  <si>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</si>
  <si>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</si>
  <si>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</si>
  <si>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</si>
  <si>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</si>
  <si>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</si>
  <si>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</si>
  <si>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</si>
  <si>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</si>
  <si>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</si>
  <si>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</si>
  <si>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</si>
  <si>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</si>
  <si>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</si>
  <si>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</si>
  <si>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</si>
  <si>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</si>
  <si>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</si>
  <si>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</si>
  <si>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</si>
  <si>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</si>
  <si>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</si>
  <si>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</si>
  <si>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</si>
  <si>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</si>
  <si>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</si>
  <si>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</si>
  <si>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</si>
  <si>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</si>
  <si>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</si>
  <si>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</si>
  <si>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</si>
  <si>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</si>
  <si>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</si>
  <si>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</si>
  <si>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</si>
  <si>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</si>
  <si>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</si>
  <si>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</si>
  <si>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</si>
  <si>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</si>
  <si>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</si>
  <si>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</si>
  <si>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</si>
  <si>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</si>
  <si>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</si>
  <si>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</si>
  <si>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</si>
  <si>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</si>
  <si>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</si>
  <si>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</si>
  <si>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</si>
  <si>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</si>
  <si>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</si>
  <si>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</si>
  <si>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</si>
  <si>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</si>
  <si>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</si>
  <si>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</si>
  <si>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</si>
  <si>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</si>
  <si>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</si>
  <si>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</si>
  <si>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</si>
  <si>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</si>
  <si>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</si>
  <si>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</si>
  <si>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</si>
  <si>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</si>
  <si>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</si>
  <si>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</si>
  <si>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</si>
  <si>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</si>
  <si>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</si>
  <si>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</si>
  <si>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</si>
  <si>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</si>
  <si>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</si>
  <si>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</si>
  <si>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</si>
  <si>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</si>
  <si>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</si>
  <si>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</si>
  <si>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</si>
  <si>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</si>
  <si>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</si>
  <si>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</si>
  <si>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</si>
  <si>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</si>
  <si>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</si>
  <si>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</si>
  <si>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</si>
  <si>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</si>
  <si>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</si>
  <si>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</si>
  <si>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</si>
  <si>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</si>
  <si>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</si>
  <si>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</si>
  <si>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</si>
  <si>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</si>
  <si>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</si>
  <si>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</si>
  <si>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</si>
  <si>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</si>
  <si>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</si>
  <si>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</si>
  <si>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</si>
  <si>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</si>
  <si>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</si>
  <si>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</si>
  <si>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</si>
  <si>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</si>
  <si>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</si>
  <si>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</si>
  <si>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</si>
  <si>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</si>
  <si>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</si>
  <si>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</si>
  <si>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</si>
  <si>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</si>
  <si>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</si>
  <si>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</si>
  <si>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</si>
  <si>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</si>
  <si>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</si>
  <si>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</si>
  <si>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</si>
  <si>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</si>
  <si>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</si>
  <si>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</si>
  <si>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</si>
  <si>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</si>
  <si>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</si>
  <si>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</si>
  <si>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</si>
  <si>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</si>
  <si>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</si>
  <si>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</si>
  <si>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</si>
  <si>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</si>
  <si>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</si>
  <si>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</si>
  <si>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</si>
  <si>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</si>
  <si>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</si>
  <si>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</si>
  <si>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</si>
  <si>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</si>
  <si>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</si>
  <si>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</si>
  <si>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</si>
  <si>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</si>
  <si>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</si>
  <si>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</si>
  <si>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</si>
  <si>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</si>
  <si>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</si>
  <si>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</si>
  <si>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</si>
  <si>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</si>
  <si>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</si>
  <si>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</si>
  <si>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</si>
  <si>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</si>
  <si>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</si>
  <si>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</si>
  <si>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</si>
  <si>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</si>
  <si>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</si>
  <si>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</si>
  <si>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</si>
  <si>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</si>
  <si>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</si>
  <si>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</si>
  <si>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</si>
  <si>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</si>
  <si>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</si>
  <si>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</si>
  <si>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</si>
  <si>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</si>
  <si>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</si>
  <si>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</si>
  <si>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</si>
  <si>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</si>
  <si>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</si>
  <si>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</si>
  <si>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</si>
  <si>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</si>
  <si>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</si>
  <si>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</si>
  <si>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</si>
  <si>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</si>
  <si>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</si>
  <si>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</si>
  <si>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</si>
  <si>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</si>
  <si>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</si>
  <si>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</si>
  <si>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</si>
  <si>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</si>
  <si>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</si>
  <si>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</si>
  <si>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</si>
  <si>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</si>
  <si>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</si>
  <si>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</si>
  <si>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</si>
  <si>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</si>
  <si>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</si>
  <si>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</si>
  <si>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</si>
  <si>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</si>
  <si>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</si>
  <si>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</si>
  <si>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</si>
  <si>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</si>
  <si>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</si>
  <si>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</si>
  <si>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</si>
  <si>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</si>
  <si>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</si>
  <si>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</si>
  <si>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</si>
  <si>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</si>
  <si>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</si>
  <si>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</si>
  <si>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</si>
  <si>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</si>
  <si>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</si>
  <si>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</si>
  <si>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</si>
  <si>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</si>
  <si>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</si>
  <si>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</si>
  <si>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</si>
  <si>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</si>
  <si>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</si>
  <si>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</si>
  <si>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</si>
  <si>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</si>
  <si>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</si>
  <si>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</si>
  <si>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</si>
  <si>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</si>
  <si>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</si>
  <si>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</si>
  <si>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</si>
  <si>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</si>
  <si>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</si>
  <si>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</si>
  <si>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</si>
  <si>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</si>
  <si>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</si>
  <si>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</si>
  <si>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</si>
  <si>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</si>
  <si>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</si>
  <si>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</si>
  <si>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</si>
  <si>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</si>
  <si>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</si>
  <si>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</si>
  <si>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</si>
  <si>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</si>
  <si>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</si>
  <si>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</si>
  <si>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</si>
  <si>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</si>
  <si>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</si>
  <si>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</si>
  <si>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</si>
  <si>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</si>
  <si>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</si>
  <si>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</si>
  <si>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</si>
  <si>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</si>
  <si>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</si>
  <si>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</si>
  <si>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</si>
  <si>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</si>
  <si>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</si>
  <si>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</si>
  <si>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</si>
  <si>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</si>
  <si>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</si>
  <si>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</si>
  <si>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</si>
  <si>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</si>
  <si>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</si>
  <si>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</si>
  <si>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</si>
  <si>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</si>
  <si>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</si>
  <si>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</si>
  <si>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</si>
  <si>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</si>
  <si>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</si>
  <si>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</si>
  <si>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</si>
  <si>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</si>
  <si>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</si>
  <si>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</si>
  <si>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</si>
  <si>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</si>
  <si>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</si>
  <si>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</si>
  <si>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</si>
  <si>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</si>
  <si>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</si>
  <si>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</si>
  <si>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</si>
  <si>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</si>
  <si>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</si>
  <si>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</si>
  <si>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</si>
  <si>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</si>
  <si>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</si>
  <si>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</si>
  <si>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</si>
  <si>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</si>
  <si>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</si>
  <si>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</si>
  <si>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</si>
  <si>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</si>
  <si>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</si>
  <si>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</si>
  <si>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</si>
  <si>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</si>
  <si>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</si>
  <si>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</si>
  <si>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</si>
  <si>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</si>
  <si>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</si>
  <si>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</si>
  <si>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</si>
  <si>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</si>
  <si>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</si>
  <si>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</si>
  <si>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</si>
  <si>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</si>
  <si>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</si>
  <si>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</si>
  <si>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</si>
  <si>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</si>
  <si>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</si>
  <si>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</si>
  <si>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</si>
  <si>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</si>
  <si>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</si>
  <si>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</si>
  <si>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</si>
  <si>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</si>
  <si>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</si>
  <si>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</si>
  <si>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</si>
  <si>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</si>
  <si>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</si>
  <si>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</si>
  <si>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</si>
  <si>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</si>
  <si>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</si>
  <si>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</si>
  <si>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</si>
  <si>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</si>
  <si>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</si>
  <si>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</si>
  <si>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</si>
  <si>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</si>
  <si>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</si>
  <si>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</si>
  <si>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</si>
  <si>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</si>
  <si>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</si>
  <si>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</si>
  <si>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</si>
  <si>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</si>
  <si>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</si>
  <si>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</si>
  <si>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</si>
  <si>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</si>
  <si>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</si>
  <si>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</si>
  <si>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</si>
  <si>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</si>
  <si>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</si>
  <si>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</si>
  <si>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</si>
  <si>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</si>
  <si>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</si>
  <si>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</si>
  <si>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</si>
  <si>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</si>
  <si>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</si>
  <si>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</si>
  <si>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</si>
  <si>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</si>
  <si>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</si>
  <si>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</si>
  <si>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</si>
  <si>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</si>
  <si>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</si>
  <si>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</si>
  <si>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</si>
  <si>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</si>
  <si>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</si>
  <si>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</si>
  <si>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</si>
  <si>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</si>
  <si>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</si>
  <si>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</si>
  <si>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</si>
  <si>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</si>
  <si>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</si>
  <si>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</si>
  <si>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</si>
  <si>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</si>
  <si>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</si>
  <si>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</si>
  <si>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</si>
  <si>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</si>
  <si>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</si>
  <si>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</si>
  <si>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</si>
  <si>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</si>
  <si>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</si>
  <si>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</si>
  <si>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</si>
  <si>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</si>
  <si>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</si>
  <si>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</si>
  <si>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</si>
  <si>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</si>
  <si>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</si>
  <si>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</si>
  <si>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</si>
  <si>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</si>
  <si>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</si>
  <si>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</si>
  <si>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</si>
  <si>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</si>
  <si>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</si>
  <si>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</si>
  <si>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</si>
  <si>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</si>
  <si>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</si>
  <si>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</si>
  <si>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</si>
  <si>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</si>
  <si>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</si>
  <si>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</si>
  <si>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</si>
  <si>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</si>
  <si>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</si>
  <si>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</si>
  <si>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</si>
  <si>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</si>
  <si>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</si>
  <si>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</si>
  <si>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</si>
  <si>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</si>
  <si>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</si>
  <si>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</si>
  <si>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</si>
  <si>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</si>
  <si>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</si>
  <si>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</si>
  <si>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</si>
  <si>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</si>
  <si>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</si>
  <si>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</si>
  <si>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</si>
  <si>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</si>
  <si>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</si>
  <si>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</si>
  <si>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</si>
  <si>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</si>
  <si>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</si>
  <si>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</si>
  <si>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</si>
  <si>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</si>
  <si>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</si>
  <si>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</si>
  <si>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</si>
  <si>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</si>
  <si>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</si>
  <si>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</si>
  <si>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</si>
  <si>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</si>
  <si>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</si>
  <si>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</si>
  <si>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</si>
  <si>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</si>
  <si>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</si>
  <si>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</si>
  <si>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</si>
  <si>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</si>
  <si>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</si>
  <si>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</si>
  <si>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</si>
  <si>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</si>
  <si>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</si>
  <si>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</si>
  <si>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</si>
  <si>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</si>
  <si>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</si>
  <si>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</si>
  <si>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</si>
  <si>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</si>
  <si>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</si>
  <si>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</si>
  <si>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</si>
  <si>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</si>
  <si>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</si>
  <si>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</si>
  <si>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</si>
  <si>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</si>
  <si>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</si>
  <si>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</si>
  <si>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</si>
  <si>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</si>
  <si>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</si>
  <si>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</si>
  <si>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</si>
  <si>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</si>
  <si>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</si>
  <si>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</si>
  <si>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</si>
  <si>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</si>
  <si>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</si>
  <si>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</si>
  <si>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</si>
  <si>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</si>
  <si>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</si>
  <si>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</si>
  <si>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</si>
  <si>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</si>
  <si>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</si>
  <si>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</si>
  <si>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</si>
  <si>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</si>
  <si>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</si>
  <si>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</si>
  <si>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</si>
  <si>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</si>
  <si>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</si>
  <si>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</si>
  <si>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</si>
  <si>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</si>
  <si>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</si>
  <si>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</si>
  <si>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</si>
  <si>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</si>
  <si>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</si>
  <si>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</si>
  <si>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</si>
  <si>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</si>
  <si>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</si>
  <si>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</si>
  <si>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</si>
  <si>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</si>
  <si>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</si>
  <si>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</si>
  <si>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</si>
  <si>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</si>
  <si>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</si>
  <si>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</si>
  <si>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</si>
  <si>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</si>
  <si>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</si>
  <si>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</si>
  <si>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</si>
  <si>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</si>
  <si>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</si>
  <si>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</si>
  <si>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</si>
  <si>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</si>
  <si>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</si>
  <si>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</si>
  <si>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</si>
  <si>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</si>
  <si>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</si>
  <si>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</si>
  <si>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</si>
  <si>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</si>
  <si>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</si>
  <si>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</si>
  <si>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</si>
  <si>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</si>
  <si>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</si>
  <si>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</si>
  <si>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</si>
  <si>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</si>
  <si>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</si>
  <si>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</si>
  <si>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</si>
  <si>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</si>
  <si>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</si>
  <si>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</si>
  <si>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</si>
  <si>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</si>
  <si>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</si>
  <si>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</si>
  <si>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</si>
  <si>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</si>
  <si>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</si>
  <si>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</si>
  <si>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</si>
  <si>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</si>
  <si>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</si>
  <si>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</si>
  <si>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</si>
  <si>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</si>
  <si>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</si>
  <si>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</si>
  <si>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</si>
  <si>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</si>
  <si>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</si>
  <si>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</si>
  <si>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</si>
  <si>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</si>
  <si>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</si>
  <si>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</si>
  <si>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</si>
  <si>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</si>
  <si>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</si>
  <si>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</si>
  <si>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</si>
  <si>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</si>
  <si>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</si>
  <si>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</si>
  <si>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</si>
  <si>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</si>
  <si>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</si>
  <si>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</si>
  <si>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</si>
  <si>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</si>
  <si>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</si>
  <si>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</si>
  <si>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</si>
  <si>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</si>
  <si>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</si>
  <si>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</si>
  <si>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</si>
  <si>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</si>
  <si>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</si>
  <si>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</si>
  <si>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</si>
  <si>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</si>
  <si>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</si>
  <si>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</si>
  <si>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</si>
  <si>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</si>
  <si>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</si>
  <si>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</si>
  <si>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</si>
  <si>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</si>
  <si>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</si>
  <si>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</si>
  <si>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</si>
  <si>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</si>
  <si>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</si>
  <si>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</si>
  <si>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</si>
  <si>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</si>
  <si>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</si>
  <si>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</si>
  <si>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</si>
  <si>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</si>
  <si>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</si>
  <si>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</si>
  <si>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</si>
  <si>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</si>
  <si>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</si>
  <si>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</si>
  <si>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</si>
  <si>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</si>
  <si>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</si>
  <si>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</si>
  <si>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</si>
  <si>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</si>
  <si>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</si>
  <si>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</si>
  <si>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</si>
  <si>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</si>
  <si>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</si>
  <si>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</si>
  <si>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</si>
  <si>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</si>
  <si>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</si>
  <si>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</si>
  <si>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</si>
  <si>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</si>
  <si>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</si>
  <si>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</si>
  <si>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</si>
  <si>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</si>
  <si>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</si>
  <si>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</si>
  <si>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</si>
  <si>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</si>
  <si>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</si>
  <si>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</si>
  <si>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</si>
  <si>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</si>
  <si>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</si>
  <si>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</si>
  <si>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</si>
  <si>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</si>
  <si>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</si>
  <si>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</si>
  <si>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</si>
  <si>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</si>
  <si>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</si>
  <si>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</si>
  <si>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</si>
  <si>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</si>
  <si>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</si>
  <si>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</si>
  <si>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</si>
  <si>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</si>
  <si>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</si>
  <si>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</si>
  <si>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</si>
  <si>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</si>
  <si>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</si>
  <si>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</si>
  <si>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</si>
  <si>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</si>
  <si>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</si>
  <si>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</si>
  <si>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</si>
  <si>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</si>
  <si>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</si>
  <si>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</si>
  <si>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</si>
  <si>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</si>
  <si>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</si>
  <si>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</si>
  <si>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</si>
  <si>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</si>
  <si>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</si>
  <si>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</si>
  <si>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</si>
  <si>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</si>
  <si>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</si>
  <si>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</si>
  <si>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</si>
  <si>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</si>
  <si>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</si>
  <si>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</si>
  <si>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</si>
  <si>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</si>
  <si>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</si>
  <si>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</si>
  <si>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</si>
  <si>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</si>
  <si>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</si>
  <si>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</si>
  <si>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</si>
  <si>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</si>
  <si>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</si>
  <si>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</si>
  <si>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</si>
  <si>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</si>
  <si>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</si>
  <si>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</si>
  <si>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</si>
  <si>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</si>
  <si>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</si>
  <si>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</si>
  <si>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</si>
  <si>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</si>
  <si>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</si>
  <si>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</si>
  <si>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</si>
  <si>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</si>
  <si>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</si>
  <si>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</si>
  <si>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</si>
  <si>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</si>
  <si>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</si>
  <si>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</si>
  <si>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</si>
  <si>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</si>
  <si>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</si>
  <si>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</si>
  <si>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</si>
  <si>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</si>
  <si>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</si>
  <si>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</si>
  <si>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</si>
  <si>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</si>
  <si>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</si>
  <si>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</si>
  <si>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</si>
  <si>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</si>
  <si>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</si>
  <si>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</si>
  <si>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</si>
  <si>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</si>
  <si>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</si>
  <si>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</si>
  <si>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</si>
  <si>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</si>
  <si>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</si>
  <si>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</si>
  <si>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</si>
  <si>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</si>
  <si>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</si>
  <si>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</si>
  <si>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</si>
  <si>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</si>
  <si>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</si>
  <si>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</si>
  <si>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</si>
  <si>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</si>
  <si>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</si>
  <si>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</si>
  <si>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</si>
  <si>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</si>
  <si>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</si>
  <si>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</si>
  <si>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</si>
  <si>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</si>
  <si>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</si>
  <si>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</si>
  <si>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</si>
  <si>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</si>
  <si>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</si>
  <si>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</si>
  <si>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</si>
  <si>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</si>
  <si>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</si>
  <si>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</si>
  <si>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</si>
  <si>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</si>
  <si>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</si>
  <si>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</si>
  <si>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</si>
  <si>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</si>
  <si>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</si>
  <si>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</si>
  <si>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</si>
  <si>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</si>
  <si>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</si>
  <si>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</si>
  <si>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</si>
  <si>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</si>
  <si>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</si>
  <si>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</si>
  <si>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</si>
  <si>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</si>
  <si>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</si>
  <si>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</si>
  <si>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</si>
  <si>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</si>
  <si>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</si>
  <si>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</si>
  <si>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</si>
  <si>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</si>
  <si>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</si>
  <si>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</si>
  <si>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</si>
  <si>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</si>
  <si>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</si>
  <si>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</si>
  <si>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</si>
  <si>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</si>
  <si>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</si>
  <si>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</si>
  <si>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</si>
  <si>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</si>
  <si>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</si>
  <si>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</si>
  <si>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</si>
  <si>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</si>
  <si>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</si>
  <si>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</si>
  <si>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</si>
  <si>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</si>
  <si>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</si>
  <si>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</si>
  <si>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</si>
  <si>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</si>
  <si>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</si>
  <si>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</si>
  <si>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</si>
  <si>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</si>
  <si>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</si>
  <si>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</si>
  <si>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</si>
  <si>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</si>
  <si>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</si>
  <si>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</si>
  <si>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</si>
  <si>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</si>
  <si>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</si>
  <si>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</si>
  <si>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</si>
  <si>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</si>
  <si>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</si>
  <si>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</si>
  <si>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</si>
  <si>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</si>
  <si>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</si>
  <si>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</si>
  <si>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</si>
  <si>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</si>
  <si>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</si>
  <si>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</si>
  <si>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</si>
  <si>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</si>
  <si>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</si>
  <si>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</si>
  <si>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</si>
  <si>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</si>
  <si>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</si>
  <si>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</si>
  <si>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</si>
  <si>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</si>
  <si>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</si>
  <si>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</si>
  <si>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</si>
  <si>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</si>
  <si>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</si>
  <si>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</si>
  <si>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</si>
  <si>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</si>
  <si>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</si>
  <si>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</si>
  <si>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</si>
  <si>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</si>
  <si>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</si>
  <si>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</si>
  <si>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</si>
  <si>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</si>
  <si>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</si>
  <si>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</si>
  <si>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</si>
  <si>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</si>
  <si>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</si>
  <si>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</si>
  <si>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</si>
  <si>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</si>
  <si>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</si>
  <si>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</si>
  <si>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</si>
  <si>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</si>
  <si>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</si>
  <si>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</si>
  <si>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</si>
  <si>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</si>
  <si>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</si>
  <si>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</si>
  <si>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</si>
  <si>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</si>
  <si>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</si>
  <si>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</si>
  <si>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</si>
  <si>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</si>
  <si>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</si>
  <si>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</si>
  <si>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</si>
  <si>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</si>
  <si>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</si>
  <si>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</si>
  <si>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</si>
  <si>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</si>
  <si>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</si>
  <si>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</si>
  <si>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</si>
  <si>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</si>
  <si>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</si>
  <si>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</si>
  <si>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</si>
  <si>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</si>
  <si>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</si>
  <si>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</si>
  <si>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</si>
  <si>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</si>
  <si>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</si>
  <si>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</si>
  <si>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</si>
  <si>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</si>
  <si>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</si>
  <si>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</si>
  <si>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</si>
  <si>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</si>
  <si>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</si>
  <si>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</si>
  <si>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</si>
  <si>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</si>
  <si>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</si>
  <si>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</si>
  <si>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</si>
  <si>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</si>
  <si>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</si>
  <si>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</si>
  <si>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</si>
  <si>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</si>
  <si>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</si>
  <si>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</si>
  <si>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</si>
  <si>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</si>
  <si>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</si>
  <si>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</si>
  <si>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</si>
  <si>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</si>
  <si>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</si>
  <si>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</si>
  <si>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</si>
  <si>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</si>
  <si>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</si>
  <si>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</si>
  <si>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</si>
  <si>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</si>
  <si>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</si>
  <si>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</si>
  <si>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</si>
  <si>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</si>
  <si>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</si>
  <si>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</si>
  <si>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</si>
  <si>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</si>
  <si>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</si>
  <si>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</si>
  <si>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</si>
  <si>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</si>
  <si>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</si>
  <si>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</si>
  <si>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</si>
  <si>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</si>
  <si>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</si>
  <si>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</si>
  <si>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</si>
  <si>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</si>
  <si>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</si>
  <si>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</si>
  <si>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</si>
  <si>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</si>
  <si>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</si>
  <si>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</si>
  <si>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</si>
  <si>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</si>
  <si>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</si>
  <si>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</si>
  <si>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</si>
  <si>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</si>
  <si>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</si>
  <si>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</si>
  <si>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</si>
  <si>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</si>
  <si>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</si>
  <si>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</si>
  <si>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</si>
  <si>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</si>
  <si>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</si>
  <si>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</si>
  <si>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</si>
  <si>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</si>
  <si>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</si>
  <si>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</si>
  <si>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</si>
  <si>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</si>
  <si>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</si>
  <si>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</si>
  <si>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</si>
  <si>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</si>
  <si>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</si>
  <si>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</si>
  <si>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</si>
  <si>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</si>
  <si>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</si>
  <si>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</si>
  <si>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</si>
  <si>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</si>
  <si>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</si>
  <si>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</si>
  <si>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</si>
  <si>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</si>
  <si>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</si>
  <si>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</si>
  <si>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</si>
  <si>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</si>
  <si>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</si>
  <si>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</si>
  <si>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</si>
  <si>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</si>
  <si>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</si>
  <si>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</si>
  <si>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</si>
  <si>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</si>
  <si>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</si>
  <si>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</si>
  <si>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</si>
  <si>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</si>
  <si>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</si>
  <si>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</si>
  <si>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</si>
  <si>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</si>
  <si>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</si>
  <si>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</si>
  <si>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</si>
  <si>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</si>
  <si>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</si>
  <si>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</si>
  <si>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</si>
  <si>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</si>
  <si>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</si>
  <si>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</si>
  <si>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</si>
  <si>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</si>
  <si>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</si>
  <si>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</si>
  <si>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</si>
  <si>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</si>
  <si>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</si>
  <si>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</si>
  <si>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</si>
  <si>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</si>
  <si>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</si>
  <si>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</si>
  <si>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</si>
  <si>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</si>
  <si>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</si>
  <si>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</si>
  <si>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</si>
  <si>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</si>
  <si>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</si>
  <si>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</si>
  <si>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</si>
  <si>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</si>
  <si>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</si>
  <si>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</si>
  <si>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</si>
  <si>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</si>
  <si>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</si>
  <si>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</si>
  <si>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</si>
  <si>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</si>
  <si>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</si>
  <si>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</si>
  <si>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</si>
  <si>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</si>
  <si>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</si>
  <si>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</si>
  <si>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</si>
  <si>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</si>
  <si>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</si>
  <si>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</si>
  <si>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</si>
  <si>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</si>
  <si>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</si>
  <si>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</si>
  <si>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</si>
  <si>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</si>
  <si>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</si>
  <si>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</si>
  <si>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</si>
  <si>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</si>
  <si>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</si>
  <si>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</si>
  <si>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</si>
  <si>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</si>
  <si>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</si>
  <si>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</si>
  <si>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</si>
  <si>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</si>
  <si>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</si>
  <si>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</si>
  <si>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</si>
  <si>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</si>
  <si>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</si>
  <si>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</si>
  <si>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</si>
  <si>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</si>
  <si>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</si>
  <si>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</si>
  <si>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</si>
  <si>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</si>
  <si>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</si>
  <si>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</si>
  <si>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</si>
  <si>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</si>
  <si>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</si>
  <si>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</si>
  <si>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</si>
  <si>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</si>
  <si>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</si>
  <si>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</si>
  <si>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</si>
  <si>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</si>
  <si>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</si>
  <si>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</si>
  <si>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</si>
  <si>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</si>
  <si>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</si>
  <si>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</si>
  <si>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</si>
  <si>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</si>
  <si>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</si>
  <si>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</si>
  <si>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</si>
  <si>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</si>
  <si>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</si>
  <si>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</si>
  <si>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</si>
  <si>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</si>
  <si>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</si>
  <si>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</si>
  <si>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</si>
  <si>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</si>
  <si>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</si>
  <si>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</si>
  <si>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</si>
  <si>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</si>
  <si>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</si>
  <si>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</si>
  <si>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</si>
  <si>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</si>
  <si>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</si>
  <si>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</si>
  <si>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</si>
  <si>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</si>
  <si>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</si>
  <si>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</si>
  <si>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</si>
  <si>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</si>
  <si>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</si>
  <si>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</si>
  <si>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</si>
  <si>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</si>
  <si>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</si>
  <si>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</si>
  <si>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</si>
  <si>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</si>
  <si>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</si>
  <si>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</si>
  <si>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</si>
  <si>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</si>
  <si>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</si>
  <si>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</si>
  <si>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</si>
  <si>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</si>
  <si>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</si>
  <si>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</si>
  <si>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</si>
  <si>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</si>
  <si>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</si>
  <si>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</si>
  <si>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</si>
  <si>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</si>
  <si>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</si>
  <si>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</si>
  <si>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</si>
  <si>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</si>
  <si>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</si>
  <si>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</si>
  <si>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</si>
  <si>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</si>
  <si>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</si>
  <si>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</si>
  <si>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</si>
  <si>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</si>
  <si>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</si>
  <si>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</si>
  <si>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</si>
  <si>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</si>
  <si>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</si>
  <si>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</si>
  <si>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</si>
  <si>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</si>
  <si>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</si>
  <si>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</si>
  <si>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</si>
  <si>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</si>
  <si>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</si>
  <si>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</si>
  <si>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</si>
  <si>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</si>
  <si>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</si>
  <si>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</si>
  <si>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</si>
  <si>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</si>
  <si>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</si>
  <si>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</si>
  <si>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</si>
  <si>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</si>
  <si>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</si>
  <si>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</si>
  <si>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</si>
  <si>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</si>
  <si>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</si>
  <si>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</si>
  <si>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</si>
  <si>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</si>
  <si>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</si>
  <si>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</si>
  <si>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</si>
  <si>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</si>
  <si>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</si>
  <si>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</si>
  <si>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</si>
  <si>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</si>
  <si>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</si>
  <si>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</si>
  <si>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</si>
  <si>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</si>
  <si>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</si>
  <si>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</si>
  <si>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</si>
  <si>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</si>
  <si>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</si>
  <si>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</si>
  <si>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</si>
  <si>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</si>
  <si>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</si>
  <si>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</si>
  <si>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</si>
  <si>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</si>
  <si>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</si>
  <si>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</si>
  <si>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</si>
  <si>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</si>
  <si>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</si>
  <si>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</si>
  <si>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</si>
  <si>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</si>
  <si>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</si>
  <si>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</si>
  <si>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</si>
  <si>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</si>
  <si>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</si>
  <si>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</si>
  <si>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</si>
  <si>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</si>
  <si>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</si>
  <si>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</si>
  <si>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</si>
  <si>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</si>
  <si>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</si>
  <si>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</si>
  <si>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</si>
  <si>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</si>
  <si>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</si>
  <si>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</si>
  <si>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</si>
  <si>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</si>
  <si>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</si>
  <si>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</si>
  <si>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</si>
  <si>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</si>
  <si>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</si>
  <si>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</si>
  <si>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</si>
  <si>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</si>
  <si>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</si>
  <si>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</si>
  <si>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</si>
  <si>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</si>
  <si>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</si>
  <si>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</si>
  <si>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</si>
  <si>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</si>
  <si>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</si>
  <si>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</si>
  <si>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</si>
  <si>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</si>
  <si>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</si>
  <si>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</si>
  <si>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</si>
  <si>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</si>
  <si>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</si>
  <si>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</si>
  <si>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</si>
  <si>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</si>
  <si>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</si>
  <si>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</si>
  <si>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</si>
  <si>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</si>
  <si>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</si>
  <si>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</si>
  <si>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</si>
  <si>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</si>
  <si>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</si>
  <si>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</si>
  <si>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</si>
  <si>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</si>
  <si>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</si>
  <si>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</si>
  <si>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</si>
  <si>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</si>
  <si>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</si>
  <si>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</si>
  <si>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</si>
  <si>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</si>
  <si>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</si>
  <si>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</si>
  <si>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</si>
  <si>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</si>
  <si>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</si>
  <si>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</si>
  <si>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</si>
  <si>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</si>
  <si>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</si>
  <si>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</si>
  <si>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</si>
  <si>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</si>
  <si>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</si>
  <si>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</si>
  <si>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</si>
  <si>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</si>
  <si>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</si>
  <si>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</si>
  <si>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</si>
  <si>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</si>
  <si>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</si>
  <si>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</si>
  <si>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</si>
  <si>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</si>
  <si>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</si>
  <si>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</si>
  <si>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</si>
  <si>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</si>
  <si>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</si>
  <si>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</si>
  <si>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</si>
  <si>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</si>
  <si>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</si>
  <si>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</si>
  <si>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</si>
  <si>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</si>
  <si>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</si>
  <si>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</si>
  <si>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</si>
  <si>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</si>
  <si>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</si>
  <si>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</si>
  <si>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</si>
  <si>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</si>
  <si>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</si>
  <si>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</si>
  <si>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</si>
  <si>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</si>
  <si>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</si>
  <si>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</si>
  <si>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</si>
  <si>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</si>
  <si>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</si>
  <si>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</si>
  <si>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</si>
  <si>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</si>
  <si>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</si>
  <si>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</si>
  <si>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</si>
  <si>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</si>
  <si>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</si>
  <si>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</si>
  <si>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</si>
  <si>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</si>
  <si>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</si>
  <si>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</si>
  <si>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</si>
  <si>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</si>
  <si>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</si>
  <si>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</si>
  <si>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</si>
  <si>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</si>
  <si>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</si>
  <si>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</si>
  <si>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</si>
  <si>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</si>
  <si>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</si>
  <si>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</si>
  <si>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</si>
  <si>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</si>
  <si>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</si>
  <si>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</si>
  <si>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</si>
  <si>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</si>
  <si>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</si>
  <si>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</si>
  <si>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</si>
  <si>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</si>
  <si>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</si>
  <si>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</si>
  <si>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</si>
  <si>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</si>
  <si>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</si>
  <si>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</si>
  <si>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</si>
  <si>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</si>
  <si>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</si>
  <si>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</si>
  <si>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</si>
  <si>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</si>
  <si>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</si>
  <si>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</si>
  <si>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</si>
  <si>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</si>
  <si>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</si>
  <si>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</si>
  <si>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</si>
  <si>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</si>
  <si>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</si>
  <si>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</si>
  <si>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</si>
  <si>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</si>
  <si>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</si>
  <si>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</si>
  <si>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</si>
  <si>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</si>
  <si>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</si>
  <si>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</si>
  <si>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</si>
  <si>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</si>
  <si>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</si>
  <si>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</si>
  <si>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</si>
  <si>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</si>
  <si>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</si>
  <si>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</si>
  <si>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</si>
  <si>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</si>
  <si>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</si>
  <si>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</si>
  <si>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</si>
  <si>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</si>
  <si>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</si>
  <si>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</si>
  <si>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</si>
  <si>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</si>
  <si>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</si>
  <si>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</si>
  <si>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</si>
  <si>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</si>
  <si>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</si>
  <si>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</si>
  <si>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</si>
  <si>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</si>
  <si>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</si>
  <si>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</si>
  <si>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</si>
  <si>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</si>
  <si>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</si>
  <si>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</si>
  <si>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</si>
  <si>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</si>
  <si>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</si>
  <si>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</si>
  <si>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</si>
  <si>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</si>
  <si>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</si>
  <si>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</si>
  <si>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</si>
  <si>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</si>
  <si>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</si>
  <si>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</si>
  <si>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</si>
  <si>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</si>
  <si>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</si>
  <si>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</si>
  <si>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</si>
  <si>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</si>
  <si>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</si>
  <si>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</si>
  <si>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</si>
  <si>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</si>
  <si>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</si>
  <si>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</si>
  <si>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</si>
  <si>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</si>
  <si>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</si>
  <si>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</si>
  <si>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</si>
  <si>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</si>
  <si>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</si>
  <si>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</si>
  <si>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</si>
  <si>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</si>
  <si>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</si>
  <si>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</si>
  <si>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</si>
  <si>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</si>
  <si>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</si>
  <si>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</si>
  <si>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</si>
  <si>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</si>
  <si>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</si>
  <si>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</si>
  <si>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</si>
  <si>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</si>
  <si>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</si>
  <si>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</si>
  <si>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</si>
  <si>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</si>
  <si>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</si>
  <si>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</si>
  <si>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</si>
  <si>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</si>
  <si>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</si>
  <si>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</si>
  <si>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</si>
  <si>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</si>
  <si>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</si>
  <si>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</si>
  <si>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</si>
  <si>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</si>
  <si>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</si>
  <si>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</si>
  <si>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</si>
  <si>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</si>
  <si>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</si>
  <si>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</si>
  <si>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</si>
  <si>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</si>
  <si>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</si>
  <si>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</si>
  <si>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</si>
  <si>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</si>
  <si>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</si>
  <si>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</si>
  <si>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</si>
  <si>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</si>
  <si>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</si>
  <si>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</si>
  <si>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</si>
  <si>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</si>
  <si>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</si>
  <si>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</si>
  <si>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</si>
  <si>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</si>
  <si>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</si>
  <si>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</si>
  <si>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</si>
  <si>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</si>
  <si>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</si>
  <si>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</si>
  <si>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</si>
  <si>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</si>
  <si>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</si>
  <si>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</si>
  <si>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</si>
  <si>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</si>
  <si>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</si>
  <si>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</si>
  <si>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</si>
  <si>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</si>
  <si>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</si>
  <si>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</si>
  <si>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</si>
  <si>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</si>
  <si>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</si>
  <si>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</si>
  <si>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</si>
  <si>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</si>
  <si>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</si>
  <si>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</si>
  <si>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</si>
  <si>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</si>
  <si>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</si>
  <si>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</si>
  <si>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</si>
  <si>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</si>
  <si>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</si>
  <si>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</si>
  <si>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</si>
  <si>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</si>
  <si>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</si>
  <si>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</si>
  <si>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</si>
  <si>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</si>
  <si>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</si>
  <si>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</si>
  <si>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</si>
  <si>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</si>
  <si>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</si>
  <si>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</si>
  <si>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</si>
  <si>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</si>
  <si>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</si>
  <si>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</si>
  <si>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</si>
  <si>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</si>
  <si>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</si>
  <si>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</si>
  <si>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</si>
  <si>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</si>
  <si>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</si>
  <si>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</si>
  <si>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</si>
  <si>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</si>
  <si>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</si>
  <si>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</si>
  <si>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</si>
  <si>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</si>
  <si>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</si>
  <si>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</si>
  <si>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</si>
  <si>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</si>
  <si>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</si>
  <si>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</si>
  <si>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</si>
  <si>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</si>
  <si>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</si>
  <si>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</si>
  <si>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</si>
  <si>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</si>
  <si>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</si>
  <si>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</si>
  <si>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</si>
  <si>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</si>
  <si>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</si>
  <si>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</si>
  <si>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</si>
  <si>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</si>
  <si>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</si>
  <si>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</si>
  <si>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</si>
  <si>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</si>
  <si>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</si>
  <si>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</si>
  <si>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</si>
  <si>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</si>
  <si>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</si>
  <si>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</si>
  <si>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</si>
  <si>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</si>
  <si>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</si>
  <si>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</si>
  <si>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</si>
  <si>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</si>
  <si>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</si>
  <si>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</si>
  <si>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</si>
  <si>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</si>
  <si>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</si>
  <si>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</si>
  <si>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</si>
  <si>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</si>
  <si>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</si>
  <si>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</si>
  <si>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</si>
  <si>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</si>
  <si>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</si>
  <si>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</si>
  <si>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</si>
  <si>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</si>
  <si>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</si>
  <si>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</si>
  <si>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</si>
  <si>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</si>
  <si>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</si>
  <si>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</si>
  <si>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</si>
  <si>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</si>
  <si>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</si>
  <si>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</si>
  <si>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</si>
  <si>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</si>
  <si>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</si>
  <si>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</si>
  <si>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</si>
  <si>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</si>
  <si>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</si>
  <si>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</si>
  <si>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</si>
  <si>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</si>
  <si>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</si>
  <si>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</si>
  <si>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</si>
  <si>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</si>
  <si>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</si>
  <si>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</si>
  <si>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</si>
  <si>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</si>
  <si>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</si>
  <si>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</si>
  <si>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</si>
  <si>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</si>
  <si>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</si>
  <si>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</si>
  <si>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</si>
  <si>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</si>
  <si>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</si>
  <si>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</si>
  <si>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</si>
  <si>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</si>
  <si>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</si>
  <si>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</si>
  <si>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</si>
  <si>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</si>
  <si>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</si>
  <si>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</si>
  <si>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</si>
  <si>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</si>
  <si>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</si>
  <si>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</si>
  <si>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</si>
  <si>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</si>
  <si>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</si>
  <si>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</si>
  <si>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</si>
  <si>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</si>
  <si>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</si>
  <si>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</si>
  <si>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</si>
  <si>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</si>
  <si>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</si>
  <si>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</si>
  <si>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</si>
  <si>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</si>
  <si>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</si>
  <si>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</si>
  <si>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</si>
  <si>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</si>
  <si>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</si>
  <si>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</si>
  <si>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</si>
  <si>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</si>
  <si>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</si>
  <si>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</si>
  <si>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</si>
  <si>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</si>
  <si>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</si>
  <si>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</si>
  <si>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</si>
  <si>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</si>
  <si>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</si>
  <si>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</si>
  <si>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</si>
  <si>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</si>
  <si>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</si>
  <si>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</si>
  <si>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</si>
  <si>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</si>
  <si>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</si>
  <si>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</si>
  <si>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</si>
  <si>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</si>
  <si>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</si>
  <si>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</si>
  <si>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</si>
  <si>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</si>
  <si>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</si>
  <si>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</si>
  <si>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</si>
  <si>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</si>
  <si>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</si>
  <si>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</si>
  <si>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</si>
  <si>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</si>
  <si>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</si>
  <si>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</si>
  <si>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</si>
  <si>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</si>
  <si>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</si>
  <si>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</si>
  <si>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</si>
  <si>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</si>
  <si>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</si>
  <si>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</si>
  <si>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</si>
  <si>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</si>
  <si>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</si>
  <si>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</si>
  <si>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</si>
  <si>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</si>
  <si>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</si>
  <si>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</si>
  <si>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</si>
  <si>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</si>
  <si>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</si>
  <si>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</si>
  <si>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</si>
  <si>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</si>
  <si>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</si>
  <si>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</si>
  <si>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</si>
  <si>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</si>
  <si>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</si>
  <si>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</si>
  <si>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</si>
  <si>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</si>
  <si>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</si>
  <si>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</si>
  <si>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</si>
  <si>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</si>
  <si>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</si>
  <si>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</si>
  <si>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</si>
  <si>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</si>
  <si>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</si>
  <si>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</si>
  <si>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</si>
  <si>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</si>
  <si>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</si>
  <si>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</si>
  <si>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</si>
  <si>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</si>
  <si>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</si>
  <si>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</si>
  <si>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</si>
  <si>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</si>
  <si>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</si>
  <si>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</si>
  <si>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</si>
  <si>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</si>
  <si>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</si>
  <si>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</si>
  <si>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</si>
  <si>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</si>
  <si>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</si>
  <si>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</si>
  <si>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</si>
  <si>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</si>
  <si>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</si>
  <si>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</si>
  <si>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</si>
  <si>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</si>
  <si>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</si>
  <si>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</si>
  <si>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</si>
  <si>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</si>
  <si>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</si>
  <si>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</si>
  <si>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</si>
  <si>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</si>
  <si>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</si>
  <si>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</si>
  <si>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</si>
  <si>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</si>
  <si>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</si>
  <si>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</si>
  <si>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</si>
  <si>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</si>
  <si>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</si>
  <si>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</si>
  <si>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</si>
  <si>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</si>
  <si>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</si>
  <si>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</si>
  <si>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</si>
  <si>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</si>
  <si>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</si>
  <si>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</si>
  <si>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</si>
  <si>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</si>
  <si>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</si>
  <si>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</si>
  <si>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</si>
  <si>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</si>
  <si>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</si>
  <si>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</si>
  <si>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</si>
  <si>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</si>
  <si>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</si>
  <si>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</si>
  <si>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</si>
  <si>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</si>
  <si>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</si>
  <si>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</si>
  <si>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</si>
  <si>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</si>
  <si>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</si>
  <si>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</si>
  <si>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</si>
  <si>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</si>
  <si>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</si>
  <si>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</si>
  <si>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</si>
  <si>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</si>
  <si>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</si>
  <si>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</si>
  <si>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</si>
  <si>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</si>
  <si>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</si>
  <si>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</si>
  <si>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</si>
  <si>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</si>
  <si>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</si>
  <si>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</si>
  <si>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</si>
  <si>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</si>
  <si>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</si>
  <si>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</si>
  <si>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</si>
  <si>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</si>
  <si>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</si>
  <si>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</si>
  <si>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</si>
  <si>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</si>
  <si>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</si>
  <si>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</si>
  <si>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</si>
  <si>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</si>
  <si>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</si>
  <si>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</si>
  <si>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</si>
  <si>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</si>
  <si>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</si>
  <si>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</si>
  <si>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</si>
  <si>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</si>
  <si>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</si>
  <si>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</si>
  <si>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</si>
  <si>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</si>
  <si>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</si>
  <si>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</si>
  <si>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</si>
  <si>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</si>
  <si>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</si>
  <si>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</si>
  <si>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</si>
  <si>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</si>
  <si>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</si>
  <si>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</si>
  <si>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</si>
  <si>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</si>
  <si>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</si>
  <si>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</si>
  <si>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</si>
  <si>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</si>
  <si>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</si>
  <si>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</si>
  <si>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</si>
  <si>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</si>
  <si>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</si>
  <si>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</si>
  <si>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</si>
  <si>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</si>
  <si>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</si>
  <si>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</si>
  <si>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</si>
  <si>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</si>
  <si>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</si>
  <si>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</si>
  <si>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</si>
  <si>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</si>
  <si>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</si>
  <si>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</si>
  <si>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</si>
  <si>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</si>
  <si>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</si>
  <si>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</si>
  <si>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</si>
  <si>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</si>
  <si>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</si>
  <si>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</si>
  <si>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</si>
  <si>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</si>
  <si>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</si>
  <si>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</si>
  <si>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</si>
  <si>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</si>
  <si>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</si>
  <si>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</si>
  <si>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</si>
  <si>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</si>
  <si>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</si>
  <si>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</si>
  <si>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</si>
  <si>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</si>
  <si>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</si>
  <si>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</si>
  <si>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</si>
  <si>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</si>
  <si>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</si>
  <si>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</si>
  <si>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</si>
  <si>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</si>
  <si>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</si>
  <si>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</si>
  <si>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</si>
  <si>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</si>
  <si>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</si>
  <si>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</si>
  <si>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</si>
  <si>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</si>
  <si>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</si>
  <si>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</si>
  <si>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</si>
  <si>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</si>
  <si>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</si>
  <si>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</si>
  <si>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</si>
  <si>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</si>
  <si>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</si>
  <si>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</si>
  <si>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</si>
  <si>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</si>
  <si>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</si>
  <si>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</si>
  <si>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</si>
  <si>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</si>
  <si>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</si>
  <si>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</si>
  <si>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</si>
  <si>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</si>
  <si>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</si>
  <si>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</si>
  <si>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</si>
  <si>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</si>
  <si>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</si>
  <si>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</si>
  <si>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</si>
  <si>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</si>
  <si>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</si>
  <si>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</si>
  <si>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</si>
  <si>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</si>
  <si>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</si>
  <si>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</si>
  <si>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</si>
  <si>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</si>
  <si>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</si>
  <si>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</si>
  <si>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</si>
  <si>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</si>
  <si>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</si>
  <si>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</si>
  <si>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</si>
  <si>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</si>
  <si>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</si>
  <si>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</si>
  <si>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</si>
  <si>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</si>
  <si>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</si>
  <si>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</si>
  <si>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</si>
  <si>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</si>
  <si>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</si>
  <si>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</si>
  <si>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</si>
  <si>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</si>
  <si>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</si>
  <si>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</si>
  <si>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</si>
  <si>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</si>
  <si>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</si>
  <si>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</si>
  <si>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</si>
  <si>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</si>
  <si>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</si>
  <si>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</si>
  <si>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</si>
  <si>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</si>
  <si>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</si>
  <si>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</si>
  <si>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</si>
  <si>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</si>
  <si>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</si>
  <si>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</si>
  <si>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</si>
  <si>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</si>
  <si>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</si>
  <si>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</si>
  <si>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</si>
  <si>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</si>
  <si>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</si>
  <si>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</si>
  <si>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</si>
  <si>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</si>
  <si>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</si>
  <si>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</si>
  <si>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</si>
  <si>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</si>
  <si>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</si>
  <si>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</si>
  <si>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</si>
  <si>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</si>
  <si>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</si>
  <si>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</si>
  <si>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</si>
  <si>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</si>
  <si>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</si>
  <si>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</si>
  <si>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</si>
  <si>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</si>
  <si>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</si>
  <si>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</si>
  <si>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</si>
  <si>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</si>
  <si>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</si>
  <si>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</si>
  <si>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</si>
  <si>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</si>
  <si>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</si>
  <si>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</si>
  <si>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</si>
  <si>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</si>
  <si>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</si>
  <si>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</si>
  <si>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</si>
  <si>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</si>
  <si>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</si>
  <si>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</si>
  <si>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</si>
  <si>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</si>
  <si>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</si>
  <si>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</si>
  <si>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</si>
  <si>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</si>
  <si>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</si>
  <si>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</si>
  <si>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</si>
  <si>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</si>
  <si>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</si>
  <si>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</si>
  <si>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</si>
  <si>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</si>
  <si>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</si>
  <si>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</si>
  <si>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</si>
  <si>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</si>
  <si>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</si>
  <si>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</si>
  <si>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</si>
  <si>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</si>
  <si>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</si>
  <si>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</si>
  <si>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</si>
  <si>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</si>
  <si>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</si>
  <si>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</si>
  <si>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</si>
  <si>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</si>
  <si>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</si>
  <si>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</si>
  <si>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</si>
  <si>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</si>
  <si>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</si>
  <si>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</si>
  <si>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</si>
  <si>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</si>
  <si>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</si>
  <si>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</si>
  <si>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</si>
  <si>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</si>
  <si>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</si>
  <si>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</si>
  <si>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</si>
  <si>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</si>
  <si>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</si>
  <si>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</si>
  <si>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</si>
  <si>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</si>
  <si>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</si>
  <si>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</si>
  <si>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</si>
  <si>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</si>
  <si>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</si>
  <si>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</si>
  <si>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</si>
  <si>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</si>
  <si>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</si>
  <si>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</si>
  <si>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</si>
  <si>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</si>
  <si>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</si>
  <si>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</si>
  <si>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</si>
  <si>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</si>
  <si>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</si>
  <si>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</si>
  <si>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</si>
  <si>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</si>
  <si>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</si>
  <si>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</si>
  <si>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</si>
  <si>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</si>
  <si>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</si>
  <si>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</si>
  <si>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</si>
  <si>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</si>
  <si>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</si>
  <si>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</si>
  <si>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</si>
  <si>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</si>
  <si>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</si>
  <si>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</si>
  <si>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</si>
  <si>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</si>
  <si>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</si>
  <si>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</si>
  <si>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</si>
  <si>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</si>
  <si>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</si>
  <si>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</si>
  <si>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</si>
  <si>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</si>
  <si>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</si>
  <si>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</si>
  <si>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</si>
  <si>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</si>
  <si>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</si>
  <si>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</si>
  <si>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</si>
  <si>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</si>
  <si>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</si>
  <si>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</si>
  <si>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</si>
  <si>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</si>
  <si>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</si>
  <si>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</si>
  <si>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</si>
  <si>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</si>
  <si>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</si>
  <si>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</si>
  <si>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</si>
  <si>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</si>
  <si>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</si>
  <si>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</si>
  <si>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</si>
  <si>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</si>
  <si>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</si>
  <si>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</si>
  <si>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</si>
  <si>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</si>
  <si>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</si>
  <si>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</si>
  <si>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</si>
  <si>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</si>
  <si>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</si>
  <si>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</si>
  <si>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</si>
  <si>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</si>
  <si>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</si>
  <si>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</si>
  <si>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</si>
  <si>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</si>
  <si>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</si>
  <si>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</si>
  <si>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</si>
  <si>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</si>
  <si>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</si>
  <si>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</si>
  <si>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</si>
  <si>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</si>
  <si>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</si>
  <si>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</si>
  <si>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</si>
  <si>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</si>
  <si>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</si>
  <si>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</si>
  <si>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</si>
  <si>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</si>
  <si>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</si>
  <si>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</si>
  <si>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</si>
  <si>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</si>
  <si>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</si>
  <si>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</si>
  <si>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</si>
  <si>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</si>
  <si>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</si>
  <si>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</si>
  <si>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</si>
  <si>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</si>
  <si>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</si>
  <si>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</si>
  <si>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</si>
  <si>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</si>
  <si>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</si>
  <si>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</si>
  <si>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</si>
  <si>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</si>
  <si>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</si>
  <si>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</si>
  <si>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</si>
  <si>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</si>
  <si>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</si>
  <si>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</si>
  <si>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</si>
  <si>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</si>
  <si>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</si>
  <si>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</si>
  <si>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</si>
  <si>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</si>
  <si>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</si>
  <si>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</si>
  <si>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</si>
  <si>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</si>
  <si>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</si>
  <si>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</si>
  <si>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</si>
  <si>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</si>
  <si>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</si>
  <si>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</si>
  <si>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</si>
  <si>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</si>
  <si>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</si>
  <si>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</si>
  <si>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</si>
  <si>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</si>
  <si>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</si>
  <si>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</si>
  <si>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</si>
  <si>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</si>
  <si>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</si>
  <si>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</si>
  <si>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</si>
  <si>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</si>
  <si>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</si>
  <si>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</si>
  <si>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</si>
  <si>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</si>
  <si>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</si>
  <si>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</si>
  <si>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</si>
  <si>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</si>
  <si>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</si>
  <si>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</si>
  <si>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</si>
  <si>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</si>
  <si>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</si>
  <si>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</si>
  <si>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</si>
  <si>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</si>
  <si>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</si>
  <si>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</si>
  <si>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</si>
  <si>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</si>
  <si>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</si>
  <si>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</si>
  <si>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</si>
  <si>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</si>
  <si>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</si>
  <si>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</si>
  <si>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</si>
  <si>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</si>
  <si>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</si>
  <si>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</si>
  <si>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</si>
  <si>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</si>
  <si>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</si>
  <si>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</si>
  <si>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</si>
  <si>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</si>
  <si>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</si>
  <si>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</si>
  <si>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</si>
  <si>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</si>
  <si>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</si>
  <si>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</si>
  <si>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</si>
  <si>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</si>
  <si>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</si>
  <si>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</si>
  <si>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</si>
  <si>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</si>
  <si>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</si>
  <si>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</si>
  <si>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</si>
  <si>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</si>
  <si>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</si>
  <si>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</si>
  <si>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</si>
  <si>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</si>
  <si>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</si>
  <si>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</si>
  <si>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</si>
  <si>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</si>
  <si>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</si>
  <si>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</si>
  <si>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</si>
  <si>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</si>
  <si>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</si>
  <si>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</si>
  <si>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</si>
  <si>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</si>
  <si>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</si>
  <si>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</si>
  <si>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</si>
  <si>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</si>
  <si>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</si>
  <si>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</si>
  <si>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</si>
  <si>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</si>
  <si>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</si>
  <si>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</si>
  <si>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</si>
  <si>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</si>
  <si>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</si>
  <si>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</si>
  <si>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</si>
  <si>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</si>
  <si>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</si>
  <si>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</si>
  <si>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</si>
  <si>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</si>
  <si>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</si>
  <si>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</si>
  <si>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</si>
  <si>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</si>
  <si>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</si>
  <si>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</si>
  <si>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</si>
  <si>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</si>
  <si>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</si>
  <si>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</si>
  <si>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</si>
  <si>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</si>
  <si>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</si>
  <si>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</si>
  <si>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</si>
  <si>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</si>
  <si>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</si>
  <si>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</si>
  <si>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</si>
  <si>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</si>
  <si>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</si>
  <si>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</si>
  <si>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</si>
  <si>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</si>
  <si>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</si>
  <si>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</si>
  <si>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</si>
  <si>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</si>
  <si>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</si>
  <si>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</si>
  <si>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</si>
  <si>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</si>
  <si>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</si>
  <si>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</si>
  <si>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</si>
  <si>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</si>
  <si>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</si>
  <si>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</si>
  <si>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</si>
  <si>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</si>
  <si>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</si>
  <si>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</si>
  <si>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</si>
  <si>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</si>
  <si>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</si>
  <si>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</si>
  <si>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</si>
  <si>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</si>
  <si>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</si>
  <si>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</si>
  <si>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</si>
  <si>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</si>
  <si>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</si>
  <si>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</si>
  <si>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</si>
  <si>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</si>
  <si>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</si>
  <si>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</si>
  <si>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</si>
  <si>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</si>
  <si>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</si>
  <si>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</si>
  <si>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</si>
  <si>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</si>
  <si>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</si>
  <si>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</si>
  <si>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</si>
  <si>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</si>
  <si>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</si>
  <si>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</si>
  <si>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</si>
  <si>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</si>
  <si>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</si>
  <si>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</si>
  <si>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</si>
  <si>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</si>
  <si>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</si>
  <si>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</si>
  <si>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</si>
  <si>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</si>
  <si>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</si>
  <si>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</si>
  <si>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</si>
  <si>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</si>
  <si>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</si>
  <si>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</si>
  <si>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</si>
  <si>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</si>
  <si>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</si>
  <si>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</si>
  <si>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</si>
  <si>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</si>
  <si>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</si>
  <si>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</si>
  <si>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</si>
  <si>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</si>
  <si>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</si>
  <si>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</si>
  <si>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</si>
  <si>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</si>
  <si>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</si>
  <si>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</si>
  <si>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</si>
  <si>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</si>
  <si>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</si>
  <si>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</si>
  <si>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</si>
  <si>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</si>
  <si>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</si>
  <si>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</si>
  <si>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</si>
  <si>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</si>
  <si>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</si>
  <si>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</si>
  <si>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</si>
  <si>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</si>
  <si>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</si>
  <si>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</si>
  <si>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</si>
  <si>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</si>
  <si>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</si>
  <si>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</si>
  <si>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</si>
  <si>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</si>
  <si>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</si>
  <si>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</si>
  <si>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</si>
  <si>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</si>
  <si>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</si>
  <si>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</si>
  <si>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</si>
  <si>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</si>
  <si>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</si>
  <si>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</si>
  <si>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</si>
  <si>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</si>
  <si>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</si>
  <si>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</si>
  <si>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</si>
  <si>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</si>
  <si>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</si>
  <si>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</si>
  <si>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</si>
  <si>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</si>
  <si>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</si>
  <si>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</si>
  <si>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</si>
  <si>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</si>
  <si>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</si>
  <si>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</si>
  <si>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</si>
  <si>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</si>
  <si>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</si>
  <si>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</si>
  <si>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</si>
  <si>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</si>
  <si>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</si>
  <si>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</si>
  <si>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</si>
  <si>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</si>
  <si>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</si>
  <si>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</si>
  <si>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</si>
  <si>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</si>
  <si>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</si>
  <si>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</si>
  <si>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</si>
  <si>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</si>
  <si>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</si>
  <si>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</si>
  <si>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</si>
  <si>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</si>
  <si>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</si>
  <si>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</si>
  <si>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</si>
  <si>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</si>
  <si>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</si>
  <si>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</si>
  <si>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</si>
  <si>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</si>
  <si>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</si>
  <si>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</si>
  <si>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</si>
  <si>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</si>
  <si>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</si>
  <si>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</si>
  <si>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</si>
  <si>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</si>
  <si>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</si>
  <si>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</si>
  <si>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</si>
  <si>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</si>
  <si>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</si>
  <si>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</si>
  <si>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</si>
  <si>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</si>
  <si>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</si>
  <si>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</si>
  <si>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</si>
  <si>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</si>
  <si>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</si>
  <si>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</si>
  <si>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</si>
  <si>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</si>
  <si>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</si>
  <si>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</si>
  <si>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</si>
  <si>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</si>
  <si>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</si>
  <si>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</si>
  <si>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</si>
  <si>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</si>
  <si>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</si>
  <si>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</si>
  <si>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</si>
  <si>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</si>
  <si>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</si>
  <si>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</si>
  <si>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</si>
  <si>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</si>
  <si>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</si>
  <si>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</si>
  <si>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</si>
  <si>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</si>
  <si>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</si>
  <si>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</si>
  <si>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</si>
  <si>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</si>
  <si>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</si>
  <si>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</si>
  <si>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</si>
  <si>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</si>
  <si>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</si>
  <si>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</si>
  <si>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</si>
  <si>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</si>
  <si>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</si>
  <si>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</si>
  <si>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</si>
  <si>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</si>
  <si>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</si>
  <si>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</si>
  <si>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</si>
  <si>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</si>
  <si>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</si>
  <si>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</si>
  <si>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</si>
  <si>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</si>
  <si>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</si>
  <si>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</si>
  <si>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</si>
  <si>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</si>
  <si>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</si>
  <si>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</si>
  <si>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</si>
  <si>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</si>
  <si>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</si>
  <si>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</si>
  <si>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</si>
  <si>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</si>
  <si>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</si>
  <si>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</si>
  <si>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</si>
  <si>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</si>
  <si>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</si>
  <si>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</si>
  <si>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</si>
  <si>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</si>
  <si>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</si>
  <si>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</si>
  <si>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</si>
  <si>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</si>
  <si>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</si>
  <si>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</si>
  <si>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</si>
  <si>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</si>
  <si>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</si>
  <si>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</si>
  <si>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</si>
  <si>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</si>
  <si>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</si>
  <si>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</si>
  <si>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</si>
  <si>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</si>
  <si>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</si>
  <si>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</si>
  <si>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</si>
  <si>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</si>
  <si>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</si>
  <si>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</si>
  <si>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</si>
  <si>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</si>
  <si>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</si>
  <si>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</si>
  <si>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</si>
  <si>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</si>
  <si>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</si>
  <si>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</si>
  <si>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</si>
  <si>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</si>
  <si>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</si>
  <si>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</si>
  <si>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</si>
  <si>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</si>
  <si>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</si>
  <si>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</si>
  <si>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</si>
  <si>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</si>
  <si>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</si>
  <si>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</si>
  <si>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</si>
  <si>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</si>
  <si>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</si>
  <si>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</si>
  <si>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</si>
  <si>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</si>
  <si>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</si>
  <si>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</si>
  <si>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</si>
  <si>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</si>
  <si>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</si>
  <si>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</si>
  <si>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</si>
  <si>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</si>
  <si>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</si>
  <si>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</si>
  <si>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</si>
  <si>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</si>
  <si>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</si>
  <si>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</si>
  <si>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</si>
  <si>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</si>
  <si>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</si>
  <si>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</si>
  <si>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</si>
  <si>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</si>
  <si>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</si>
  <si>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</si>
  <si>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</si>
  <si>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</si>
  <si>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</si>
  <si>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</si>
  <si>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</si>
  <si>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</si>
  <si>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</si>
  <si>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</si>
  <si>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</si>
  <si>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</si>
  <si>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</si>
  <si>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</si>
  <si>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</si>
  <si>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</si>
  <si>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</si>
  <si>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</si>
  <si>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</si>
  <si>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</si>
  <si>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</si>
  <si>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</si>
  <si>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</si>
  <si>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</si>
  <si>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</si>
  <si>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</si>
  <si>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</si>
  <si>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</si>
  <si>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</si>
  <si>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</si>
  <si>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</si>
  <si>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</si>
  <si>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</si>
  <si>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</si>
  <si>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</si>
  <si>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</si>
  <si>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</si>
  <si>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</si>
  <si>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</si>
  <si>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</si>
  <si>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</si>
  <si>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</si>
  <si>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</si>
  <si>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</si>
  <si>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</si>
  <si>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</si>
  <si>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</si>
  <si>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</si>
  <si>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</si>
  <si>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</si>
  <si>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</si>
  <si>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</si>
  <si>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</si>
  <si>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</si>
  <si>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</si>
  <si>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</si>
  <si>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</si>
  <si>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</si>
  <si>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</si>
  <si>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</si>
  <si>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</si>
  <si>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</si>
  <si>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</si>
  <si>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</si>
  <si>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</si>
  <si>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</si>
  <si>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</si>
  <si>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</si>
  <si>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</si>
  <si>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</si>
  <si>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</si>
  <si>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</si>
  <si>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</si>
  <si>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</si>
  <si>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</si>
  <si>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</si>
  <si>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</si>
  <si>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</si>
  <si>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</si>
  <si>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</si>
  <si>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</si>
  <si>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</si>
  <si>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</si>
  <si>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</si>
  <si>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</si>
  <si>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</si>
  <si>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</si>
  <si>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</si>
  <si>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</si>
  <si>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</si>
  <si>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</si>
  <si>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</si>
  <si>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</si>
  <si>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</si>
  <si>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</si>
  <si>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</si>
  <si>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</si>
  <si>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</si>
  <si>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</si>
  <si>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</si>
  <si>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</si>
  <si>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</si>
  <si>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</si>
  <si>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</si>
  <si>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</si>
  <si>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</si>
  <si>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</si>
  <si>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</si>
  <si>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</si>
  <si>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</si>
  <si>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</si>
  <si>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</si>
  <si>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</si>
  <si>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</si>
  <si>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</si>
  <si>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</si>
  <si>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</si>
  <si>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</si>
  <si>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</si>
  <si>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</si>
  <si>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</si>
  <si>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</si>
  <si>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</si>
  <si>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</si>
  <si>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</si>
  <si>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</si>
  <si>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</si>
  <si>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</si>
  <si>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</si>
  <si>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</si>
  <si>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</si>
  <si>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</si>
  <si>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</si>
  <si>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</si>
  <si>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</si>
  <si>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</si>
  <si>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</si>
  <si>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</si>
  <si>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</si>
  <si>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</si>
  <si>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</si>
  <si>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</si>
  <si>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</si>
  <si>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</si>
  <si>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</si>
  <si>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</si>
  <si>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</si>
  <si>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</si>
  <si>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</si>
  <si>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</si>
  <si>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</si>
  <si>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</si>
  <si>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</si>
  <si>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</si>
  <si>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</si>
  <si>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</si>
  <si>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</si>
  <si>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ITR_1000$$$1022ITR</t>
  </si>
  <si>
    <t>P000000425</t>
  </si>
  <si>
    <t>L000011242_IO</t>
  </si>
  <si>
    <t>L000009832_IO</t>
  </si>
  <si>
    <t>H000002265</t>
  </si>
  <si>
    <t>H000002264</t>
  </si>
  <si>
    <t>H000002266</t>
  </si>
  <si>
    <t>H000002267</t>
  </si>
  <si>
    <t>H000002265_IO</t>
  </si>
  <si>
    <t>H000000442</t>
  </si>
  <si>
    <t>H000004199</t>
  </si>
  <si>
    <t>check</t>
  </si>
  <si>
    <t>H000001115</t>
  </si>
  <si>
    <t>G000000243_DEFAULT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</si>
</sst>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0.853079745371" createdVersion="7" refreshedVersion="7" minRefreshableVersion="3" recordCount="4713" xr:uid="{11839AE3-6158-4318-87AD-2C711D0BF451}">
  <cacheSource type="worksheet">
    <worksheetSource name="Proc"/>
  </cacheSource>
  <cacheFields count="19">
    <cacheField name="App" numFmtId="0">
      <sharedItems containsBlank="1" count="1620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19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38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1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38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1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1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1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1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1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1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1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1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1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1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13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09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06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06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06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06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06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06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06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06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06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06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06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06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06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06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06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06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06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06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06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06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06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06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06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06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06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06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06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06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06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06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06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06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06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06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06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06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06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06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06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06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06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05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05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05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04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04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04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04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04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03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03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01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01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00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97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97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97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97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97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97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97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97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97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97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97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97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97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97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97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97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97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97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97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97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97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96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96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96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96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96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91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91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91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86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86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86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86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86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86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86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86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86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86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86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86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86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86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86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86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86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86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82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82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82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77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76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76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76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76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76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76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76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76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76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76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76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76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62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62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6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6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61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51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36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36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36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36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36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36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36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36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36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36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36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36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36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36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36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36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36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36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36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36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33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33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33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33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32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32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31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31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31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31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31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31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31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31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31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31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31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31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31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31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31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31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31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31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27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27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27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27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27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21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21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16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16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11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11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11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11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11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11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11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11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11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11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11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11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11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11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11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11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11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11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11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11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11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11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11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11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08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08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08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08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09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06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06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01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01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01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01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01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01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01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01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01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01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01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99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99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99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99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99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99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99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99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99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99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99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99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99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99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99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99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99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99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99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99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99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99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99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99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99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97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97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97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97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97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97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97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97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97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97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96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96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96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95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95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95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95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95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95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94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94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92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91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91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91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90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90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90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88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88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88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88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88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88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88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85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85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85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85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85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85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85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85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85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85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85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85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85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85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85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85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85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85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85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85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85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85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85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85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85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85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85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85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85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84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84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82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82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82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82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82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82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82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82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82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82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80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80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80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80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80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80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80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80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79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77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76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76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76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76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76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76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76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76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76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76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76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76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76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76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76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76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76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76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76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76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76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76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76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76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76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76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76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76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76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76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76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76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76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76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76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76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76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76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76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76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76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76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76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76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76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76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76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76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76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76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76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76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76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76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76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76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76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76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76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76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76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76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76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76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76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76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76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76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76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76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76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76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76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76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76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76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76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76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76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76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76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76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76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76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76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76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76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76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76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76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76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76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76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76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76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76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76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76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76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76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76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76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76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76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76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76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76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76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76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76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76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76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76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76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76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76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76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76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76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76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76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76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76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76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76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76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76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76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76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76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73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73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73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73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73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73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73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73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73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73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73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73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73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73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73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73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73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73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73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73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73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73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73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73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72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72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71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71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71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71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71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71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71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70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70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70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69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69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69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69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69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69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69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69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69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69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69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69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69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69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69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69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69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69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69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69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69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69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69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69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69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69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69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69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69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69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69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69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69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69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69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69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69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68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68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68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68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68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68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68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68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68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68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68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68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68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68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68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68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68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68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68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67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67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67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67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67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67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67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67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67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67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67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67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67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67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67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67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67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67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66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66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66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66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66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66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66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66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66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66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66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66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63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63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63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63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63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63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63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63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63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63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63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63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63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62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62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62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62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61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61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61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61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61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61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61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61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61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61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61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61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61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61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61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61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61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61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61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61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61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61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61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61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61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61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61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61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61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61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61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61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61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61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61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61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61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61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61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61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61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61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61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61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61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61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61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61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61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61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61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61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61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61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61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61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61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61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61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61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61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61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61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61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61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61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61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61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61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61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61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61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61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61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61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61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61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61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61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61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61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61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61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61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61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61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61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61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61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61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61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61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61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61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61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61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61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61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61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61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61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61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61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61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61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61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61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61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61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61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61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61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61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61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61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61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61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61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61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61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61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61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61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61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61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61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59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59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59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59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59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59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59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59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59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59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59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59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59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59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59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59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58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57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57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57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57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57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57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57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57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57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57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57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57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57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57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57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57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57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57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56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56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56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56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56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56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56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56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56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56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56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56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56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56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56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56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56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56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56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56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56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56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56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56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56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56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56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56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56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56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56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56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56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56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56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56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56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56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56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56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56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56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56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56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56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56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56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56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56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56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56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56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56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56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56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56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56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56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56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56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56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56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56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56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56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56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56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56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56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56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56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56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56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56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56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56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56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56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56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56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56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56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56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56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56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56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56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56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56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56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56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56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56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56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56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56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56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56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56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56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56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56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56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56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56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56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56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56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56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56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56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56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56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56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56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52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52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52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52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52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52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52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52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52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52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52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52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51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51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51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51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51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51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51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51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51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51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51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51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51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51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51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51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51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51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51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5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1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5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1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51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51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51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51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51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51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51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51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48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48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48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48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48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48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48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48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48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47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46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46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46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46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46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46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45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45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45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45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45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45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45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45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45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45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45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45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45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45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45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5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5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45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45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45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44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44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44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44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44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44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44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44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44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44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44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44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43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43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43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43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43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43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43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43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43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43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43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43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40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40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40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40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40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40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40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40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40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40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40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40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40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40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40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40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40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40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40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40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40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40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40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40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40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40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40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39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39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39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39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39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39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39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39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39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39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39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39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39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39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39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39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36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35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35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35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35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35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35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33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33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33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33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33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33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33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33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33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33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33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33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33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33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33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33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33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33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33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33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33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33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33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33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33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33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33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33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33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33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33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31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31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31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31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31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31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31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31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31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31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31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31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31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31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31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31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31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31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31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31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31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31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31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31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31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31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31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31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29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29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29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29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24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24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24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24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24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23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23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23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23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23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23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23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23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23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23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23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23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20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20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20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20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20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20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20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20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20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20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20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20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20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20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20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20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20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20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20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20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20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20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20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20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20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20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20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20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20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19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8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17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17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17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17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17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17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17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17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17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17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17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17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17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17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17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17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17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17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17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17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17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17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17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17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7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7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17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6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6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6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6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6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6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6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6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6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6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6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6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6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6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6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6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6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6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6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6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6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6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6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6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6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6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6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6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6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6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6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6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6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6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6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16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16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16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16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15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18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18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13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3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13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13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3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3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3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3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3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3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3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3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3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3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3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3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3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3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3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3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3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3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3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3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3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3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3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3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13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13"/>
    <s v="Jojeff Tagnong"/>
    <m/>
  </r>
  <r>
    <x v="412"/>
    <x v="1"/>
    <x v="2"/>
    <s v="CITR_1000$$$1022APPL"/>
    <s v="G000000256"/>
    <s v="G000000256"/>
    <s v="Non-LFF"/>
    <s v=""/>
    <m/>
    <b v="1"/>
    <x v="0"/>
    <x v="0"/>
    <d v="2025-11-04T00:00:00"/>
    <m/>
    <m/>
    <x v="1"/>
    <n v="11"/>
    <s v="Jay-R Lizardo"/>
    <m/>
  </r>
  <r>
    <x v="412"/>
    <x v="1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11"/>
    <s v="Jay-R Lizardo"/>
    <m/>
  </r>
  <r>
    <x v="412"/>
    <x v="1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11"/>
    <s v="Jay-R Lizardo"/>
    <m/>
  </r>
  <r>
    <x v="412"/>
    <x v="1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11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11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11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11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11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11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11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11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11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11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11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11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11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11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11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11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11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11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11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11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11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11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11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11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11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11"/>
    <s v="John Rowie Del Rosario"/>
    <m/>
  </r>
  <r>
    <x v="414"/>
    <x v="1"/>
    <x v="5"/>
    <s v="PLEAN_X310281DE6514800"/>
    <s v="H000001786"/>
    <m/>
    <s v="Non-LFF"/>
    <s v=""/>
    <m/>
    <b v="0"/>
    <x v="1"/>
    <x v="0"/>
    <d v="2025-11-05T00:00:00"/>
    <m/>
    <m/>
    <x v="1"/>
    <n v="10"/>
    <s v="Rayneil Reas"/>
    <m/>
  </r>
  <r>
    <x v="415"/>
    <x v="1"/>
    <x v="5"/>
    <s v="CSCALA_1022$SQR "/>
    <s v="G000001272 "/>
    <s v="DFLTPGCOH_BF-C6_001022 Merck spol. s r.o., Slovakia"/>
    <s v="Non-LFF"/>
    <s v=""/>
    <m/>
    <b v="0"/>
    <x v="0"/>
    <x v="0"/>
    <d v="2025-11-07T00:00:00"/>
    <m/>
    <m/>
    <x v="1"/>
    <n v="8"/>
    <s v="Jojeff Tagnong"/>
    <m/>
  </r>
  <r>
    <x v="416"/>
    <x v="1"/>
    <x v="5"/>
    <s v="CSCALA_1022$ITR"/>
    <s v="G000001238"/>
    <s v="DFLTGCOH_BF-C8_001022"/>
    <s v="Non-LFF"/>
    <s v=""/>
    <m/>
    <b v="0"/>
    <x v="0"/>
    <x v="0"/>
    <d v="2025-11-07T00:00:00"/>
    <m/>
    <m/>
    <x v="1"/>
    <n v="8"/>
    <s v="Jay-R Lizardo"/>
    <m/>
  </r>
  <r>
    <x v="417"/>
    <x v="1"/>
    <x v="5"/>
    <s v="CTEMPEU_1000GB10005256 SRO Costs"/>
    <s v="H000000947"/>
    <m/>
    <s v="Non-LFF"/>
    <s v=""/>
    <m/>
    <b v="0"/>
    <x v="1"/>
    <x v="0"/>
    <d v="2025-11-07T00:00:00"/>
    <m/>
    <m/>
    <x v="1"/>
    <n v="8"/>
    <s v="Henry Ifurung Jr."/>
    <m/>
  </r>
  <r>
    <x v="418"/>
    <x v="1"/>
    <x v="6"/>
    <s v="CLFF_1000$$$DE07Z02182 Prem./Contrib./Fees M&amp;S"/>
    <s v="P000001335"/>
    <m/>
    <s v="LFF (MDG-F)"/>
    <s v="DE07Z02182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HK01Z02181 XX_Prem/con/fees CoS"/>
    <s v="P000001335"/>
    <m/>
    <s v="LFF (MDG-F)"/>
    <s v="HK01Z02181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HK01Z02182 XX_Prem/con/fees M&amp;S"/>
    <s v="P000001335"/>
    <m/>
    <s v="LFF (MDG-F)"/>
    <s v="HK01Z02182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HK01Z02183 XX_Prem/con/fees Admin"/>
    <s v="P000001335"/>
    <m/>
    <s v="LFF (MDG-F)"/>
    <s v="HK01Z02183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HK01Z02184 XX_Prem/con/fees R&amp;D"/>
    <s v="P000001335"/>
    <m/>
    <s v="LFF (MDG-F)"/>
    <s v="HK01Z02184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HK01Z02185 XX_Prem/con/fees Oth"/>
    <s v="P000001335"/>
    <m/>
    <s v="LFF (MDG-F)"/>
    <s v="HK01Z02185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IN01Z02181 XX_Prem/con/fees CoS"/>
    <s v="P000001335"/>
    <m/>
    <s v="LFF (MDG-F)"/>
    <s v="IN01Z02181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IN01Z02182 XX_Prem/con/fees M&amp;S"/>
    <s v="P000001335"/>
    <m/>
    <s v="LFF (MDG-F)"/>
    <s v="IN01Z02182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IN01Z02183 XX_Prem/con/fees Admin"/>
    <s v="P000001335"/>
    <m/>
    <s v="LFF (MDG-F)"/>
    <s v="IN01Z02183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IN01Z02184 XX_Prem/con/fees R&amp;D"/>
    <s v="P000001335"/>
    <m/>
    <s v="LFF (MDG-F)"/>
    <s v="IN01Z02184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JP01Z02181 XX_Prem/con/fees CoS"/>
    <s v="P000001335"/>
    <m/>
    <s v="LFF (MDG-F)"/>
    <s v="JP01Z02181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JP01Z02184 XX_Prem/con/fees R&amp;D"/>
    <s v="P000001335"/>
    <m/>
    <s v="LFF (MDG-F)"/>
    <s v="JP01Z02184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JP01Z02185 XX_Prem/con/fees Oth"/>
    <s v="P000001335"/>
    <m/>
    <s v="LFF (MDG-F)"/>
    <s v="JP01Z02185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JP02Z02181 XX_Prem/con/fees CoS"/>
    <s v="P000001335"/>
    <m/>
    <s v="LFF (MDG-F)"/>
    <s v="JP02Z02181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JP02Z02182 XX_Prem/con/fees M&amp;S"/>
    <s v="P000001335"/>
    <m/>
    <s v="LFF (MDG-F)"/>
    <s v="JP02Z02182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JP02Z02183 Prem/con/fees Admin"/>
    <s v="P000001335"/>
    <m/>
    <s v="LFF (MDG-F)"/>
    <s v="JP02Z02183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JP02Z02184 XX_Prem/con/fees R&amp;D"/>
    <s v="P000001335"/>
    <m/>
    <s v="LFF (MDG-F)"/>
    <s v="JP02Z02184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JP02Z02185 XX_Prem/con/fees Oth"/>
    <s v="P000001335"/>
    <m/>
    <s v="LFF (MDG-F)"/>
    <s v="JP02Z02185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KR02Z02181 XX_Prem/con/fees CoS"/>
    <s v="P000001335"/>
    <m/>
    <s v="LFF (MDG-F)"/>
    <s v="KR02Z02181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KR02Z02182 XX_Prem/con/fees M&amp;S"/>
    <s v="P000001335"/>
    <m/>
    <s v="LFF (MDG-F)"/>
    <s v="KR02Z02182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KR02Z02183 XX_Prem/con/fees Admin"/>
    <s v="P000001335"/>
    <m/>
    <s v="LFF (MDG-F)"/>
    <s v="KR02Z02183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KR02Z02184 XX_Prem/con/fees R&amp;D"/>
    <s v="P000001335"/>
    <m/>
    <s v="LFF (MDG-F)"/>
    <s v="KR02Z02184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SG09Z02181 XX_Prem/con/fees CoS"/>
    <s v="P000001335"/>
    <m/>
    <s v="LFF (MDG-F)"/>
    <s v="SG09Z02181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SG09Z02182 Prem/con/fees M&amp;S"/>
    <s v="P000001335"/>
    <m/>
    <s v="LFF (MDG-F)"/>
    <s v="SG09Z02182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SG09Z02183 XX_Prem/con/fees Admin"/>
    <s v="P000001335"/>
    <m/>
    <s v="LFF (MDG-F)"/>
    <s v="SG09Z02183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SG09Z02184 XX_Prem/con/fees Oth"/>
    <s v="P000001335"/>
    <m/>
    <s v="LFF (MDG-F)"/>
    <s v="SG09Z02184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TW02Z02183 XX_Prem/con/fees Admin"/>
    <s v="P000001335"/>
    <m/>
    <s v="LFF (MDG-F)"/>
    <s v="TW02Z02183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TW02Z02184 XX_Prem/con/fees R&amp;D"/>
    <s v="P000001335"/>
    <m/>
    <s v="LFF (MDG-F)"/>
    <s v="TW02Z02184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TW03Z02184 XX_Prem/con/fees R&amp;D"/>
    <s v="P000001335"/>
    <m/>
    <s v="LFF (MDG-F)"/>
    <s v="TW03Z02184"/>
    <s v="P000001335"/>
    <b v="0"/>
    <x v="3"/>
    <x v="0"/>
    <d v="2025-11-12T00:00:00"/>
    <m/>
    <m/>
    <x v="0"/>
    <n v="5"/>
    <s v="John Rowie Del Rosario"/>
    <m/>
  </r>
  <r>
    <x v="418"/>
    <x v="1"/>
    <x v="6"/>
    <s v="CLFF_KR00$$$KR03Z02181 XX_Prem/con/fees CoS"/>
    <s v="P000001335"/>
    <m/>
    <s v="LFF (MDG-F)"/>
    <s v="KR03Z02181"/>
    <s v="P000001335"/>
    <b v="0"/>
    <x v="3"/>
    <x v="0"/>
    <d v="2025-11-12T00:00:00"/>
    <m/>
    <m/>
    <x v="0"/>
    <n v="5"/>
    <s v="John Rowie Del Rosario"/>
    <m/>
  </r>
  <r>
    <x v="418"/>
    <x v="1"/>
    <x v="6"/>
    <s v="CLFF_KR00$$$KR03Z02182 XX_Prem/con/fees M&amp;S"/>
    <s v="P000001335"/>
    <m/>
    <s v="LFF (MDG-F)"/>
    <s v="KR03Z02182"/>
    <s v="P000001335"/>
    <b v="0"/>
    <x v="3"/>
    <x v="0"/>
    <d v="2025-11-12T00:00:00"/>
    <m/>
    <m/>
    <x v="0"/>
    <n v="5"/>
    <s v="John Rowie Del Rosario"/>
    <m/>
  </r>
  <r>
    <x v="418"/>
    <x v="1"/>
    <x v="6"/>
    <s v="CLFF_KR00$$$KR03Z02183 XX_Prem/con/fees Admin"/>
    <s v="P000001335"/>
    <m/>
    <s v="LFF (MDG-F)"/>
    <s v="KR03Z02183"/>
    <s v="P000001335"/>
    <b v="0"/>
    <x v="3"/>
    <x v="0"/>
    <d v="2025-11-12T00:00:00"/>
    <m/>
    <m/>
    <x v="0"/>
    <n v="5"/>
    <s v="John Rowie Del Rosario"/>
    <m/>
  </r>
  <r>
    <x v="418"/>
    <x v="1"/>
    <x v="6"/>
    <s v="CLFF_KR00$$$KR03Z02184 XX_Prem/con/fees R&amp;D"/>
    <s v="P000001335"/>
    <m/>
    <s v="LFF (MDG-F)"/>
    <s v="KR03Z02184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CN01OF0083 PM GoGlobal Trainee"/>
    <s v="P000001336"/>
    <m/>
    <s v="LFF (MDG-F)"/>
    <s v="CN01OF0083"/>
    <s v="P000001336"/>
    <b v="0"/>
    <x v="3"/>
    <x v="0"/>
    <d v="2025-11-12T00:00:00"/>
    <m/>
    <m/>
    <x v="0"/>
    <n v="5"/>
    <s v="John Rowie Del Rosario"/>
    <m/>
  </r>
  <r>
    <x v="418"/>
    <x v="1"/>
    <x v="6"/>
    <s v="CLFF_1000$$$US01OF0103 GOglobal Trainee PM-USA"/>
    <s v="P000001336"/>
    <m/>
    <s v="LFF (MDG-F)"/>
    <s v="US01OF0103"/>
    <s v="P000001336"/>
    <b v="0"/>
    <x v="3"/>
    <x v="0"/>
    <d v="2025-11-12T00:00:00"/>
    <m/>
    <m/>
    <x v="0"/>
    <n v="5"/>
    <s v="John Rowie Del Rosario"/>
    <m/>
  </r>
  <r>
    <x v="418"/>
    <x v="1"/>
    <x v="6"/>
    <s v="CLFF_KR00$$$KR03L80000 GoGlobal Korea"/>
    <s v="P000001336"/>
    <m/>
    <s v="LFF (MDG-F)"/>
    <s v="KR03L80000"/>
    <s v="P000001336"/>
    <b v="0"/>
    <x v="3"/>
    <x v="0"/>
    <d v="2025-11-12T00:00:00"/>
    <m/>
    <m/>
    <x v="0"/>
    <n v="5"/>
    <s v="John Rowie Del Rosario"/>
    <m/>
  </r>
  <r>
    <x v="418"/>
    <x v="1"/>
    <x v="6"/>
    <s v="CLFF_VMCA$$$TW10OF6016 GOglobal Trainee Program"/>
    <s v="P000001336"/>
    <m/>
    <s v="LFF (MDG-F)"/>
    <s v="TW10OF6016"/>
    <s v="P000001336"/>
    <b v="0"/>
    <x v="3"/>
    <x v="0"/>
    <d v="2025-11-12T00:00:00"/>
    <m/>
    <m/>
    <x v="0"/>
    <n v="5"/>
    <s v="John Rowie Del Rosario"/>
    <m/>
  </r>
  <r>
    <x v="418"/>
    <x v="1"/>
    <x v="6"/>
    <s v="CLFF_VMCA$$$US10OF6070 GOglobal Trainee Program"/>
    <s v="P000001336"/>
    <m/>
    <s v="LFF (MDG-F)"/>
    <s v="US10OF6070"/>
    <s v="P000001336"/>
    <b v="0"/>
    <x v="3"/>
    <x v="0"/>
    <d v="2025-11-12T00:00:00"/>
    <m/>
    <m/>
    <x v="0"/>
    <n v="5"/>
    <s v="John Rowie Del Rosario"/>
    <m/>
  </r>
  <r>
    <x v="419"/>
    <x v="1"/>
    <x v="5"/>
    <s v="CNOW_7210$$$0000052362"/>
    <s v="L000009356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015217"/>
    <s v="L000010037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015218"/>
    <s v="L000010037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015219"/>
    <s v="L000010037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015222"/>
    <s v="L000010037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015223"/>
    <s v="L000012340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222106"/>
    <s v="L000013405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222107"/>
    <s v="L000013405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222108"/>
    <s v="L000013405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222109"/>
    <s v="L000013405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250045"/>
    <s v="L000013405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010275"/>
    <s v="L000013900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040960"/>
    <s v="L000012329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265323"/>
    <s v="L000011379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031534"/>
    <s v="L000013758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ITEMPEU_003200004220"/>
    <s v="L000011242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ORAERP_MMOR1945.ZXQD"/>
    <s v="L000013461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FLTFLE_13060000000030"/>
    <s v="L000010274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ITEMPEU_AT40AA0014"/>
    <s v="L000009832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015218"/>
    <s v="L000010037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015219"/>
    <s v="L000010037"/>
    <m/>
    <s v="Non-LFF"/>
    <s v=""/>
    <m/>
    <b v="0"/>
    <x v="2"/>
    <x v="0"/>
    <d v="2025-11-12T00:00:00"/>
    <m/>
    <m/>
    <x v="0"/>
    <n v="5"/>
    <s v="Ruby Grace Garcia"/>
    <m/>
  </r>
  <r>
    <x v="420"/>
    <x v="1"/>
    <x v="5"/>
    <s v="PLEAN_X310324CH6815011 Cardio GBF Digital"/>
    <s v="H000002265 Cardiovascular"/>
    <s v="H000000948 Global Strategic Insights - GSI"/>
    <s v="Non-LFF"/>
    <s v=""/>
    <m/>
    <b v="0"/>
    <x v="1"/>
    <x v="0"/>
    <d v="2025-11-17T00:00:00"/>
    <m/>
    <m/>
    <x v="0"/>
    <n v="2"/>
    <s v="Estela Belda Menendez"/>
    <m/>
  </r>
  <r>
    <x v="420"/>
    <x v="1"/>
    <x v="5"/>
    <s v="PLEAN_X310304DE5015404 DIA FRA PROM OTH GBF GSI"/>
    <s v="H000002264 Diabetes"/>
    <s v="H000000948 Global Strategic Insights - GSI"/>
    <s v="Non-LFF"/>
    <s v=""/>
    <m/>
    <b v="0"/>
    <x v="1"/>
    <x v="0"/>
    <d v="2025-11-17T00:00:00"/>
    <m/>
    <m/>
    <x v="0"/>
    <n v="2"/>
    <s v="Estela Belda Menendez"/>
    <m/>
  </r>
  <r>
    <x v="420"/>
    <x v="1"/>
    <x v="5"/>
    <s v="PLEAN_X310324DE5015403 CAR FRA PROM OTH GBF GCD"/>
    <s v="H000002265 Cardiovascular"/>
    <s v="H000000948 Global Strategic Insights - GSI"/>
    <s v="Non-LFF"/>
    <s v=""/>
    <m/>
    <b v="0"/>
    <x v="1"/>
    <x v="0"/>
    <d v="2025-11-17T00:00:00"/>
    <m/>
    <m/>
    <x v="0"/>
    <n v="2"/>
    <s v="Estela Belda Menendez"/>
    <m/>
  </r>
  <r>
    <x v="420"/>
    <x v="1"/>
    <x v="5"/>
    <s v="PLEAN_X310324DE5015404 CAR FRA PROM OTH GBF GSI"/>
    <s v="H000002265 Cardiovascular"/>
    <s v="H000000948 Global Strategic Insights - GSI"/>
    <s v="Non-LFF"/>
    <s v=""/>
    <m/>
    <b v="0"/>
    <x v="1"/>
    <x v="0"/>
    <d v="2025-11-17T00:00:00"/>
    <m/>
    <m/>
    <x v="0"/>
    <n v="2"/>
    <s v="Estela Belda Menendez"/>
    <m/>
  </r>
  <r>
    <x v="420"/>
    <x v="1"/>
    <x v="5"/>
    <s v="PLEAN_X310334CH6815011 Thyroids GBF Digital"/>
    <s v="H000002266 Thyroids"/>
    <s v="H000000948 Global Strategic Insights - GSI"/>
    <s v="Non-LFF"/>
    <s v=""/>
    <m/>
    <b v="0"/>
    <x v="1"/>
    <x v="0"/>
    <d v="2025-11-17T00:00:00"/>
    <m/>
    <m/>
    <x v="0"/>
    <n v="2"/>
    <s v="Estela Belda Menendez"/>
    <m/>
  </r>
  <r>
    <x v="420"/>
    <x v="1"/>
    <x v="5"/>
    <s v="PLEAN_X310404CH6815011 Endo GBF Digital"/>
    <s v="H000002267 Endocrinology"/>
    <s v="H000000948 Global Strategic Insights - GSI"/>
    <s v="Non-LFF"/>
    <s v=""/>
    <m/>
    <b v="0"/>
    <x v="1"/>
    <x v="0"/>
    <d v="2025-11-17T00:00:00"/>
    <m/>
    <m/>
    <x v="0"/>
    <n v="2"/>
    <s v="Estela Belda Menendez"/>
    <m/>
  </r>
  <r>
    <x v="420"/>
    <x v="1"/>
    <x v="5"/>
    <s v="ITEMPLA_001520001165 Cardio Summit 2025"/>
    <s v="H000002265 Cardiovascular"/>
    <s v="Unmapped"/>
    <s v="Non-LFF"/>
    <s v=""/>
    <m/>
    <b v="0"/>
    <x v="1"/>
    <x v="0"/>
    <d v="2025-11-17T00:00:00"/>
    <m/>
    <m/>
    <x v="0"/>
    <n v="2"/>
    <s v="Estela Belda Menendez"/>
    <m/>
  </r>
  <r>
    <x v="421"/>
    <x v="1"/>
    <x v="5"/>
    <s v="CNOW_7210$$$0000498035 "/>
    <s v="G000000633"/>
    <s v="DFLTPGCOH_BF-C8_002108"/>
    <s v="Non-LFF"/>
    <s v=""/>
    <m/>
    <b v="0"/>
    <x v="0"/>
    <x v="0"/>
    <d v="2025-11-17T00:00:00"/>
    <m/>
    <m/>
    <x v="0"/>
    <n v="2"/>
    <s v="Jojeff Tagnong"/>
    <m/>
  </r>
  <r>
    <x v="422"/>
    <x v="1"/>
    <x v="5"/>
    <s v="PLEAN_X310201VN5011200 FD COM Advertising"/>
    <s v="H000001318"/>
    <s v="LEAN_X310201VN5011000"/>
    <s v="Non-LFF"/>
    <s v=""/>
    <m/>
    <b v="0"/>
    <x v="1"/>
    <x v="0"/>
    <d v="2025-11-17T00:00:00"/>
    <m/>
    <m/>
    <x v="0"/>
    <n v="2"/>
    <s v="Maria Rosario Go"/>
    <m/>
  </r>
  <r>
    <x v="423"/>
    <x v="1"/>
    <x v="5"/>
    <s v="CFLTFLE_1044BPOE BP - Others  ISS"/>
    <s v="H000001115 - General Management"/>
    <s v="DFLTPGCOH_DIV-31_001044"/>
    <s v="Non-LFF"/>
    <s v=""/>
    <m/>
    <b v="0"/>
    <x v="1"/>
    <x v="0"/>
    <d v="2025-11-17T00:00:00"/>
    <m/>
    <m/>
    <x v="0"/>
    <n v="2"/>
    <s v="Carlo Umali"/>
    <m/>
  </r>
  <r>
    <x v="424"/>
    <x v="1"/>
    <x v="5"/>
    <s v="PLEAN_X310301DE6215305 1401_LK_B4_DIA_PROMO OTH"/>
    <s v="H000000417"/>
    <s v="H000000888"/>
    <s v="Non-LFF"/>
    <s v=""/>
    <m/>
    <b v="0"/>
    <x v="1"/>
    <x v="0"/>
    <d v="2025-11-17T00:00:00"/>
    <m/>
    <m/>
    <x v="0"/>
    <n v="2"/>
    <s v="Maria Rosario Go"/>
    <m/>
  </r>
  <r>
    <x v="425"/>
    <x v="1"/>
    <x v="5"/>
    <s v="PLEAN_X310113CN5043301 O59 R&amp;D R&amp;D OTH TGCT Trials or RWS proje"/>
    <s v="H000004393 - [CN - Local studies Pimi MA]"/>
    <m/>
    <s v="Non-LFF"/>
    <s v=""/>
    <m/>
    <b v="0"/>
    <x v="1"/>
    <x v="0"/>
    <d v="2025-11-17T00:00:00"/>
    <m/>
    <m/>
    <x v="0"/>
    <n v="2"/>
    <s v="John Poulie Borromeo"/>
    <m/>
  </r>
  <r>
    <x v="425"/>
    <x v="1"/>
    <x v="5"/>
    <s v="PLEAN_X310282CN5020301 PIMI MED MED EDU DSA to HCP: Medical edu"/>
    <s v="H000004392 - [CN - Medical activities Pimi MA]"/>
    <m/>
    <s v="Non-LFF"/>
    <s v=""/>
    <m/>
    <b v="0"/>
    <x v="1"/>
    <x v="0"/>
    <d v="2025-11-17T00:00:00"/>
    <m/>
    <m/>
    <x v="0"/>
    <n v="2"/>
    <s v="John Poulie Borromeo"/>
    <m/>
  </r>
  <r>
    <x v="425"/>
    <x v="1"/>
    <x v="5"/>
    <s v="PLEAN_X310282CN5020303 PIMI MED MED EDU DSA to HCP: Medical edu"/>
    <s v="H000004392 - [CN - Medical activities Pimi MA]"/>
    <m/>
    <s v="Non-LFF"/>
    <s v=""/>
    <m/>
    <b v="0"/>
    <x v="1"/>
    <x v="0"/>
    <d v="2025-11-17T00:00:00"/>
    <m/>
    <m/>
    <x v="0"/>
    <n v="2"/>
    <s v="John Poulie Borromeo"/>
    <m/>
  </r>
  <r>
    <x v="425"/>
    <x v="1"/>
    <x v="5"/>
    <s v="PLEAN_X310282CN5020304 PIMI MED MED EDU DSA to HCP: Medical edu"/>
    <s v="H000004392 - [CN - Medical activities Pimi MA]"/>
    <m/>
    <s v="Non-LFF"/>
    <s v=""/>
    <m/>
    <b v="0"/>
    <x v="1"/>
    <x v="0"/>
    <d v="2025-11-17T00:00:00"/>
    <m/>
    <m/>
    <x v="0"/>
    <n v="2"/>
    <s v="John Poulie Borromeo"/>
    <m/>
  </r>
  <r>
    <x v="425"/>
    <x v="1"/>
    <x v="5"/>
    <s v="PLEAN_X310282CN5023305 PIMI MED MED OTH ESMO Campaign"/>
    <s v="H000004392 - [CN - Medical activities Pimi MA]"/>
    <m/>
    <s v="Non-LFF"/>
    <s v=""/>
    <m/>
    <b v="0"/>
    <x v="1"/>
    <x v="0"/>
    <d v="2025-11-17T00:00:00"/>
    <m/>
    <m/>
    <x v="0"/>
    <n v="2"/>
    <s v="John Poulie Borromeo"/>
    <m/>
  </r>
  <r>
    <x v="425"/>
    <x v="1"/>
    <x v="5"/>
    <s v="PLEAN_X310282CN5023306 PIMI MED MED OTH ESMO Campaign"/>
    <s v="H000004392 - [CN - Medical activities Pimi MA]"/>
    <m/>
    <s v="Non-LFF"/>
    <s v=""/>
    <m/>
    <b v="0"/>
    <x v="1"/>
    <x v="0"/>
    <d v="2025-11-17T00:00:00"/>
    <m/>
    <m/>
    <x v="0"/>
    <n v="2"/>
    <s v="John Poulie Borromeo"/>
    <m/>
  </r>
  <r>
    <x v="425"/>
    <x v="1"/>
    <x v="5"/>
    <s v="PLEAN_X310282CN5023309 PIMI MED MED OTH Content development"/>
    <s v="H000004392 - [CN - Medical activities Pimi MA]"/>
    <m/>
    <s v="Non-LFF"/>
    <s v=""/>
    <m/>
    <b v="0"/>
    <x v="1"/>
    <x v="0"/>
    <d v="2025-11-17T00:00:00"/>
    <m/>
    <m/>
    <x v="0"/>
    <n v="2"/>
    <s v="John Poulie Borromeo"/>
    <m/>
  </r>
  <r>
    <x v="425"/>
    <x v="1"/>
    <x v="5"/>
    <s v="PLEAN_X310431CN5015212 THYB COM PROM OTH Zebra"/>
    <s v="H000001382 - [CN - CM&amp;E Sales Promotion MKT]"/>
    <m/>
    <s v="Non-LFF"/>
    <s v=""/>
    <m/>
    <b v="0"/>
    <x v="1"/>
    <x v="0"/>
    <d v="2025-11-17T00:00:00"/>
    <m/>
    <m/>
    <x v="0"/>
    <n v="2"/>
    <s v="John Poulie Borromeo"/>
    <m/>
  </r>
  <r>
    <x v="425"/>
    <x v="1"/>
    <x v="5"/>
    <s v="PLEAN_X310432CN5020104 Thy MED CN50 MED EDU Thyrotropin"/>
    <s v="H000001505 - [CN - Medical activities CM&amp;E MA]"/>
    <m/>
    <s v="Non-LFF"/>
    <s v=""/>
    <m/>
    <b v="0"/>
    <x v="1"/>
    <x v="0"/>
    <d v="2025-11-17T00:00:00"/>
    <m/>
    <m/>
    <x v="0"/>
    <n v="2"/>
    <s v="John Poulie Borromeo"/>
    <m/>
  </r>
  <r>
    <x v="425"/>
    <x v="1"/>
    <x v="5"/>
    <s v="PLEAN_X310111CN5015500 O59 COM PROM OTH Global funding-Pimi"/>
    <s v="H000004390 - [CN - Onco Sales Promotion Pimi MKT]"/>
    <m/>
    <s v="Non-LFF"/>
    <s v=""/>
    <m/>
    <b v="0"/>
    <x v="1"/>
    <x v="0"/>
    <d v="2025-11-17T00:00:00"/>
    <m/>
    <m/>
    <x v="0"/>
    <n v="2"/>
    <s v="John Poulie Borromeo"/>
    <m/>
  </r>
  <r>
    <x v="425"/>
    <x v="1"/>
    <x v="5"/>
    <s v="PLEAN_X310101CN5013354 ERB COM C&amp;E ONC H&amp;N MOD"/>
    <s v="H000001422 - [CN - Onco Sales Promotion ERB MKT]"/>
    <m/>
    <s v="Non-LFF"/>
    <s v=""/>
    <m/>
    <b v="0"/>
    <x v="1"/>
    <x v="0"/>
    <d v="2025-11-17T00:00:00"/>
    <m/>
    <m/>
    <x v="0"/>
    <n v="2"/>
    <s v="John Poulie Borromeo"/>
    <m/>
  </r>
  <r>
    <x v="425"/>
    <x v="1"/>
    <x v="5"/>
    <s v="PLEAN_X310201DE5015018 Project for Cross Charge"/>
    <s v="H000004199 - [CN-FD SP MKT Non-HCP Head]"/>
    <m/>
    <s v="Non-LFF"/>
    <s v=""/>
    <m/>
    <b v="0"/>
    <x v="1"/>
    <x v="0"/>
    <d v="2025-11-17T00:00:00"/>
    <m/>
    <m/>
    <x v="0"/>
    <n v="2"/>
    <s v="John Poulie Borromeo"/>
    <m/>
  </r>
  <r>
    <x v="426"/>
    <x v="1"/>
    <x v="5"/>
    <s v="CTEMPLA_1000BR10200572 [MED] - Med Consultants - Tepmetko"/>
    <s v="H000002595"/>
    <s v="DFLTPGCOH_BF-TT_001227"/>
    <s v="Non-LFF"/>
    <s v=""/>
    <m/>
    <b v="0"/>
    <x v="1"/>
    <x v="0"/>
    <d v="2025-11-17T00:00:00"/>
    <m/>
    <m/>
    <x v="0"/>
    <n v="2"/>
    <s v="Natasha Hazel Aliado"/>
    <m/>
  </r>
  <r>
    <x v="427"/>
    <x v="1"/>
    <x v="5"/>
    <s v="CTEMPLA_1000PA10PA3E25 Medical non R&amp;D Thyroids"/>
    <s v="H000000369"/>
    <s v="DFLTPGCOH_BF-77_001072"/>
    <s v="Non-LFF"/>
    <s v=""/>
    <m/>
    <b v="0"/>
    <x v="1"/>
    <x v="0"/>
    <d v="2025-11-18T00:00:00"/>
    <m/>
    <m/>
    <x v="0"/>
    <n v="1"/>
    <s v="Natasha Hazel Aliado"/>
    <m/>
  </r>
  <r>
    <x v="427"/>
    <x v="1"/>
    <x v="5"/>
    <s v="CTEMPLA_1000PA10PA3B25 Medical non R&amp;D Fertility"/>
    <s v="H000000369"/>
    <s v="DFLTPGCOH_BF-A4_001072"/>
    <s v="Non-LFF"/>
    <s v=""/>
    <m/>
    <b v="0"/>
    <x v="1"/>
    <x v="0"/>
    <d v="2025-11-18T00:00:00"/>
    <m/>
    <m/>
    <x v="0"/>
    <n v="1"/>
    <s v="Natasha Hazel Aliado"/>
    <m/>
  </r>
  <r>
    <x v="428"/>
    <x v="1"/>
    <x v="5"/>
    <s v="PSCALA_X54 Tepmetko Launch"/>
    <s v="H000000423"/>
    <s v="SCALA_NO_PROJECT_DEF_ASSIGNED"/>
    <s v="Non-LFF"/>
    <s v=""/>
    <m/>
    <b v="0"/>
    <x v="1"/>
    <x v="0"/>
    <d v="2025-11-18T00:00:00"/>
    <m/>
    <m/>
    <x v="0"/>
    <n v="1"/>
    <s v="Carlo Umali"/>
    <m/>
  </r>
  <r>
    <x v="429"/>
    <x v="1"/>
    <x v="5"/>
    <s v="CSCALA_1042$ONPM_O28"/>
    <s v="H000000423"/>
    <s v="DFLTPGCOH_BF-52_001042"/>
    <s v="Non-LFF"/>
    <s v=""/>
    <m/>
    <b v="0"/>
    <x v="1"/>
    <x v="0"/>
    <d v="2025-11-18T00:00:00"/>
    <m/>
    <m/>
    <x v="0"/>
    <n v="1"/>
    <s v="Carlo Umali"/>
    <m/>
  </r>
  <r>
    <x v="430"/>
    <x v="1"/>
    <x v="5"/>
    <s v="CSCALA_1042$ONPM_X51"/>
    <s v="H000000423"/>
    <s v="DFLTPGCOH_BF-TT_001042"/>
    <s v="Non-LFF"/>
    <s v=""/>
    <m/>
    <b v="0"/>
    <x v="1"/>
    <x v="0"/>
    <d v="2025-11-18T00:00:00"/>
    <m/>
    <m/>
    <x v="0"/>
    <n v="1"/>
    <s v="Carlo Umali"/>
    <m/>
  </r>
  <r>
    <x v="431"/>
    <x v="1"/>
    <x v="5"/>
    <s v="CSCALA_1042$ONPM_X54"/>
    <s v="H000000423"/>
    <s v="DFLTPGCOH_BF-TT_001042"/>
    <s v="Non-LFF"/>
    <s v=""/>
    <m/>
    <b v="0"/>
    <x v="1"/>
    <x v="0"/>
    <d v="2025-11-18T00:00:00"/>
    <m/>
    <m/>
    <x v="0"/>
    <n v="1"/>
    <s v="Carlo Umali"/>
    <m/>
  </r>
  <r>
    <x v="432"/>
    <x v="1"/>
    <x v="5"/>
    <s v="CSCALA_1042$MSMS_E09"/>
    <s v="H000000423"/>
    <s v="DFLTPGCOH_BF-A5_001042"/>
    <s v="Non-LFF"/>
    <s v=""/>
    <m/>
    <b v="0"/>
    <x v="1"/>
    <x v="0"/>
    <d v="2025-11-18T00:00:00"/>
    <m/>
    <m/>
    <x v="0"/>
    <n v="1"/>
    <s v="Carlo Umali"/>
    <m/>
  </r>
  <r>
    <x v="433"/>
    <x v="1"/>
    <x v="5"/>
    <s v="CSCALA_1042$MSPM_E81"/>
    <s v="H000000423"/>
    <s v="DFLTPGCOH_BF-A5_001042"/>
    <s v="Non-LFF"/>
    <s v=""/>
    <m/>
    <b v="0"/>
    <x v="1"/>
    <x v="0"/>
    <d v="2025-11-18T00:00:00"/>
    <m/>
    <m/>
    <x v="0"/>
    <n v="1"/>
    <s v="Carlo Umali"/>
    <m/>
  </r>
  <r>
    <x v="434"/>
    <x v="1"/>
    <x v="5"/>
    <s v="CSCALA_1042$MSMS_D19"/>
    <s v="H000000423"/>
    <s v="DFLTPGCOH_SDV-EU2_001042"/>
    <s v="Non-LFF"/>
    <s v=""/>
    <m/>
    <b v="0"/>
    <x v="1"/>
    <x v="0"/>
    <d v="2025-11-18T00:00:00"/>
    <m/>
    <m/>
    <x v="0"/>
    <n v="1"/>
    <s v="Carlo Umali"/>
    <m/>
  </r>
  <r>
    <x v="435"/>
    <x v="1"/>
    <x v="5"/>
    <s v="CSCALA_1042$MSMS_O12"/>
    <s v="H000000423"/>
    <s v="DFLTPGCOH_BF-52_001042"/>
    <s v="Non-LFF"/>
    <s v=""/>
    <m/>
    <b v="0"/>
    <x v="1"/>
    <x v="0"/>
    <d v="2025-11-18T00:00:00"/>
    <m/>
    <m/>
    <x v="0"/>
    <n v="1"/>
    <s v="Carlo Umali"/>
    <m/>
  </r>
  <r>
    <x v="436"/>
    <x v="1"/>
    <x v="5"/>
    <s v="CSCALA_1042$ONPM_X65"/>
    <s v="H000000423"/>
    <s v="DFLTPGCOH_BF-TT_001042"/>
    <s v="Non-LFF"/>
    <s v=""/>
    <m/>
    <b v="0"/>
    <x v="1"/>
    <x v="0"/>
    <d v="2025-11-18T00:00:00"/>
    <m/>
    <m/>
    <x v="0"/>
    <n v="1"/>
    <s v="Carlo Umali"/>
    <m/>
  </r>
  <r>
    <x v="437"/>
    <x v="1"/>
    <x v="5"/>
    <s v="CFLTFLE_10548-191A ISS - OTHER"/>
    <s v="H000000429"/>
    <s v="DFLTPGCOH_DIV-31_001054"/>
    <s v="Non-LFF"/>
    <s v=""/>
    <m/>
    <b v="0"/>
    <x v="1"/>
    <x v="0"/>
    <d v="2025-11-18T00:00:00"/>
    <m/>
    <m/>
    <x v="0"/>
    <n v="1"/>
    <s v="Carlo Umali"/>
    <m/>
  </r>
  <r>
    <x v="438"/>
    <x v="1"/>
    <x v="5"/>
    <s v="PLEAN_X310201VN5011200 FD COM Advertising"/>
    <s v="H000001318"/>
    <s v="LEAN_X310201VN5011000"/>
    <s v="Non-LFF"/>
    <s v=""/>
    <m/>
    <b v="0"/>
    <x v="1"/>
    <x v="0"/>
    <d v="2025-11-18T00:00:00"/>
    <m/>
    <m/>
    <x v="0"/>
    <n v="1"/>
    <s v="Carlo Umali"/>
    <m/>
  </r>
  <r>
    <x v="423"/>
    <x v="1"/>
    <x v="5"/>
    <s v="CFLTFLE_1044BPOE BP - Others  ISS"/>
    <s v="H000001115 - General Management"/>
    <s v="DFLTPGCOH_DIV-31_001044"/>
    <s v="Non-LFF"/>
    <s v=""/>
    <m/>
    <b v="0"/>
    <x v="1"/>
    <x v="0"/>
    <d v="2025-11-18T00:00:00"/>
    <m/>
    <m/>
    <x v="0"/>
    <n v="1"/>
    <s v="Carlo Umali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6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3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62" firstHeaderRow="1" firstDataRow="1" firstDataCol="1" rowPageCount="1" colPageCount="1"/>
  <pivotFields count="19">
    <pivotField axis="axisRow" showAll="0" sortType="ascending">
      <items count="1621">
        <item m="1" x="1005"/>
        <item x="0"/>
        <item m="1" x="1075"/>
        <item m="1" x="1496"/>
        <item m="1" x="658"/>
        <item m="1" x="1513"/>
        <item m="1" x="1035"/>
        <item m="1" x="1125"/>
        <item m="1" x="1546"/>
        <item m="1" x="1340"/>
        <item m="1" x="1028"/>
        <item m="1" x="1612"/>
        <item m="1" x="1358"/>
        <item m="1" x="1602"/>
        <item m="1" x="976"/>
        <item m="1" x="877"/>
        <item m="1" x="581"/>
        <item m="1" x="842"/>
        <item m="1" x="1566"/>
        <item m="1" x="634"/>
        <item m="1" x="942"/>
        <item m="1" x="1310"/>
        <item m="1" x="1025"/>
        <item m="1" x="1118"/>
        <item m="1" x="1414"/>
        <item m="1" x="1599"/>
        <item m="1" x="1060"/>
        <item m="1" x="1082"/>
        <item m="1" x="847"/>
        <item m="1" x="1248"/>
        <item m="1" x="1007"/>
        <item m="1" x="1553"/>
        <item m="1" x="1210"/>
        <item m="1" x="643"/>
        <item m="1" x="751"/>
        <item m="1" x="1538"/>
        <item m="1" x="1302"/>
        <item m="1" x="556"/>
        <item m="1" x="1388"/>
        <item m="1" x="1054"/>
        <item m="1" x="1349"/>
        <item m="1" x="935"/>
        <item m="1" x="1287"/>
        <item m="1" x="546"/>
        <item m="1" x="576"/>
        <item m="1" x="1615"/>
        <item m="1" x="1294"/>
        <item m="1" x="1362"/>
        <item m="1" x="1469"/>
        <item m="1" x="1238"/>
        <item m="1" x="1336"/>
        <item m="1" x="1175"/>
        <item m="1" x="630"/>
        <item m="1" x="821"/>
        <item m="1" x="1597"/>
        <item m="1" x="1165"/>
        <item m="1" x="1305"/>
        <item m="1" x="833"/>
        <item m="1" x="794"/>
        <item m="1" x="1086"/>
        <item m="1" x="978"/>
        <item m="1" x="1011"/>
        <item m="1" x="570"/>
        <item m="1" x="709"/>
        <item m="1" x="1371"/>
        <item m="1" x="1588"/>
        <item m="1" x="774"/>
        <item m="1" x="1179"/>
        <item m="1" x="1189"/>
        <item m="1" x="1366"/>
        <item m="1" x="1476"/>
        <item m="1" x="1354"/>
        <item m="1" x="649"/>
        <item m="1" x="1497"/>
        <item m="1" x="1227"/>
        <item m="1" x="1214"/>
        <item m="1" x="749"/>
        <item m="1" x="1102"/>
        <item m="1" x="1449"/>
        <item m="1" x="567"/>
        <item m="1" x="1146"/>
        <item m="1" x="1499"/>
        <item m="1" x="1337"/>
        <item m="1" x="1072"/>
        <item m="1" x="1114"/>
        <item m="1" x="995"/>
        <item m="1" x="1230"/>
        <item m="1" x="1042"/>
        <item m="1" x="1274"/>
        <item m="1" x="758"/>
        <item m="1" x="1587"/>
        <item m="1" x="1112"/>
        <item m="1" x="1398"/>
        <item m="1" x="475"/>
        <item m="1" x="1603"/>
        <item m="1" x="1139"/>
        <item m="1" x="1428"/>
        <item m="1" x="1341"/>
        <item m="1" x="1119"/>
        <item m="1" x="629"/>
        <item m="1" x="636"/>
        <item m="1" x="676"/>
        <item m="1" x="858"/>
        <item m="1" x="1282"/>
        <item m="1" x="1043"/>
        <item m="1" x="1159"/>
        <item m="1" x="1222"/>
        <item m="1" x="1369"/>
        <item m="1" x="1452"/>
        <item m="1" x="1014"/>
        <item m="1" x="735"/>
        <item m="1" x="578"/>
        <item m="1" x="721"/>
        <item m="1" x="1596"/>
        <item m="1" x="753"/>
        <item m="1" x="1434"/>
        <item m="1" x="1363"/>
        <item m="1" x="981"/>
        <item m="1" x="1053"/>
        <item m="1" x="919"/>
        <item m="1" x="1176"/>
        <item m="1" x="1551"/>
        <item m="1" x="727"/>
        <item m="1" x="675"/>
        <item m="1" x="610"/>
        <item m="1" x="1276"/>
        <item m="1" x="1536"/>
        <item m="1" x="1464"/>
        <item m="1" x="1121"/>
        <item m="1" x="645"/>
        <item m="1" x="1370"/>
        <item m="1" x="822"/>
        <item m="1" x="1076"/>
        <item m="1" x="1251"/>
        <item m="1" x="1359"/>
        <item m="1" x="479"/>
        <item m="1" x="1308"/>
        <item m="1" x="1271"/>
        <item m="1" x="712"/>
        <item m="1" x="1160"/>
        <item m="1" x="1048"/>
        <item m="1" x="1001"/>
        <item m="1" x="734"/>
        <item m="1" x="670"/>
        <item m="1" x="910"/>
        <item m="1" x="1097"/>
        <item m="1" x="504"/>
        <item m="1" x="843"/>
        <item m="1" x="702"/>
        <item m="1" x="444"/>
        <item m="1" x="954"/>
        <item m="1" x="1155"/>
        <item m="1" x="1037"/>
        <item m="1" x="1083"/>
        <item m="1" x="1402"/>
        <item m="1" x="984"/>
        <item m="1" x="1510"/>
        <item m="1" x="1234"/>
        <item m="1" x="1173"/>
        <item m="1" x="687"/>
        <item m="1" x="1320"/>
        <item m="1" x="1598"/>
        <item m="1" x="1286"/>
        <item m="1" x="1270"/>
        <item m="1" x="557"/>
        <item m="1" x="605"/>
        <item m="1" x="1140"/>
        <item m="1" x="646"/>
        <item m="1" x="1583"/>
        <item m="1" x="1249"/>
        <item m="1" x="1174"/>
        <item m="1" x="1126"/>
        <item m="1" x="927"/>
        <item m="1" x="555"/>
        <item m="1" x="655"/>
        <item m="1" x="761"/>
        <item m="1" x="1494"/>
        <item m="1" x="1526"/>
        <item m="1" x="1225"/>
        <item m="1" x="952"/>
        <item m="1" x="1040"/>
        <item m="1" x="550"/>
        <item m="1" x="590"/>
        <item m="1" x="929"/>
        <item m="1" x="1154"/>
        <item m="1" x="1067"/>
        <item m="1" x="725"/>
        <item m="1" x="958"/>
        <item m="1" x="672"/>
        <item m="1" x="867"/>
        <item m="1" x="789"/>
        <item m="1" x="624"/>
        <item m="1" x="760"/>
        <item m="1" x="1130"/>
        <item m="1" x="540"/>
        <item m="1" x="779"/>
        <item m="1" x="571"/>
        <item m="1" x="1264"/>
        <item m="1" x="1453"/>
        <item m="1" x="1063"/>
        <item m="1" x="707"/>
        <item m="1" x="1357"/>
        <item m="1" x="1202"/>
        <item m="1" x="719"/>
        <item m="1" x="720"/>
        <item m="1" x="905"/>
        <item m="1" x="595"/>
        <item m="1" x="784"/>
        <item m="1" x="579"/>
        <item m="1" x="765"/>
        <item m="1" x="1333"/>
        <item m="1" x="844"/>
        <item m="1" x="1211"/>
        <item m="1" x="1261"/>
        <item m="1" x="1395"/>
        <item m="1" x="1399"/>
        <item m="1" x="1116"/>
        <item m="1" x="957"/>
        <item m="1" x="996"/>
        <item m="1" x="1563"/>
        <item m="1" x="856"/>
        <item m="1" x="668"/>
        <item m="1" x="1046"/>
        <item m="1" x="503"/>
        <item m="1" x="1567"/>
        <item m="1" x="1030"/>
        <item m="1" x="464"/>
        <item m="1" x="1485"/>
        <item m="1" x="1528"/>
        <item m="1" x="1365"/>
        <item m="1" x="742"/>
        <item m="1" x="481"/>
        <item m="1" x="1415"/>
        <item m="1" x="806"/>
        <item m="1" x="442"/>
        <item m="1" x="1586"/>
        <item m="1" x="830"/>
        <item m="1" x="985"/>
        <item m="1" x="1430"/>
        <item m="1" x="517"/>
        <item m="1" x="1342"/>
        <item m="1" x="1150"/>
        <item m="1" x="1015"/>
        <item m="1" x="885"/>
        <item m="1" x="632"/>
        <item m="1" x="1133"/>
        <item m="1" x="835"/>
        <item m="1" x="1373"/>
        <item m="1" x="695"/>
        <item m="1" x="1443"/>
        <item m="1" x="1450"/>
        <item m="1" x="1134"/>
        <item m="1" x="1324"/>
        <item m="1" x="741"/>
        <item m="1" x="1038"/>
        <item m="1" x="1327"/>
        <item m="1" x="911"/>
        <item m="1" x="1201"/>
        <item m="1" x="840"/>
        <item m="1" x="625"/>
        <item m="1" x="829"/>
        <item m="1" x="1595"/>
        <item m="1" x="1537"/>
        <item m="1" x="682"/>
        <item m="1" x="1483"/>
        <item m="1" x="489"/>
        <item m="1" x="1505"/>
        <item m="1" x="524"/>
        <item m="1" x="826"/>
        <item m="1" x="924"/>
        <item m="1" x="871"/>
        <item m="1" x="1478"/>
        <item m="1" x="1381"/>
        <item m="1" x="622"/>
        <item m="1" x="1192"/>
        <item m="1" x="1400"/>
        <item m="1" x="1534"/>
        <item m="1" x="1441"/>
        <item m="1" x="527"/>
        <item m="1" x="1607"/>
        <item m="1" x="678"/>
        <item m="1" x="959"/>
        <item m="1" x="1403"/>
        <item m="1" x="526"/>
        <item m="1" x="1462"/>
        <item m="1" x="691"/>
        <item m="1" x="1335"/>
        <item m="1" x="1199"/>
        <item m="1" x="1177"/>
        <item m="1" x="756"/>
        <item m="1" x="718"/>
        <item m="1" x="1530"/>
        <item m="1" x="471"/>
        <item m="1" x="653"/>
        <item m="1" x="1312"/>
        <item m="1" x="1423"/>
        <item m="1" x="1350"/>
        <item m="1" x="1554"/>
        <item m="1" x="1058"/>
        <item m="1" x="685"/>
        <item m="1" x="805"/>
        <item m="1" x="1124"/>
        <item m="1" x="866"/>
        <item m="1" x="1194"/>
        <item m="1" x="807"/>
        <item m="1" x="609"/>
        <item m="1" x="1262"/>
        <item m="1" x="664"/>
        <item m="1" x="544"/>
        <item m="1" x="1396"/>
        <item m="1" x="1543"/>
        <item m="1" x="1244"/>
        <item m="1" x="509"/>
        <item m="1" x="1435"/>
        <item m="1" x="1233"/>
        <item m="1" x="1343"/>
        <item m="1" x="1482"/>
        <item m="1" x="710"/>
        <item m="1" x="902"/>
        <item m="1" x="740"/>
        <item m="1" x="1008"/>
        <item m="1" x="932"/>
        <item m="1" x="962"/>
        <item m="1" x="1498"/>
        <item m="1" x="944"/>
        <item m="1" x="1147"/>
        <item m="1" x="679"/>
        <item m="1" x="878"/>
        <item m="1" x="852"/>
        <item m="1" x="1195"/>
        <item m="1" x="1098"/>
        <item m="1" x="1326"/>
        <item m="1" x="848"/>
        <item m="1" x="1484"/>
        <item m="1" x="686"/>
        <item m="1" x="612"/>
        <item m="1" x="868"/>
        <item m="1" x="1409"/>
        <item m="1" x="519"/>
        <item m="1" x="520"/>
        <item m="1" x="816"/>
        <item m="1" x="1489"/>
        <item m="1" x="883"/>
        <item m="1" x="528"/>
        <item m="1" x="688"/>
        <item m="1" x="930"/>
        <item m="1" x="1241"/>
        <item m="1" x="1213"/>
        <item m="1" x="884"/>
        <item m="1" x="465"/>
        <item m="1" x="603"/>
        <item m="1" x="815"/>
        <item m="1" x="703"/>
        <item m="1" x="460"/>
        <item m="1" x="1413"/>
        <item m="1" x="1542"/>
        <item m="1" x="1012"/>
        <item m="1" x="1442"/>
        <item m="1" x="1502"/>
        <item m="1" x="525"/>
        <item m="1" x="1540"/>
        <item m="1" x="1278"/>
        <item m="1" x="701"/>
        <item m="1" x="887"/>
        <item m="1" x="791"/>
        <item m="1" x="1153"/>
        <item m="1" x="724"/>
        <item m="1" x="940"/>
        <item m="1" x="1235"/>
        <item m="1" x="1360"/>
        <item m="1" x="863"/>
        <item m="1" x="991"/>
        <item m="1" x="803"/>
        <item m="1" x="729"/>
        <item m="1" x="1240"/>
        <item m="1" x="1355"/>
        <item m="1" x="1517"/>
        <item m="1" x="559"/>
        <item m="1" x="763"/>
        <item m="1" x="1203"/>
        <item m="1" x="604"/>
        <item m="1" x="891"/>
        <item m="1" x="1272"/>
        <item m="1" x="537"/>
        <item m="1" x="747"/>
        <item m="1" x="857"/>
        <item m="1" x="1463"/>
        <item m="1" x="696"/>
        <item m="1" x="966"/>
        <item m="1" x="1519"/>
        <item m="1" x="647"/>
        <item m="1" x="836"/>
        <item m="1" x="1024"/>
        <item m="1" x="1361"/>
        <item m="1" x="659"/>
        <item m="1" x="915"/>
        <item m="1" x="757"/>
        <item m="1" x="1253"/>
        <item m="1" x="1439"/>
        <item m="1" x="565"/>
        <item m="1" x="785"/>
        <item m="1" x="1521"/>
        <item m="1" x="1486"/>
        <item m="1" x="586"/>
        <item m="1" x="903"/>
        <item m="1" x="1427"/>
        <item m="1" x="1558"/>
        <item m="1" x="1429"/>
        <item m="1" x="1404"/>
        <item m="1" x="535"/>
        <item m="1" x="711"/>
        <item m="1" x="793"/>
        <item m="1" x="782"/>
        <item m="1" x="1009"/>
        <item m="1" x="497"/>
        <item m="1" x="1196"/>
        <item m="1" x="1267"/>
        <item m="1" x="449"/>
        <item m="1" x="1527"/>
        <item m="1" x="1389"/>
        <item m="1" x="1518"/>
        <item m="1" x="1548"/>
        <item m="1" x="1584"/>
        <item m="1" x="1522"/>
        <item m="1" x="886"/>
        <item m="1" x="1246"/>
        <item m="1" x="853"/>
        <item m="1" x="1259"/>
        <item m="1" x="1224"/>
        <item m="1" x="662"/>
        <item m="1" x="700"/>
        <item m="1" x="838"/>
        <item m="1" x="1303"/>
        <item m="1" x="823"/>
        <item m="1" x="569"/>
        <item m="1" x="1568"/>
        <item m="1" x="1318"/>
        <item m="1" x="1151"/>
        <item m="1" x="1183"/>
        <item m="1" x="1232"/>
        <item m="1" x="657"/>
        <item m="1" x="999"/>
        <item m="1" x="1344"/>
        <item m="1" x="495"/>
        <item m="1" x="738"/>
        <item m="1" x="638"/>
        <item m="1" x="635"/>
        <item m="1" x="639"/>
        <item m="1" x="440"/>
        <item m="1" x="661"/>
        <item m="1" x="1458"/>
        <item m="1" x="462"/>
        <item m="1" x="1108"/>
        <item m="1" x="1545"/>
        <item m="1" x="1356"/>
        <item m="1" x="616"/>
        <item m="1" x="1616"/>
        <item m="1" x="545"/>
        <item m="1" x="912"/>
        <item m="1" x="1135"/>
        <item m="1" x="591"/>
        <item m="1" x="1044"/>
        <item m="1" x="1204"/>
        <item m="1" x="1472"/>
        <item m="1" x="1374"/>
        <item m="1" x="453"/>
        <item m="1" x="1136"/>
        <item m="1" x="536"/>
        <item m="1" x="772"/>
        <item m="1" x="744"/>
        <item m="1" x="506"/>
        <item m="1" x="1099"/>
        <item m="1" x="1106"/>
        <item m="1" x="1206"/>
        <item m="1" x="955"/>
        <item m="1" x="1455"/>
        <item m="1" x="864"/>
        <item m="1" x="1574"/>
        <item m="1" x="1209"/>
        <item m="1" x="1100"/>
        <item m="1" x="764"/>
        <item m="1" x="1172"/>
        <item m="1" x="1470"/>
        <item m="1" x="1535"/>
        <item m="1" x="1514"/>
        <item m="1" x="1444"/>
        <item m="1" x="1193"/>
        <item m="1" x="1306"/>
        <item m="1" x="819"/>
        <item m="1" x="1268"/>
        <item m="1" x="1093"/>
        <item m="1" x="1052"/>
        <item m="1" x="1050"/>
        <item m="1" x="1051"/>
        <item m="1" x="748"/>
        <item m="1" x="792"/>
        <item m="1" x="1405"/>
        <item m="1" x="970"/>
        <item m="1" x="812"/>
        <item m="1" x="854"/>
        <item m="1" x="900"/>
        <item m="1" x="1152"/>
        <item m="1" x="1490"/>
        <item m="1" x="1579"/>
        <item m="1" x="697"/>
        <item m="1" x="648"/>
        <item m="1" x="485"/>
        <item m="1" x="507"/>
        <item m="1" x="804"/>
        <item m="1" x="592"/>
        <item m="1" x="920"/>
        <item m="1" x="1456"/>
        <item m="1" x="797"/>
        <item m="1" x="589"/>
        <item m="1" x="1348"/>
        <item m="1" x="466"/>
        <item m="1" x="1474"/>
        <item m="1" x="1549"/>
        <item m="1" x="1613"/>
        <item m="1" x="1488"/>
        <item m="1" x="731"/>
        <item m="1" x="508"/>
        <item m="1" x="972"/>
        <item m="1" x="1056"/>
        <item m="1" x="1252"/>
        <item m="1" x="1220"/>
        <item m="1" x="1256"/>
        <item m="1" x="1033"/>
        <item m="1" x="1071"/>
        <item m="1" x="1512"/>
        <item m="1" x="1275"/>
        <item m="1" x="1245"/>
        <item m="1" x="1184"/>
        <item m="1" x="1257"/>
        <item m="1" x="458"/>
        <item m="1" x="463"/>
        <item m="1" x="1066"/>
        <item m="1" x="1451"/>
        <item m="1" x="1021"/>
        <item m="1" x="1591"/>
        <item m="1" x="990"/>
        <item m="1" x="1166"/>
        <item m="1" x="1237"/>
        <item m="1" x="851"/>
        <item m="1" x="683"/>
        <item m="1" x="1059"/>
        <item m="1" x="745"/>
        <item m="1" x="1600"/>
        <item m="1" x="1515"/>
        <item m="1" x="1328"/>
        <item m="1" x="585"/>
        <item m="1" x="512"/>
        <item m="1" x="1085"/>
        <item m="1" x="1329"/>
        <item m="1" x="1618"/>
        <item m="1" x="964"/>
        <item m="1" x="1565"/>
        <item m="1" x="499"/>
        <item m="1" x="613"/>
        <item m="1" x="925"/>
        <item m="1" x="1016"/>
        <item m="1" x="1445"/>
        <item m="1" x="769"/>
        <item m="1" x="1448"/>
        <item m="1" x="865"/>
        <item m="1" x="1437"/>
        <item m="1" x="1601"/>
        <item m="1" x="529"/>
        <item m="1" x="1585"/>
        <item m="1" x="476"/>
        <item m="1" x="1338"/>
        <item m="1" x="956"/>
        <item m="1" x="787"/>
        <item m="1" x="750"/>
        <item m="1" x="894"/>
        <item m="1" x="493"/>
        <item m="1" x="1578"/>
        <item m="1" x="577"/>
        <item m="1" x="598"/>
        <item m="1" x="1471"/>
        <item m="1" x="1550"/>
        <item m="1" x="1064"/>
        <item m="1" x="1205"/>
        <item m="1" x="906"/>
        <item m="1" x="1019"/>
        <item m="1" x="1168"/>
        <item m="1" x="1285"/>
        <item m="1" x="872"/>
        <item m="1" x="1148"/>
        <item m="1" x="967"/>
        <item m="1" x="1604"/>
        <item m="1" x="457"/>
        <item m="1" x="896"/>
        <item m="1" x="837"/>
        <item m="1" x="798"/>
        <item m="1" x="1592"/>
        <item m="1" x="1410"/>
        <item m="1" x="1541"/>
        <item m="1" x="554"/>
        <item m="1" x="1552"/>
        <item m="1" x="1539"/>
        <item m="1" x="1416"/>
        <item m="1" x="651"/>
        <item m="1" x="1020"/>
        <item m="1" x="1113"/>
        <item m="1" x="859"/>
        <item m="1" x="1457"/>
        <item m="1" x="1243"/>
        <item m="1" x="1263"/>
        <item m="1" x="1157"/>
        <item m="1" x="500"/>
        <item m="1" x="1330"/>
        <item m="1" x="1492"/>
        <item m="1" x="897"/>
        <item m="1" x="1611"/>
        <item m="1" x="1105"/>
        <item m="1" x="692"/>
        <item m="1" x="825"/>
        <item m="1" x="861"/>
        <item m="1" x="1520"/>
        <item m="1" x="1504"/>
        <item m="1" x="564"/>
        <item m="1" x="566"/>
        <item m="1" x="480"/>
        <item m="1" x="1440"/>
        <item m="1" x="482"/>
        <item m="1" x="899"/>
        <item m="1" x="799"/>
        <item m="1" x="1255"/>
        <item m="1" x="1198"/>
        <item m="1" x="1547"/>
        <item m="1" x="1479"/>
        <item m="1" x="971"/>
        <item m="1" x="1185"/>
        <item m="1" x="1420"/>
        <item m="1" x="533"/>
        <item m="1" x="965"/>
        <item m="1" x="895"/>
        <item m="1" x="1589"/>
        <item m="1" x="1556"/>
        <item m="1" x="987"/>
        <item m="1" x="593"/>
        <item m="1" x="888"/>
        <item m="1" x="1061"/>
        <item m="1" x="515"/>
        <item m="1" x="1351"/>
        <item m="1" x="945"/>
        <item m="1" x="755"/>
        <item m="1" x="849"/>
        <item m="1" x="1295"/>
        <item m="1" x="1594"/>
        <item m="1" x="673"/>
        <item m="1" x="1446"/>
        <item m="1" x="667"/>
        <item m="1" x="1231"/>
        <item m="1" x="1003"/>
        <item m="1" x="934"/>
        <item m="1" x="656"/>
        <item m="1" x="723"/>
        <item m="1" x="511"/>
        <item m="1" x="1311"/>
        <item m="1" x="824"/>
        <item m="1" x="548"/>
        <item m="1" x="1162"/>
        <item m="1" x="1477"/>
        <item m="1" x="1017"/>
        <item m="1" x="975"/>
        <item m="1" x="446"/>
        <item m="1" x="1582"/>
        <item m="1" x="832"/>
        <item m="1" x="892"/>
        <item m="1" x="1299"/>
        <item m="1" x="1576"/>
        <item m="1" x="1501"/>
        <item m="1" x="1352"/>
        <item m="1" x="1467"/>
        <item m="1" x="628"/>
        <item m="1" x="827"/>
        <item m="1" x="660"/>
        <item m="1" x="452"/>
        <item m="1" x="1065"/>
        <item m="1" x="514"/>
        <item m="1" x="736"/>
        <item m="1" x="680"/>
        <item m="1" x="626"/>
        <item m="1" x="1581"/>
        <item m="1" x="677"/>
        <item m="1" x="1279"/>
        <item m="1" x="1491"/>
        <item m="1" x="617"/>
        <item m="1" x="521"/>
        <item m="1" x="1314"/>
        <item m="1" x="1290"/>
        <item m="1" x="1331"/>
        <item m="1" x="1250"/>
        <item m="1" x="594"/>
        <item m="1" x="950"/>
        <item m="1" x="1218"/>
        <item m="1" x="1468"/>
        <item m="1" x="1062"/>
        <item m="1" x="1180"/>
        <item m="1" x="1524"/>
        <item m="1" x="936"/>
        <item m="1" x="780"/>
        <item m="1" x="1013"/>
        <item m="1" x="960"/>
        <item m="1" x="890"/>
        <item m="1" x="1407"/>
        <item m="1" x="1094"/>
        <item m="1" x="1190"/>
        <item m="1" x="441"/>
        <item m="1" x="986"/>
        <item m="1" x="588"/>
        <item m="1" x="855"/>
        <item m="1" x="993"/>
        <item m="1" x="523"/>
        <item m="1" x="640"/>
        <item m="1" x="1095"/>
        <item m="1" x="1292"/>
        <item m="1" x="1562"/>
        <item m="1" x="1605"/>
        <item m="1" x="1215"/>
        <item m="1" x="563"/>
        <item m="1" x="491"/>
        <item m="1" x="1077"/>
        <item m="1" x="699"/>
        <item m="1" x="973"/>
        <item m="1" x="601"/>
        <item m="1" x="704"/>
        <item m="1" x="1131"/>
        <item m="1" x="1487"/>
        <item m="1" x="1418"/>
        <item m="1" x="834"/>
        <item m="1" x="869"/>
        <item m="1" x="1145"/>
        <item m="1" x="1575"/>
        <item m="1" x="1301"/>
        <item m="1" x="467"/>
        <item m="1" x="1529"/>
        <item m="1" x="575"/>
        <item m="1" x="1221"/>
        <item m="1" x="1266"/>
        <item m="1" x="1269"/>
        <item m="1" x="1609"/>
        <item m="1" x="502"/>
        <item m="1" x="1280"/>
        <item m="1" x="1377"/>
        <item m="1" x="1149"/>
        <item m="1" x="1319"/>
        <item m="1" x="561"/>
        <item m="1" x="953"/>
        <item m="1" x="800"/>
        <item m="1" x="1412"/>
        <item m="1" x="1507"/>
        <item m="1" x="1036"/>
        <item m="1" x="1475"/>
        <item m="1" x="1523"/>
        <item m="1" x="876"/>
        <item m="1" x="1379"/>
        <item m="1" x="1242"/>
        <item m="1" x="1525"/>
        <item m="1" x="1569"/>
        <item m="1" x="1307"/>
        <item m="1" x="917"/>
        <item m="1" x="722"/>
        <item m="1" x="1557"/>
        <item m="1" x="1104"/>
        <item m="1" x="1078"/>
        <item m="1" x="1087"/>
        <item m="1" x="1608"/>
        <item m="1" x="1332"/>
        <item m="1" x="1027"/>
        <item m="1" x="1296"/>
        <item m="1" x="1273"/>
        <item m="1" x="889"/>
        <item m="1" x="790"/>
        <item m="1" x="1289"/>
        <item m="1" x="684"/>
        <item m="1" x="641"/>
        <item m="1" x="583"/>
        <item m="1" x="1570"/>
        <item m="1" x="1186"/>
        <item m="1" x="921"/>
        <item m="1" x="1002"/>
        <item m="1" x="483"/>
        <item m="1" x="1559"/>
        <item m="1" x="1110"/>
        <item m="1" x="1258"/>
        <item m="1" x="706"/>
        <item m="1" x="1390"/>
        <item m="1" x="893"/>
        <item m="1" x="786"/>
        <item m="1" x="1614"/>
        <item m="1" x="916"/>
        <item m="1" x="1555"/>
        <item m="1" x="1141"/>
        <item m="1" x="817"/>
        <item m="1" x="608"/>
        <item m="1" x="551"/>
        <item m="1" x="845"/>
        <item m="1" x="542"/>
        <item m="1" x="513"/>
        <item m="1" x="530"/>
        <item m="1" x="809"/>
        <item m="1" x="654"/>
        <item m="1" x="961"/>
        <item m="1" x="1018"/>
        <item m="1" x="1117"/>
        <item m="1" x="988"/>
        <item m="1" x="1321"/>
        <item m="1" x="1385"/>
        <item m="1" x="597"/>
        <item m="1" x="607"/>
        <item m="1" x="796"/>
        <item m="1" x="938"/>
        <item m="1" x="728"/>
        <item m="1" x="1281"/>
        <item m="1" x="1031"/>
        <item m="1" x="948"/>
        <item m="1" x="1081"/>
        <item m="1" x="1387"/>
        <item m="1" x="1325"/>
        <item m="1" x="1411"/>
        <item m="1" x="1167"/>
        <item m="1" x="587"/>
        <item m="1" x="1593"/>
        <item m="1" x="1006"/>
        <item m="1" x="621"/>
        <item m="1" x="445"/>
        <item m="1" x="1590"/>
        <item m="1" x="1074"/>
        <item m="1" x="1041"/>
        <item m="1" x="813"/>
        <item m="1" x="693"/>
        <item m="1" x="777"/>
        <item m="1" x="931"/>
        <item m="1" x="1506"/>
        <item m="1" x="1425"/>
        <item m="1" x="801"/>
        <item m="1" x="874"/>
        <item m="1" x="881"/>
        <item m="1" x="1419"/>
        <item m="1" x="1022"/>
        <item m="1" x="494"/>
        <item m="1" x="1055"/>
        <item m="1" x="1334"/>
        <item m="1" x="1460"/>
        <item m="1" x="1353"/>
        <item m="1" x="1161"/>
        <item m="1" x="1459"/>
        <item m="1" x="473"/>
        <item m="1" x="1376"/>
        <item m="1" x="455"/>
        <item m="1" x="795"/>
        <item m="1" x="459"/>
        <item m="1" x="618"/>
        <item m="1" x="708"/>
        <item m="1" x="714"/>
        <item m="1" x="1132"/>
        <item m="1" x="1386"/>
        <item m="1" x="913"/>
        <item m="1" x="484"/>
        <item m="1" x="690"/>
        <item m="1" x="478"/>
        <item m="1" x="1473"/>
        <item m="1" x="698"/>
        <item m="1" x="1034"/>
        <item m="1" x="1493"/>
        <item m="1" x="820"/>
        <item m="1" x="762"/>
        <item m="1" x="1158"/>
        <item m="1" x="715"/>
        <item m="1" x="1023"/>
        <item m="1" x="1317"/>
        <item m="1" x="456"/>
        <item m="1" x="969"/>
        <item m="1" x="1088"/>
        <item m="1" x="580"/>
        <item m="1" x="922"/>
        <item m="1" x="1057"/>
        <item m="1" x="808"/>
        <item m="1" x="846"/>
        <item m="1" x="573"/>
        <item m="1" x="979"/>
        <item m="1" x="443"/>
        <item m="1" x="1115"/>
        <item m="1" x="1508"/>
        <item m="1" x="1229"/>
        <item m="1" x="1223"/>
        <item m="1" x="1122"/>
        <item m="1" x="448"/>
        <item m="1" x="1254"/>
        <item m="1" x="1297"/>
        <item m="1" x="1103"/>
        <item m="1" x="447"/>
        <item m="1" x="1454"/>
        <item m="1" x="1421"/>
        <item m="1" x="451"/>
        <item m="1" x="730"/>
        <item m="1" x="1120"/>
        <item m="1" x="1375"/>
        <item m="1" x="572"/>
        <item m="1" x="468"/>
        <item m="1" x="627"/>
        <item m="1" x="518"/>
        <item m="1" x="926"/>
        <item m="1" x="739"/>
        <item m="1" x="737"/>
        <item m="1" x="908"/>
        <item m="1" x="1010"/>
        <item m="1" x="914"/>
        <item m="1" x="1111"/>
        <item m="1" x="963"/>
        <item m="1" x="828"/>
        <item m="1" x="943"/>
        <item m="1" x="1436"/>
        <item m="1" x="1531"/>
        <item m="1" x="788"/>
        <item m="1" x="1511"/>
        <item m="1" x="553"/>
        <item m="1" x="1500"/>
        <item m="1" x="1197"/>
        <item m="1" x="1368"/>
        <item m="1" x="1447"/>
        <item m="1" x="1127"/>
        <item m="1" x="1339"/>
        <item m="1" x="631"/>
        <item m="1" x="614"/>
        <item m="1" x="1236"/>
        <item m="1" x="1208"/>
        <item m="1" x="770"/>
        <item m="1" x="1606"/>
        <item m="1" x="1178"/>
        <item m="1" x="918"/>
        <item m="1" x="992"/>
        <item m="1" x="951"/>
        <item m="1" x="1461"/>
        <item m="1" x="1465"/>
        <item m="1" x="461"/>
        <item m="1" x="1345"/>
        <item m="1" x="1391"/>
        <item m="1" x="510"/>
        <item m="1" x="882"/>
        <item m="1" x="873"/>
        <item m="1" x="1380"/>
        <item m="1" x="1079"/>
        <item m="1" x="1283"/>
        <item m="1" x="949"/>
        <item m="1" x="1300"/>
        <item m="1" x="488"/>
        <item m="1" x="611"/>
        <item m="1" x="1580"/>
        <item m="1" x="1200"/>
        <item m="1" x="1572"/>
        <item m="1" x="492"/>
        <item m="1" x="752"/>
        <item m="1" x="568"/>
        <item m="1" x="501"/>
        <item m="1" x="516"/>
        <item m="1" x="1068"/>
        <item m="1" x="1101"/>
        <item m="1" x="773"/>
        <item m="1" x="1191"/>
        <item m="1" x="1509"/>
        <item m="1" x="860"/>
        <item m="1" x="939"/>
        <item m="1" x="1089"/>
        <item m="1" x="1577"/>
        <item m="1" x="754"/>
        <item m="1" x="766"/>
        <item m="1" x="776"/>
        <item m="1" x="1397"/>
        <item m="1" x="1533"/>
        <item m="1" x="450"/>
        <item m="1" x="1277"/>
        <item m="1" x="1573"/>
        <item m="1" x="674"/>
        <item m="1" x="989"/>
        <item m="1" x="1610"/>
        <item m="1" x="1516"/>
        <item m="1" x="663"/>
        <item m="1" x="775"/>
        <item m="1" x="862"/>
        <item m="1" x="1187"/>
        <item m="1" x="1384"/>
        <item m="1" x="619"/>
        <item m="1" x="1090"/>
        <item m="1" x="615"/>
        <item m="1" x="584"/>
        <item m="1" x="532"/>
        <item m="1" x="1503"/>
        <item m="1" x="1096"/>
        <item m="1" x="1544"/>
        <item m="1" x="937"/>
        <item m="1" x="1561"/>
        <item m="1" x="1313"/>
        <item m="1" x="602"/>
        <item m="1" x="1417"/>
        <item m="1" x="1431"/>
        <item m="1" x="1091"/>
        <item m="1" x="1466"/>
        <item m="1" x="1304"/>
        <item m="1" x="1169"/>
        <item m="1" x="486"/>
        <item m="1" x="1315"/>
        <item m="1" x="1047"/>
        <item m="1" x="980"/>
        <item m="1" x="1323"/>
        <item m="1" x="907"/>
        <item m="1" x="541"/>
        <item m="1" x="713"/>
        <item m="1" x="490"/>
        <item m="1" x="839"/>
        <item m="1" x="1217"/>
        <item m="1" x="802"/>
        <item m="1" x="665"/>
        <item m="1" x="880"/>
        <item m="1" x="558"/>
        <item m="1" x="810"/>
        <item m="1" x="681"/>
        <item m="1" x="1032"/>
        <item m="1" x="1619"/>
        <item m="1" x="1073"/>
        <item m="1" x="669"/>
        <item m="1" x="946"/>
        <item m="1" x="652"/>
        <item m="1" x="705"/>
        <item m="1" x="997"/>
        <item m="1" x="1265"/>
        <item m="1" x="982"/>
        <item m="1" x="1432"/>
        <item m="1" x="994"/>
        <item m="1" x="1228"/>
        <item m="1" x="543"/>
        <item m="1" x="1026"/>
        <item m="1" x="666"/>
        <item m="1" x="596"/>
        <item m="1" x="1322"/>
        <item m="1" x="637"/>
        <item m="1" x="1346"/>
        <item m="1" x="538"/>
        <item m="1" x="1163"/>
        <item m="1" x="1170"/>
        <item m="1" x="574"/>
        <item m="1" x="1092"/>
        <item m="1" x="470"/>
        <item m="1" x="1293"/>
        <item m="1" x="998"/>
        <item m="1" x="1219"/>
        <item m="1" x="1188"/>
        <item m="1" x="1408"/>
        <item m="1" x="1181"/>
        <item m="1" x="759"/>
        <item m="1" x="1260"/>
        <item m="1" x="1394"/>
        <item m="1" x="1084"/>
        <item m="1" x="1216"/>
        <item m="1" x="549"/>
        <item m="1" x="1382"/>
        <item m="1" x="1039"/>
        <item m="1" x="904"/>
        <item m="1" x="1288"/>
        <item m="1" x="814"/>
        <item m="1" x="1137"/>
        <item m="1" x="671"/>
        <item m="1" x="767"/>
        <item m="1" x="1164"/>
        <item m="1" x="933"/>
        <item m="1" x="477"/>
        <item m="1" x="811"/>
        <item m="1" x="1291"/>
        <item m="1" x="1393"/>
        <item m="1" x="496"/>
        <item m="1" x="781"/>
        <item m="1" x="716"/>
        <item m="1" x="1049"/>
        <item m="1" x="1142"/>
        <item m="1" x="582"/>
        <item m="1" x="1564"/>
        <item m="1" x="547"/>
        <item m="1" x="620"/>
        <item m="1" x="1401"/>
        <item m="1" x="909"/>
        <item m="1" x="923"/>
        <item m="1" x="977"/>
        <item m="1" x="552"/>
        <item m="1" x="831"/>
        <item m="1" x="1226"/>
        <item m="1" x="1138"/>
        <item m="1" x="928"/>
        <item m="1" x="875"/>
        <item m="1" x="505"/>
        <item m="1" x="743"/>
        <item m="1" x="1207"/>
        <item m="1" x="841"/>
        <item m="1" x="1004"/>
        <item m="1" x="941"/>
        <item m="1" x="1123"/>
        <item m="1" x="487"/>
        <item m="1" x="968"/>
        <item m="1" x="642"/>
        <item m="1" x="1045"/>
        <item m="1" x="1171"/>
        <item m="1" x="1247"/>
        <item m="1" x="1182"/>
        <item m="1" x="1143"/>
        <item m="1" x="1069"/>
        <item m="1" x="1480"/>
        <item m="1" x="1372"/>
        <item m="1" x="623"/>
        <item m="1" x="1364"/>
        <item m="1" x="818"/>
        <item m="1" x="1128"/>
        <item m="1" x="534"/>
        <item m="1" x="1107"/>
        <item m="1" x="974"/>
        <item m="1" x="1406"/>
        <item m="1" x="560"/>
        <item m="1" x="1617"/>
        <item m="1" x="599"/>
        <item m="1" x="539"/>
        <item m="1" x="1109"/>
        <item m="1" x="1309"/>
        <item m="1" x="1212"/>
        <item m="1" x="498"/>
        <item m="1" x="650"/>
        <item m="1" x="1438"/>
        <item m="1" x="1378"/>
        <item m="1" x="633"/>
        <item m="1" x="606"/>
        <item m="1" x="901"/>
        <item m="1" x="522"/>
        <item m="1" x="1129"/>
        <item m="1" x="562"/>
        <item m="1" x="732"/>
        <item m="1" x="1029"/>
        <item m="1" x="1560"/>
        <item m="1" x="600"/>
        <item m="1" x="870"/>
        <item m="1" x="717"/>
        <item m="1" x="879"/>
        <item m="1" x="1433"/>
        <item m="1" x="1316"/>
        <item m="1" x="778"/>
        <item m="1" x="531"/>
        <item m="1" x="1481"/>
        <item m="1" x="644"/>
        <item m="1" x="1426"/>
        <item m="1" x="983"/>
        <item m="1" x="1367"/>
        <item m="1" x="726"/>
        <item m="1" x="898"/>
        <item m="1" x="1383"/>
        <item m="1" x="1571"/>
        <item m="1" x="1347"/>
        <item m="1" x="746"/>
        <item m="1" x="689"/>
        <item m="1" x="1392"/>
        <item m="1" x="1156"/>
        <item m="1" x="1000"/>
        <item m="1" x="1424"/>
        <item m="1" x="472"/>
        <item m="1" x="469"/>
        <item m="1" x="1144"/>
        <item m="1" x="1284"/>
        <item m="1" x="1239"/>
        <item m="1" x="1422"/>
        <item m="1" x="947"/>
        <item m="1" x="694"/>
        <item m="1" x="768"/>
        <item m="1" x="1298"/>
        <item m="1" x="850"/>
        <item m="1" x="1080"/>
        <item m="1" x="1495"/>
        <item m="1" x="733"/>
        <item m="1" x="1070"/>
        <item m="1" x="454"/>
        <item m="1" x="78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m="1" x="771"/>
        <item m="1" x="1532"/>
        <item m="1" x="474"/>
        <item m="1" x="439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58">
    <i>
      <x/>
    </i>
    <i r="1">
      <x v="1595"/>
    </i>
    <i r="2">
      <x v="8"/>
    </i>
    <i r="1">
      <x v="1596"/>
    </i>
    <i r="2">
      <x v="11"/>
    </i>
    <i r="1">
      <x v="1597"/>
    </i>
    <i r="2">
      <x v="8"/>
    </i>
    <i r="1">
      <x v="1598"/>
    </i>
    <i r="2">
      <x v="8"/>
    </i>
    <i r="1">
      <x v="1599"/>
    </i>
    <i r="2">
      <x v="8"/>
    </i>
    <i r="1">
      <x v="1600"/>
    </i>
    <i r="2">
      <x v="8"/>
    </i>
    <i r="1">
      <x v="1601"/>
    </i>
    <i r="2">
      <x v="8"/>
    </i>
    <i r="1">
      <x v="1602"/>
    </i>
    <i r="2">
      <x v="8"/>
    </i>
    <i r="1">
      <x v="1603"/>
    </i>
    <i r="2">
      <x v="8"/>
    </i>
    <i r="1">
      <x v="1604"/>
    </i>
    <i r="2">
      <x v="8"/>
    </i>
    <i r="1">
      <x v="1605"/>
    </i>
    <i r="2">
      <x v="8"/>
    </i>
    <i r="1">
      <x v="1606"/>
    </i>
    <i r="2">
      <x v="8"/>
    </i>
    <i r="1">
      <x v="1607"/>
    </i>
    <i r="2">
      <x v="8"/>
    </i>
    <i r="1">
      <x v="1608"/>
    </i>
    <i r="2">
      <x v="8"/>
    </i>
    <i r="1">
      <x v="1609"/>
    </i>
    <i r="2">
      <x v="8"/>
    </i>
    <i r="1">
      <x v="1610"/>
    </i>
    <i r="2">
      <x v="8"/>
    </i>
    <i r="1">
      <x v="1611"/>
    </i>
    <i r="2">
      <x v="8"/>
    </i>
    <i r="1">
      <x v="1612"/>
    </i>
    <i r="2">
      <x v="8"/>
    </i>
    <i r="1">
      <x v="1613"/>
    </i>
    <i r="2">
      <x v="8"/>
    </i>
    <i r="1">
      <x v="1614"/>
    </i>
    <i r="2">
      <x v="8"/>
    </i>
    <i r="1">
      <x v="1615"/>
    </i>
    <i r="2">
      <x v="8"/>
    </i>
    <i>
      <x v="1"/>
    </i>
    <i r="1">
      <x v="1580"/>
    </i>
    <i r="2">
      <x v="13"/>
    </i>
    <i r="1">
      <x v="1590"/>
    </i>
    <i r="2">
      <x v="3"/>
    </i>
    <i r="2">
      <x v="13"/>
    </i>
    <i r="1">
      <x v="1591"/>
    </i>
    <i r="2">
      <x v="8"/>
    </i>
    <i r="1">
      <x v="1592"/>
    </i>
    <i r="2">
      <x v="8"/>
    </i>
    <i r="1">
      <x v="1593"/>
    </i>
    <i r="2">
      <x v="8"/>
    </i>
    <i r="1">
      <x v="1594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38" totalsRowShown="0" totalsRowDxfId="27">
  <autoFilter ref="A1:C1338" xr:uid="{43456A03-EFD4-416A-B021-C441A7C21E4E}"/>
  <tableColumns count="3">
    <tableColumn id="1" xr3:uid="{96F9219D-1D74-4611-A7AA-8AB4E044352A}" name="Ticket" totalsRowDxfId="26"/>
    <tableColumn id="2" xr3:uid="{D6F02EDE-42BA-4EF9-A278-EA070340E315}" name="Number" totalsRowDxfId="25"/>
    <tableColumn id="3" xr3:uid="{F6A90E5F-0E5C-41D7-A40C-1CC9A86DC194}" name="Status" totalsRow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714" totalsRowShown="0">
  <autoFilter ref="A1:S4714" xr:uid="{678037D6-A574-4B81-B392-ED766472D9FE}">
    <filterColumn colId="0">
      <filters>
        <filter val="FR6940622"/>
        <filter val="FR6943059"/>
        <filter val="FR6945187"/>
        <filter val="FR6945251"/>
        <filter val="FR6947443"/>
        <filter val="FR6948171"/>
        <filter val="FR6950020"/>
        <filter val="FR6951585"/>
        <filter val="FR6951651"/>
        <filter val="FR6956164"/>
        <filter val="FR6966061"/>
        <filter val="FR6970242"/>
        <filter val="FR6974751"/>
        <filter val="FR6975197"/>
        <filter val="FR6977069"/>
        <filter val="FR6977108"/>
        <filter val="FR6978118"/>
        <filter val="FR6978512"/>
        <filter val="FR6981021"/>
        <filter val="FR6981168"/>
        <filter val="FR6981254"/>
        <filter val="FR6982139"/>
        <filter val="FR6982382"/>
        <filter val="FR6984381"/>
        <filter val="FR6986301"/>
        <filter val="FR6988197"/>
        <filter val="FR6995568"/>
        <filter val="FR7000149"/>
        <filter val="FR7000977"/>
        <filter val="FR7006542"/>
        <filter val="FR7007038"/>
        <filter val="FR7010037"/>
        <filter val="FR7010909"/>
        <filter val="FR7013508"/>
        <filter val="FR7018001"/>
        <filter val="FR7022004"/>
        <filter val="FR7022142"/>
        <filter val="FR7024407"/>
        <filter val="FR7025313"/>
        <filter val="FR7025837"/>
        <filter val="FR7031618"/>
        <filter val="FR7032783"/>
        <filter val="FR7040071"/>
        <filter val="FR7040552"/>
        <filter val="FR7040650"/>
        <filter val="FR7043643"/>
        <filter val="FR7044542"/>
        <filter val="FR7046557"/>
        <filter val="FR7047182"/>
        <filter val="FR7047510"/>
        <filter val="FR7048767"/>
        <filter val="FR7049840"/>
        <filter val="FR7051498"/>
        <filter val="FR7051681"/>
        <filter val="FR7052459"/>
        <filter val="FR7057554"/>
        <filter val="FR7057938"/>
        <filter val="FR7061005"/>
        <filter val="FR7064092"/>
        <filter val="FR7067731"/>
        <filter val="FR7070747"/>
        <filter val="FR7076100"/>
        <filter val="FR7079666"/>
        <filter val="FR7081100"/>
        <filter val="FR7083726"/>
        <filter val="FR7084082"/>
        <filter val="FR7084367"/>
        <filter val="FR7088415"/>
        <filter val="FR7088452"/>
        <filter val="FR7088907"/>
        <filter val="FR7089970"/>
        <filter val="FR7091332"/>
        <filter val="FR7093701"/>
        <filter val="FR7098702"/>
        <filter val="FR7099781"/>
        <filter val="FR7099869"/>
        <filter val="FR7102758"/>
        <filter val="FR7105221"/>
        <filter val="FR7105658"/>
        <filter val="FR7105779"/>
        <filter val="FR7108798"/>
        <filter val="FR7108808"/>
        <filter val="FR7109079"/>
        <filter val="FR7109966"/>
        <filter val="FR7113391"/>
        <filter val="FR7113612"/>
        <filter val="FR7114300"/>
        <filter val="FR7114891"/>
        <filter val="FR7118997"/>
        <filter val="FR7119096"/>
        <filter val="FR7121419"/>
        <filter val="FR7121444"/>
        <filter val="FR7122316"/>
        <filter val="FR7122508"/>
        <filter val="FR7123793"/>
        <filter val="FR7126398"/>
        <filter val="FR7126485"/>
        <filter val="FR7127745"/>
        <filter val="FR7127941"/>
        <filter val="FR7129327"/>
        <filter val="FR7130653"/>
        <filter val="FR7130985"/>
        <filter val="FR7131332"/>
        <filter val="FR7132388"/>
        <filter val="FR7135273"/>
        <filter val="FR7136272"/>
        <filter val="FR7136872"/>
        <filter val="FR7140268"/>
        <filter val="FR7148336"/>
        <filter val="FR7148376"/>
        <filter val="FR7150280"/>
        <filter val="FR7150528"/>
        <filter val="FR7154481"/>
        <filter val="FR7161411"/>
        <filter val="FR7161858"/>
        <filter val="FR7166517"/>
        <filter val="FR7168978"/>
        <filter val="FR7169133"/>
        <filter val="FR7170138"/>
        <filter val="FR7170711"/>
        <filter val="FR7170712"/>
        <filter val="FR7173355"/>
        <filter val="FR7174669"/>
        <filter val="FR7182430"/>
        <filter val="FR7182563"/>
        <filter val="FR7189136"/>
        <filter val="FR7194402"/>
        <filter val="FR7197616"/>
        <filter val="FR7198155"/>
        <filter val="FR7198162"/>
        <filter val="FR7198716"/>
        <filter val="FR7201312"/>
        <filter val="FR7202501"/>
        <filter val="FR7202557"/>
        <filter val="FR7202684"/>
        <filter val="FR7202707"/>
        <filter val="FR7202906"/>
        <filter val="FR7202977"/>
        <filter val="FR7202987"/>
        <filter val="FR7203031"/>
        <filter val="FR7203070"/>
        <filter val="FR7205291"/>
        <filter val="FR7205855"/>
        <filter val="FR7207432"/>
        <filter val="FR7212236"/>
        <filter val="FR7214613"/>
        <filter val="FR7214943"/>
        <filter val="FR7215342"/>
        <filter val="FR7216010"/>
        <filter val="FR7216772"/>
        <filter val="FR7218063"/>
        <filter val="FR7218317"/>
        <filter val="FR7218977"/>
        <filter val="FR7220448"/>
        <filter val="FR7226507"/>
        <filter val="FR7228078"/>
        <filter val="FR7228501"/>
        <filter val="FR7230888"/>
        <filter val="FR7231993"/>
        <filter val="FR7232089"/>
        <filter val="FR7233618"/>
        <filter val="FR7234075"/>
        <filter val="FR7235227"/>
        <filter val="FR7235300"/>
        <filter val="FR7235622"/>
        <filter val="FR7236462"/>
        <filter val="FR7239447"/>
        <filter val="FR7240668"/>
        <filter val="FR7240736"/>
        <filter val="FR7249989"/>
        <filter val="FR7250776"/>
        <filter val="FR7252687"/>
        <filter val="FR7253315"/>
        <filter val="FR7253856"/>
        <filter val="FR7259193"/>
        <filter val="FR7261475"/>
        <filter val="FR7262991"/>
        <filter val="FR7265072"/>
        <filter val="FR7267269"/>
        <filter val="FR7269207"/>
        <filter val="FR7271136"/>
        <filter val="FR7272340"/>
        <filter val="FR7274431"/>
        <filter val="FR7280962"/>
        <filter val="FR7283426"/>
        <filter val="FR7283753"/>
        <filter val="FR7287236"/>
        <filter val="FR7293971"/>
        <filter val="FR7293986"/>
        <filter val="FR7294729"/>
        <filter val="FR7298409"/>
        <filter val="FR7298416"/>
        <filter val="FR7298556"/>
        <filter val="FR7300233"/>
        <filter val="FR7303087"/>
        <filter val="FR7311013"/>
        <filter val="FR7311374"/>
        <filter val="FR7311725"/>
        <filter val="FR7314300"/>
        <filter val="FR7317532"/>
        <filter val="FR7317802"/>
        <filter val="FR7318069"/>
        <filter val="FR7319861"/>
        <filter val="FR7319903"/>
        <filter val="FR7320399"/>
        <filter val="FR7320867"/>
        <filter val="FR7322183"/>
        <filter val="FR7324504"/>
        <filter val="FR7324585"/>
        <filter val="FR7327207"/>
        <filter val="FR7328669"/>
        <filter val="FR7330120"/>
        <filter val="FR7332565"/>
        <filter val="FR7335135"/>
        <filter val="FR7335136"/>
        <filter val="FR7336709"/>
        <filter val="FR7336726"/>
        <filter val="FR7337019"/>
        <filter val="FR7337931"/>
        <filter val="FR7337981"/>
        <filter val="FR7339023"/>
        <filter val="FR7339740"/>
        <filter val="FR7345542"/>
        <filter val="FR7345953"/>
        <filter val="FR7351855"/>
        <filter val="FR7352048"/>
        <filter val="FR7352279"/>
        <filter val="FR7352478"/>
        <filter val="FR7352779"/>
        <filter val="FR7354774"/>
        <filter val="FR7354787"/>
        <filter val="FR7356287"/>
        <filter val="FR7357071"/>
        <filter val="FR7357987"/>
        <filter val="FR7365034"/>
        <filter val="FR7366903"/>
        <filter val="FR7368372"/>
        <filter val="FR7368411"/>
        <filter val="FR7368448"/>
        <filter val="FR7369412"/>
        <filter val="FR7372363"/>
        <filter val="FR7372650"/>
        <filter val="FR7372864"/>
        <filter val="FR7372904"/>
        <filter val="FR7374774"/>
        <filter val="FR7375562"/>
        <filter val="FR7376495"/>
        <filter val="FR7380686"/>
        <filter val="FR7382702"/>
        <filter val="FR7382732"/>
        <filter val="FR7385123"/>
        <filter val="FR7391800"/>
        <filter val="FR7396570"/>
        <filter val="FR7400262"/>
        <filter val="FR7400920"/>
        <filter val="FR7403248"/>
        <filter val="FR7416050"/>
        <filter val="FR7417161"/>
        <filter val="FR7417823"/>
        <filter val="FR7418685"/>
        <filter val="FR7418966"/>
        <filter val="FR7419978"/>
        <filter val="FR7425378"/>
        <filter val="FR7426909"/>
        <filter val="FR7428161"/>
        <filter val="FR7436498"/>
        <filter val="FR7437769"/>
        <filter val="FR7446458"/>
        <filter val="FR7449455"/>
        <filter val="FR7453635"/>
        <filter val="FR7456326"/>
        <filter val="FR7457278"/>
        <filter val="FR7458107"/>
        <filter val="FR7461875"/>
        <filter val="FR7465429"/>
        <filter val="FR7465457"/>
        <filter val="FR7466373"/>
        <filter val="FR7467264"/>
        <filter val="FR7467597"/>
        <filter val="FR7468738"/>
        <filter val="FR7477367"/>
        <filter val="FR7477732"/>
        <filter val="FR7477845"/>
        <filter val="FR7479265"/>
        <filter val="FR7481165"/>
        <filter val="FR7481575"/>
        <filter val="FR7482145"/>
        <filter val="FR7486081"/>
        <filter val="FR7486995"/>
        <filter val="FR7493437"/>
        <filter val="FR7496486"/>
        <filter val="FR7496712"/>
        <filter val="FR7499647"/>
        <filter val="FR7499694"/>
        <filter val="FR7500016"/>
        <filter val="FR7501205"/>
        <filter val="FR7507363"/>
        <filter val="FR7507479"/>
        <filter val="FR7508533"/>
        <filter val="FR7510313"/>
        <filter val="FR7515129"/>
        <filter val="FR7516784"/>
        <filter val="FR7517047"/>
        <filter val="FR7519490"/>
        <filter val="FR7522204"/>
        <filter val="FR7526807"/>
        <filter val="FR7527104"/>
        <filter val="FR7529383"/>
        <filter val="FR7530772"/>
        <filter val="FR7531920"/>
        <filter val="FR7536035"/>
        <filter val="FR7540274"/>
        <filter val="FR7551842"/>
        <filter val="FR7553566"/>
        <filter val="FR7558422"/>
        <filter val="FR7558717"/>
        <filter val="FR7569900"/>
        <filter val="FR7570444"/>
        <filter val="FR7571211"/>
        <filter val="FR7571293"/>
        <filter val="FR7571302"/>
        <filter val="FR7571309"/>
        <filter val="FR7573365"/>
        <filter val="FR7580945"/>
        <filter val="FR7581232"/>
        <filter val="FR7585834"/>
        <filter val="FR7589717"/>
        <filter val="FR7591041"/>
        <filter val="FR7595707"/>
        <filter val="FR7596042"/>
        <filter val="FR7600506"/>
        <filter val="FR7600515"/>
        <filter val="FR7600523"/>
        <filter val="FR7608837"/>
        <filter val="FR7610526"/>
        <filter val="FR7612893"/>
        <filter val="FR7615323"/>
        <filter val="FR7615386"/>
        <filter val="FR7615420"/>
        <filter val="FR7619559"/>
        <filter val="FR7620211"/>
        <filter val="FR7626038"/>
        <filter val="FR7636902"/>
        <filter val="FR7637010"/>
        <filter val="FR7637217"/>
        <filter val="FR7639219"/>
        <filter val="FR7640142"/>
        <filter val="FR7640621"/>
        <filter val="FR7642109"/>
        <filter val="FR7645020"/>
        <filter val="FR7648582"/>
        <filter val="FR7653134"/>
        <filter val="FR7659528"/>
        <filter val="FR7659713"/>
        <filter val="FR7665415"/>
        <filter val="FR7669094"/>
        <filter val="FR7672089"/>
        <filter val="FR7674797"/>
        <filter val="FR7680650"/>
        <filter val="FR7685524"/>
        <filter val="FR7697758"/>
        <filter val="FR7700603"/>
        <filter val="FR7700650"/>
        <filter val="FR7701239"/>
        <filter val="FR7702114"/>
        <filter val="FR7705866"/>
        <filter val="FR7705980"/>
        <filter val="FR7721947"/>
        <filter val="FR7735014"/>
        <filter val="FR7742424"/>
        <filter val="FR7743836"/>
        <filter val="FR7743953"/>
        <filter val="FR7754101"/>
        <filter val="FR7761858"/>
        <filter val="FR7774847"/>
        <filter val="FR7775027"/>
        <filter val="FR7778538"/>
        <filter val="FR7781427"/>
        <filter val="FR7785982"/>
        <filter val="FR7804042"/>
        <filter val="FR7811994"/>
        <filter val="FR7812109"/>
        <filter val="FR7823194"/>
        <filter val="FR7823548"/>
        <filter val="FR7823579"/>
        <filter val="FR7825748"/>
        <filter val="FR7831957"/>
        <filter val="FR7837035"/>
        <filter val="FR7837365"/>
        <filter val="FR7849069"/>
        <filter val="FR7869671"/>
        <filter val="FR7872002"/>
        <filter val="FR7873509"/>
        <filter val="FR7873614"/>
        <filter val="FR7876275"/>
        <filter val="FR7881587"/>
        <filter val="FR7884815"/>
        <filter val="FR7886442"/>
        <filter val="FR7886476"/>
        <filter val="FR7891441"/>
        <filter val="FR7896046"/>
        <filter val="FR7896681"/>
        <filter val="FR7897475"/>
        <filter val="FR7902593"/>
        <filter val="FR7902814"/>
        <filter val="FR7905416"/>
        <filter val="FR7905527"/>
        <filter val="FR7907863"/>
        <filter val="FR7916805"/>
        <filter val="FR7916819"/>
        <filter val="FR7916831"/>
        <filter val="FR7929886"/>
        <filter val="FR7930721"/>
        <filter val="FR7933262"/>
        <filter val="FR7941951"/>
        <filter val="FR7943141"/>
        <filter val="FR7944249"/>
        <filter val="FR7953877"/>
        <filter val="FR7955415"/>
        <filter val="FR7958459"/>
        <filter val="FR7967809"/>
        <filter val="FR7968675"/>
        <filter val="FR7968701"/>
        <filter val="FR7968788"/>
        <filter val="FR7969110"/>
        <filter val="FR7970870"/>
        <filter val="FR7973160"/>
        <filter val="FR7973237"/>
        <filter val="FR7973245"/>
        <filter val="FR7973246"/>
        <filter val="FR7973251"/>
        <filter val="FR7973258"/>
        <filter val="FR7973269"/>
        <filter val="FR7973273"/>
        <filter val="FR7973277"/>
        <filter val="FR7973286"/>
        <filter val="FR7973453"/>
        <filter val="FR7978263"/>
      </filters>
    </filterColumn>
    <filterColumn colId="1">
      <filters>
        <filter val="open"/>
      </filters>
    </filterColumn>
    <filterColumn colId="2">
      <filters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1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0"/>
    <tableColumn id="7" xr3:uid="{D69C8A00-2CB4-4F31-920A-C1D332375D40}" name="type"/>
    <tableColumn id="9" xr3:uid="{3D246B09-CC89-411A-9E7E-B79496797F29}" name="LFF_ID" dataDxfId="19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8">
      <calculatedColumnFormula>Proc[[#This Row],[Requested]]=Proc[[#This Row],[CurrentParent]]</calculatedColumnFormula>
    </tableColumn>
    <tableColumn id="24" xr3:uid="{9DAA192A-7AAB-4460-A9EA-787D5AF7E069}" name="Sector" dataDxfId="17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6"/>
    <tableColumn id="15" xr3:uid="{F0BFEDC5-AB85-4752-8DBE-1E2D2A86C38C}" name="DateOpened" dataDxfId="15"/>
    <tableColumn id="17" xr3:uid="{78B7D816-31FE-4F8F-8018-91CE8D5DE9A2}" name="DateMapped" dataDxfId="14"/>
    <tableColumn id="16" xr3:uid="{37F76675-DAA7-497A-B0C3-D5ADC87396FC}" name="DateClosed" dataDxfId="13"/>
    <tableColumn id="23" xr3:uid="{77371810-6F86-4EEF-85D0-5FCFC20B88DC}" name="Delayed?" dataDxfId="12">
      <calculatedColumnFormula>IF(Proc[[#This Row],[DaysAgeing]]&gt;5,"yep","on track")</calculatedColumnFormula>
    </tableColumn>
    <tableColumn id="18" xr3:uid="{6AC4A96E-CE6C-49CA-A4F1-794160BB5940}" name="DaysAgeing" dataDxfId="11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0"/>
    <tableColumn id="22" xr3:uid="{87389AE1-9ECE-4C7F-80F9-48A35BE78A62}" name="Prognosis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2" totalsRowShown="0">
  <autoFilter ref="A1:B142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8"/>
    <tableColumn id="6" xr3:uid="{73647D57-303F-4AF5-983C-1CCB32EBD08D}" name="Forecast Period" dataDxfId="7"/>
    <tableColumn id="4" xr3:uid="{FA11B267-B5E3-452C-A4E3-1668B4A12A28}" name="Number of Tickets Raised" dataDxfId="6"/>
    <tableColumn id="1" xr3:uid="{441BC59C-A1EA-4CA8-B944-D602CD57D89D}" name="Delayed Tickets"/>
    <tableColumn id="5" xr3:uid="{29680677-3B0F-4EC4-81FF-46A6FDD4C5F7}" name="Number of Total Objects" dataDxfId="5"/>
    <tableColumn id="2" xr3:uid="{3D96D299-AEA2-4D9C-9BE6-F98ADF0CDB84}" name="Commentary for delayed tickets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6"/>
  <sheetViews>
    <sheetView workbookViewId="0">
      <selection activeCell="C27" sqref="C27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192</v>
      </c>
    </row>
    <row r="5" spans="1:2">
      <c r="A5" s="111" t="s">
        <v>369</v>
      </c>
      <c r="B5" s="150">
        <v>187</v>
      </c>
    </row>
    <row r="6" spans="1:2">
      <c r="A6" s="111" t="s">
        <v>404</v>
      </c>
      <c r="B6" s="150"/>
    </row>
    <row r="7" spans="1:2">
      <c r="A7" s="111" t="s">
        <v>370</v>
      </c>
      <c r="B7" s="150">
        <v>3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152</v>
      </c>
    </row>
    <row r="15" spans="1:2">
      <c r="A15" s="111" t="s">
        <v>369</v>
      </c>
      <c r="B15" s="150">
        <v>131</v>
      </c>
    </row>
    <row r="16" spans="1:2">
      <c r="A16" s="111" t="s">
        <v>370</v>
      </c>
      <c r="B16" s="150">
        <v>21</v>
      </c>
    </row>
    <row r="17" spans="1:2">
      <c r="A17" s="17" t="s">
        <v>569</v>
      </c>
      <c r="B17" s="150">
        <v>142</v>
      </c>
    </row>
    <row r="18" spans="1:2">
      <c r="A18" s="111" t="s">
        <v>369</v>
      </c>
      <c r="B18" s="150">
        <v>100</v>
      </c>
    </row>
    <row r="19" spans="1:2">
      <c r="A19" s="111" t="s">
        <v>370</v>
      </c>
      <c r="B19" s="150">
        <v>39</v>
      </c>
    </row>
    <row r="20" spans="1:2">
      <c r="A20" s="111" t="s">
        <v>377</v>
      </c>
      <c r="B20" s="150">
        <v>1</v>
      </c>
    </row>
    <row r="21" spans="1:2">
      <c r="A21" s="111" t="s">
        <v>692</v>
      </c>
      <c r="B21" s="150">
        <v>2</v>
      </c>
    </row>
    <row r="22" spans="1:2">
      <c r="A22" s="17" t="s">
        <v>570</v>
      </c>
      <c r="B22" s="150">
        <v>124</v>
      </c>
    </row>
    <row r="23" spans="1:2">
      <c r="A23" s="111" t="s">
        <v>369</v>
      </c>
      <c r="B23" s="150">
        <v>80</v>
      </c>
    </row>
    <row r="24" spans="1:2">
      <c r="A24" s="111" t="s">
        <v>377</v>
      </c>
      <c r="B24" s="150">
        <v>6</v>
      </c>
    </row>
    <row r="25" spans="1:2">
      <c r="A25" s="111" t="s">
        <v>375</v>
      </c>
      <c r="B25" s="150">
        <v>38</v>
      </c>
    </row>
    <row r="26" spans="1:2">
      <c r="A26" s="17" t="s">
        <v>381</v>
      </c>
      <c r="B26" s="150">
        <v>610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62"/>
  <sheetViews>
    <sheetView topLeftCell="A22" zoomScale="115" zoomScaleNormal="115" workbookViewId="0">
      <selection activeCell="A17" sqref="A17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97</v>
      </c>
      <c r="C5"/>
      <c r="D5"/>
      <c r="E5"/>
    </row>
    <row r="6" spans="1:6">
      <c r="A6" s="111" t="s">
        <v>6853</v>
      </c>
      <c r="B6" s="150">
        <v>21</v>
      </c>
      <c r="C6" s="126"/>
      <c r="D6" s="124"/>
      <c r="E6" s="124"/>
    </row>
    <row r="7" spans="1:6">
      <c r="A7" s="112" t="s">
        <v>370</v>
      </c>
      <c r="B7" s="150">
        <v>21</v>
      </c>
      <c r="C7"/>
      <c r="D7"/>
      <c r="E7"/>
    </row>
    <row r="8" spans="1:6">
      <c r="A8" s="111" t="s">
        <v>6788</v>
      </c>
      <c r="B8" s="150">
        <v>38</v>
      </c>
      <c r="C8" s="56"/>
      <c r="D8" s="124"/>
      <c r="E8" s="124"/>
    </row>
    <row r="9" spans="1:6">
      <c r="A9" s="112" t="s">
        <v>375</v>
      </c>
      <c r="B9" s="150">
        <v>38</v>
      </c>
      <c r="C9"/>
      <c r="D9"/>
    </row>
    <row r="10" spans="1:6">
      <c r="A10" s="111" t="s">
        <v>6854</v>
      </c>
      <c r="B10" s="150">
        <v>7</v>
      </c>
      <c r="C10" s="53"/>
      <c r="D10" s="124"/>
      <c r="E10" s="124"/>
    </row>
    <row r="11" spans="1:6">
      <c r="A11" s="112" t="s">
        <v>370</v>
      </c>
      <c r="B11" s="150">
        <v>7</v>
      </c>
      <c r="C11"/>
      <c r="D11"/>
    </row>
    <row r="12" spans="1:6">
      <c r="A12" s="111" t="s">
        <v>6864</v>
      </c>
      <c r="B12" s="150">
        <v>1</v>
      </c>
      <c r="C12" s="126"/>
      <c r="D12"/>
    </row>
    <row r="13" spans="1:6">
      <c r="A13" s="112" t="s">
        <v>370</v>
      </c>
      <c r="B13" s="150">
        <v>1</v>
      </c>
      <c r="C13"/>
      <c r="D13"/>
    </row>
    <row r="14" spans="1:6">
      <c r="A14" s="111" t="s">
        <v>6866</v>
      </c>
      <c r="B14" s="150">
        <v>1</v>
      </c>
      <c r="C14" s="126"/>
      <c r="D14"/>
    </row>
    <row r="15" spans="1:6">
      <c r="A15" s="112" t="s">
        <v>370</v>
      </c>
      <c r="B15" s="150">
        <v>1</v>
      </c>
      <c r="C15"/>
      <c r="D15" s="124"/>
      <c r="E15" s="124"/>
    </row>
    <row r="16" spans="1:6">
      <c r="A16" s="111" t="s">
        <v>6868</v>
      </c>
      <c r="B16" s="150">
        <v>2</v>
      </c>
      <c r="C16"/>
      <c r="D16"/>
    </row>
    <row r="17" spans="1:5">
      <c r="A17" s="112" t="s">
        <v>370</v>
      </c>
      <c r="B17" s="150">
        <v>2</v>
      </c>
      <c r="C17"/>
      <c r="D17" s="124"/>
      <c r="E17" s="124"/>
    </row>
    <row r="18" spans="1:5">
      <c r="A18" s="111" t="s">
        <v>6870</v>
      </c>
      <c r="B18" s="150">
        <v>1</v>
      </c>
      <c r="C18" s="126"/>
      <c r="D18"/>
    </row>
    <row r="19" spans="1:5">
      <c r="A19" s="112" t="s">
        <v>370</v>
      </c>
      <c r="B19" s="150">
        <v>1</v>
      </c>
      <c r="C19" s="47"/>
      <c r="D19"/>
    </row>
    <row r="20" spans="1:5">
      <c r="A20" s="111" t="s">
        <v>6884</v>
      </c>
      <c r="B20" s="150">
        <v>12</v>
      </c>
      <c r="C20" s="126"/>
    </row>
    <row r="21" spans="1:5" ht="17.25" customHeight="1">
      <c r="A21" s="112" t="s">
        <v>370</v>
      </c>
      <c r="B21" s="150">
        <v>12</v>
      </c>
    </row>
    <row r="22" spans="1:5">
      <c r="A22" s="111" t="s">
        <v>6885</v>
      </c>
      <c r="B22" s="150">
        <v>1</v>
      </c>
    </row>
    <row r="23" spans="1:5">
      <c r="A23" s="112" t="s">
        <v>370</v>
      </c>
      <c r="B23" s="150">
        <v>1</v>
      </c>
    </row>
    <row r="24" spans="1:5">
      <c r="A24" s="111" t="s">
        <v>6888</v>
      </c>
      <c r="B24" s="150">
        <v>2</v>
      </c>
    </row>
    <row r="25" spans="1:5">
      <c r="A25" s="112" t="s">
        <v>370</v>
      </c>
      <c r="B25" s="150">
        <v>2</v>
      </c>
      <c r="D25" s="124"/>
      <c r="E25" s="124"/>
    </row>
    <row r="26" spans="1:5">
      <c r="A26" s="111" t="s">
        <v>6892</v>
      </c>
      <c r="B26" s="150">
        <v>1</v>
      </c>
      <c r="C26" s="126"/>
    </row>
    <row r="27" spans="1:5">
      <c r="A27" s="112" t="s">
        <v>370</v>
      </c>
      <c r="B27" s="150">
        <v>1</v>
      </c>
    </row>
    <row r="28" spans="1:5">
      <c r="A28" s="111" t="s">
        <v>6893</v>
      </c>
      <c r="B28" s="150">
        <v>1</v>
      </c>
    </row>
    <row r="29" spans="1:5">
      <c r="A29" s="112" t="s">
        <v>370</v>
      </c>
      <c r="B29" s="150">
        <v>1</v>
      </c>
    </row>
    <row r="30" spans="1:5">
      <c r="A30" s="111" t="s">
        <v>6896</v>
      </c>
      <c r="B30" s="150">
        <v>1</v>
      </c>
    </row>
    <row r="31" spans="1:5">
      <c r="A31" s="112" t="s">
        <v>370</v>
      </c>
      <c r="B31" s="150">
        <v>1</v>
      </c>
      <c r="C31" s="30"/>
    </row>
    <row r="32" spans="1:5">
      <c r="A32" s="111" t="s">
        <v>6898</v>
      </c>
      <c r="B32" s="150">
        <v>1</v>
      </c>
      <c r="C32" s="30"/>
    </row>
    <row r="33" spans="1:3">
      <c r="A33" s="112" t="s">
        <v>370</v>
      </c>
      <c r="B33" s="150">
        <v>1</v>
      </c>
      <c r="C33" s="30"/>
    </row>
    <row r="34" spans="1:3">
      <c r="A34" s="111" t="s">
        <v>6899</v>
      </c>
      <c r="B34" s="150">
        <v>1</v>
      </c>
      <c r="C34" s="30"/>
    </row>
    <row r="35" spans="1:3">
      <c r="A35" s="112" t="s">
        <v>370</v>
      </c>
      <c r="B35" s="150">
        <v>1</v>
      </c>
      <c r="C35" s="30"/>
    </row>
    <row r="36" spans="1:3">
      <c r="A36" s="111" t="s">
        <v>6902</v>
      </c>
      <c r="B36" s="150">
        <v>1</v>
      </c>
    </row>
    <row r="37" spans="1:3">
      <c r="A37" s="112" t="s">
        <v>370</v>
      </c>
      <c r="B37" s="150">
        <v>1</v>
      </c>
    </row>
    <row r="38" spans="1:3">
      <c r="A38" s="111" t="s">
        <v>6904</v>
      </c>
      <c r="B38" s="150">
        <v>1</v>
      </c>
    </row>
    <row r="39" spans="1:3">
      <c r="A39" s="112" t="s">
        <v>370</v>
      </c>
      <c r="B39" s="150">
        <v>1</v>
      </c>
    </row>
    <row r="40" spans="1:3">
      <c r="A40" s="111" t="s">
        <v>6905</v>
      </c>
      <c r="B40" s="150">
        <v>1</v>
      </c>
    </row>
    <row r="41" spans="1:3">
      <c r="A41" s="112" t="s">
        <v>370</v>
      </c>
      <c r="B41" s="150">
        <v>1</v>
      </c>
    </row>
    <row r="42" spans="1:3">
      <c r="A42" s="111" t="s">
        <v>6908</v>
      </c>
      <c r="B42" s="150">
        <v>1</v>
      </c>
    </row>
    <row r="43" spans="1:3">
      <c r="A43" s="112" t="s">
        <v>370</v>
      </c>
      <c r="B43" s="150">
        <v>1</v>
      </c>
    </row>
    <row r="44" spans="1:3">
      <c r="A44" s="111" t="s">
        <v>6910</v>
      </c>
      <c r="B44" s="150">
        <v>1</v>
      </c>
    </row>
    <row r="45" spans="1:3">
      <c r="A45" s="112" t="s">
        <v>370</v>
      </c>
      <c r="B45" s="150">
        <v>1</v>
      </c>
    </row>
    <row r="46" spans="1:3">
      <c r="A46" s="111" t="s">
        <v>6912</v>
      </c>
      <c r="B46" s="150">
        <v>1</v>
      </c>
    </row>
    <row r="47" spans="1:3">
      <c r="A47" s="112" t="s">
        <v>370</v>
      </c>
      <c r="B47" s="150">
        <v>1</v>
      </c>
    </row>
    <row r="48" spans="1:3">
      <c r="A48" s="17" t="s">
        <v>4326</v>
      </c>
      <c r="B48" s="150">
        <v>10</v>
      </c>
    </row>
    <row r="49" spans="1:2">
      <c r="A49" s="111" t="s">
        <v>6639</v>
      </c>
      <c r="B49" s="150">
        <v>2</v>
      </c>
    </row>
    <row r="50" spans="1:2">
      <c r="A50" s="112" t="s">
        <v>692</v>
      </c>
      <c r="B50" s="150">
        <v>2</v>
      </c>
    </row>
    <row r="51" spans="1:2">
      <c r="A51" s="111" t="s">
        <v>6748</v>
      </c>
      <c r="B51" s="150">
        <v>4</v>
      </c>
    </row>
    <row r="52" spans="1:2">
      <c r="A52" s="112" t="s">
        <v>369</v>
      </c>
      <c r="B52" s="150">
        <v>3</v>
      </c>
    </row>
    <row r="53" spans="1:2">
      <c r="A53" s="112" t="s">
        <v>692</v>
      </c>
      <c r="B53" s="150">
        <v>1</v>
      </c>
    </row>
    <row r="54" spans="1:2">
      <c r="A54" s="111" t="s">
        <v>6777</v>
      </c>
      <c r="B54" s="150">
        <v>1</v>
      </c>
    </row>
    <row r="55" spans="1:2">
      <c r="A55" s="112" t="s">
        <v>370</v>
      </c>
      <c r="B55" s="150">
        <v>1</v>
      </c>
    </row>
    <row r="56" spans="1:2">
      <c r="A56" s="111" t="s">
        <v>6781</v>
      </c>
      <c r="B56" s="150">
        <v>1</v>
      </c>
    </row>
    <row r="57" spans="1:2">
      <c r="A57" s="112" t="s">
        <v>370</v>
      </c>
      <c r="B57" s="150">
        <v>1</v>
      </c>
    </row>
    <row r="58" spans="1:2">
      <c r="A58" s="111" t="s">
        <v>6784</v>
      </c>
      <c r="B58" s="150">
        <v>1</v>
      </c>
    </row>
    <row r="59" spans="1:2">
      <c r="A59" s="112" t="s">
        <v>370</v>
      </c>
      <c r="B59" s="150">
        <v>1</v>
      </c>
    </row>
    <row r="60" spans="1:2">
      <c r="A60" s="111" t="s">
        <v>6785</v>
      </c>
      <c r="B60" s="150">
        <v>1</v>
      </c>
    </row>
    <row r="61" spans="1:2">
      <c r="A61" s="112" t="s">
        <v>370</v>
      </c>
      <c r="B61" s="150">
        <v>1</v>
      </c>
    </row>
    <row r="62" spans="1:2">
      <c r="A62" s="17" t="s">
        <v>381</v>
      </c>
      <c r="B62" s="150">
        <v>107</v>
      </c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38"/>
  <sheetViews>
    <sheetView topLeftCell="A1323" workbookViewId="0">
      <selection activeCell="A1343" sqref="A134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</sheetData>
  <conditionalFormatting sqref="A2:A545 A548:A568 A570:A1036 A1038:A1232 A1238:A1272 A1274:A1283 A1286:A1291 A1293:A1048576">
    <cfRule type="duplicateValues" dxfId="30" priority="4"/>
  </conditionalFormatting>
  <conditionalFormatting sqref="A1284">
    <cfRule type="duplicateValues" dxfId="29" priority="2"/>
  </conditionalFormatting>
  <conditionalFormatting sqref="A1292">
    <cfRule type="duplicateValues" dxfId="2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714"/>
  <sheetViews>
    <sheetView tabSelected="1" topLeftCell="B1" zoomScale="105" zoomScaleNormal="105" workbookViewId="0">
      <selection activeCell="I4715" sqref="I4715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31.28515625" customWidth="1"/>
    <col min="6" max="6" width="27.85546875" bestFit="1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238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213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213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213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213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213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213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213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213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213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213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213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209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206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206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206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206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206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206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206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206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206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206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206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206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206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206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206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206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206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206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206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206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206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206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206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206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206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206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206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206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206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206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206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206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206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206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206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206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206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206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206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206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206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205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205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205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205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205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205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205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205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205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205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205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205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205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205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205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205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205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205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205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205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205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205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205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205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205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205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205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205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205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205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205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205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205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205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205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205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205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205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205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205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205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205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205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205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205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205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205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205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205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205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205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205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205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205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205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205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205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205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205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204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204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204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204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204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203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203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201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201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200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197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197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197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197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197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197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197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197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197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197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197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197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197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197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197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197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197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197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197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197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197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196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196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196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196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196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191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191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191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186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186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186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186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186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186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186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186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186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186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186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186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186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186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186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186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186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186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182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182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182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177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176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176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176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176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176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176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176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176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176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176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176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176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162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162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161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161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161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151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136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136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136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136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136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136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136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136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136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136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136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136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136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136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136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136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136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136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136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136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133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133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133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133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132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132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132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132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132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132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132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132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132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132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132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132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132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132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132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132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132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132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132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132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132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132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132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132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132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132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132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132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132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132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131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131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131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131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131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131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131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131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131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131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131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131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131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131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131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131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131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131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127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127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127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127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127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127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127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127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127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127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127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127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127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127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127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127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127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127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127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127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127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127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127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127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127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127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127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127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127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127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127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127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127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127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127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127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127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127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127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127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127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127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127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127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127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127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127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127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127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127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127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127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127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127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127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127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127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127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127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127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127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127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127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127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127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127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127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127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127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127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127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127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127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127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127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127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127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127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127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127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127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127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127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127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127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127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127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127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127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127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127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127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121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121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116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116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111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111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111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111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111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111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111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111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111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111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111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111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111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111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111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111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111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111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111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111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111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111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111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111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111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111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111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111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111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111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111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111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111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111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111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111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111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111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111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111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111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111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111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111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111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111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111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111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111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111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111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111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111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111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111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111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111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111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111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111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111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111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111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111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111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111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111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111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111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111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111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111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111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111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111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111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111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111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111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111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111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111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111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111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111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111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111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111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111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111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111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111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111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111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111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111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111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111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111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111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111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111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111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111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111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108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108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108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108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109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106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106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101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101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101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101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101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101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101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101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101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101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101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99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99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99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99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99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99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99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99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99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99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99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99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99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99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99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99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99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99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99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99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99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99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99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99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99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99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99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99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99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99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99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99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99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99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99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99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99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99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99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99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99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99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99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99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99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99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99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99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99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99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99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99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99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99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99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99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99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99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99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99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99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99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99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99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99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99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99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99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99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99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99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99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99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99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99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99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99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99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99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99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99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99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99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99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99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99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99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99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99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99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99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99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99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99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99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99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99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99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99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99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99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99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99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99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99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99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99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99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99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99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99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99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99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99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99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99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99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99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99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99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99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99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99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99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99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99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99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99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99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99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99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99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99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99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99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99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99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99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99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99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99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99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99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99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99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99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99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99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99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99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99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99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99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99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99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99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99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99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99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99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99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99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99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99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99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99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99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99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99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99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99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99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99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99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99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99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99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99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99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99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99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99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99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99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99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99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99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99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99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99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99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99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99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99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99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99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99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99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99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99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99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99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99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99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99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99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99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99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99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99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99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99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99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99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99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99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99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99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99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99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99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99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99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99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99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99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99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99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99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99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99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99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99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99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99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99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99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99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99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99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99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99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99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99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99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99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99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99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99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99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99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99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99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99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99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99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99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99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99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99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99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99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99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99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99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99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99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99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99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99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99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99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99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99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99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99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99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99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99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99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99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99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99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99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99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99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99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99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99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99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99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99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99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99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99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99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99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99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99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99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99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99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99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99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99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99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99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99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99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99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99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99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99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99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99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99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99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99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99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99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99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99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99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99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99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99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99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99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99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99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99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99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99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99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99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97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97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97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97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97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97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97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97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97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97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96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96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96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95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95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95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95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95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95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94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94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92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91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91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91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90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90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90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88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88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88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88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88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88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88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85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85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85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85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85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85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85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85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85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85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85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85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85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85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85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85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85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85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85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85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85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85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85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85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85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85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85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85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85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84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84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82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82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82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82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82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82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82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82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82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82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80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80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80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80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80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80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80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80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79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79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79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79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79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79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79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79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79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79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79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79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79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79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79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79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79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77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77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77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77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77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77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77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77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77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77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77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77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77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77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77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77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77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77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77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77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77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77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77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77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77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77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77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77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77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77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77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77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77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77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77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77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77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77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77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77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77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77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77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77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77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77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77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77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77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77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77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77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77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77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77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77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77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77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77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77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77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77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77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77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77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77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77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77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77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77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77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77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77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77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77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77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77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77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77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77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77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77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77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77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77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77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77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77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77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77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77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77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77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77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77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77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77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77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77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77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77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77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77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77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77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77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77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77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77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77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77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77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77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77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77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77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77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77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77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77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77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77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77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77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77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77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77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77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77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77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77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77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77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77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77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77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77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77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77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77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77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77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77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77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77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77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77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77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77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77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77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77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77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77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77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77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77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77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77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77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77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77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77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77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77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77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77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77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77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77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77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77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77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77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77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77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77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77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77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77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77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77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77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77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77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77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77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77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77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77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77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77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77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77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77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77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77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77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77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77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77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77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77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77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77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77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77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77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77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77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77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77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77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77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77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77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77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77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77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77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77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77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77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77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77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77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77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77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77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77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77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77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77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77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77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77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77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77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77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77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77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77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77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77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77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77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77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77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77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77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77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77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77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77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77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77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77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77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77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77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77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77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77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77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77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77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77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77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77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77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77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77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77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77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77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77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77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77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77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77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77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77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77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77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77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77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77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77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77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77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77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77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77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77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77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76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76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76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76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76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76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76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76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76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76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76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76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76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76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76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76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76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76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76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76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76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76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76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76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76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76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76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76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76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76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76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76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76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76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76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76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76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76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76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76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76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76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76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76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76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76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76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76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76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76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76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76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76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76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76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76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76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76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76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76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76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76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76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76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76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76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76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76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76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76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76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76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76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76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76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76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76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76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76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76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76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76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76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76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76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76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76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76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76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76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76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76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76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76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76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76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76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76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76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76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76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76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76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76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76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76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76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76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76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76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76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76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76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76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76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76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76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76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76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76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76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76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76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76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76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76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76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76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76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76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76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76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76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76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76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76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76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76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76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76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76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76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76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76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76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76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76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76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76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76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76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76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76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76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76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76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76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76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76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76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76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76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76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76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76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76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76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76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76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76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76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76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76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76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76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76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76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76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76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76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76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76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76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76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76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76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76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76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76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76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76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76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76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76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76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76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76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76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76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76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76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76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73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73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73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73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73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73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73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73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73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73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73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73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73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73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73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73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73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73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73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73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73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73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73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73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73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73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73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73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73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73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73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73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73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73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73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73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73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73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73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73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73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73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73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72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72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71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71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71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71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71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71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71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70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70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70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69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69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69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69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69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69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69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69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69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69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69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69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69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69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69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69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69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69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69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69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69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69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69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69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69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69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69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69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69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69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69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69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69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69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69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69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69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69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69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69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69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69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69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69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69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69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69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69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69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69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69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69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69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69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69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69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69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69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69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69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69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69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69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69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69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69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69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69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69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69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69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69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69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69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69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69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69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69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69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69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69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69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69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69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69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69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69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69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69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69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69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69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69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69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68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68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68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68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68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68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68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68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68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68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68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68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68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68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68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68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68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68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68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67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67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67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67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67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67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67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67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67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67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67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67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67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67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67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67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67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67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66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66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66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66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66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66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66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66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66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66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66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66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63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63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63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63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63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63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63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63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63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63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63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63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63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63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63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63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63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63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63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63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63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63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63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63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63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63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63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63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63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62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62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62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62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62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62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62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62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62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62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62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62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62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62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62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62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62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62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62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62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62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62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62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62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62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62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62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62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62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62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62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62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62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62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62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61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61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61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61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61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61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61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61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61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61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61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61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61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61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61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61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61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61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61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61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61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61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61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61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61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61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61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61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61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61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61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61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61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61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61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61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61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61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61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61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61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61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61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61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61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61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61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61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61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61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61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61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61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61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61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61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61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61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61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61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61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61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61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61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61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61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61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61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61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61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61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61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61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61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61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61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61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61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61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61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61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61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61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61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61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61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61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61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61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61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61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61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61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61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61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61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61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61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61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61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61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61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61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61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61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61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61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61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61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61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61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61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61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61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61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61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61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61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61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61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61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61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61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61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61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61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61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61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61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61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61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61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61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61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61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61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61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61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61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61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61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61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61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61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61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61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61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61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61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61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61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61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61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61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61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61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61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61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61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61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61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61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61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61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61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61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61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61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61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61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61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61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61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61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61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61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61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61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61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61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61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61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61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61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61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61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61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61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61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61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61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61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61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61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61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61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61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61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61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61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61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61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61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61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61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61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61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61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61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61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61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61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61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61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61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61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61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61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61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61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61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61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61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61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61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61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61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61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61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61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61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61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61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61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61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61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59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59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59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59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59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59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59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59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59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59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59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59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59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59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59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59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58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58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58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58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58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58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58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58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58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58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58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58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58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58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58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58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58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58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58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58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58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58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58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58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58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58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58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58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58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58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58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58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58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58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58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58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58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58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58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57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57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57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57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57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57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57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57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57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57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57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57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57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57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57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57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57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57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56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56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56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56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56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56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56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56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56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56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56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56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56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56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56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56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56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56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56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56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56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56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56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56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56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56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56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56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56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56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56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56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56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56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56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56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56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56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56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56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56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56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56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56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56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56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56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56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56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56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56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56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56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56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56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56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56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56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56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56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56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56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56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56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56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56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56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56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56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56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56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56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56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56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56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56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56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56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56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56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56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56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56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56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56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56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56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56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56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56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56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56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56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56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56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56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56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56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56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56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56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56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56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56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56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56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56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56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56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56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56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56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56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56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56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52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52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52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52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52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52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52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52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52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52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52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52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51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51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51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51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51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51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51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51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51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51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51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51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51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51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51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51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51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51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51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51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51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51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51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51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51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51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51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51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51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51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51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48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48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48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48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48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48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48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48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48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47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46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46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46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46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46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46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45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45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45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45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45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45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45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45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45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45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45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45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45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45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45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45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45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45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45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45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44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44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44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44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44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44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44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44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44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44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44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44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43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43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43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43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43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43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43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43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43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43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43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43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40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40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40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40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40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40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40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40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40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40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40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40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40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40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40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40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40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40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40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40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40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40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40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40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40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40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40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40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40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40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40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40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40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40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40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40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40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40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40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40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40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40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40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40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40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40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40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40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40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40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39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39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39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39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39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39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39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39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39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39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39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39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39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39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39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39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36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35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35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35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35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35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35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33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33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33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33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33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33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33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33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33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33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33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33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33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33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33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33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33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33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33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33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33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33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33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33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33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33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33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33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33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33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33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33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33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33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33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33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33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33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33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33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33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33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33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33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33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33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33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31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31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31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31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31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31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31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31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31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31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31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31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31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31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31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31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31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31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31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31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31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31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31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31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31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31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31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31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29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29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29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29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24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24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24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24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24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23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23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23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23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23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23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23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23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23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23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23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23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20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20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20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20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20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20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20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20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20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20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20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20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20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20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20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20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20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20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20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20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20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20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20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20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20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20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20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20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20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19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18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17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17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17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17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17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17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17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17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17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17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17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17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17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17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17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17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17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17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17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17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17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17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17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17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17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17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17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16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16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16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16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16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16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16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16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16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16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16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16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16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16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16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16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16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16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16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16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16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16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16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16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16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16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16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16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16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16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16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16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16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16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16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16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16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16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16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15</v>
      </c>
      <c r="R4489" s="163" t="s">
        <v>489</v>
      </c>
      <c r="S4489" s="150"/>
    </row>
    <row r="4490" spans="1:19" hidden="1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18</v>
      </c>
      <c r="R4490" s="165" t="s">
        <v>498</v>
      </c>
      <c r="S4490" s="150"/>
    </row>
    <row r="4491" spans="1:19" hidden="1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18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13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13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13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13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13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13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13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13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13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13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13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13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13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13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13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13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13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13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13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13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13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13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13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13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13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13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13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13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13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13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13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13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13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13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13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13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13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13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13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13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13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13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13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13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13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13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13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13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13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13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13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13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13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13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13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13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13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13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13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13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13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13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13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13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13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13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13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13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13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13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13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13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13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13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13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13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13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13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13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13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13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13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13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13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13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13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13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13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13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13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13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13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13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open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11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open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11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open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11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open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11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11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11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11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11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11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11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11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11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11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11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11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11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11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11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11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11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11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11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11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11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11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11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11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11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11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open</v>
      </c>
      <c r="C4614" t="s">
        <v>369</v>
      </c>
      <c r="D4614" t="s">
        <v>6778</v>
      </c>
      <c r="E4614" t="s">
        <v>6779</v>
      </c>
      <c r="F4614" s="150" t="str">
        <f>VLOOKUP(Proc[[#This Row],[Obj]],Sheet1!A:B,2,0)</f>
        <v>H000001786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10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open</v>
      </c>
      <c r="C4615" t="s">
        <v>369</v>
      </c>
      <c r="D4615" t="s">
        <v>6782</v>
      </c>
      <c r="E4615" t="s">
        <v>6913</v>
      </c>
      <c r="F4615" s="150" t="str">
        <f>VLOOKUP(Proc[[#This Row],[Obj]],Sheet1!A:B,2,0)</f>
        <v>G000001272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8</v>
      </c>
      <c r="R4615" s="168" t="s">
        <v>515</v>
      </c>
      <c r="S4615" s="150"/>
    </row>
    <row r="4616" spans="1:19">
      <c r="A4616" t="s">
        <v>6784</v>
      </c>
      <c r="B4616" s="150" t="str">
        <f>IFERROR(VLOOKUP(Proc[[#This Row],[App]],Table2[],3,0),"open")</f>
        <v>open</v>
      </c>
      <c r="C4616" s="149" t="s">
        <v>370</v>
      </c>
      <c r="D4616" t="s">
        <v>6783</v>
      </c>
      <c r="E4616" t="s">
        <v>759</v>
      </c>
      <c r="F4616" s="150" t="s">
        <v>6927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8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open</v>
      </c>
      <c r="C4617" s="149" t="s">
        <v>369</v>
      </c>
      <c r="D4617" t="s">
        <v>6786</v>
      </c>
      <c r="E4617" t="s">
        <v>6787</v>
      </c>
      <c r="F4617" s="150" t="str">
        <f>VLOOKUP(Proc[[#This Row],[Obj]],Sheet1!A:B,2,0)</f>
        <v>H000000947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8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open</v>
      </c>
      <c r="C4618" s="149" t="s">
        <v>369</v>
      </c>
      <c r="D4618" t="s">
        <v>6789</v>
      </c>
      <c r="E4618" t="s">
        <v>6827</v>
      </c>
      <c r="F4618" s="150" t="str">
        <f>VLOOKUP(Proc[[#This Row],[Obj]],Sheet1!A:B,2,0)</f>
        <v>P000001335</v>
      </c>
      <c r="G4618" t="s">
        <v>406</v>
      </c>
      <c r="H4618" s="150" t="str">
        <f>IF(Proc[[#This Row],[type]]="LFF (MDG-F)",MID(Proc[[#This Row],[Obj]],13,10),"")</f>
        <v>DE07Z02182</v>
      </c>
      <c r="I4618" t="str">
        <f>LEFT(Proc[[#This Row],[Requested]],10)</f>
        <v>P000001335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on track</v>
      </c>
      <c r="Q4618" s="3">
        <f ca="1">IF(Proc[[#This Row],[DateClosed]]="",ABS(NETWORKDAYS(Proc[[#This Row],[DateOpened]],TODAY()))-1,ABS(NETWORKDAYS(Proc[[#This Row],[DateOpened]],Proc[[#This Row],[DateClosed]]))-1)</f>
        <v>5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open</v>
      </c>
      <c r="C4619" s="149" t="s">
        <v>369</v>
      </c>
      <c r="D4619" t="s">
        <v>6790</v>
      </c>
      <c r="E4619" t="s">
        <v>6827</v>
      </c>
      <c r="F4619" s="150" t="str">
        <f>VLOOKUP(Proc[[#This Row],[Obj]],Sheet1!A:B,2,0)</f>
        <v>P000001335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tr">
        <f>LEFT(Proc[[#This Row],[Requested]],10)</f>
        <v>P000001335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on track</v>
      </c>
      <c r="Q4619" s="3">
        <f ca="1">IF(Proc[[#This Row],[DateClosed]]="",ABS(NETWORKDAYS(Proc[[#This Row],[DateOpened]],TODAY()))-1,ABS(NETWORKDAYS(Proc[[#This Row],[DateOpened]],Proc[[#This Row],[DateClosed]]))-1)</f>
        <v>5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open</v>
      </c>
      <c r="C4620" s="149" t="s">
        <v>369</v>
      </c>
      <c r="D4620" t="s">
        <v>6791</v>
      </c>
      <c r="E4620" t="s">
        <v>6827</v>
      </c>
      <c r="F4620" s="150" t="str">
        <f>VLOOKUP(Proc[[#This Row],[Obj]],Sheet1!A:B,2,0)</f>
        <v>P000001335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tr">
        <f>LEFT(Proc[[#This Row],[Requested]],10)</f>
        <v>P000001335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on track</v>
      </c>
      <c r="Q4620" s="3">
        <f ca="1">IF(Proc[[#This Row],[DateClosed]]="",ABS(NETWORKDAYS(Proc[[#This Row],[DateOpened]],TODAY()))-1,ABS(NETWORKDAYS(Proc[[#This Row],[DateOpened]],Proc[[#This Row],[DateClosed]]))-1)</f>
        <v>5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open</v>
      </c>
      <c r="C4621" s="149" t="s">
        <v>369</v>
      </c>
      <c r="D4621" t="s">
        <v>6792</v>
      </c>
      <c r="E4621" t="s">
        <v>6827</v>
      </c>
      <c r="F4621" s="150" t="str">
        <f>VLOOKUP(Proc[[#This Row],[Obj]],Sheet1!A:B,2,0)</f>
        <v>P000001335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tr">
        <f>LEFT(Proc[[#This Row],[Requested]],10)</f>
        <v>P000001335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on track</v>
      </c>
      <c r="Q4621" s="3">
        <f ca="1">IF(Proc[[#This Row],[DateClosed]]="",ABS(NETWORKDAYS(Proc[[#This Row],[DateOpened]],TODAY()))-1,ABS(NETWORKDAYS(Proc[[#This Row],[DateOpened]],Proc[[#This Row],[DateClosed]]))-1)</f>
        <v>5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open</v>
      </c>
      <c r="C4622" s="149" t="s">
        <v>369</v>
      </c>
      <c r="D4622" t="s">
        <v>6793</v>
      </c>
      <c r="E4622" t="s">
        <v>6827</v>
      </c>
      <c r="F4622" s="150" t="str">
        <f>VLOOKUP(Proc[[#This Row],[Obj]],Sheet1!A:B,2,0)</f>
        <v>P000001335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tr">
        <f>LEFT(Proc[[#This Row],[Requested]],10)</f>
        <v>P000001335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on track</v>
      </c>
      <c r="Q4622" s="3">
        <f ca="1">IF(Proc[[#This Row],[DateClosed]]="",ABS(NETWORKDAYS(Proc[[#This Row],[DateOpened]],TODAY()))-1,ABS(NETWORKDAYS(Proc[[#This Row],[DateOpened]],Proc[[#This Row],[DateClosed]]))-1)</f>
        <v>5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open</v>
      </c>
      <c r="C4623" s="149" t="s">
        <v>369</v>
      </c>
      <c r="D4623" t="s">
        <v>6794</v>
      </c>
      <c r="E4623" t="s">
        <v>6827</v>
      </c>
      <c r="F4623" s="150" t="str">
        <f>VLOOKUP(Proc[[#This Row],[Obj]],Sheet1!A:B,2,0)</f>
        <v>P000001335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tr">
        <f>LEFT(Proc[[#This Row],[Requested]],10)</f>
        <v>P000001335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on track</v>
      </c>
      <c r="Q4623" s="3">
        <f ca="1">IF(Proc[[#This Row],[DateClosed]]="",ABS(NETWORKDAYS(Proc[[#This Row],[DateOpened]],TODAY()))-1,ABS(NETWORKDAYS(Proc[[#This Row],[DateOpened]],Proc[[#This Row],[DateClosed]]))-1)</f>
        <v>5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open</v>
      </c>
      <c r="C4624" s="149" t="s">
        <v>369</v>
      </c>
      <c r="D4624" t="s">
        <v>6795</v>
      </c>
      <c r="E4624" t="s">
        <v>6827</v>
      </c>
      <c r="F4624" s="150" t="str">
        <f>VLOOKUP(Proc[[#This Row],[Obj]],Sheet1!A:B,2,0)</f>
        <v>P000001335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tr">
        <f>LEFT(Proc[[#This Row],[Requested]],10)</f>
        <v>P000001335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on track</v>
      </c>
      <c r="Q4624" s="3">
        <f ca="1">IF(Proc[[#This Row],[DateClosed]]="",ABS(NETWORKDAYS(Proc[[#This Row],[DateOpened]],TODAY()))-1,ABS(NETWORKDAYS(Proc[[#This Row],[DateOpened]],Proc[[#This Row],[DateClosed]]))-1)</f>
        <v>5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open</v>
      </c>
      <c r="C4625" s="149" t="s">
        <v>369</v>
      </c>
      <c r="D4625" t="s">
        <v>6796</v>
      </c>
      <c r="E4625" t="s">
        <v>6827</v>
      </c>
      <c r="F4625" s="150" t="str">
        <f>VLOOKUP(Proc[[#This Row],[Obj]],Sheet1!A:B,2,0)</f>
        <v>P000001335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tr">
        <f>LEFT(Proc[[#This Row],[Requested]],10)</f>
        <v>P000001335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on track</v>
      </c>
      <c r="Q4625" s="3">
        <f ca="1">IF(Proc[[#This Row],[DateClosed]]="",ABS(NETWORKDAYS(Proc[[#This Row],[DateOpened]],TODAY()))-1,ABS(NETWORKDAYS(Proc[[#This Row],[DateOpened]],Proc[[#This Row],[DateClosed]]))-1)</f>
        <v>5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open</v>
      </c>
      <c r="C4626" s="149" t="s">
        <v>369</v>
      </c>
      <c r="D4626" t="s">
        <v>6797</v>
      </c>
      <c r="E4626" t="s">
        <v>6827</v>
      </c>
      <c r="F4626" s="150" t="str">
        <f>VLOOKUP(Proc[[#This Row],[Obj]],Sheet1!A:B,2,0)</f>
        <v>P000001335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tr">
        <f>LEFT(Proc[[#This Row],[Requested]],10)</f>
        <v>P000001335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on track</v>
      </c>
      <c r="Q4626" s="3">
        <f ca="1">IF(Proc[[#This Row],[DateClosed]]="",ABS(NETWORKDAYS(Proc[[#This Row],[DateOpened]],TODAY()))-1,ABS(NETWORKDAYS(Proc[[#This Row],[DateOpened]],Proc[[#This Row],[DateClosed]]))-1)</f>
        <v>5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open</v>
      </c>
      <c r="C4627" s="149" t="s">
        <v>369</v>
      </c>
      <c r="D4627" t="s">
        <v>6798</v>
      </c>
      <c r="E4627" t="s">
        <v>6827</v>
      </c>
      <c r="F4627" s="150" t="str">
        <f>VLOOKUP(Proc[[#This Row],[Obj]],Sheet1!A:B,2,0)</f>
        <v>P000001335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tr">
        <f>LEFT(Proc[[#This Row],[Requested]],10)</f>
        <v>P000001335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on track</v>
      </c>
      <c r="Q4627" s="3">
        <f ca="1">IF(Proc[[#This Row],[DateClosed]]="",ABS(NETWORKDAYS(Proc[[#This Row],[DateOpened]],TODAY()))-1,ABS(NETWORKDAYS(Proc[[#This Row],[DateOpened]],Proc[[#This Row],[DateClosed]]))-1)</f>
        <v>5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open</v>
      </c>
      <c r="C4628" s="149" t="s">
        <v>369</v>
      </c>
      <c r="D4628" t="s">
        <v>6799</v>
      </c>
      <c r="E4628" t="s">
        <v>6827</v>
      </c>
      <c r="F4628" s="150" t="str">
        <f>VLOOKUP(Proc[[#This Row],[Obj]],Sheet1!A:B,2,0)</f>
        <v>P000001335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tr">
        <f>LEFT(Proc[[#This Row],[Requested]],10)</f>
        <v>P000001335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on track</v>
      </c>
      <c r="Q4628" s="3">
        <f ca="1">IF(Proc[[#This Row],[DateClosed]]="",ABS(NETWORKDAYS(Proc[[#This Row],[DateOpened]],TODAY()))-1,ABS(NETWORKDAYS(Proc[[#This Row],[DateOpened]],Proc[[#This Row],[DateClosed]]))-1)</f>
        <v>5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open</v>
      </c>
      <c r="C4629" s="149" t="s">
        <v>369</v>
      </c>
      <c r="D4629" t="s">
        <v>6800</v>
      </c>
      <c r="E4629" t="s">
        <v>6827</v>
      </c>
      <c r="F4629" s="150" t="str">
        <f>VLOOKUP(Proc[[#This Row],[Obj]],Sheet1!A:B,2,0)</f>
        <v>P000001335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tr">
        <f>LEFT(Proc[[#This Row],[Requested]],10)</f>
        <v>P000001335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on track</v>
      </c>
      <c r="Q4629" s="3">
        <f ca="1">IF(Proc[[#This Row],[DateClosed]]="",ABS(NETWORKDAYS(Proc[[#This Row],[DateOpened]],TODAY()))-1,ABS(NETWORKDAYS(Proc[[#This Row],[DateOpened]],Proc[[#This Row],[DateClosed]]))-1)</f>
        <v>5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open</v>
      </c>
      <c r="C4630" s="149" t="s">
        <v>369</v>
      </c>
      <c r="D4630" t="s">
        <v>6801</v>
      </c>
      <c r="E4630" t="s">
        <v>6827</v>
      </c>
      <c r="F4630" s="150" t="str">
        <f>VLOOKUP(Proc[[#This Row],[Obj]],Sheet1!A:B,2,0)</f>
        <v>P000001335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tr">
        <f>LEFT(Proc[[#This Row],[Requested]],10)</f>
        <v>P000001335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on track</v>
      </c>
      <c r="Q4630" s="3">
        <f ca="1">IF(Proc[[#This Row],[DateClosed]]="",ABS(NETWORKDAYS(Proc[[#This Row],[DateOpened]],TODAY()))-1,ABS(NETWORKDAYS(Proc[[#This Row],[DateOpened]],Proc[[#This Row],[DateClosed]]))-1)</f>
        <v>5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open</v>
      </c>
      <c r="C4631" s="149" t="s">
        <v>369</v>
      </c>
      <c r="D4631" t="s">
        <v>6802</v>
      </c>
      <c r="E4631" t="s">
        <v>6827</v>
      </c>
      <c r="F4631" s="150" t="str">
        <f>VLOOKUP(Proc[[#This Row],[Obj]],Sheet1!A:B,2,0)</f>
        <v>P000001335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tr">
        <f>LEFT(Proc[[#This Row],[Requested]],10)</f>
        <v>P000001335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on track</v>
      </c>
      <c r="Q4631" s="3">
        <f ca="1">IF(Proc[[#This Row],[DateClosed]]="",ABS(NETWORKDAYS(Proc[[#This Row],[DateOpened]],TODAY()))-1,ABS(NETWORKDAYS(Proc[[#This Row],[DateOpened]],Proc[[#This Row],[DateClosed]]))-1)</f>
        <v>5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open</v>
      </c>
      <c r="C4632" s="149" t="s">
        <v>369</v>
      </c>
      <c r="D4632" t="s">
        <v>6803</v>
      </c>
      <c r="E4632" t="s">
        <v>6827</v>
      </c>
      <c r="F4632" s="150" t="str">
        <f>VLOOKUP(Proc[[#This Row],[Obj]],Sheet1!A:B,2,0)</f>
        <v>P000001335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tr">
        <f>LEFT(Proc[[#This Row],[Requested]],10)</f>
        <v>P000001335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on track</v>
      </c>
      <c r="Q4632" s="3">
        <f ca="1">IF(Proc[[#This Row],[DateClosed]]="",ABS(NETWORKDAYS(Proc[[#This Row],[DateOpened]],TODAY()))-1,ABS(NETWORKDAYS(Proc[[#This Row],[DateOpened]],Proc[[#This Row],[DateClosed]]))-1)</f>
        <v>5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open</v>
      </c>
      <c r="C4633" s="149" t="s">
        <v>369</v>
      </c>
      <c r="D4633" t="s">
        <v>6804</v>
      </c>
      <c r="E4633" t="s">
        <v>6827</v>
      </c>
      <c r="F4633" s="150" t="str">
        <f>VLOOKUP(Proc[[#This Row],[Obj]],Sheet1!A:B,2,0)</f>
        <v>P000001335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tr">
        <f>LEFT(Proc[[#This Row],[Requested]],10)</f>
        <v>P000001335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on track</v>
      </c>
      <c r="Q4633" s="3">
        <f ca="1">IF(Proc[[#This Row],[DateClosed]]="",ABS(NETWORKDAYS(Proc[[#This Row],[DateOpened]],TODAY()))-1,ABS(NETWORKDAYS(Proc[[#This Row],[DateOpened]],Proc[[#This Row],[DateClosed]]))-1)</f>
        <v>5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open</v>
      </c>
      <c r="C4634" s="149" t="s">
        <v>369</v>
      </c>
      <c r="D4634" t="s">
        <v>6805</v>
      </c>
      <c r="E4634" t="s">
        <v>6827</v>
      </c>
      <c r="F4634" s="150" t="str">
        <f>VLOOKUP(Proc[[#This Row],[Obj]],Sheet1!A:B,2,0)</f>
        <v>P000001335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tr">
        <f>LEFT(Proc[[#This Row],[Requested]],10)</f>
        <v>P000001335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on track</v>
      </c>
      <c r="Q4634" s="3">
        <f ca="1">IF(Proc[[#This Row],[DateClosed]]="",ABS(NETWORKDAYS(Proc[[#This Row],[DateOpened]],TODAY()))-1,ABS(NETWORKDAYS(Proc[[#This Row],[DateOpened]],Proc[[#This Row],[DateClosed]]))-1)</f>
        <v>5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open</v>
      </c>
      <c r="C4635" s="149" t="s">
        <v>369</v>
      </c>
      <c r="D4635" t="s">
        <v>6806</v>
      </c>
      <c r="E4635" t="s">
        <v>6827</v>
      </c>
      <c r="F4635" s="150" t="str">
        <f>VLOOKUP(Proc[[#This Row],[Obj]],Sheet1!A:B,2,0)</f>
        <v>P000001335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tr">
        <f>LEFT(Proc[[#This Row],[Requested]],10)</f>
        <v>P000001335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on track</v>
      </c>
      <c r="Q4635" s="3">
        <f ca="1">IF(Proc[[#This Row],[DateClosed]]="",ABS(NETWORKDAYS(Proc[[#This Row],[DateOpened]],TODAY()))-1,ABS(NETWORKDAYS(Proc[[#This Row],[DateOpened]],Proc[[#This Row],[DateClosed]]))-1)</f>
        <v>5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open</v>
      </c>
      <c r="C4636" s="149" t="s">
        <v>369</v>
      </c>
      <c r="D4636" t="s">
        <v>6807</v>
      </c>
      <c r="E4636" t="s">
        <v>6827</v>
      </c>
      <c r="F4636" s="150" t="str">
        <f>VLOOKUP(Proc[[#This Row],[Obj]],Sheet1!A:B,2,0)</f>
        <v>P000001335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tr">
        <f>LEFT(Proc[[#This Row],[Requested]],10)</f>
        <v>P000001335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on track</v>
      </c>
      <c r="Q4636" s="3">
        <f ca="1">IF(Proc[[#This Row],[DateClosed]]="",ABS(NETWORKDAYS(Proc[[#This Row],[DateOpened]],TODAY()))-1,ABS(NETWORKDAYS(Proc[[#This Row],[DateOpened]],Proc[[#This Row],[DateClosed]]))-1)</f>
        <v>5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open</v>
      </c>
      <c r="C4637" s="149" t="s">
        <v>369</v>
      </c>
      <c r="D4637" t="s">
        <v>6808</v>
      </c>
      <c r="E4637" t="s">
        <v>6827</v>
      </c>
      <c r="F4637" s="150" t="str">
        <f>VLOOKUP(Proc[[#This Row],[Obj]],Sheet1!A:B,2,0)</f>
        <v>P000001335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tr">
        <f>LEFT(Proc[[#This Row],[Requested]],10)</f>
        <v>P000001335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on track</v>
      </c>
      <c r="Q4637" s="3">
        <f ca="1">IF(Proc[[#This Row],[DateClosed]]="",ABS(NETWORKDAYS(Proc[[#This Row],[DateOpened]],TODAY()))-1,ABS(NETWORKDAYS(Proc[[#This Row],[DateOpened]],Proc[[#This Row],[DateClosed]]))-1)</f>
        <v>5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open</v>
      </c>
      <c r="C4638" s="149" t="s">
        <v>369</v>
      </c>
      <c r="D4638" t="s">
        <v>6809</v>
      </c>
      <c r="E4638" t="s">
        <v>6827</v>
      </c>
      <c r="F4638" s="150" t="str">
        <f>VLOOKUP(Proc[[#This Row],[Obj]],Sheet1!A:B,2,0)</f>
        <v>P000001335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tr">
        <f>LEFT(Proc[[#This Row],[Requested]],10)</f>
        <v>P000001335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on track</v>
      </c>
      <c r="Q4638" s="3">
        <f ca="1">IF(Proc[[#This Row],[DateClosed]]="",ABS(NETWORKDAYS(Proc[[#This Row],[DateOpened]],TODAY()))-1,ABS(NETWORKDAYS(Proc[[#This Row],[DateOpened]],Proc[[#This Row],[DateClosed]]))-1)</f>
        <v>5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open</v>
      </c>
      <c r="C4639" s="149" t="s">
        <v>369</v>
      </c>
      <c r="D4639" t="s">
        <v>6810</v>
      </c>
      <c r="E4639" t="s">
        <v>6827</v>
      </c>
      <c r="F4639" s="150" t="str">
        <f>VLOOKUP(Proc[[#This Row],[Obj]],Sheet1!A:B,2,0)</f>
        <v>P000001335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tr">
        <f>LEFT(Proc[[#This Row],[Requested]],10)</f>
        <v>P000001335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on track</v>
      </c>
      <c r="Q4639" s="3">
        <f ca="1">IF(Proc[[#This Row],[DateClosed]]="",ABS(NETWORKDAYS(Proc[[#This Row],[DateOpened]],TODAY()))-1,ABS(NETWORKDAYS(Proc[[#This Row],[DateOpened]],Proc[[#This Row],[DateClosed]]))-1)</f>
        <v>5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open</v>
      </c>
      <c r="C4640" s="149" t="s">
        <v>369</v>
      </c>
      <c r="D4640" t="s">
        <v>6811</v>
      </c>
      <c r="E4640" t="s">
        <v>6827</v>
      </c>
      <c r="F4640" s="150" t="str">
        <f>VLOOKUP(Proc[[#This Row],[Obj]],Sheet1!A:B,2,0)</f>
        <v>P000001335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tr">
        <f>LEFT(Proc[[#This Row],[Requested]],10)</f>
        <v>P000001335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on track</v>
      </c>
      <c r="Q4640" s="3">
        <f ca="1">IF(Proc[[#This Row],[DateClosed]]="",ABS(NETWORKDAYS(Proc[[#This Row],[DateOpened]],TODAY()))-1,ABS(NETWORKDAYS(Proc[[#This Row],[DateOpened]],Proc[[#This Row],[DateClosed]]))-1)</f>
        <v>5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open</v>
      </c>
      <c r="C4641" s="149" t="s">
        <v>369</v>
      </c>
      <c r="D4641" t="s">
        <v>6812</v>
      </c>
      <c r="E4641" t="s">
        <v>6827</v>
      </c>
      <c r="F4641" s="150" t="str">
        <f>VLOOKUP(Proc[[#This Row],[Obj]],Sheet1!A:B,2,0)</f>
        <v>P000001335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tr">
        <f>LEFT(Proc[[#This Row],[Requested]],10)</f>
        <v>P000001335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on track</v>
      </c>
      <c r="Q4641" s="3">
        <f ca="1">IF(Proc[[#This Row],[DateClosed]]="",ABS(NETWORKDAYS(Proc[[#This Row],[DateOpened]],TODAY()))-1,ABS(NETWORKDAYS(Proc[[#This Row],[DateOpened]],Proc[[#This Row],[DateClosed]]))-1)</f>
        <v>5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open</v>
      </c>
      <c r="C4642" s="149" t="s">
        <v>369</v>
      </c>
      <c r="D4642" t="s">
        <v>6813</v>
      </c>
      <c r="E4642" t="s">
        <v>6827</v>
      </c>
      <c r="F4642" s="150" t="str">
        <f>VLOOKUP(Proc[[#This Row],[Obj]],Sheet1!A:B,2,0)</f>
        <v>P000001335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tr">
        <f>LEFT(Proc[[#This Row],[Requested]],10)</f>
        <v>P000001335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on track</v>
      </c>
      <c r="Q4642" s="3">
        <f ca="1">IF(Proc[[#This Row],[DateClosed]]="",ABS(NETWORKDAYS(Proc[[#This Row],[DateOpened]],TODAY()))-1,ABS(NETWORKDAYS(Proc[[#This Row],[DateOpened]],Proc[[#This Row],[DateClosed]]))-1)</f>
        <v>5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open</v>
      </c>
      <c r="C4643" s="149" t="s">
        <v>369</v>
      </c>
      <c r="D4643" t="s">
        <v>6814</v>
      </c>
      <c r="E4643" t="s">
        <v>6827</v>
      </c>
      <c r="F4643" s="150" t="str">
        <f>VLOOKUP(Proc[[#This Row],[Obj]],Sheet1!A:B,2,0)</f>
        <v>P000001335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tr">
        <f>LEFT(Proc[[#This Row],[Requested]],10)</f>
        <v>P000001335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on track</v>
      </c>
      <c r="Q4643" s="3">
        <f ca="1">IF(Proc[[#This Row],[DateClosed]]="",ABS(NETWORKDAYS(Proc[[#This Row],[DateOpened]],TODAY()))-1,ABS(NETWORKDAYS(Proc[[#This Row],[DateOpened]],Proc[[#This Row],[DateClosed]]))-1)</f>
        <v>5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open</v>
      </c>
      <c r="C4644" s="149" t="s">
        <v>369</v>
      </c>
      <c r="D4644" t="s">
        <v>6815</v>
      </c>
      <c r="E4644" t="s">
        <v>6827</v>
      </c>
      <c r="F4644" s="150" t="str">
        <f>VLOOKUP(Proc[[#This Row],[Obj]],Sheet1!A:B,2,0)</f>
        <v>P000001335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tr">
        <f>LEFT(Proc[[#This Row],[Requested]],10)</f>
        <v>P000001335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on track</v>
      </c>
      <c r="Q4644" s="3">
        <f ca="1">IF(Proc[[#This Row],[DateClosed]]="",ABS(NETWORKDAYS(Proc[[#This Row],[DateOpened]],TODAY()))-1,ABS(NETWORKDAYS(Proc[[#This Row],[DateOpened]],Proc[[#This Row],[DateClosed]]))-1)</f>
        <v>5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open</v>
      </c>
      <c r="C4645" s="149" t="s">
        <v>369</v>
      </c>
      <c r="D4645" t="s">
        <v>6816</v>
      </c>
      <c r="E4645" t="s">
        <v>6827</v>
      </c>
      <c r="F4645" s="150" t="str">
        <f>VLOOKUP(Proc[[#This Row],[Obj]],Sheet1!A:B,2,0)</f>
        <v>P000001335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tr">
        <f>LEFT(Proc[[#This Row],[Requested]],10)</f>
        <v>P000001335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on track</v>
      </c>
      <c r="Q4645" s="3">
        <f ca="1">IF(Proc[[#This Row],[DateClosed]]="",ABS(NETWORKDAYS(Proc[[#This Row],[DateOpened]],TODAY()))-1,ABS(NETWORKDAYS(Proc[[#This Row],[DateOpened]],Proc[[#This Row],[DateClosed]]))-1)</f>
        <v>5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open</v>
      </c>
      <c r="C4646" s="149" t="s">
        <v>369</v>
      </c>
      <c r="D4646" t="s">
        <v>6817</v>
      </c>
      <c r="E4646" t="s">
        <v>6827</v>
      </c>
      <c r="F4646" s="150" t="str">
        <f>VLOOKUP(Proc[[#This Row],[Obj]],Sheet1!A:B,2,0)</f>
        <v>P000001335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tr">
        <f>LEFT(Proc[[#This Row],[Requested]],10)</f>
        <v>P000001335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on track</v>
      </c>
      <c r="Q4646" s="3">
        <f ca="1">IF(Proc[[#This Row],[DateClosed]]="",ABS(NETWORKDAYS(Proc[[#This Row],[DateOpened]],TODAY()))-1,ABS(NETWORKDAYS(Proc[[#This Row],[DateOpened]],Proc[[#This Row],[DateClosed]]))-1)</f>
        <v>5</v>
      </c>
      <c r="R4646" s="168" t="s">
        <v>5709</v>
      </c>
      <c r="S4646" s="150"/>
    </row>
    <row r="4647" spans="1:19">
      <c r="A4647" s="149" t="s">
        <v>6788</v>
      </c>
      <c r="B4647" s="150" t="str">
        <f>IFERROR(VLOOKUP(Proc[[#This Row],[App]],Table2[],3,0),"open")</f>
        <v>open</v>
      </c>
      <c r="C4647" s="149" t="s">
        <v>370</v>
      </c>
      <c r="D4647" t="s">
        <v>6818</v>
      </c>
      <c r="E4647" t="s">
        <v>6827</v>
      </c>
      <c r="F4647" s="150" t="str">
        <f>VLOOKUP(Proc[[#This Row],[Obj]],Sheet1!A:B,2,0)</f>
        <v>P000000425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tr">
        <f>LEFT(Proc[[#This Row],[Requested]],10)</f>
        <v>P000001335</v>
      </c>
      <c r="J4647" s="150" t="b">
        <f>Proc[[#This Row],[Requested]]=Proc[[#This Row],[CurrentParent]]</f>
        <v>0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on track</v>
      </c>
      <c r="Q4647" s="3">
        <f ca="1">IF(Proc[[#This Row],[DateClosed]]="",ABS(NETWORKDAYS(Proc[[#This Row],[DateOpened]],TODAY()))-1,ABS(NETWORKDAYS(Proc[[#This Row],[DateOpened]],Proc[[#This Row],[DateClosed]]))-1)</f>
        <v>5</v>
      </c>
      <c r="R4647" s="168" t="s">
        <v>5709</v>
      </c>
      <c r="S4647" s="150"/>
    </row>
    <row r="4648" spans="1:19">
      <c r="A4648" s="149" t="s">
        <v>6788</v>
      </c>
      <c r="B4648" s="150" t="str">
        <f>IFERROR(VLOOKUP(Proc[[#This Row],[App]],Table2[],3,0),"open")</f>
        <v>open</v>
      </c>
      <c r="C4648" s="149" t="s">
        <v>370</v>
      </c>
      <c r="D4648" t="s">
        <v>6819</v>
      </c>
      <c r="E4648" t="s">
        <v>6827</v>
      </c>
      <c r="F4648" s="150" t="str">
        <f>VLOOKUP(Proc[[#This Row],[Obj]],Sheet1!A:B,2,0)</f>
        <v>P000000425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tr">
        <f>LEFT(Proc[[#This Row],[Requested]],10)</f>
        <v>P000001335</v>
      </c>
      <c r="J4648" s="150" t="b">
        <f>Proc[[#This Row],[Requested]]=Proc[[#This Row],[CurrentParent]]</f>
        <v>0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on track</v>
      </c>
      <c r="Q4648" s="3">
        <f ca="1">IF(Proc[[#This Row],[DateClosed]]="",ABS(NETWORKDAYS(Proc[[#This Row],[DateOpened]],TODAY()))-1,ABS(NETWORKDAYS(Proc[[#This Row],[DateOpened]],Proc[[#This Row],[DateClosed]]))-1)</f>
        <v>5</v>
      </c>
      <c r="R4648" s="168" t="s">
        <v>5709</v>
      </c>
      <c r="S4648" s="150"/>
    </row>
    <row r="4649" spans="1:19">
      <c r="A4649" s="149" t="s">
        <v>6788</v>
      </c>
      <c r="B4649" s="150" t="str">
        <f>IFERROR(VLOOKUP(Proc[[#This Row],[App]],Table2[],3,0),"open")</f>
        <v>open</v>
      </c>
      <c r="C4649" s="149" t="s">
        <v>370</v>
      </c>
      <c r="D4649" t="s">
        <v>6820</v>
      </c>
      <c r="E4649" t="s">
        <v>6827</v>
      </c>
      <c r="F4649" s="150" t="str">
        <f>VLOOKUP(Proc[[#This Row],[Obj]],Sheet1!A:B,2,0)</f>
        <v>P000000425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tr">
        <f>LEFT(Proc[[#This Row],[Requested]],10)</f>
        <v>P000001335</v>
      </c>
      <c r="J4649" s="150" t="b">
        <f>Proc[[#This Row],[Requested]]=Proc[[#This Row],[CurrentParent]]</f>
        <v>0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on track</v>
      </c>
      <c r="Q4649" s="3">
        <f ca="1">IF(Proc[[#This Row],[DateClosed]]="",ABS(NETWORKDAYS(Proc[[#This Row],[DateOpened]],TODAY()))-1,ABS(NETWORKDAYS(Proc[[#This Row],[DateOpened]],Proc[[#This Row],[DateClosed]]))-1)</f>
        <v>5</v>
      </c>
      <c r="R4649" s="168" t="s">
        <v>5709</v>
      </c>
      <c r="S4649" s="150"/>
    </row>
    <row r="4650" spans="1:19">
      <c r="A4650" s="149" t="s">
        <v>6788</v>
      </c>
      <c r="B4650" s="150" t="str">
        <f>IFERROR(VLOOKUP(Proc[[#This Row],[App]],Table2[],3,0),"open")</f>
        <v>open</v>
      </c>
      <c r="C4650" s="149" t="s">
        <v>370</v>
      </c>
      <c r="D4650" t="s">
        <v>6821</v>
      </c>
      <c r="E4650" t="s">
        <v>6827</v>
      </c>
      <c r="F4650" s="150" t="str">
        <f>VLOOKUP(Proc[[#This Row],[Obj]],Sheet1!A:B,2,0)</f>
        <v>P000000425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tr">
        <f>LEFT(Proc[[#This Row],[Requested]],10)</f>
        <v>P000001335</v>
      </c>
      <c r="J4650" s="150" t="b">
        <f>Proc[[#This Row],[Requested]]=Proc[[#This Row],[CurrentParent]]</f>
        <v>0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on track</v>
      </c>
      <c r="Q4650" s="3">
        <f ca="1">IF(Proc[[#This Row],[DateClosed]]="",ABS(NETWORKDAYS(Proc[[#This Row],[DateOpened]],TODAY()))-1,ABS(NETWORKDAYS(Proc[[#This Row],[DateOpened]],Proc[[#This Row],[DateClosed]]))-1)</f>
        <v>5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open</v>
      </c>
      <c r="C4651" s="149" t="s">
        <v>369</v>
      </c>
      <c r="D4651" t="s">
        <v>6822</v>
      </c>
      <c r="E4651" t="s">
        <v>6828</v>
      </c>
      <c r="F4651" s="150" t="str">
        <f>VLOOKUP(Proc[[#This Row],[Obj]],Sheet1!A:B,2,0)</f>
        <v>P000001336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tr">
        <f>LEFT(Proc[[#This Row],[Requested]],10)</f>
        <v>P000001336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on track</v>
      </c>
      <c r="Q4651" s="3">
        <f ca="1">IF(Proc[[#This Row],[DateClosed]]="",ABS(NETWORKDAYS(Proc[[#This Row],[DateOpened]],TODAY()))-1,ABS(NETWORKDAYS(Proc[[#This Row],[DateOpened]],Proc[[#This Row],[DateClosed]]))-1)</f>
        <v>5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open</v>
      </c>
      <c r="C4652" s="149" t="s">
        <v>369</v>
      </c>
      <c r="D4652" t="s">
        <v>6823</v>
      </c>
      <c r="E4652" t="s">
        <v>6828</v>
      </c>
      <c r="F4652" s="150" t="str">
        <f>VLOOKUP(Proc[[#This Row],[Obj]],Sheet1!A:B,2,0)</f>
        <v>P000001336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tr">
        <f>LEFT(Proc[[#This Row],[Requested]],10)</f>
        <v>P000001336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on track</v>
      </c>
      <c r="Q4652" s="3">
        <f ca="1">IF(Proc[[#This Row],[DateClosed]]="",ABS(NETWORKDAYS(Proc[[#This Row],[DateOpened]],TODAY()))-1,ABS(NETWORKDAYS(Proc[[#This Row],[DateOpened]],Proc[[#This Row],[DateClosed]]))-1)</f>
        <v>5</v>
      </c>
      <c r="R4652" s="168" t="s">
        <v>5709</v>
      </c>
      <c r="S4652" s="150"/>
    </row>
    <row r="4653" spans="1:19">
      <c r="A4653" s="149" t="s">
        <v>6788</v>
      </c>
      <c r="B4653" s="150" t="str">
        <f>IFERROR(VLOOKUP(Proc[[#This Row],[App]],Table2[],3,0),"open")</f>
        <v>open</v>
      </c>
      <c r="C4653" s="149" t="s">
        <v>370</v>
      </c>
      <c r="D4653" t="s">
        <v>6824</v>
      </c>
      <c r="E4653" t="s">
        <v>6828</v>
      </c>
      <c r="F4653" s="150" t="str">
        <f>VLOOKUP(Proc[[#This Row],[Obj]],Sheet1!A:B,2,0)</f>
        <v>P000000757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tr">
        <f>LEFT(Proc[[#This Row],[Requested]],10)</f>
        <v>P000001336</v>
      </c>
      <c r="J4653" s="150" t="b">
        <f>Proc[[#This Row],[Requested]]=Proc[[#This Row],[CurrentParent]]</f>
        <v>0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on track</v>
      </c>
      <c r="Q4653" s="3">
        <f ca="1">IF(Proc[[#This Row],[DateClosed]]="",ABS(NETWORKDAYS(Proc[[#This Row],[DateOpened]],TODAY()))-1,ABS(NETWORKDAYS(Proc[[#This Row],[DateOpened]],Proc[[#This Row],[DateClosed]]))-1)</f>
        <v>5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open</v>
      </c>
      <c r="C4654" s="149" t="s">
        <v>369</v>
      </c>
      <c r="D4654" t="s">
        <v>6825</v>
      </c>
      <c r="E4654" t="s">
        <v>6828</v>
      </c>
      <c r="F4654" s="150" t="str">
        <f>VLOOKUP(Proc[[#This Row],[Obj]],Sheet1!A:B,2,0)</f>
        <v>P000001336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tr">
        <f>LEFT(Proc[[#This Row],[Requested]],10)</f>
        <v>P000001336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on track</v>
      </c>
      <c r="Q4654" s="3">
        <f ca="1">IF(Proc[[#This Row],[DateClosed]]="",ABS(NETWORKDAYS(Proc[[#This Row],[DateOpened]],TODAY()))-1,ABS(NETWORKDAYS(Proc[[#This Row],[DateOpened]],Proc[[#This Row],[DateClosed]]))-1)</f>
        <v>5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open</v>
      </c>
      <c r="C4655" s="149" t="s">
        <v>369</v>
      </c>
      <c r="D4655" t="s">
        <v>6826</v>
      </c>
      <c r="E4655" t="s">
        <v>6828</v>
      </c>
      <c r="F4655" s="150" t="str">
        <f>VLOOKUP(Proc[[#This Row],[Obj]],Sheet1!A:B,2,0)</f>
        <v>P000001336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tr">
        <f>LEFT(Proc[[#This Row],[Requested]],10)</f>
        <v>P000001336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on track</v>
      </c>
      <c r="Q4655" s="3">
        <f ca="1">IF(Proc[[#This Row],[DateClosed]]="",ABS(NETWORKDAYS(Proc[[#This Row],[DateOpened]],TODAY()))-1,ABS(NETWORKDAYS(Proc[[#This Row],[DateOpened]],Proc[[#This Row],[DateClosed]]))-1)</f>
        <v>5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open</v>
      </c>
      <c r="C4656" s="149" t="s">
        <v>369</v>
      </c>
      <c r="D4656" t="s">
        <v>6829</v>
      </c>
      <c r="E4656" t="s">
        <v>2200</v>
      </c>
      <c r="F4656" s="150" t="str">
        <f>VLOOKUP(Proc[[#This Row],[Obj]],Sheet1!A:B,2,0)</f>
        <v>L000009356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on track</v>
      </c>
      <c r="Q4656" s="3">
        <f ca="1">IF(Proc[[#This Row],[DateClosed]]="",ABS(NETWORKDAYS(Proc[[#This Row],[DateOpened]],TODAY()))-1,ABS(NETWORKDAYS(Proc[[#This Row],[DateOpened]],Proc[[#This Row],[DateClosed]]))-1)</f>
        <v>5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open</v>
      </c>
      <c r="C4657" s="149" t="s">
        <v>369</v>
      </c>
      <c r="D4657" t="s">
        <v>6830</v>
      </c>
      <c r="E4657" t="s">
        <v>2206</v>
      </c>
      <c r="F4657" s="150" t="str">
        <f>VLOOKUP(Proc[[#This Row],[Obj]],Sheet1!A:B,2,0)</f>
        <v>L000010037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on track</v>
      </c>
      <c r="Q4657" s="3">
        <f ca="1">IF(Proc[[#This Row],[DateClosed]]="",ABS(NETWORKDAYS(Proc[[#This Row],[DateOpened]],TODAY()))-1,ABS(NETWORKDAYS(Proc[[#This Row],[DateOpened]],Proc[[#This Row],[DateClosed]]))-1)</f>
        <v>5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open</v>
      </c>
      <c r="C4658" s="149" t="s">
        <v>369</v>
      </c>
      <c r="D4658" t="s">
        <v>6831</v>
      </c>
      <c r="E4658" t="s">
        <v>2206</v>
      </c>
      <c r="F4658" s="150" t="str">
        <f>VLOOKUP(Proc[[#This Row],[Obj]],Sheet1!A:B,2,0)</f>
        <v>L000010037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on track</v>
      </c>
      <c r="Q4658" s="3">
        <f ca="1">IF(Proc[[#This Row],[DateClosed]]="",ABS(NETWORKDAYS(Proc[[#This Row],[DateOpened]],TODAY()))-1,ABS(NETWORKDAYS(Proc[[#This Row],[DateOpened]],Proc[[#This Row],[DateClosed]]))-1)</f>
        <v>5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open</v>
      </c>
      <c r="C4659" s="149" t="s">
        <v>369</v>
      </c>
      <c r="D4659" t="s">
        <v>6832</v>
      </c>
      <c r="E4659" t="s">
        <v>2206</v>
      </c>
      <c r="F4659" s="150" t="str">
        <f>VLOOKUP(Proc[[#This Row],[Obj]],Sheet1!A:B,2,0)</f>
        <v>L000010037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on track</v>
      </c>
      <c r="Q4659" s="3">
        <f ca="1">IF(Proc[[#This Row],[DateClosed]]="",ABS(NETWORKDAYS(Proc[[#This Row],[DateOpened]],TODAY()))-1,ABS(NETWORKDAYS(Proc[[#This Row],[DateOpened]],Proc[[#This Row],[DateClosed]]))-1)</f>
        <v>5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open</v>
      </c>
      <c r="C4660" s="149" t="s">
        <v>369</v>
      </c>
      <c r="D4660" t="s">
        <v>6833</v>
      </c>
      <c r="E4660" t="s">
        <v>2206</v>
      </c>
      <c r="F4660" s="150" t="str">
        <f>VLOOKUP(Proc[[#This Row],[Obj]],Sheet1!A:B,2,0)</f>
        <v>L000010037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on track</v>
      </c>
      <c r="Q4660" s="3">
        <f ca="1">IF(Proc[[#This Row],[DateClosed]]="",ABS(NETWORKDAYS(Proc[[#This Row],[DateOpened]],TODAY()))-1,ABS(NETWORKDAYS(Proc[[#This Row],[DateOpened]],Proc[[#This Row],[DateClosed]]))-1)</f>
        <v>5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open</v>
      </c>
      <c r="C4661" s="149" t="s">
        <v>369</v>
      </c>
      <c r="D4661" t="s">
        <v>6834</v>
      </c>
      <c r="E4661" t="s">
        <v>2205</v>
      </c>
      <c r="F4661" s="150" t="str">
        <f>VLOOKUP(Proc[[#This Row],[Obj]],Sheet1!A:B,2,0)</f>
        <v>L000012340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on track</v>
      </c>
      <c r="Q4661" s="3">
        <f ca="1">IF(Proc[[#This Row],[DateClosed]]="",ABS(NETWORKDAYS(Proc[[#This Row],[DateOpened]],TODAY()))-1,ABS(NETWORKDAYS(Proc[[#This Row],[DateOpened]],Proc[[#This Row],[DateClosed]]))-1)</f>
        <v>5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open</v>
      </c>
      <c r="C4662" s="149" t="s">
        <v>369</v>
      </c>
      <c r="D4662" t="s">
        <v>6835</v>
      </c>
      <c r="E4662" t="s">
        <v>2368</v>
      </c>
      <c r="F4662" s="150" t="str">
        <f>VLOOKUP(Proc[[#This Row],[Obj]],Sheet1!A:B,2,0)</f>
        <v>L000013405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on track</v>
      </c>
      <c r="Q4662" s="3">
        <f ca="1">IF(Proc[[#This Row],[DateClosed]]="",ABS(NETWORKDAYS(Proc[[#This Row],[DateOpened]],TODAY()))-1,ABS(NETWORKDAYS(Proc[[#This Row],[DateOpened]],Proc[[#This Row],[DateClosed]]))-1)</f>
        <v>5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open</v>
      </c>
      <c r="C4663" s="149" t="s">
        <v>369</v>
      </c>
      <c r="D4663" t="s">
        <v>6836</v>
      </c>
      <c r="E4663" t="s">
        <v>2368</v>
      </c>
      <c r="F4663" s="150" t="str">
        <f>VLOOKUP(Proc[[#This Row],[Obj]],Sheet1!A:B,2,0)</f>
        <v>L000013405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on track</v>
      </c>
      <c r="Q4663" s="3">
        <f ca="1">IF(Proc[[#This Row],[DateClosed]]="",ABS(NETWORKDAYS(Proc[[#This Row],[DateOpened]],TODAY()))-1,ABS(NETWORKDAYS(Proc[[#This Row],[DateOpened]],Proc[[#This Row],[DateClosed]]))-1)</f>
        <v>5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open</v>
      </c>
      <c r="C4664" s="149" t="s">
        <v>369</v>
      </c>
      <c r="D4664" t="s">
        <v>6837</v>
      </c>
      <c r="E4664" t="s">
        <v>2368</v>
      </c>
      <c r="F4664" s="150" t="str">
        <f>VLOOKUP(Proc[[#This Row],[Obj]],Sheet1!A:B,2,0)</f>
        <v>L000013405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on track</v>
      </c>
      <c r="Q4664" s="3">
        <f ca="1">IF(Proc[[#This Row],[DateClosed]]="",ABS(NETWORKDAYS(Proc[[#This Row],[DateOpened]],TODAY()))-1,ABS(NETWORKDAYS(Proc[[#This Row],[DateOpened]],Proc[[#This Row],[DateClosed]]))-1)</f>
        <v>5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open</v>
      </c>
      <c r="C4665" s="149" t="s">
        <v>369</v>
      </c>
      <c r="D4665" t="s">
        <v>6838</v>
      </c>
      <c r="E4665" t="s">
        <v>2368</v>
      </c>
      <c r="F4665" s="150" t="str">
        <f>VLOOKUP(Proc[[#This Row],[Obj]],Sheet1!A:B,2,0)</f>
        <v>L000013405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on track</v>
      </c>
      <c r="Q4665" s="3">
        <f ca="1">IF(Proc[[#This Row],[DateClosed]]="",ABS(NETWORKDAYS(Proc[[#This Row],[DateOpened]],TODAY()))-1,ABS(NETWORKDAYS(Proc[[#This Row],[DateOpened]],Proc[[#This Row],[DateClosed]]))-1)</f>
        <v>5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open</v>
      </c>
      <c r="C4666" s="149" t="s">
        <v>369</v>
      </c>
      <c r="D4666" t="s">
        <v>6839</v>
      </c>
      <c r="E4666" t="s">
        <v>2368</v>
      </c>
      <c r="F4666" s="150" t="str">
        <f>VLOOKUP(Proc[[#This Row],[Obj]],Sheet1!A:B,2,0)</f>
        <v>L000013405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on track</v>
      </c>
      <c r="Q4666" s="3">
        <f ca="1">IF(Proc[[#This Row],[DateClosed]]="",ABS(NETWORKDAYS(Proc[[#This Row],[DateOpened]],TODAY()))-1,ABS(NETWORKDAYS(Proc[[#This Row],[DateOpened]],Proc[[#This Row],[DateClosed]]))-1)</f>
        <v>5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open</v>
      </c>
      <c r="C4667" s="149" t="s">
        <v>369</v>
      </c>
      <c r="D4667" t="s">
        <v>6840</v>
      </c>
      <c r="E4667" t="s">
        <v>6848</v>
      </c>
      <c r="F4667" s="150" t="str">
        <f>VLOOKUP(Proc[[#This Row],[Obj]],Sheet1!A:B,2,0)</f>
        <v>L000013900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on track</v>
      </c>
      <c r="Q4667" s="3">
        <f ca="1">IF(Proc[[#This Row],[DateClosed]]="",ABS(NETWORKDAYS(Proc[[#This Row],[DateOpened]],TODAY()))-1,ABS(NETWORKDAYS(Proc[[#This Row],[DateOpened]],Proc[[#This Row],[DateClosed]]))-1)</f>
        <v>5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open</v>
      </c>
      <c r="C4668" s="149" t="s">
        <v>369</v>
      </c>
      <c r="D4668" t="s">
        <v>6841</v>
      </c>
      <c r="E4668" t="s">
        <v>6849</v>
      </c>
      <c r="F4668" s="150" t="str">
        <f>VLOOKUP(Proc[[#This Row],[Obj]],Sheet1!A:B,2,0)</f>
        <v>L000012329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on track</v>
      </c>
      <c r="Q4668" s="3">
        <f ca="1">IF(Proc[[#This Row],[DateClosed]]="",ABS(NETWORKDAYS(Proc[[#This Row],[DateOpened]],TODAY()))-1,ABS(NETWORKDAYS(Proc[[#This Row],[DateOpened]],Proc[[#This Row],[DateClosed]]))-1)</f>
        <v>5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open</v>
      </c>
      <c r="C4669" s="149" t="s">
        <v>369</v>
      </c>
      <c r="D4669" t="s">
        <v>6842</v>
      </c>
      <c r="E4669" t="s">
        <v>6531</v>
      </c>
      <c r="F4669" s="150" t="str">
        <f>VLOOKUP(Proc[[#This Row],[Obj]],Sheet1!A:B,2,0)</f>
        <v>L000011379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on track</v>
      </c>
      <c r="Q4669" s="3">
        <f ca="1">IF(Proc[[#This Row],[DateClosed]]="",ABS(NETWORKDAYS(Proc[[#This Row],[DateOpened]],TODAY()))-1,ABS(NETWORKDAYS(Proc[[#This Row],[DateOpened]],Proc[[#This Row],[DateClosed]]))-1)</f>
        <v>5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open</v>
      </c>
      <c r="C4670" s="149" t="s">
        <v>369</v>
      </c>
      <c r="D4670" t="s">
        <v>6843</v>
      </c>
      <c r="E4670" t="s">
        <v>6850</v>
      </c>
      <c r="F4670" s="150" t="str">
        <f>VLOOKUP(Proc[[#This Row],[Obj]],Sheet1!A:B,2,0)</f>
        <v>L000013758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on track</v>
      </c>
      <c r="Q4670" s="3">
        <f ca="1">IF(Proc[[#This Row],[DateClosed]]="",ABS(NETWORKDAYS(Proc[[#This Row],[DateOpened]],TODAY()))-1,ABS(NETWORKDAYS(Proc[[#This Row],[DateOpened]],Proc[[#This Row],[DateClosed]]))-1)</f>
        <v>5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open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on track</v>
      </c>
      <c r="Q4671" s="3">
        <f ca="1">IF(Proc[[#This Row],[DateClosed]]="",ABS(NETWORKDAYS(Proc[[#This Row],[DateOpened]],TODAY()))-1,ABS(NETWORKDAYS(Proc[[#This Row],[DateOpened]],Proc[[#This Row],[DateClosed]]))-1)</f>
        <v>5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open</v>
      </c>
      <c r="C4672" s="149" t="s">
        <v>369</v>
      </c>
      <c r="D4672" t="s">
        <v>6845</v>
      </c>
      <c r="E4672" t="s">
        <v>496</v>
      </c>
      <c r="F4672" s="150" t="str">
        <f>VLOOKUP(Proc[[#This Row],[Obj]],Sheet1!A:B,2,0)</f>
        <v>L000013461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on track</v>
      </c>
      <c r="Q4672" s="3">
        <f ca="1">IF(Proc[[#This Row],[DateClosed]]="",ABS(NETWORKDAYS(Proc[[#This Row],[DateOpened]],TODAY()))-1,ABS(NETWORKDAYS(Proc[[#This Row],[DateOpened]],Proc[[#This Row],[DateClosed]]))-1)</f>
        <v>5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open</v>
      </c>
      <c r="C4673" s="149" t="s">
        <v>369</v>
      </c>
      <c r="D4673" t="s">
        <v>6846</v>
      </c>
      <c r="E4673" t="s">
        <v>6851</v>
      </c>
      <c r="F4673" s="150" t="str">
        <f>VLOOKUP(Proc[[#This Row],[Obj]],Sheet1!A:B,2,0)</f>
        <v>L000010274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on track</v>
      </c>
      <c r="Q4673" s="3">
        <f ca="1">IF(Proc[[#This Row],[DateClosed]]="",ABS(NETWORKDAYS(Proc[[#This Row],[DateOpened]],TODAY()))-1,ABS(NETWORKDAYS(Proc[[#This Row],[DateOpened]],Proc[[#This Row],[DateClosed]]))-1)</f>
        <v>5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open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on track</v>
      </c>
      <c r="Q4674" s="3">
        <f ca="1">IF(Proc[[#This Row],[DateClosed]]="",ABS(NETWORKDAYS(Proc[[#This Row],[DateOpened]],TODAY()))-1,ABS(NETWORKDAYS(Proc[[#This Row],[DateOpened]],Proc[[#This Row],[DateClosed]]))-1)</f>
        <v>5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open</v>
      </c>
      <c r="C4675" s="149" t="s">
        <v>369</v>
      </c>
      <c r="D4675" t="s">
        <v>6831</v>
      </c>
      <c r="E4675" t="s">
        <v>2206</v>
      </c>
      <c r="F4675" s="150" t="str">
        <f>VLOOKUP(Proc[[#This Row],[Obj]],Sheet1!A:B,2,0)</f>
        <v>L000010037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on track</v>
      </c>
      <c r="Q4675" s="3">
        <f ca="1">IF(Proc[[#This Row],[DateClosed]]="",ABS(NETWORKDAYS(Proc[[#This Row],[DateOpened]],TODAY()))-1,ABS(NETWORKDAYS(Proc[[#This Row],[DateOpened]],Proc[[#This Row],[DateClosed]]))-1)</f>
        <v>5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open</v>
      </c>
      <c r="C4676" s="149" t="s">
        <v>369</v>
      </c>
      <c r="D4676" t="s">
        <v>6832</v>
      </c>
      <c r="E4676" t="s">
        <v>2206</v>
      </c>
      <c r="F4676" s="150" t="str">
        <f>VLOOKUP(Proc[[#This Row],[Obj]],Sheet1!A:B,2,0)</f>
        <v>L000010037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on track</v>
      </c>
      <c r="Q4676" s="3">
        <f ca="1">IF(Proc[[#This Row],[DateClosed]]="",ABS(NETWORKDAYS(Proc[[#This Row],[DateOpened]],TODAY()))-1,ABS(NETWORKDAYS(Proc[[#This Row],[DateOpened]],Proc[[#This Row],[DateClosed]]))-1)</f>
        <v>5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open</v>
      </c>
      <c r="C4677" s="149" t="s">
        <v>369</v>
      </c>
      <c r="D4677" t="s">
        <v>6855</v>
      </c>
      <c r="E4677" t="s">
        <v>6918</v>
      </c>
      <c r="F4677" s="150" t="str">
        <f>VLOOKUP(Proc[[#This Row],[Obj]],Sheet1!A:B,2,0)</f>
        <v>H000002265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on track</v>
      </c>
      <c r="Q4677" s="3">
        <f ca="1">IF(Proc[[#This Row],[DateClosed]]="",ABS(NETWORKDAYS(Proc[[#This Row],[DateOpened]],TODAY()))-1,ABS(NETWORKDAYS(Proc[[#This Row],[DateOpened]],Proc[[#This Row],[DateClosed]]))-1)</f>
        <v>2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open</v>
      </c>
      <c r="C4678" s="149" t="s">
        <v>369</v>
      </c>
      <c r="D4678" t="s">
        <v>6856</v>
      </c>
      <c r="E4678" t="s">
        <v>6919</v>
      </c>
      <c r="F4678" s="150" t="str">
        <f>VLOOKUP(Proc[[#This Row],[Obj]],Sheet1!A:B,2,0)</f>
        <v>H000002264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on track</v>
      </c>
      <c r="Q4678" s="3">
        <f ca="1">IF(Proc[[#This Row],[DateClosed]]="",ABS(NETWORKDAYS(Proc[[#This Row],[DateOpened]],TODAY()))-1,ABS(NETWORKDAYS(Proc[[#This Row],[DateOpened]],Proc[[#This Row],[DateClosed]]))-1)</f>
        <v>2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open</v>
      </c>
      <c r="C4679" s="149" t="s">
        <v>369</v>
      </c>
      <c r="D4679" t="s">
        <v>6857</v>
      </c>
      <c r="E4679" t="s">
        <v>6918</v>
      </c>
      <c r="F4679" s="150" t="str">
        <f>VLOOKUP(Proc[[#This Row],[Obj]],Sheet1!A:B,2,0)</f>
        <v>H000002265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on track</v>
      </c>
      <c r="Q4679" s="3">
        <f ca="1">IF(Proc[[#This Row],[DateClosed]]="",ABS(NETWORKDAYS(Proc[[#This Row],[DateOpened]],TODAY()))-1,ABS(NETWORKDAYS(Proc[[#This Row],[DateOpened]],Proc[[#This Row],[DateClosed]]))-1)</f>
        <v>2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open</v>
      </c>
      <c r="C4680" s="149" t="s">
        <v>369</v>
      </c>
      <c r="D4680" t="s">
        <v>6858</v>
      </c>
      <c r="E4680" t="s">
        <v>6918</v>
      </c>
      <c r="F4680" s="150" t="str">
        <f>VLOOKUP(Proc[[#This Row],[Obj]],Sheet1!A:B,2,0)</f>
        <v>H000002265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on track</v>
      </c>
      <c r="Q4680" s="3">
        <f ca="1">IF(Proc[[#This Row],[DateClosed]]="",ABS(NETWORKDAYS(Proc[[#This Row],[DateOpened]],TODAY()))-1,ABS(NETWORKDAYS(Proc[[#This Row],[DateOpened]],Proc[[#This Row],[DateClosed]]))-1)</f>
        <v>2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open</v>
      </c>
      <c r="C4681" s="149" t="s">
        <v>369</v>
      </c>
      <c r="D4681" t="s">
        <v>6859</v>
      </c>
      <c r="E4681" t="s">
        <v>6920</v>
      </c>
      <c r="F4681" s="150" t="str">
        <f>VLOOKUP(Proc[[#This Row],[Obj]],Sheet1!A:B,2,0)</f>
        <v>H000002266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on track</v>
      </c>
      <c r="Q4681" s="3">
        <f ca="1">IF(Proc[[#This Row],[DateClosed]]="",ABS(NETWORKDAYS(Proc[[#This Row],[DateOpened]],TODAY()))-1,ABS(NETWORKDAYS(Proc[[#This Row],[DateOpened]],Proc[[#This Row],[DateClosed]]))-1)</f>
        <v>2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open</v>
      </c>
      <c r="C4682" s="149" t="s">
        <v>369</v>
      </c>
      <c r="D4682" t="s">
        <v>6860</v>
      </c>
      <c r="E4682" t="s">
        <v>6921</v>
      </c>
      <c r="F4682" s="150" t="str">
        <f>VLOOKUP(Proc[[#This Row],[Obj]],Sheet1!A:B,2,0)</f>
        <v>H000002267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on track</v>
      </c>
      <c r="Q4682" s="3">
        <f ca="1">IF(Proc[[#This Row],[DateClosed]]="",ABS(NETWORKDAYS(Proc[[#This Row],[DateOpened]],TODAY()))-1,ABS(NETWORKDAYS(Proc[[#This Row],[DateOpened]],Proc[[#This Row],[DateClosed]]))-1)</f>
        <v>2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open</v>
      </c>
      <c r="C4683" s="149" t="s">
        <v>369</v>
      </c>
      <c r="D4683" t="s">
        <v>6861</v>
      </c>
      <c r="E4683" t="s">
        <v>6918</v>
      </c>
      <c r="F4683" s="149" t="s">
        <v>6918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on track</v>
      </c>
      <c r="Q4683" s="3">
        <f ca="1">IF(Proc[[#This Row],[DateClosed]]="",ABS(NETWORKDAYS(Proc[[#This Row],[DateOpened]],TODAY()))-1,ABS(NETWORKDAYS(Proc[[#This Row],[DateOpened]],Proc[[#This Row],[DateClosed]]))-1)</f>
        <v>2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open</v>
      </c>
      <c r="C4684" s="149" t="s">
        <v>369</v>
      </c>
      <c r="D4684" t="s">
        <v>6863</v>
      </c>
      <c r="E4684" t="s">
        <v>540</v>
      </c>
      <c r="F4684" s="150" t="str">
        <f>VLOOKUP(Proc[[#This Row],[Obj]],Sheet1!A:B,2,0)</f>
        <v>G000000633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on track</v>
      </c>
      <c r="Q4684" s="3">
        <f ca="1">IF(Proc[[#This Row],[DateClosed]]="",ABS(NETWORKDAYS(Proc[[#This Row],[DateOpened]],TODAY()))-1,ABS(NETWORKDAYS(Proc[[#This Row],[DateOpened]],Proc[[#This Row],[DateClosed]]))-1)</f>
        <v>2</v>
      </c>
      <c r="R4684" s="170" t="s">
        <v>515</v>
      </c>
      <c r="S4684" s="150"/>
    </row>
    <row r="4685" spans="1:19">
      <c r="A4685" t="s">
        <v>6866</v>
      </c>
      <c r="B4685" s="150" t="str">
        <f>IFERROR(VLOOKUP(Proc[[#This Row],[App]],Table2[],3,0),"open")</f>
        <v>open</v>
      </c>
      <c r="C4685" s="149" t="s">
        <v>370</v>
      </c>
      <c r="D4685" t="s">
        <v>6865</v>
      </c>
      <c r="E4685" t="s">
        <v>6872</v>
      </c>
      <c r="F4685" s="150" t="str">
        <f>VLOOKUP(Proc[[#This Row],[Obj]],Sheet1!A:B,2,0)</f>
        <v>H000000442</v>
      </c>
      <c r="G4685" s="149" t="s">
        <v>400</v>
      </c>
      <c r="H4685" s="150" t="str">
        <f>IF(Proc[[#This Row],[type]]="LFF (MDG-F)",MID(Proc[[#This Row],[Obj]],13,10),"")</f>
        <v/>
      </c>
      <c r="I4685" t="s">
        <v>6925</v>
      </c>
      <c r="J4685" s="150" t="b">
        <f>Proc[[#This Row],[Requested]]=Proc[[#This Row],[CurrentParent]]</f>
        <v>0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on track</v>
      </c>
      <c r="Q4685" s="3">
        <f ca="1">IF(Proc[[#This Row],[DateClosed]]="",ABS(NETWORKDAYS(Proc[[#This Row],[DateOpened]],TODAY()))-1,ABS(NETWORKDAYS(Proc[[#This Row],[DateOpened]],Proc[[#This Row],[DateClosed]]))-1)</f>
        <v>2</v>
      </c>
      <c r="R4685" s="170" t="s">
        <v>5682</v>
      </c>
      <c r="S4685" s="150"/>
    </row>
    <row r="4686" spans="1:19">
      <c r="A4686" t="s">
        <v>6868</v>
      </c>
      <c r="B4686" s="150" t="str">
        <f>IFERROR(VLOOKUP(Proc[[#This Row],[App]],Table2[],3,0),"open")</f>
        <v>open</v>
      </c>
      <c r="C4686" s="149" t="s">
        <v>370</v>
      </c>
      <c r="D4686" t="s">
        <v>6867</v>
      </c>
      <c r="E4686" t="s">
        <v>6926</v>
      </c>
      <c r="F4686" s="150" t="str">
        <f>VLOOKUP(Proc[[#This Row],[Obj]],Sheet1!A:B,2,0)</f>
        <v>H000000447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6925</v>
      </c>
      <c r="J4686" s="150" t="b">
        <f>Proc[[#This Row],[Requested]]=Proc[[#This Row],[CurrentParent]]</f>
        <v>0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on track</v>
      </c>
      <c r="Q4686" s="3">
        <f ca="1">IF(Proc[[#This Row],[DateClosed]]="",ABS(NETWORKDAYS(Proc[[#This Row],[DateOpened]],TODAY()))-1,ABS(NETWORKDAYS(Proc[[#This Row],[DateOpened]],Proc[[#This Row],[DateClosed]]))-1)</f>
        <v>2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open</v>
      </c>
      <c r="C4687" s="149" t="s">
        <v>369</v>
      </c>
      <c r="D4687" t="s">
        <v>6869</v>
      </c>
      <c r="E4687" t="s">
        <v>6871</v>
      </c>
      <c r="F4687" s="150" t="str">
        <f>VLOOKUP(Proc[[#This Row],[Obj]],Sheet1!A:B,2,0)</f>
        <v>H000000417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on track</v>
      </c>
      <c r="Q4687" s="3">
        <f ca="1">IF(Proc[[#This Row],[DateClosed]]="",ABS(NETWORKDAYS(Proc[[#This Row],[DateOpened]],TODAY()))-1,ABS(NETWORKDAYS(Proc[[#This Row],[DateOpened]],Proc[[#This Row],[DateClosed]]))-1)</f>
        <v>2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open</v>
      </c>
      <c r="C4688" s="149" t="s">
        <v>369</v>
      </c>
      <c r="D4688" t="s">
        <v>6873</v>
      </c>
      <c r="E4688" t="s">
        <v>2883</v>
      </c>
      <c r="F4688" s="150" t="str">
        <f>VLOOKUP(Proc[[#This Row],[Obj]],Sheet1!A:B,2,0)</f>
        <v>H000004393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on track</v>
      </c>
      <c r="Q4688" s="3">
        <f ca="1">IF(Proc[[#This Row],[DateClosed]]="",ABS(NETWORKDAYS(Proc[[#This Row],[DateOpened]],TODAY()))-1,ABS(NETWORKDAYS(Proc[[#This Row],[DateOpened]],Proc[[#This Row],[DateClosed]]))-1)</f>
        <v>2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open</v>
      </c>
      <c r="C4689" s="149" t="s">
        <v>369</v>
      </c>
      <c r="D4689" t="s">
        <v>6874</v>
      </c>
      <c r="E4689" t="s">
        <v>2117</v>
      </c>
      <c r="F4689" s="150" t="str">
        <f>VLOOKUP(Proc[[#This Row],[Obj]],Sheet1!A:B,2,0)</f>
        <v>H000004392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on track</v>
      </c>
      <c r="Q4689" s="3">
        <f ca="1">IF(Proc[[#This Row],[DateClosed]]="",ABS(NETWORKDAYS(Proc[[#This Row],[DateOpened]],TODAY()))-1,ABS(NETWORKDAYS(Proc[[#This Row],[DateOpened]],Proc[[#This Row],[DateClosed]]))-1)</f>
        <v>2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open</v>
      </c>
      <c r="C4690" s="149" t="s">
        <v>369</v>
      </c>
      <c r="D4690" t="s">
        <v>6875</v>
      </c>
      <c r="E4690" s="149" t="s">
        <v>2117</v>
      </c>
      <c r="F4690" s="150" t="str">
        <f>VLOOKUP(Proc[[#This Row],[Obj]],Sheet1!A:B,2,0)</f>
        <v>H000004392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on track</v>
      </c>
      <c r="Q4690" s="3">
        <f ca="1">IF(Proc[[#This Row],[DateClosed]]="",ABS(NETWORKDAYS(Proc[[#This Row],[DateOpened]],TODAY()))-1,ABS(NETWORKDAYS(Proc[[#This Row],[DateOpened]],Proc[[#This Row],[DateClosed]]))-1)</f>
        <v>2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open</v>
      </c>
      <c r="C4691" s="149" t="s">
        <v>369</v>
      </c>
      <c r="D4691" t="s">
        <v>6876</v>
      </c>
      <c r="E4691" s="149" t="s">
        <v>2117</v>
      </c>
      <c r="F4691" s="150" t="str">
        <f>VLOOKUP(Proc[[#This Row],[Obj]],Sheet1!A:B,2,0)</f>
        <v>H000004392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on track</v>
      </c>
      <c r="Q4691" s="3">
        <f ca="1">IF(Proc[[#This Row],[DateClosed]]="",ABS(NETWORKDAYS(Proc[[#This Row],[DateOpened]],TODAY()))-1,ABS(NETWORKDAYS(Proc[[#This Row],[DateOpened]],Proc[[#This Row],[DateClosed]]))-1)</f>
        <v>2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open</v>
      </c>
      <c r="C4692" s="149" t="s">
        <v>369</v>
      </c>
      <c r="D4692" t="s">
        <v>6877</v>
      </c>
      <c r="E4692" s="149" t="s">
        <v>2117</v>
      </c>
      <c r="F4692" s="150" t="str">
        <f>VLOOKUP(Proc[[#This Row],[Obj]],Sheet1!A:B,2,0)</f>
        <v>H000004392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on track</v>
      </c>
      <c r="Q4692" s="3">
        <f ca="1">IF(Proc[[#This Row],[DateClosed]]="",ABS(NETWORKDAYS(Proc[[#This Row],[DateOpened]],TODAY()))-1,ABS(NETWORKDAYS(Proc[[#This Row],[DateOpened]],Proc[[#This Row],[DateClosed]]))-1)</f>
        <v>2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open</v>
      </c>
      <c r="C4693" s="149" t="s">
        <v>369</v>
      </c>
      <c r="D4693" t="s">
        <v>6878</v>
      </c>
      <c r="E4693" s="149" t="s">
        <v>2117</v>
      </c>
      <c r="F4693" s="150" t="str">
        <f>VLOOKUP(Proc[[#This Row],[Obj]],Sheet1!A:B,2,0)</f>
        <v>H000004392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on track</v>
      </c>
      <c r="Q4693" s="3">
        <f ca="1">IF(Proc[[#This Row],[DateClosed]]="",ABS(NETWORKDAYS(Proc[[#This Row],[DateOpened]],TODAY()))-1,ABS(NETWORKDAYS(Proc[[#This Row],[DateOpened]],Proc[[#This Row],[DateClosed]]))-1)</f>
        <v>2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open</v>
      </c>
      <c r="C4694" s="149" t="s">
        <v>369</v>
      </c>
      <c r="D4694" t="s">
        <v>6879</v>
      </c>
      <c r="E4694" s="149" t="s">
        <v>2117</v>
      </c>
      <c r="F4694" s="150" t="str">
        <f>VLOOKUP(Proc[[#This Row],[Obj]],Sheet1!A:B,2,0)</f>
        <v>H000004392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on track</v>
      </c>
      <c r="Q4694" s="3">
        <f ca="1">IF(Proc[[#This Row],[DateClosed]]="",ABS(NETWORKDAYS(Proc[[#This Row],[DateOpened]],TODAY()))-1,ABS(NETWORKDAYS(Proc[[#This Row],[DateOpened]],Proc[[#This Row],[DateClosed]]))-1)</f>
        <v>2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open</v>
      </c>
      <c r="C4695" s="149" t="s">
        <v>369</v>
      </c>
      <c r="D4695" t="s">
        <v>6880</v>
      </c>
      <c r="E4695" t="s">
        <v>2155</v>
      </c>
      <c r="F4695" s="150" t="str">
        <f>VLOOKUP(Proc[[#This Row],[Obj]],Sheet1!A:B,2,0)</f>
        <v>H000001382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on track</v>
      </c>
      <c r="Q4695" s="3">
        <f ca="1">IF(Proc[[#This Row],[DateClosed]]="",ABS(NETWORKDAYS(Proc[[#This Row],[DateOpened]],TODAY()))-1,ABS(NETWORKDAYS(Proc[[#This Row],[DateOpened]],Proc[[#This Row],[DateClosed]]))-1)</f>
        <v>2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open</v>
      </c>
      <c r="C4696" s="149" t="s">
        <v>369</v>
      </c>
      <c r="D4696" t="s">
        <v>6881</v>
      </c>
      <c r="E4696" t="s">
        <v>2144</v>
      </c>
      <c r="F4696" s="150" t="str">
        <f>VLOOKUP(Proc[[#This Row],[Obj]],Sheet1!A:B,2,0)</f>
        <v>H000001505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on track</v>
      </c>
      <c r="Q4696" s="3">
        <f ca="1">IF(Proc[[#This Row],[DateClosed]]="",ABS(NETWORKDAYS(Proc[[#This Row],[DateOpened]],TODAY()))-1,ABS(NETWORKDAYS(Proc[[#This Row],[DateOpened]],Proc[[#This Row],[DateClosed]]))-1)</f>
        <v>2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open</v>
      </c>
      <c r="C4697" s="149" t="s">
        <v>369</v>
      </c>
      <c r="D4697" t="s">
        <v>2115</v>
      </c>
      <c r="E4697" t="s">
        <v>2109</v>
      </c>
      <c r="F4697" s="150" t="str">
        <f>VLOOKUP(Proc[[#This Row],[Obj]],Sheet1!A:B,2,0)</f>
        <v>H000004390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on track</v>
      </c>
      <c r="Q4697" s="3">
        <f ca="1">IF(Proc[[#This Row],[DateClosed]]="",ABS(NETWORKDAYS(Proc[[#This Row],[DateOpened]],TODAY()))-1,ABS(NETWORKDAYS(Proc[[#This Row],[DateOpened]],Proc[[#This Row],[DateClosed]]))-1)</f>
        <v>2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open</v>
      </c>
      <c r="C4698" s="149" t="s">
        <v>369</v>
      </c>
      <c r="D4698" t="s">
        <v>6882</v>
      </c>
      <c r="E4698" t="s">
        <v>5720</v>
      </c>
      <c r="F4698" s="150" t="str">
        <f>VLOOKUP(Proc[[#This Row],[Obj]],Sheet1!A:B,2,0)</f>
        <v>H000001422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on track</v>
      </c>
      <c r="Q4698" s="3">
        <f ca="1">IF(Proc[[#This Row],[DateClosed]]="",ABS(NETWORKDAYS(Proc[[#This Row],[DateOpened]],TODAY()))-1,ABS(NETWORKDAYS(Proc[[#This Row],[DateOpened]],Proc[[#This Row],[DateClosed]]))-1)</f>
        <v>2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open</v>
      </c>
      <c r="C4699" s="149" t="s">
        <v>369</v>
      </c>
      <c r="D4699" t="s">
        <v>6883</v>
      </c>
      <c r="E4699" t="s">
        <v>6924</v>
      </c>
      <c r="F4699" s="150" t="str">
        <f>VLOOKUP(Proc[[#This Row],[Obj]],Sheet1!A:B,2,0)</f>
        <v>H000004199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on track</v>
      </c>
      <c r="Q4699" s="3">
        <f ca="1">IF(Proc[[#This Row],[DateClosed]]="",ABS(NETWORKDAYS(Proc[[#This Row],[DateOpened]],TODAY()))-1,ABS(NETWORKDAYS(Proc[[#This Row],[DateOpened]],Proc[[#This Row],[DateClosed]]))-1)</f>
        <v>2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open</v>
      </c>
      <c r="C4700" s="149" t="s">
        <v>369</v>
      </c>
      <c r="D4700" t="s">
        <v>6886</v>
      </c>
      <c r="E4700" t="s">
        <v>6887</v>
      </c>
      <c r="F4700" s="150" t="str">
        <f>VLOOKUP(Proc[[#This Row],[Obj]],Sheet1!A:B,2,0)</f>
        <v>H000002595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on track</v>
      </c>
      <c r="Q4700" s="3">
        <f ca="1">IF(Proc[[#This Row],[DateClosed]]="",ABS(NETWORKDAYS(Proc[[#This Row],[DateOpened]],TODAY()))-1,ABS(NETWORKDAYS(Proc[[#This Row],[DateOpened]],Proc[[#This Row],[DateClosed]]))-1)</f>
        <v>2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open</v>
      </c>
      <c r="C4701" s="149" t="s">
        <v>369</v>
      </c>
      <c r="D4701" t="s">
        <v>6889</v>
      </c>
      <c r="E4701" t="s">
        <v>3280</v>
      </c>
      <c r="F4701" s="150" t="str">
        <f>VLOOKUP(Proc[[#This Row],[Obj]],Sheet1!A:B,2,0)</f>
        <v>H000000369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on track</v>
      </c>
      <c r="Q4701" s="3">
        <f ca="1">IF(Proc[[#This Row],[DateClosed]]="",ABS(NETWORKDAYS(Proc[[#This Row],[DateOpened]],TODAY()))-1,ABS(NETWORKDAYS(Proc[[#This Row],[DateOpened]],Proc[[#This Row],[DateClosed]]))-1)</f>
        <v>1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open</v>
      </c>
      <c r="C4702" s="149" t="s">
        <v>369</v>
      </c>
      <c r="D4702" t="s">
        <v>6890</v>
      </c>
      <c r="E4702" t="s">
        <v>3280</v>
      </c>
      <c r="F4702" s="150" t="str">
        <f>VLOOKUP(Proc[[#This Row],[Obj]],Sheet1!A:B,2,0)</f>
        <v>H000000369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on track</v>
      </c>
      <c r="Q4702" s="3">
        <f ca="1">IF(Proc[[#This Row],[DateClosed]]="",ABS(NETWORKDAYS(Proc[[#This Row],[DateOpened]],TODAY()))-1,ABS(NETWORKDAYS(Proc[[#This Row],[DateOpened]],Proc[[#This Row],[DateClosed]]))-1)</f>
        <v>1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open</v>
      </c>
      <c r="C4703" s="149" t="s">
        <v>369</v>
      </c>
      <c r="D4703" t="s">
        <v>6891</v>
      </c>
      <c r="E4703" t="s">
        <v>2161</v>
      </c>
      <c r="F4703" s="150" t="str">
        <f>VLOOKUP(Proc[[#This Row],[Obj]],Sheet1!A:B,2,0)</f>
        <v>H000000423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on track</v>
      </c>
      <c r="Q4703" s="3">
        <f ca="1">IF(Proc[[#This Row],[DateClosed]]="",ABS(NETWORKDAYS(Proc[[#This Row],[DateOpened]],TODAY()))-1,ABS(NETWORKDAYS(Proc[[#This Row],[DateOpened]],Proc[[#This Row],[DateClosed]]))-1)</f>
        <v>1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open</v>
      </c>
      <c r="C4704" s="149" t="s">
        <v>369</v>
      </c>
      <c r="D4704" t="s">
        <v>6894</v>
      </c>
      <c r="E4704" t="s">
        <v>2161</v>
      </c>
      <c r="F4704" s="150" t="str">
        <f>VLOOKUP(Proc[[#This Row],[Obj]],Sheet1!A:B,2,0)</f>
        <v>H000000423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on track</v>
      </c>
      <c r="Q4704" s="3">
        <f ca="1">IF(Proc[[#This Row],[DateClosed]]="",ABS(NETWORKDAYS(Proc[[#This Row],[DateOpened]],TODAY()))-1,ABS(NETWORKDAYS(Proc[[#This Row],[DateOpened]],Proc[[#This Row],[DateClosed]]))-1)</f>
        <v>1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open</v>
      </c>
      <c r="C4705" s="149" t="s">
        <v>369</v>
      </c>
      <c r="D4705" t="s">
        <v>6895</v>
      </c>
      <c r="E4705" t="s">
        <v>2161</v>
      </c>
      <c r="F4705" s="150" t="str">
        <f>VLOOKUP(Proc[[#This Row],[Obj]],Sheet1!A:B,2,0)</f>
        <v>H000000423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on track</v>
      </c>
      <c r="Q4705" s="3">
        <f ca="1">IF(Proc[[#This Row],[DateClosed]]="",ABS(NETWORKDAYS(Proc[[#This Row],[DateOpened]],TODAY()))-1,ABS(NETWORKDAYS(Proc[[#This Row],[DateOpened]],Proc[[#This Row],[DateClosed]]))-1)</f>
        <v>1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open</v>
      </c>
      <c r="C4706" s="149" t="s">
        <v>369</v>
      </c>
      <c r="D4706" t="s">
        <v>6897</v>
      </c>
      <c r="E4706" t="s">
        <v>2161</v>
      </c>
      <c r="F4706" s="150" t="str">
        <f>VLOOKUP(Proc[[#This Row],[Obj]],Sheet1!A:B,2,0)</f>
        <v>H000000423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on track</v>
      </c>
      <c r="Q4706" s="3">
        <f ca="1">IF(Proc[[#This Row],[DateClosed]]="",ABS(NETWORKDAYS(Proc[[#This Row],[DateOpened]],TODAY()))-1,ABS(NETWORKDAYS(Proc[[#This Row],[DateOpened]],Proc[[#This Row],[DateClosed]]))-1)</f>
        <v>1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open</v>
      </c>
      <c r="C4707" s="149" t="s">
        <v>369</v>
      </c>
      <c r="D4707" t="s">
        <v>6900</v>
      </c>
      <c r="E4707" t="s">
        <v>2161</v>
      </c>
      <c r="F4707" s="150" t="str">
        <f>VLOOKUP(Proc[[#This Row],[Obj]],Sheet1!A:B,2,0)</f>
        <v>H000000423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on track</v>
      </c>
      <c r="Q4707" s="3">
        <f ca="1">IF(Proc[[#This Row],[DateClosed]]="",ABS(NETWORKDAYS(Proc[[#This Row],[DateOpened]],TODAY()))-1,ABS(NETWORKDAYS(Proc[[#This Row],[DateOpened]],Proc[[#This Row],[DateClosed]]))-1)</f>
        <v>1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open</v>
      </c>
      <c r="C4708" s="149" t="s">
        <v>369</v>
      </c>
      <c r="D4708" t="s">
        <v>6901</v>
      </c>
      <c r="E4708" t="s">
        <v>2161</v>
      </c>
      <c r="F4708" s="150" t="str">
        <f>VLOOKUP(Proc[[#This Row],[Obj]],Sheet1!A:B,2,0)</f>
        <v>H000000423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on track</v>
      </c>
      <c r="Q4708" s="3">
        <f ca="1">IF(Proc[[#This Row],[DateClosed]]="",ABS(NETWORKDAYS(Proc[[#This Row],[DateOpened]],TODAY()))-1,ABS(NETWORKDAYS(Proc[[#This Row],[DateOpened]],Proc[[#This Row],[DateClosed]]))-1)</f>
        <v>1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open</v>
      </c>
      <c r="C4709" s="149" t="s">
        <v>369</v>
      </c>
      <c r="D4709" t="s">
        <v>6903</v>
      </c>
      <c r="E4709" t="s">
        <v>2161</v>
      </c>
      <c r="F4709" s="150" t="str">
        <f>VLOOKUP(Proc[[#This Row],[Obj]],Sheet1!A:B,2,0)</f>
        <v>H000000423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on track</v>
      </c>
      <c r="Q4709" s="3">
        <f ca="1">IF(Proc[[#This Row],[DateClosed]]="",ABS(NETWORKDAYS(Proc[[#This Row],[DateOpened]],TODAY()))-1,ABS(NETWORKDAYS(Proc[[#This Row],[DateOpened]],Proc[[#This Row],[DateClosed]]))-1)</f>
        <v>1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open</v>
      </c>
      <c r="C4710" s="149" t="s">
        <v>369</v>
      </c>
      <c r="D4710" t="s">
        <v>6906</v>
      </c>
      <c r="E4710" t="s">
        <v>2161</v>
      </c>
      <c r="F4710" s="150" t="str">
        <f>VLOOKUP(Proc[[#This Row],[Obj]],Sheet1!A:B,2,0)</f>
        <v>H000000423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on track</v>
      </c>
      <c r="Q4710" s="3">
        <f ca="1">IF(Proc[[#This Row],[DateClosed]]="",ABS(NETWORKDAYS(Proc[[#This Row],[DateOpened]],TODAY()))-1,ABS(NETWORKDAYS(Proc[[#This Row],[DateOpened]],Proc[[#This Row],[DateClosed]]))-1)</f>
        <v>1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open</v>
      </c>
      <c r="C4711" s="149" t="s">
        <v>369</v>
      </c>
      <c r="D4711" t="s">
        <v>6907</v>
      </c>
      <c r="E4711" t="s">
        <v>2161</v>
      </c>
      <c r="F4711" s="150" t="str">
        <f>VLOOKUP(Proc[[#This Row],[Obj]],Sheet1!A:B,2,0)</f>
        <v>H000000423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on track</v>
      </c>
      <c r="Q4711" s="3">
        <f ca="1">IF(Proc[[#This Row],[DateClosed]]="",ABS(NETWORKDAYS(Proc[[#This Row],[DateOpened]],TODAY()))-1,ABS(NETWORKDAYS(Proc[[#This Row],[DateOpened]],Proc[[#This Row],[DateClosed]]))-1)</f>
        <v>1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open</v>
      </c>
      <c r="C4712" s="149" t="s">
        <v>369</v>
      </c>
      <c r="D4712" t="s">
        <v>6909</v>
      </c>
      <c r="E4712" t="s">
        <v>6911</v>
      </c>
      <c r="F4712" s="150" t="str">
        <f>VLOOKUP(Proc[[#This Row],[Obj]],Sheet1!A:B,2,0)</f>
        <v>H000000429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on track</v>
      </c>
      <c r="Q4712" s="3">
        <f ca="1">IF(Proc[[#This Row],[DateClosed]]="",ABS(NETWORKDAYS(Proc[[#This Row],[DateOpened]],TODAY()))-1,ABS(NETWORKDAYS(Proc[[#This Row],[DateOpened]],Proc[[#This Row],[DateClosed]]))-1)</f>
        <v>1</v>
      </c>
      <c r="R4712" s="170" t="s">
        <v>478</v>
      </c>
      <c r="S4712" s="150"/>
    </row>
    <row r="4713" spans="1:19">
      <c r="A4713" t="s">
        <v>6912</v>
      </c>
      <c r="B4713" s="150" t="str">
        <f>IFERROR(VLOOKUP(Proc[[#This Row],[App]],Table2[],3,0),"open")</f>
        <v>open</v>
      </c>
      <c r="C4713" s="149" t="s">
        <v>370</v>
      </c>
      <c r="D4713" t="s">
        <v>6865</v>
      </c>
      <c r="E4713" t="s">
        <v>6872</v>
      </c>
      <c r="F4713" s="150" t="str">
        <f>VLOOKUP(Proc[[#This Row],[Obj]],Sheet1!A:B,2,0)</f>
        <v>H000000442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0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on track</v>
      </c>
      <c r="Q4713" s="3">
        <f ca="1">IF(Proc[[#This Row],[DateClosed]]="",ABS(NETWORKDAYS(Proc[[#This Row],[DateOpened]],TODAY()))-1,ABS(NETWORKDAYS(Proc[[#This Row],[DateOpened]],Proc[[#This Row],[DateClosed]]))-1)</f>
        <v>1</v>
      </c>
      <c r="R4713" s="170" t="s">
        <v>478</v>
      </c>
      <c r="S4713" s="150"/>
    </row>
    <row r="4714" spans="1:19">
      <c r="A4714" t="s">
        <v>6868</v>
      </c>
      <c r="B4714" s="150" t="str">
        <f>IFERROR(VLOOKUP(Proc[[#This Row],[App]],Table2[],3,0),"open")</f>
        <v>open</v>
      </c>
      <c r="C4714" s="149" t="s">
        <v>370</v>
      </c>
      <c r="D4714" t="s">
        <v>6867</v>
      </c>
      <c r="E4714" t="s">
        <v>6926</v>
      </c>
      <c r="F4714" s="150" t="str">
        <f>VLOOKUP(Proc[[#This Row],[Obj]],Sheet1!A:B,2,0)</f>
        <v>H000000447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0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on track</v>
      </c>
      <c r="Q4714" s="3">
        <f ca="1">IF(Proc[[#This Row],[DateClosed]]="",ABS(NETWORKDAYS(Proc[[#This Row],[DateOpened]],TODAY()))-1,ABS(NETWORKDAYS(Proc[[#This Row],[DateOpened]],Proc[[#This Row],[DateClosed]]))-1)</f>
        <v>1</v>
      </c>
      <c r="R4714" s="170" t="s">
        <v>478</v>
      </c>
      <c r="S4714" s="150"/>
    </row>
  </sheetData>
  <phoneticPr fontId="0" type="noConversion"/>
  <conditionalFormatting sqref="D642">
    <cfRule type="duplicateValues" dxfId="23" priority="3"/>
  </conditionalFormatting>
  <conditionalFormatting sqref="D1017:D1042">
    <cfRule type="duplicateValues" dxfId="2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G2:G4714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5FF93-8543-4AC2-B473-B8EF35B7DF1D}">
  <dimension ref="A1:B101"/>
  <sheetViews>
    <sheetView topLeftCell="A50" workbookViewId="0">
      <selection activeCell="B101" sqref="B101"/>
    </sheetView>
  </sheetViews>
  <sheetFormatPr defaultRowHeight="15"/>
  <sheetData>
    <row r="1" spans="1:2">
      <c r="A1" t="s">
        <v>6778</v>
      </c>
      <c r="B1" t="s">
        <v>6779</v>
      </c>
    </row>
    <row r="2" spans="1:2">
      <c r="A2" t="s">
        <v>6782</v>
      </c>
      <c r="B2" t="s">
        <v>6913</v>
      </c>
    </row>
    <row r="3" spans="1:2">
      <c r="A3" t="s">
        <v>6783</v>
      </c>
      <c r="B3" t="s">
        <v>6914</v>
      </c>
    </row>
    <row r="4" spans="1:2">
      <c r="A4" t="s">
        <v>6786</v>
      </c>
      <c r="B4" t="s">
        <v>6787</v>
      </c>
    </row>
    <row r="5" spans="1:2">
      <c r="A5" t="s">
        <v>6789</v>
      </c>
      <c r="B5" t="s">
        <v>6827</v>
      </c>
    </row>
    <row r="6" spans="1:2">
      <c r="A6" t="s">
        <v>6790</v>
      </c>
      <c r="B6" t="s">
        <v>6827</v>
      </c>
    </row>
    <row r="7" spans="1:2">
      <c r="A7" t="s">
        <v>6791</v>
      </c>
      <c r="B7" t="s">
        <v>6827</v>
      </c>
    </row>
    <row r="8" spans="1:2">
      <c r="A8" t="s">
        <v>6792</v>
      </c>
      <c r="B8" t="s">
        <v>6827</v>
      </c>
    </row>
    <row r="9" spans="1:2">
      <c r="A9" t="s">
        <v>6793</v>
      </c>
      <c r="B9" t="s">
        <v>6827</v>
      </c>
    </row>
    <row r="10" spans="1:2">
      <c r="A10" t="s">
        <v>6794</v>
      </c>
      <c r="B10" t="s">
        <v>6827</v>
      </c>
    </row>
    <row r="11" spans="1:2">
      <c r="A11" t="s">
        <v>6795</v>
      </c>
      <c r="B11" t="s">
        <v>6827</v>
      </c>
    </row>
    <row r="12" spans="1:2">
      <c r="A12" t="s">
        <v>6796</v>
      </c>
      <c r="B12" t="s">
        <v>6827</v>
      </c>
    </row>
    <row r="13" spans="1:2">
      <c r="A13" t="s">
        <v>6797</v>
      </c>
      <c r="B13" t="s">
        <v>6827</v>
      </c>
    </row>
    <row r="14" spans="1:2">
      <c r="A14" t="s">
        <v>6798</v>
      </c>
      <c r="B14" t="s">
        <v>6827</v>
      </c>
    </row>
    <row r="15" spans="1:2">
      <c r="A15" t="s">
        <v>6799</v>
      </c>
      <c r="B15" t="s">
        <v>6827</v>
      </c>
    </row>
    <row r="16" spans="1:2">
      <c r="A16" t="s">
        <v>6800</v>
      </c>
      <c r="B16" t="s">
        <v>6827</v>
      </c>
    </row>
    <row r="17" spans="1:2">
      <c r="A17" t="s">
        <v>6801</v>
      </c>
      <c r="B17" t="s">
        <v>6827</v>
      </c>
    </row>
    <row r="18" spans="1:2">
      <c r="A18" t="s">
        <v>6802</v>
      </c>
      <c r="B18" t="s">
        <v>6827</v>
      </c>
    </row>
    <row r="19" spans="1:2">
      <c r="A19" t="s">
        <v>6803</v>
      </c>
      <c r="B19" t="s">
        <v>6827</v>
      </c>
    </row>
    <row r="20" spans="1:2">
      <c r="A20" t="s">
        <v>6804</v>
      </c>
      <c r="B20" t="s">
        <v>6827</v>
      </c>
    </row>
    <row r="21" spans="1:2">
      <c r="A21" t="s">
        <v>6805</v>
      </c>
      <c r="B21" t="s">
        <v>6827</v>
      </c>
    </row>
    <row r="22" spans="1:2">
      <c r="A22" t="s">
        <v>6806</v>
      </c>
      <c r="B22" t="s">
        <v>6827</v>
      </c>
    </row>
    <row r="23" spans="1:2">
      <c r="A23" t="s">
        <v>6807</v>
      </c>
      <c r="B23" t="s">
        <v>6827</v>
      </c>
    </row>
    <row r="24" spans="1:2">
      <c r="A24" t="s">
        <v>6808</v>
      </c>
      <c r="B24" t="s">
        <v>6827</v>
      </c>
    </row>
    <row r="25" spans="1:2">
      <c r="A25" t="s">
        <v>6809</v>
      </c>
      <c r="B25" t="s">
        <v>6827</v>
      </c>
    </row>
    <row r="26" spans="1:2">
      <c r="A26" t="s">
        <v>6810</v>
      </c>
      <c r="B26" t="s">
        <v>6827</v>
      </c>
    </row>
    <row r="27" spans="1:2">
      <c r="A27" t="s">
        <v>6811</v>
      </c>
      <c r="B27" t="s">
        <v>6827</v>
      </c>
    </row>
    <row r="28" spans="1:2">
      <c r="A28" t="s">
        <v>6812</v>
      </c>
      <c r="B28" t="s">
        <v>6827</v>
      </c>
    </row>
    <row r="29" spans="1:2">
      <c r="A29" t="s">
        <v>6813</v>
      </c>
      <c r="B29" t="s">
        <v>6827</v>
      </c>
    </row>
    <row r="30" spans="1:2">
      <c r="A30" t="s">
        <v>6814</v>
      </c>
      <c r="B30" t="s">
        <v>6827</v>
      </c>
    </row>
    <row r="31" spans="1:2">
      <c r="A31" t="s">
        <v>6815</v>
      </c>
      <c r="B31" t="s">
        <v>6827</v>
      </c>
    </row>
    <row r="32" spans="1:2">
      <c r="A32" t="s">
        <v>6816</v>
      </c>
      <c r="B32" t="s">
        <v>6827</v>
      </c>
    </row>
    <row r="33" spans="1:2">
      <c r="A33" t="s">
        <v>6817</v>
      </c>
      <c r="B33" t="s">
        <v>6827</v>
      </c>
    </row>
    <row r="34" spans="1:2">
      <c r="A34" t="s">
        <v>6818</v>
      </c>
      <c r="B34" t="s">
        <v>6915</v>
      </c>
    </row>
    <row r="35" spans="1:2">
      <c r="A35" t="s">
        <v>6819</v>
      </c>
      <c r="B35" t="s">
        <v>6915</v>
      </c>
    </row>
    <row r="36" spans="1:2">
      <c r="A36" t="s">
        <v>6820</v>
      </c>
      <c r="B36" t="s">
        <v>6915</v>
      </c>
    </row>
    <row r="37" spans="1:2">
      <c r="A37" t="s">
        <v>6821</v>
      </c>
      <c r="B37" t="s">
        <v>6915</v>
      </c>
    </row>
    <row r="38" spans="1:2">
      <c r="A38" t="s">
        <v>6822</v>
      </c>
      <c r="B38" t="s">
        <v>6828</v>
      </c>
    </row>
    <row r="39" spans="1:2">
      <c r="A39" t="s">
        <v>6823</v>
      </c>
      <c r="B39" t="s">
        <v>6828</v>
      </c>
    </row>
    <row r="40" spans="1:2">
      <c r="A40" t="s">
        <v>6824</v>
      </c>
      <c r="B40" t="s">
        <v>6185</v>
      </c>
    </row>
    <row r="41" spans="1:2">
      <c r="A41" t="s">
        <v>6825</v>
      </c>
      <c r="B41" t="s">
        <v>6828</v>
      </c>
    </row>
    <row r="42" spans="1:2">
      <c r="A42" t="s">
        <v>6826</v>
      </c>
      <c r="B42" t="s">
        <v>6828</v>
      </c>
    </row>
    <row r="43" spans="1:2">
      <c r="A43" t="s">
        <v>6829</v>
      </c>
      <c r="B43" t="s">
        <v>2200</v>
      </c>
    </row>
    <row r="44" spans="1:2">
      <c r="A44" t="s">
        <v>6830</v>
      </c>
      <c r="B44" t="s">
        <v>2206</v>
      </c>
    </row>
    <row r="45" spans="1:2">
      <c r="A45" t="s">
        <v>6831</v>
      </c>
      <c r="B45" t="s">
        <v>2206</v>
      </c>
    </row>
    <row r="46" spans="1:2">
      <c r="A46" t="s">
        <v>6832</v>
      </c>
      <c r="B46" t="s">
        <v>2206</v>
      </c>
    </row>
    <row r="47" spans="1:2">
      <c r="A47" t="s">
        <v>6833</v>
      </c>
      <c r="B47" t="s">
        <v>2206</v>
      </c>
    </row>
    <row r="48" spans="1:2">
      <c r="A48" t="s">
        <v>6834</v>
      </c>
      <c r="B48" t="s">
        <v>2205</v>
      </c>
    </row>
    <row r="49" spans="1:2">
      <c r="A49" t="s">
        <v>6835</v>
      </c>
      <c r="B49" t="s">
        <v>2368</v>
      </c>
    </row>
    <row r="50" spans="1:2">
      <c r="A50" t="s">
        <v>6836</v>
      </c>
      <c r="B50" t="s">
        <v>2368</v>
      </c>
    </row>
    <row r="51" spans="1:2">
      <c r="A51" t="s">
        <v>6837</v>
      </c>
      <c r="B51" t="s">
        <v>2368</v>
      </c>
    </row>
    <row r="52" spans="1:2">
      <c r="A52" t="s">
        <v>6838</v>
      </c>
      <c r="B52" t="s">
        <v>2368</v>
      </c>
    </row>
    <row r="53" spans="1:2">
      <c r="A53" t="s">
        <v>6839</v>
      </c>
      <c r="B53" t="s">
        <v>2368</v>
      </c>
    </row>
    <row r="54" spans="1:2">
      <c r="A54" t="s">
        <v>6840</v>
      </c>
      <c r="B54" t="s">
        <v>6848</v>
      </c>
    </row>
    <row r="55" spans="1:2">
      <c r="A55" t="s">
        <v>6841</v>
      </c>
      <c r="B55" t="s">
        <v>6849</v>
      </c>
    </row>
    <row r="56" spans="1:2">
      <c r="A56" t="s">
        <v>6842</v>
      </c>
      <c r="B56" t="s">
        <v>6531</v>
      </c>
    </row>
    <row r="57" spans="1:2">
      <c r="A57" t="s">
        <v>6843</v>
      </c>
      <c r="B57" t="s">
        <v>6850</v>
      </c>
    </row>
    <row r="58" spans="1:2">
      <c r="A58" t="s">
        <v>6844</v>
      </c>
      <c r="B58" t="s">
        <v>6916</v>
      </c>
    </row>
    <row r="59" spans="1:2">
      <c r="A59" t="s">
        <v>6845</v>
      </c>
      <c r="B59" t="s">
        <v>496</v>
      </c>
    </row>
    <row r="60" spans="1:2">
      <c r="A60" t="s">
        <v>6846</v>
      </c>
      <c r="B60" t="s">
        <v>6851</v>
      </c>
    </row>
    <row r="61" spans="1:2">
      <c r="A61" t="s">
        <v>6847</v>
      </c>
      <c r="B61" t="s">
        <v>6917</v>
      </c>
    </row>
    <row r="62" spans="1:2">
      <c r="A62" t="s">
        <v>6831</v>
      </c>
      <c r="B62" t="s">
        <v>2206</v>
      </c>
    </row>
    <row r="63" spans="1:2">
      <c r="A63" t="s">
        <v>6832</v>
      </c>
      <c r="B63" t="s">
        <v>2206</v>
      </c>
    </row>
    <row r="64" spans="1:2">
      <c r="A64" t="s">
        <v>6855</v>
      </c>
      <c r="B64" t="s">
        <v>6918</v>
      </c>
    </row>
    <row r="65" spans="1:2">
      <c r="A65" t="s">
        <v>6856</v>
      </c>
      <c r="B65" t="s">
        <v>6919</v>
      </c>
    </row>
    <row r="66" spans="1:2">
      <c r="A66" t="s">
        <v>6857</v>
      </c>
      <c r="B66" t="s">
        <v>6918</v>
      </c>
    </row>
    <row r="67" spans="1:2">
      <c r="A67" t="s">
        <v>6858</v>
      </c>
      <c r="B67" t="s">
        <v>6918</v>
      </c>
    </row>
    <row r="68" spans="1:2">
      <c r="A68" t="s">
        <v>6859</v>
      </c>
      <c r="B68" t="s">
        <v>6920</v>
      </c>
    </row>
    <row r="69" spans="1:2">
      <c r="A69" t="s">
        <v>6860</v>
      </c>
      <c r="B69" t="s">
        <v>6921</v>
      </c>
    </row>
    <row r="70" spans="1:2">
      <c r="A70" t="s">
        <v>6861</v>
      </c>
      <c r="B70" t="s">
        <v>6922</v>
      </c>
    </row>
    <row r="71" spans="1:2">
      <c r="A71" t="s">
        <v>6863</v>
      </c>
      <c r="B71" t="s">
        <v>540</v>
      </c>
    </row>
    <row r="72" spans="1:2">
      <c r="A72" t="s">
        <v>6865</v>
      </c>
      <c r="B72" t="s">
        <v>6923</v>
      </c>
    </row>
    <row r="73" spans="1:2">
      <c r="A73" t="s">
        <v>6867</v>
      </c>
      <c r="B73" t="s">
        <v>3625</v>
      </c>
    </row>
    <row r="74" spans="1:2">
      <c r="A74" t="s">
        <v>6869</v>
      </c>
      <c r="B74" t="s">
        <v>6871</v>
      </c>
    </row>
    <row r="75" spans="1:2">
      <c r="A75" t="s">
        <v>6873</v>
      </c>
      <c r="B75" t="s">
        <v>2883</v>
      </c>
    </row>
    <row r="76" spans="1:2">
      <c r="A76" t="s">
        <v>6874</v>
      </c>
      <c r="B76" t="s">
        <v>2117</v>
      </c>
    </row>
    <row r="77" spans="1:2">
      <c r="A77" t="s">
        <v>6875</v>
      </c>
      <c r="B77" t="s">
        <v>2117</v>
      </c>
    </row>
    <row r="78" spans="1:2">
      <c r="A78" t="s">
        <v>6876</v>
      </c>
      <c r="B78" t="s">
        <v>2117</v>
      </c>
    </row>
    <row r="79" spans="1:2">
      <c r="A79" t="s">
        <v>6877</v>
      </c>
      <c r="B79" t="s">
        <v>2117</v>
      </c>
    </row>
    <row r="80" spans="1:2">
      <c r="A80" t="s">
        <v>6878</v>
      </c>
      <c r="B80" t="s">
        <v>2117</v>
      </c>
    </row>
    <row r="81" spans="1:2">
      <c r="A81" t="s">
        <v>6879</v>
      </c>
      <c r="B81" t="s">
        <v>2117</v>
      </c>
    </row>
    <row r="82" spans="1:2">
      <c r="A82" t="s">
        <v>6880</v>
      </c>
      <c r="B82" t="s">
        <v>2155</v>
      </c>
    </row>
    <row r="83" spans="1:2">
      <c r="A83" t="s">
        <v>6881</v>
      </c>
      <c r="B83" t="s">
        <v>2144</v>
      </c>
    </row>
    <row r="84" spans="1:2">
      <c r="A84" t="s">
        <v>2115</v>
      </c>
      <c r="B84" t="s">
        <v>2109</v>
      </c>
    </row>
    <row r="85" spans="1:2">
      <c r="A85" t="s">
        <v>6882</v>
      </c>
      <c r="B85" t="s">
        <v>5720</v>
      </c>
    </row>
    <row r="86" spans="1:2">
      <c r="A86" t="s">
        <v>6883</v>
      </c>
      <c r="B86" t="s">
        <v>6924</v>
      </c>
    </row>
    <row r="87" spans="1:2">
      <c r="A87" t="s">
        <v>6886</v>
      </c>
      <c r="B87" t="s">
        <v>6887</v>
      </c>
    </row>
    <row r="88" spans="1:2">
      <c r="A88" t="s">
        <v>6889</v>
      </c>
      <c r="B88" t="s">
        <v>3280</v>
      </c>
    </row>
    <row r="89" spans="1:2">
      <c r="A89" t="s">
        <v>6890</v>
      </c>
      <c r="B89" t="s">
        <v>3280</v>
      </c>
    </row>
    <row r="90" spans="1:2">
      <c r="A90" t="s">
        <v>6891</v>
      </c>
      <c r="B90" t="s">
        <v>2161</v>
      </c>
    </row>
    <row r="91" spans="1:2">
      <c r="A91" t="s">
        <v>6894</v>
      </c>
      <c r="B91" t="s">
        <v>2161</v>
      </c>
    </row>
    <row r="92" spans="1:2">
      <c r="A92" t="s">
        <v>6895</v>
      </c>
      <c r="B92" t="s">
        <v>2161</v>
      </c>
    </row>
    <row r="93" spans="1:2">
      <c r="A93" t="s">
        <v>6897</v>
      </c>
      <c r="B93" t="s">
        <v>2161</v>
      </c>
    </row>
    <row r="94" spans="1:2">
      <c r="A94" t="s">
        <v>6900</v>
      </c>
      <c r="B94" t="s">
        <v>2161</v>
      </c>
    </row>
    <row r="95" spans="1:2">
      <c r="A95" t="s">
        <v>6901</v>
      </c>
      <c r="B95" t="s">
        <v>2161</v>
      </c>
    </row>
    <row r="96" spans="1:2">
      <c r="A96" t="s">
        <v>6903</v>
      </c>
      <c r="B96" t="s">
        <v>2161</v>
      </c>
    </row>
    <row r="97" spans="1:2">
      <c r="A97" t="s">
        <v>6906</v>
      </c>
      <c r="B97" t="s">
        <v>2161</v>
      </c>
    </row>
    <row r="98" spans="1:2">
      <c r="A98" t="s">
        <v>6907</v>
      </c>
      <c r="B98" t="s">
        <v>2161</v>
      </c>
    </row>
    <row r="99" spans="1:2">
      <c r="A99" t="s">
        <v>6909</v>
      </c>
      <c r="B99" t="s">
        <v>6911</v>
      </c>
    </row>
    <row r="100" spans="1:2">
      <c r="A100" t="s">
        <v>6865</v>
      </c>
      <c r="B100" t="s">
        <v>6923</v>
      </c>
    </row>
    <row r="101" spans="1:2">
      <c r="A101" t="s">
        <v>6867</v>
      </c>
      <c r="B101" t="s">
        <v>3625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75" sqref="E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2"/>
  <sheetViews>
    <sheetView topLeftCell="A123" workbookViewId="0">
      <selection activeCell="I151" sqref="I151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2025-11-19T14:40:12Z</dcterms:modified>
  <cp:category/>
  <cp:contentStatus/>
</cp:coreProperties>
</file>