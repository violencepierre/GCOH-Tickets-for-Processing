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43CE754F-1FC1-4162-A84C-CE822490B31F}" xr6:coauthVersionLast="47" xr6:coauthVersionMax="47" xr10:uidLastSave="{00000000-0000-0000-0000-000000000000}"/>
  <bookViews>
    <workbookView xWindow="-12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4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60" i="1" l="1"/>
  <c r="B2261" i="1"/>
  <c r="B2262" i="1"/>
  <c r="B2263" i="1"/>
  <c r="B2264" i="1"/>
  <c r="B2265" i="1"/>
  <c r="B2266" i="1"/>
  <c r="H2260" i="1"/>
  <c r="H2261" i="1"/>
  <c r="H2262" i="1"/>
  <c r="H2263" i="1"/>
  <c r="H2264" i="1"/>
  <c r="H2265" i="1"/>
  <c r="H2266" i="1"/>
  <c r="J2260" i="1"/>
  <c r="J2261" i="1"/>
  <c r="J2262" i="1"/>
  <c r="J2263" i="1"/>
  <c r="J2264" i="1"/>
  <c r="J2265" i="1"/>
  <c r="J2266" i="1"/>
  <c r="K2260" i="1"/>
  <c r="K2261" i="1"/>
  <c r="K2262" i="1"/>
  <c r="K2263" i="1"/>
  <c r="K2264" i="1"/>
  <c r="K2265" i="1"/>
  <c r="K2266" i="1"/>
  <c r="Q2260" i="1"/>
  <c r="P2260" i="1" s="1"/>
  <c r="Q2261" i="1"/>
  <c r="P2261" i="1" s="1"/>
  <c r="Q2262" i="1"/>
  <c r="P2262" i="1" s="1"/>
  <c r="Q2263" i="1"/>
  <c r="P2263" i="1" s="1"/>
  <c r="Q2264" i="1"/>
  <c r="P2264" i="1" s="1"/>
  <c r="Q2265" i="1"/>
  <c r="P2265" i="1" s="1"/>
  <c r="Q2266" i="1"/>
  <c r="P2266" i="1" s="1"/>
  <c r="B2259" i="1" l="1"/>
  <c r="H2259" i="1"/>
  <c r="J2259" i="1"/>
  <c r="K2259" i="1"/>
  <c r="Q2259" i="1"/>
  <c r="P2259" i="1" s="1"/>
  <c r="B2257" i="1"/>
  <c r="B2258" i="1"/>
  <c r="H2257" i="1"/>
  <c r="H2258" i="1"/>
  <c r="J2257" i="1"/>
  <c r="J2258" i="1"/>
  <c r="K2257" i="1"/>
  <c r="K2258" i="1"/>
  <c r="Q2257" i="1"/>
  <c r="P2257" i="1" s="1"/>
  <c r="Q2258" i="1"/>
  <c r="P2258" i="1" s="1"/>
  <c r="B2256" i="1"/>
  <c r="H2256" i="1"/>
  <c r="J2256" i="1"/>
  <c r="K2256" i="1"/>
  <c r="Q2256" i="1"/>
  <c r="P2256" i="1" s="1"/>
  <c r="B2248" i="1"/>
  <c r="B2249" i="1"/>
  <c r="B2250" i="1"/>
  <c r="B2251" i="1"/>
  <c r="B2252" i="1"/>
  <c r="B2253" i="1"/>
  <c r="B2254" i="1"/>
  <c r="B2255" i="1"/>
  <c r="H2248" i="1"/>
  <c r="H2249" i="1"/>
  <c r="H2250" i="1"/>
  <c r="H2251" i="1"/>
  <c r="H2252" i="1"/>
  <c r="H2253" i="1"/>
  <c r="H2254" i="1"/>
  <c r="H2255" i="1"/>
  <c r="J2248" i="1"/>
  <c r="J2249" i="1"/>
  <c r="J2250" i="1"/>
  <c r="J2251" i="1"/>
  <c r="J2252" i="1"/>
  <c r="J2253" i="1"/>
  <c r="J2254" i="1"/>
  <c r="J2255" i="1"/>
  <c r="K2248" i="1"/>
  <c r="K2249" i="1"/>
  <c r="K2250" i="1"/>
  <c r="K2251" i="1"/>
  <c r="K2252" i="1"/>
  <c r="K2253" i="1"/>
  <c r="K2254" i="1"/>
  <c r="K2255" i="1"/>
  <c r="Q2248" i="1"/>
  <c r="P2248" i="1" s="1"/>
  <c r="Q2249" i="1"/>
  <c r="P2249" i="1" s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44" i="1"/>
  <c r="H2244" i="1"/>
  <c r="J2244" i="1"/>
  <c r="K2244" i="1"/>
  <c r="Q2244" i="1"/>
  <c r="P2244" i="1" s="1"/>
  <c r="B2243" i="1"/>
  <c r="H2243" i="1"/>
  <c r="J2243" i="1"/>
  <c r="K2243" i="1"/>
  <c r="Q2243" i="1"/>
  <c r="P2243" i="1" s="1"/>
  <c r="B2237" i="1"/>
  <c r="B2238" i="1"/>
  <c r="B2239" i="1"/>
  <c r="B2240" i="1"/>
  <c r="B2241" i="1"/>
  <c r="B2242" i="1"/>
  <c r="H2237" i="1"/>
  <c r="H2238" i="1"/>
  <c r="H2239" i="1"/>
  <c r="H2240" i="1"/>
  <c r="H2241" i="1"/>
  <c r="H2242" i="1"/>
  <c r="J2237" i="1"/>
  <c r="J2238" i="1"/>
  <c r="J2239" i="1"/>
  <c r="J2240" i="1"/>
  <c r="J2241" i="1"/>
  <c r="J2242" i="1"/>
  <c r="K2237" i="1"/>
  <c r="K2238" i="1"/>
  <c r="K2239" i="1"/>
  <c r="K2240" i="1"/>
  <c r="K2241" i="1"/>
  <c r="K2242" i="1"/>
  <c r="Q2237" i="1"/>
  <c r="P2237" i="1" s="1"/>
  <c r="Q2238" i="1"/>
  <c r="P2238" i="1" s="1"/>
  <c r="Q2239" i="1"/>
  <c r="P2239" i="1" s="1"/>
  <c r="Q2240" i="1"/>
  <c r="P2240" i="1" s="1"/>
  <c r="Q2241" i="1"/>
  <c r="P2241" i="1" s="1"/>
  <c r="Q2242" i="1"/>
  <c r="P2242" i="1" s="1"/>
  <c r="B2236" i="1"/>
  <c r="H2236" i="1"/>
  <c r="J2236" i="1"/>
  <c r="K2236" i="1"/>
  <c r="Q2236" i="1"/>
  <c r="P2236" i="1" s="1"/>
  <c r="B2232" i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<sst xmlns="http://schemas.openxmlformats.org/spreadsheetml/2006/main" count="20313" uniqueCount="4656">
  <si>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</si>
  <si>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</si>
  <si>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</si>
  <si>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</si>
  <si>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</si>
  <si>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</si>
  <si>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</si>
  <si>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</si>
  <si>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</si>
  <si>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</si>
  <si>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</si>
  <si>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</si>
  <si>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</si>
  <si>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</si>
  <si>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</si>
  <si>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</si>
  <si>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</si>
  <si>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</si>
  <si>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</si>
  <si>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</si>
  <si>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</si>
  <si>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</si>
  <si>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</si>
  <si>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</si>
  <si>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</si>
  <si>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</si>
  <si>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</si>
  <si>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</si>
  <si>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</si>
  <si>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</si>
  <si>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</si>
  <si>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</si>
  <si>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</si>
  <si>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</si>
  <si>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</si>
  <si>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</si>
  <si>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</si>
  <si>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</si>
  <si>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</si>
  <si>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</si>
  <si>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</si>
  <si>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</si>
  <si>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</si>
  <si>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</si>
  <si>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</si>
  <si>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</si>
  <si>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</si>
  <si>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</si>
  <si>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</si>
  <si>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</si>
  <si>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</si>
  <si>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</si>
  <si>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</si>
  <si>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</si>
  <si>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</si>
  <si>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</si>
  <si>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</si>
  <si>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</si>
  <si>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</si>
  <si>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</si>
  <si>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</si>
  <si>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</si>
  <si>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</si>
  <si>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</si>
  <si>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</si>
  <si>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</si>
  <si>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</si>
  <si>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</si>
  <si>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</si>
  <si>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</si>
  <si>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</si>
  <si>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</si>
  <si>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</si>
  <si>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</si>
  <si>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</si>
  <si>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</si>
  <si>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</si>
  <si>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</si>
  <si>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</si>
  <si>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</si>
  <si>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</si>
  <si>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</si>
  <si>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</si>
  <si>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</si>
  <si>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</si>
  <si>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</si>
  <si>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</si>
  <si>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</si>
  <si>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</si>
  <si>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</si>
  <si>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</si>
  <si>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</si>
  <si>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</si>
  <si>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</si>
  <si>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</si>
  <si>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</si>
  <si>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</si>
  <si>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</si>
  <si>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</si>
  <si>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</si>
  <si>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</si>
  <si>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</si>
  <si>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</si>
  <si>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</si>
  <si>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</si>
  <si>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</si>
  <si>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</si>
  <si>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</si>
  <si>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</si>
  <si>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</si>
  <si>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</si>
  <si>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</si>
  <si>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</si>
  <si>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</si>
  <si>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</si>
  <si>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</si>
  <si>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</si>
  <si>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</si>
  <si>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</si>
  <si>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</si>
  <si>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</si>
  <si>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</si>
  <si>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</si>
  <si>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</si>
  <si>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</si>
  <si>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</si>
  <si>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</si>
  <si>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</si>
  <si>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</si>
  <si>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</si>
  <si>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</si>
  <si>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</si>
  <si>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</si>
  <si>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</si>
  <si>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</si>
  <si>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</si>
  <si>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</si>
  <si>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</si>
  <si>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</si>
  <si>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</si>
  <si>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</si>
  <si>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</si>
  <si>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</si>
  <si>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</si>
  <si>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</si>
  <si>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</si>
  <si>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</si>
  <si>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</si>
  <si>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</si>
  <si>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</si>
  <si>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</si>
  <si>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</si>
  <si>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</si>
  <si>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</si>
  <si>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</si>
  <si>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</si>
  <si>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</si>
  <si>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</si>
  <si>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</si>
  <si>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</si>
  <si>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</si>
  <si>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</si>
  <si>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</si>
  <si>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</si>
  <si>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</si>
  <si>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</si>
  <si>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</si>
  <si>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</si>
  <si>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</si>
  <si>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</si>
  <si>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</si>
  <si>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</si>
  <si>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</si>
  <si>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</si>
  <si>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</si>
  <si>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</si>
  <si>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</si>
  <si>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</si>
  <si>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</si>
  <si>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</si>
  <si>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</si>
  <si>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</si>
  <si>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</si>
  <si>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</si>
  <si>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</si>
  <si>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</si>
  <si>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</si>
  <si>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</si>
  <si>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</si>
  <si>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</si>
  <si>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</si>
  <si>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</si>
  <si>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</si>
  <si>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</si>
  <si>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</si>
  <si>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</si>
  <si>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</si>
  <si>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</si>
  <si>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</si>
  <si>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</si>
  <si>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</si>
  <si>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</si>
  <si>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</si>
  <si>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</si>
  <si>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</si>
  <si>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</si>
  <si>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</si>
  <si>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</si>
  <si>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</si>
  <si>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</si>
  <si>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</si>
  <si>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</si>
  <si>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</si>
  <si>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</si>
  <si>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</si>
  <si>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</si>
  <si>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</si>
  <si>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</si>
  <si>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</si>
  <si>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</si>
  <si>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</si>
  <si>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</si>
  <si>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</si>
  <si>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</si>
  <si>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</si>
  <si>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</si>
  <si>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</si>
  <si>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</si>
  <si>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</si>
  <si>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</si>
  <si>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</si>
  <si>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</si>
  <si>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</si>
  <si>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</si>
  <si>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</si>
  <si>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</si>
  <si>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</si>
  <si>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</si>
  <si>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</si>
  <si>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</si>
  <si>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</si>
  <si>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</si>
  <si>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</si>
  <si>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</si>
  <si>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</si>
  <si>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</si>
  <si>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</si>
  <si>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</si>
  <si>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</si>
  <si>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</si>
  <si>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</si>
  <si>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</si>
  <si>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</si>
  <si>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</si>
  <si>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</si>
  <si>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</si>
  <si>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</si>
  <si>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</si>
  <si>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</si>
  <si>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</si>
  <si>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</si>
  <si>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</si>
  <si>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</si>
  <si>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</si>
  <si>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</si>
  <si>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</si>
  <si>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</si>
  <si>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</si>
  <si>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</si>
  <si>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</si>
  <si>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</si>
  <si>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</si>
  <si>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</si>
  <si>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</si>
  <si>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</si>
  <si>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</si>
  <si>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</si>
  <si>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</si>
  <si>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</si>
  <si>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</si>
  <si>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</si>
  <si>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</si>
  <si>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</si>
  <si>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</si>
  <si>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</si>
  <si>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</si>
  <si>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</si>
  <si>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</si>
  <si>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</si>
  <si>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</si>
  <si>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</si>
  <si>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</si>
  <si>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</si>
  <si>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</si>
  <si>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</si>
  <si>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</si>
  <si>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</si>
  <si>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</si>
  <si>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</si>
  <si>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</si>
  <si>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</si>
  <si>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</si>
  <si>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</si>
  <si>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</si>
  <si>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</si>
  <si>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</si>
  <si>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</si>
  <si>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</si>
  <si>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</si>
  <si>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</si>
  <si>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</si>
  <si>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</si>
  <si>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</si>
  <si>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</si>
  <si>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</si>
  <si>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</si>
  <si>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</si>
  <si>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</si>
  <si>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</si>
  <si>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</si>
  <si>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</si>
  <si>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</si>
  <si>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</si>
  <si>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</si>
  <si>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</si>
  <si>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</si>
  <si>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</si>
  <si>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</si>
  <si>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</si>
  <si>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</si>
  <si>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</si>
  <si>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</si>
  <si>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</si>
  <si>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</si>
  <si>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</si>
  <si>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</si>
  <si>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</si>
  <si>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</si>
  <si>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</si>
  <si>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</si>
  <si>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</si>
  <si>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</si>
  <si>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</si>
  <si>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</si>
  <si>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</si>
  <si>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</si>
  <si>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</si>
  <si>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</si>
  <si>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</si>
  <si>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</si>
  <si>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</si>
  <si>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</si>
  <si>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</si>
  <si>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</si>
  <si>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</si>
  <si>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</si>
  <si>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</si>
  <si>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</si>
  <si>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</si>
  <si>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</si>
  <si>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</si>
  <si>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</si>
  <si>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</si>
  <si>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</si>
  <si>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</si>
  <si>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</si>
  <si>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</si>
  <si>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</si>
  <si>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</si>
  <si>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</si>
  <si>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</si>
  <si>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</si>
  <si>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</si>
  <si>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</si>
  <si>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</si>
  <si>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</si>
  <si>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</si>
  <si>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</si>
  <si>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</si>
  <si>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</si>
  <si>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</si>
  <si>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</si>
  <si>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</si>
  <si>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</si>
  <si>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</si>
  <si>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</si>
  <si>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</si>
  <si>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</si>
  <si>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</si>
  <si>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</si>
  <si>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</si>
  <si>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</si>
  <si>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</si>
  <si>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</si>
  <si>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</si>
  <si>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</si>
  <si>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</si>
  <si>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</si>
  <si>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</si>
  <si>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</si>
  <si>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</si>
  <si>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</si>
  <si>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</si>
  <si>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</si>
  <si>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</si>
  <si>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</si>
  <si>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</si>
  <si>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</si>
  <si>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</si>
  <si>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</si>
  <si>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</si>
  <si>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</si>
  <si>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</si>
  <si>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</si>
  <si>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</si>
  <si>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</si>
  <si>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</si>
  <si>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</si>
  <si>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</si>
  <si>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</si>
  <si>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</si>
  <si>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</si>
  <si>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</si>
  <si>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</si>
  <si>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</si>
  <si>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</si>
  <si>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</si>
  <si>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</si>
  <si>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</si>
  <si>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</si>
  <si>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</si>
  <si>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</si>
  <si>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</si>
  <si>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</si>
  <si>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</si>
  <si>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</si>
  <si>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</si>
  <si>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</si>
  <si>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</si>
  <si>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</si>
  <si>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</si>
  <si>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</si>
  <si>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</si>
  <si>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</si>
  <si>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</si>
  <si>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</si>
  <si>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</si>
  <si>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</si>
  <si>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</si>
  <si>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</si>
  <si>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</si>
  <si>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</si>
  <si>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</si>
  <si>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</si>
  <si>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</si>
  <si>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</si>
  <si>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</si>
  <si>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</si>
  <si>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</si>
  <si>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</si>
  <si>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</si>
  <si>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</si>
  <si>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</si>
  <si>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</si>
  <si>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</si>
  <si>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</si>
  <si>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</si>
  <si>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</si>
  <si>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</si>
  <si>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</si>
  <si>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</si>
  <si>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</si>
  <si>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</si>
  <si>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</si>
  <si>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</si>
  <si>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</si>
  <si>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</si>
  <si>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</si>
  <si>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</si>
  <si>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</si>
  <si>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</si>
  <si>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</si>
  <si>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</si>
  <si>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</si>
  <si>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</si>
  <si>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</si>
  <si>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</si>
  <si>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</si>
  <si>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</si>
  <si>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</si>
  <si>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</si>
  <si>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</si>
  <si>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</si>
  <si>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</si>
  <si>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</si>
  <si>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</si>
  <si>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</si>
  <si>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</si>
  <si>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</si>
  <si>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</si>
  <si>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</si>
  <si>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</si>
  <si>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</si>
  <si>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</si>
  <si>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</si>
  <si>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</si>
  <si>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</si>
  <si>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</si>
  <si>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</si>
  <si>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</si>
  <si>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</si>
  <si>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</si>
  <si>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</si>
  <si>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</si>
  <si>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</si>
  <si>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</si>
  <si>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</si>
  <si>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</si>
  <si>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</si>
  <si>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</si>
  <si>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</si>
  <si>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</si>
  <si>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</si>
  <si>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</si>
  <si>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</si>
  <si>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</si>
  <si>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</si>
  <si>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</si>
  <si>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</si>
  <si>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</si>
  <si>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</si>
  <si>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</si>
  <si>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</si>
  <si>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</si>
  <si>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</si>
  <si>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</si>
  <si>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</si>
  <si>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</si>
  <si>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</si>
  <si>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</si>
  <si>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</si>
  <si>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</si>
  <si>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</si>
  <si>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</si>
  <si>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</si>
  <si>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</si>
  <si>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</si>
  <si>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</si>
  <si>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</si>
  <si>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</si>
  <si>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</si>
  <si>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</si>
  <si>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</si>
  <si>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</si>
  <si>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</si>
  <si>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</si>
  <si>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</si>
  <si>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</si>
  <si>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</si>
  <si>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</si>
  <si>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</si>
  <si>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</si>
  <si>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</si>
  <si>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</si>
  <si>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</si>
  <si>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</si>
  <si>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</si>
  <si>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</si>
  <si>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</si>
  <si>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</si>
  <si>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</si>
  <si>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</si>
  <si>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</si>
  <si>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</si>
  <si>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</si>
  <si>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</si>
  <si>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</si>
  <si>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</si>
  <si>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</si>
  <si>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</si>
  <si>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</si>
  <si>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</si>
  <si>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</si>
  <si>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</si>
  <si>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</si>
  <si>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</si>
  <si>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</si>
  <si>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</si>
  <si>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</si>
  <si>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</si>
  <si>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</si>
  <si>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</si>
  <si>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</si>
  <si>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</si>
  <si>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</si>
  <si>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</si>
  <si>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</si>
  <si>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</si>
  <si>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</si>
  <si>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</si>
  <si>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</si>
  <si>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</si>
  <si>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</si>
  <si>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</si>
  <si>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</si>
  <si>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</si>
  <si>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</si>
  <si>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</si>
  <si>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</si>
  <si>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</si>
  <si>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</si>
  <si>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</si>
  <si>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</si>
  <si>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</si>
  <si>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</si>
  <si>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</si>
  <si>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</si>
  <si>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</si>
  <si>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</si>
  <si>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</si>
  <si>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</si>
  <si>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</si>
  <si>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</si>
  <si>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</si>
  <si>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</si>
  <si>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</si>
  <si>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</si>
  <si>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</si>
  <si>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</si>
  <si>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</si>
  <si>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</si>
  <si>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</si>
  <si>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</si>
  <si>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</si>
  <si>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</si>
  <si>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</si>
  <si>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</si>
  <si>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</si>
  <si>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</si>
  <si>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</si>
  <si>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</si>
  <si>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</si>
  <si>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</si>
  <si>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</si>
  <si>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</si>
  <si>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</si>
  <si>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</si>
  <si>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</si>
  <si>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</si>
  <si>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</si>
  <si>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</si>
  <si>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</si>
  <si>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</si>
  <si>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</si>
  <si>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</si>
  <si>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</si>
  <si>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</si>
  <si>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</si>
  <si>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</si>
  <si>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</si>
  <si>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</si>
  <si>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</si>
  <si>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</si>
  <si>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</si>
  <si>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</si>
  <si>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</si>
  <si>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</si>
  <si>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</si>
  <si>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</si>
  <si>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</si>
  <si>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</si>
  <si>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</si>
  <si>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</si>
  <si>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</si>
  <si>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</si>
  <si>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</si>
  <si>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</si>
  <si>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</si>
  <si>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</si>
  <si>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</si>
  <si>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</si>
  <si>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</si>
  <si>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</si>
  <si>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</si>
  <si>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</si>
  <si>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</si>
  <si>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</si>
  <si>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</si>
  <si>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</si>
  <si>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</si>
  <si>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</si>
  <si>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</si>
  <si>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</si>
  <si>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</si>
  <si>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</si>
  <si>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</si>
  <si>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</si>
  <si>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</si>
  <si>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</si>
  <si>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</si>
  <si>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</si>
  <si>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</si>
  <si>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</si>
  <si>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</si>
  <si>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</si>
  <si>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</si>
  <si>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</si>
  <si>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</si>
  <si>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</si>
  <si>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</si>
  <si>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</si>
  <si>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</si>
  <si>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</si>
  <si>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</si>
  <si>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</si>
  <si>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</si>
  <si>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</si>
  <si>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</si>
  <si>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</si>
  <si>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</si>
  <si>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</si>
  <si>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</si>
  <si>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</si>
  <si>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</si>
  <si>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</si>
  <si>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</si>
  <si>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</si>
  <si>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</si>
  <si>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</si>
  <si>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</si>
  <si>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</si>
  <si>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</si>
  <si>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</si>
  <si>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</si>
  <si>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</si>
  <si>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</si>
  <si>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</si>
  <si>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</si>
  <si>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</si>
  <si>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</si>
  <si>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</si>
  <si>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</si>
  <si>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</si>
  <si>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</si>
  <si>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</si>
  <si>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</si>
  <si>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</si>
  <si>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</si>
  <si>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</si>
  <si>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</si>
  <si>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</si>
  <si>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</si>
  <si>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</si>
  <si>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</si>
  <si>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</si>
  <si>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</si>
  <si>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</si>
  <si>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</si>
  <si>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</si>
  <si>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</si>
  <si>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</si>
  <si>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</si>
  <si>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</si>
  <si>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</si>
  <si>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</si>
  <si>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</si>
  <si>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</si>
  <si>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</si>
  <si>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</si>
  <si>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</si>
  <si>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</si>
  <si>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</si>
  <si>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</si>
  <si>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</si>
  <si>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</si>
  <si>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</si>
  <si>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</si>
  <si>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</si>
  <si>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</si>
  <si>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</si>
  <si>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</si>
  <si>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</si>
  <si>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</si>
  <si>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</si>
  <si>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</si>
  <si>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</si>
  <si>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</si>
  <si>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</si>
  <si>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</si>
  <si>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</si>
  <si>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</si>
  <si>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</si>
  <si>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</si>
  <si>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</si>
  <si>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</si>
  <si>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</si>
  <si>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</si>
  <si>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</si>
  <si>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</si>
  <si>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</si>
  <si>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</si>
  <si>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</si>
  <si>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</si>
  <si>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</si>
  <si>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</si>
  <si>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</si>
  <si>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</si>
  <si>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</si>
  <si>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</si>
  <si>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</si>
  <si>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</si>
  <si>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</si>
  <si>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</si>
  <si>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</si>
  <si>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</si>
  <si>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</si>
  <si>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</si>
  <si>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</si>
  <si>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</si>
  <si>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</si>
  <si>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</si>
  <si>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</si>
  <si>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</si>
  <si>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</si>
  <si>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</si>
  <si>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</si>
  <si>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</si>
  <si>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</si>
  <si>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</si>
  <si>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</si>
  <si>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</si>
  <si>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</si>
  <si>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</si>
  <si>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</si>
  <si>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</si>
  <si>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</si>
  <si>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</si>
  <si>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</si>
  <si>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</si>
  <si>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</si>
  <si>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</si>
  <si>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</si>
  <si>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</si>
  <si>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</si>
  <si>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</si>
  <si>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</si>
  <si>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</si>
  <si>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</si>
  <si>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</si>
  <si>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</si>
  <si>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</si>
  <si>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</si>
  <si>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</si>
  <si>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</si>
  <si>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</si>
  <si>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</si>
  <si>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</si>
  <si>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</si>
  <si>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</si>
  <si>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</si>
  <si>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</si>
  <si>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</si>
  <si>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</si>
  <si>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</si>
  <si>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</si>
  <si>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</si>
  <si>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</si>
  <si>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</si>
  <si>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</si>
  <si>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</si>
  <si>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</si>
  <si>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</si>
  <si>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</si>
  <si>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</si>
  <si>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</si>
  <si>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</si>
  <si>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</si>
  <si>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</si>
  <si>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</si>
  <si>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</si>
  <si>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</si>
  <si>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</si>
  <si>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</si>
  <si>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</si>
  <si>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</si>
  <si>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</si>
  <si>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</si>
  <si>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</si>
  <si>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</si>
  <si>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</si>
  <si>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</si>
  <si>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</si>
  <si>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</si>
  <si>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</si>
  <si>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</si>
  <si>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</si>
  <si>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</si>
  <si>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</si>
  <si>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</si>
  <si>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</si>
  <si>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</si>
  <si>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</si>
  <si>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</si>
  <si>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</si>
  <si>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</si>
  <si>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</si>
  <si>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</si>
  <si>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</si>
  <si>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</si>
  <si>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</si>
  <si>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</si>
  <si>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</si>
  <si>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</si>
  <si>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</si>
  <si>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</si>
  <si>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</si>
  <si>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</si>
  <si>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</si>
  <si>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</si>
  <si>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</si>
  <si>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</si>
  <si>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</si>
  <si>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</si>
  <si>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</si>
  <si>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</si>
  <si>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</si>
  <si>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</si>
  <si>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</si>
  <si>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</si>
  <si>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</si>
  <si>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</si>
  <si>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</si>
  <si>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</si>
  <si>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</si>
  <si>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</si>
  <si>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</si>
  <si>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</si>
  <si>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</si>
  <si>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</si>
  <si>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</si>
  <si>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</si>
  <si>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</si>
  <si>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</si>
  <si>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</si>
  <si>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</si>
  <si>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</si>
  <si>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</si>
  <si>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</si>
  <si>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</si>
  <si>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</si>
  <si>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</si>
  <si>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</si>
  <si>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</si>
  <si>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</si>
  <si>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</si>
  <si>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</si>
  <si>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</si>
  <si>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</si>
  <si>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</si>
  <si>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</si>
  <si>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</si>
  <si>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</si>
  <si>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</si>
  <si>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</si>
  <si>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</si>
  <si>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</si>
  <si>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</si>
  <si>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</si>
  <si>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</si>
  <si>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</si>
  <si>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</si>
  <si>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</si>
  <si>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</si>
  <si>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</si>
  <si>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</si>
  <si>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</si>
  <si>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</si>
  <si>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</si>
  <si>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</si>
  <si>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</si>
  <si>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</si>
  <si>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</si>
  <si>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</si>
  <si>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</si>
  <si>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</si>
  <si>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</si>
  <si>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</si>
  <si>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</si>
  <si>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</si>
  <si>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</si>
  <si>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</si>
  <si>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</si>
  <si>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</si>
  <si>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</si>
  <si>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</si>
  <si>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</si>
  <si>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</si>
  <si>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</si>
  <si>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</si>
  <si>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</si>
  <si>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</si>
  <si>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</si>
  <si>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</si>
  <si>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</si>
  <si>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</si>
  <si>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</si>
  <si>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</si>
  <si>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</si>
  <si>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</si>
  <si>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</si>
  <si>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</si>
  <si>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</si>
  <si>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</si>
  <si>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</si>
  <si>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</si>
  <si>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</si>
  <si>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</si>
  <si>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</si>
  <si>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</si>
  <si>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</si>
  <si>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</si>
  <si>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</si>
  <si>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</si>
  <si>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</si>
  <si>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</si>
  <si>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</si>
  <si>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</si>
  <si>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</si>
  <si>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</si>
  <si>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</si>
  <si>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</si>
  <si>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</si>
  <si>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</si>
  <si>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</si>
  <si>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</si>
  <si>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</si>
  <si>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</si>
  <si>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</si>
  <si>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</si>
  <si>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</si>
  <si>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</si>
  <si>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</si>
  <si>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</si>
  <si>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</si>
  <si>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</si>
  <si>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</si>
  <si>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</si>
  <si>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</si>
  <si>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</si>
  <si>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</si>
  <si>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</si>
  <si>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</si>
  <si>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</si>
  <si>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</si>
  <si>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</si>
  <si>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</si>
  <si>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</si>
  <si>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</si>
  <si>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</si>
  <si>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</si>
  <si>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</si>
  <si>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</si>
  <si>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</si>
  <si>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</si>
  <si>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</si>
  <si>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</si>
  <si>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</si>
  <si>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</si>
  <si>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</si>
  <si>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</si>
  <si>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</si>
  <si>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</si>
  <si>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</si>
  <si>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</si>
  <si>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</si>
  <si>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</si>
  <si>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</si>
  <si>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</si>
  <si>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</si>
  <si>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</si>
  <si>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</si>
  <si>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</si>
  <si>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</si>
  <si>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</si>
  <si>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</si>
  <si>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</si>
  <si>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</si>
  <si>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</si>
  <si>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</si>
  <si>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</si>
  <si>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</si>
  <si>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</si>
  <si>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</si>
  <si>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</si>
  <si>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</si>
  <si>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</si>
  <si>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</si>
  <si>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</si>
  <si>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</si>
  <si>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</si>
  <si>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</si>
  <si>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</si>
  <si>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</si>
  <si>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</si>
  <si>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</si>
  <si>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</si>
  <si>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</si>
  <si>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</si>
  <si>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</si>
  <si>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</si>
  <si>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</si>
  <si>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</si>
  <si>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</si>
  <si>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</si>
  <si>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</si>
  <si>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</si>
  <si>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</si>
  <si>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</si>
  <si>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</si>
  <si>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</si>
  <si>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</si>
  <si>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</si>
  <si>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</si>
  <si>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</si>
  <si>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</si>
  <si>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</si>
  <si>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</si>
  <si>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</si>
  <si>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</si>
  <si>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</si>
  <si>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</si>
  <si>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</si>
  <si>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</si>
  <si>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</si>
  <si>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</si>
  <si>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</si>
  <si>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</si>
  <si>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</si>
  <si>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</si>
  <si>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</si>
  <si>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</si>
  <si>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</si>
  <si>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</si>
  <si>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</si>
  <si>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</si>
  <si>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</si>
  <si>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</si>
  <si>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</si>
  <si>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</si>
  <si>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</si>
  <si>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</si>
  <si>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</si>
  <si>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</si>
  <si>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</si>
  <si>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</si>
  <si>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</si>
  <si>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</si>
  <si>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</si>
  <si>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</si>
  <si>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</si>
  <si>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</si>
  <si>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</si>
  <si>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</si>
  <si>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</si>
  <si>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</si>
  <si>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</si>
  <si>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</si>
  <si>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</si>
  <si>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</si>
  <si>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</si>
  <si>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</si>
  <si>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</si>
  <si>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</si>
  <si>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</si>
  <si>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</si>
  <si>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</si>
  <si>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</si>
  <si>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</si>
  <si>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</si>
  <si>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</si>
  <si>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</si>
  <si>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</si>
  <si>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</si>
  <si>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</si>
  <si>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</si>
  <si>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</si>
  <si>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</si>
  <si>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</si>
  <si>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</si>
  <si>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</si>
  <si>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</si>
  <si>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</si>
  <si>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</si>
  <si>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</si>
  <si>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</si>
  <si>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</si>
  <si>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</si>
  <si>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</si>
  <si>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</si>
  <si>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</si>
  <si>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</si>
  <si>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</si>
  <si>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</si>
  <si>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</si>
  <si>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</si>
  <si>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</si>
  <si>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</si>
  <si>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</si>
  <si>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</si>
  <si>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</si>
  <si>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</si>
  <si>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</si>
  <si>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</si>
  <si>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</si>
  <si>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</si>
  <si>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</si>
  <si>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</si>
  <si>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</si>
  <si>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</si>
  <si>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</si>
  <si>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</si>
  <si>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</si>
  <si>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</si>
  <si>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</si>
  <si>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</si>
  <si>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</si>
  <si>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</si>
  <si>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</si>
  <si>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</si>
  <si>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</si>
  <si>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</si>
  <si>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</si>
  <si>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</si>
  <si>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</si>
  <si>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</si>
  <si>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</si>
  <si>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</si>
  <si>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</si>
  <si>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</si>
  <si>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</si>
  <si>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</si>
  <si>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</si>
  <si>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</si>
  <si>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</si>
  <si>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</si>
  <si>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</si>
  <si>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</si>
  <si>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</si>
  <si>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</si>
  <si>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</si>
  <si>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</si>
  <si>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</si>
  <si>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</si>
  <si>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</si>
  <si>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</si>
  <si>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</si>
  <si>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</si>
  <si>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</si>
  <si>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</si>
  <si>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</si>
  <si>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</si>
  <si>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</si>
  <si>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</si>
  <si>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</si>
  <si>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</si>
  <si>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</si>
  <si>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</si>
  <si>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</si>
  <si>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</si>
  <si>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</si>
  <si>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</si>
  <si>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</si>
  <si>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</si>
  <si>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</si>
  <si>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</si>
  <si>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</si>
  <si>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</si>
  <si>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</si>
  <si>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</si>
  <si>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</si>
  <si>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</si>
  <si>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</si>
  <si>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</si>
  <si>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</si>
  <si>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</si>
  <si>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</si>
  <si>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</si>
  <si>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</si>
  <si>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</si>
  <si>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</si>
  <si>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</si>
  <si>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</si>
  <si>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</si>
  <si>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</si>
  <si>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</si>
  <si>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</si>
  <si>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</si>
  <si>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</si>
  <si>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</si>
  <si>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</si>
  <si>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</si>
  <si>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</si>
  <si>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</si>
  <si>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</si>
  <si>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</si>
  <si>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</si>
  <si>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</si>
  <si>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</si>
  <si>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</si>
  <si>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</si>
  <si>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</si>
  <si>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</si>
  <si>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</si>
  <si>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</si>
  <si>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</si>
  <si>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</si>
  <si>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</si>
  <si>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</si>
  <si>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</si>
  <si>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</si>
  <si>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</si>
  <si>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</si>
  <si>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</si>
  <si>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</si>
  <si>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</si>
  <si>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</si>
  <si>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</si>
  <si>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</si>
  <si>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</si>
  <si>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</si>
  <si>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</si>
  <si>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</si>
  <si>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</si>
  <si>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</si>
  <si>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</si>
  <si>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</si>
  <si>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</si>
  <si>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</si>
  <si>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</si>
  <si>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</si>
  <si>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</si>
  <si>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</si>
  <si>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</si>
  <si>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</si>
  <si>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</si>
  <si>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</si>
  <si>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</si>
  <si>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</si>
  <si>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</si>
  <si>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</si>
  <si>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</si>
  <si>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</si>
  <si>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</si>
  <si>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</si>
  <si>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</si>
  <si>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</si>
  <si>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</si>
  <si>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</si>
  <si>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</si>
  <si>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</si>
  <si>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</si>
  <si>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</si>
  <si>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</si>
  <si>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</si>
  <si>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</si>
  <si>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</si>
  <si>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</si>
  <si>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</si>
  <si>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</si>
  <si>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</si>
  <si>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</si>
  <si>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</si>
  <si>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</si>
  <si>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</si>
  <si>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</si>
  <si>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</si>
  <si>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</si>
  <si>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</si>
  <si>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</si>
  <si>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</si>
  <si>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</si>
  <si>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</si>
  <si>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</si>
  <si>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</si>
  <si>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</si>
  <si>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</si>
  <si>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</si>
  <si>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</si>
  <si>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</si>
  <si>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</si>
  <si>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</si>
  <si>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</si>
  <si>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</si>
  <si>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</si>
  <si>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</si>
  <si>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</si>
  <si>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</si>
  <si>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</si>
  <si>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</si>
  <si>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</si>
  <si>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</si>
  <si>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</si>
  <si>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</si>
  <si>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</si>
  <si>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</si>
  <si>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</si>
  <si>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</si>
  <si>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</si>
  <si>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</si>
  <si>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</si>
  <si>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</si>
  <si>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</si>
  <si>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</si>
  <si>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</si>
  <si>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</si>
  <si>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</si>
  <si>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</si>
  <si>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</si>
  <si>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</si>
  <si>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</si>
  <si>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</si>
  <si>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</si>
  <si>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</si>
  <si>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</si>
  <si>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</si>
  <si>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</si>
  <si>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</si>
  <si>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</si>
  <si>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</si>
  <si>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</si>
  <si>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</si>
  <si>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</si>
  <si>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</si>
  <si>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</si>
  <si>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</si>
  <si>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</si>
  <si>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</si>
  <si>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</si>
  <si>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</si>
  <si>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</si>
  <si>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</si>
  <si>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</si>
  <si>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</si>
  <si>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</si>
  <si>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</si>
  <si>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</si>
  <si>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</si>
  <si>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</si>
  <si>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</si>
  <si>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</si>
  <si>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</si>
  <si>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</si>
  <si>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</si>
  <si>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</si>
  <si>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</si>
  <si>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</si>
  <si>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</si>
  <si>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</si>
  <si>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</si>
  <si>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</si>
  <si>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</si>
  <si>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</si>
  <si>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</si>
  <si>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</si>
  <si>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</si>
  <si>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</si>
  <si>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</si>
  <si>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</si>
  <si>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</si>
  <si>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</si>
  <si>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</si>
  <si>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</si>
  <si>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</si>
  <si>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</si>
  <si>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</si>
  <si>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</si>
  <si>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</si>
  <si>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</si>
  <si>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</si>
  <si>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</si>
  <si>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</si>
  <si>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</si>
  <si>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</si>
  <si>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</si>
  <si>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</si>
  <si>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</si>
  <si>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</si>
  <si>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</si>
  <si>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</si>
  <si>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</si>
  <si>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</si>
  <si>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</si>
  <si>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</si>
  <si>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</si>
  <si>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</si>
  <si>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</si>
  <si>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</si>
  <si>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</si>
  <si>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</si>
  <si>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</si>
  <si>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</si>
  <si>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</si>
  <si>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</si>
  <si>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</si>
  <si>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</si>
  <si>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</si>
  <si>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</si>
  <si>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</si>
  <si>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</si>
  <si>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</si>
  <si>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</si>
  <si>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</si>
  <si>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</si>
  <si>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</si>
  <si>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</si>
  <si>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</si>
  <si>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</si>
  <si>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</si>
  <si>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</si>
  <si>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</si>
  <si>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</si>
  <si>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</si>
  <si>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</si>
  <si>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</si>
  <si>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</si>
  <si>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</si>
  <si>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</si>
  <si>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</si>
  <si>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</si>
  <si>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</si>
  <si>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</si>
  <si>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</si>
  <si>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</si>
  <si>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</si>
  <si>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</si>
  <si>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</si>
  <si>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</si>
  <si>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</si>
  <si>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</si>
  <si>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</si>
  <si>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</si>
  <si>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</si>
  <si>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</si>
  <si>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</si>
  <si>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</si>
  <si>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</si>
  <si>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</si>
  <si>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</si>
  <si>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</si>
  <si>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</si>
  <si>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</si>
  <si>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</si>
  <si>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</si>
  <si>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</si>
  <si>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</si>
  <si>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</si>
  <si>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</si>
  <si>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</si>
  <si>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</si>
  <si>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</si>
  <si>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</si>
  <si>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</si>
  <si>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</si>
  <si>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</si>
  <si>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</si>
  <si>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</si>
  <si>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</si>
  <si>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</si>
  <si>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</si>
  <si>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</si>
  <si>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</si>
  <si>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</si>
  <si>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</si>
  <si>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</si>
  <si>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</si>
  <si>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</si>
  <si>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</si>
  <si>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</si>
  <si>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</si>
  <si>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</si>
  <si>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</si>
  <si>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</si>
  <si>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</si>
  <si>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</si>
  <si>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</si>
  <si>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</si>
  <si>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</si>
  <si>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</si>
  <si>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</si>
  <si>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</si>
  <si>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</si>
  <si>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</si>
  <si>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</si>
  <si>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</si>
  <si>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</si>
  <si>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</si>
  <si>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</si>
  <si>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</si>
  <si>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</si>
  <si>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</si>
  <si>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</si>
  <si>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</si>
  <si>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</si>
  <si>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</si>
  <si>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</si>
  <si>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</si>
  <si>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</si>
  <si>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</si>
  <si>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</si>
  <si>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</si>
  <si>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</si>
  <si>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</si>
  <si>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</si>
  <si>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</si>
  <si>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</si>
  <si>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</si>
  <si>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</si>
  <si>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</si>
  <si>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</si>
  <si>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</si>
  <si>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</si>
  <si>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</si>
  <si>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</si>
  <si>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</si>
  <si>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</si>
  <si>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</si>
  <si>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</si>
  <si>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</si>
  <si>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</si>
  <si>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</si>
  <si>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</si>
  <si>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</si>
  <si>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</si>
  <si>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</si>
  <si>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</si>
  <si>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</si>
  <si>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</si>
  <si>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</si>
  <si>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</si>
  <si>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</si>
  <si>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</si>
  <si>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</si>
  <si>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</si>
  <si>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</si>
  <si>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</si>
  <si>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</si>
  <si>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</si>
  <si>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</si>
  <si>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</si>
  <si>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</si>
  <si>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</si>
  <si>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</si>
  <si>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</si>
  <si>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</si>
  <si>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</si>
  <si>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</si>
  <si>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</si>
  <si>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</si>
  <si>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</si>
  <si>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</si>
  <si>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</si>
  <si>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</si>
  <si>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</si>
  <si>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</si>
  <si>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</si>
  <si>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</si>
  <si>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</si>
  <si>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</si>
  <si>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</si>
  <si>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</si>
  <si>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</si>
  <si>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</si>
  <si>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</si>
  <si>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</si>
  <si>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</si>
  <si>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</si>
  <si>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</si>
  <si>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</si>
  <si>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</si>
  <si>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</si>
  <si>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</si>
  <si>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</si>
  <si>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</si>
  <si>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</si>
  <si>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</si>
  <si>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</si>
  <si>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</si>
  <si>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</si>
  <si>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</si>
  <si>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</si>
  <si>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</si>
  <si>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</si>
  <si>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</si>
  <si>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</si>
  <si>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</si>
  <si>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</si>
  <si>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</si>
  <si>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</si>
  <si>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</si>
  <si>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</si>
  <si>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</si>
  <si>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</si>
  <si>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</si>
  <si>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</si>
  <si>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</si>
  <si>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</si>
  <si>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</si>
  <si>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</si>
  <si>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</si>
  <si>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</si>
  <si>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</si>
  <si>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</si>
  <si>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</si>
  <si>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</si>
  <si>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</si>
  <si>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</si>
  <si>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</si>
  <si>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</si>
  <si>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</si>
  <si>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</si>
  <si>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</si>
  <si>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</si>
  <si>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</si>
  <si>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</si>
  <si>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</si>
  <si>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</si>
  <si>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</si>
  <si>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</si>
  <si>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</si>
  <si>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</si>
  <si>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</si>
  <si>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</si>
  <si>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</si>
  <si>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</si>
  <si>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</si>
  <si>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</si>
  <si>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</si>
  <si>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</si>
  <si>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</si>
  <si>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</si>
  <si>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</si>
  <si>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</si>
  <si>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</si>
  <si>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</si>
  <si>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</si>
  <si>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</si>
  <si>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</si>
  <si>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</si>
  <si>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</si>
  <si>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</si>
  <si>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</si>
  <si>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</si>
  <si>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</si>
  <si>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</si>
  <si>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</si>
  <si>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</si>
  <si>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</si>
  <si>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</si>
  <si>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</si>
  <si>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</si>
  <si>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</si>
  <si>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</si>
  <si>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</si>
  <si>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</si>
  <si>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</si>
  <si>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</si>
  <si>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</si>
  <si>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</si>
  <si>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</si>
  <si>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</si>
  <si>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</si>
  <si>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</si>
  <si>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</si>
  <si>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</si>
  <si>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</si>
  <si>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</si>
  <si>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</si>
  <si>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</si>
  <si>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</si>
  <si>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</si>
  <si>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</si>
  <si>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</si>
  <si>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</si>
  <si>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</si>
  <si>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</si>
  <si>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</si>
  <si>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</si>
  <si>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</si>
  <si>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</si>
  <si>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</si>
  <si>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</si>
  <si>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</si>
  <si>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</si>
  <si>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</si>
  <si>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</si>
  <si>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</si>
  <si>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</si>
  <si>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</si>
  <si>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</si>
  <si>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</si>
  <si>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</si>
  <si>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</si>
  <si>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</si>
  <si>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</si>
  <si>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</si>
  <si>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</si>
  <si>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</si>
  <si>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</si>
  <si>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</si>
  <si>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</si>
  <si>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</si>
  <si>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</si>
  <si>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</si>
  <si>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</si>
  <si>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</si>
  <si>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</si>
  <si>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</si>
  <si>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</si>
  <si>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</si>
  <si>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</si>
  <si>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</si>
  <si>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</si>
  <si>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</si>
  <si>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</si>
  <si>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</si>
  <si>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</si>
  <si>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</si>
  <si>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</si>
  <si>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</si>
  <si>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</si>
  <si>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</si>
  <si>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</si>
  <si>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</si>
  <si>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</si>
  <si>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</si>
  <si>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</si>
  <si>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</si>
  <si>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</si>
  <si>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</si>
  <si>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</si>
  <si>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</si>
  <si>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</si>
  <si>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</si>
  <si>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</si>
  <si>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</si>
  <si>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</si>
  <si>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</si>
  <si>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</si>
  <si>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</si>
  <si>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</si>
  <si>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</si>
  <si>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</si>
  <si>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</si>
  <si>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</si>
  <si>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</si>
  <si>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</si>
  <si>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</si>
  <si>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</si>
  <si>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</si>
  <si>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</si>
  <si>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</si>
  <si>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</si>
  <si>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</si>
  <si>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</si>
  <si>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</si>
  <si>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</si>
  <si>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</si>
  <si>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</si>
  <si>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</si>
  <si>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</si>
  <si>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</si>
  <si>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</si>
  <si>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</si>
  <si>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</si>
  <si>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</si>
  <si>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</si>
  <si>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</si>
  <si>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</si>
  <si>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</si>
  <si>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</si>
  <si>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</si>
  <si>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</si>
  <si>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</si>
  <si>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</si>
  <si>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</si>
  <si>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</si>
  <si>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</si>
  <si>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</si>
  <si>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</si>
  <si>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</si>
  <si>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</si>
  <si>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</si>
  <si>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</si>
  <si>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</si>
  <si>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</si>
  <si>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</si>
  <si>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</si>
  <si>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</si>
  <si>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</si>
  <si>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</si>
  <si>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</si>
  <si>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</si>
  <si>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</si>
  <si>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</si>
  <si>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</si>
  <si>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</si>
  <si>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</si>
  <si>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</si>
  <si>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</si>
  <si>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</si>
  <si>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</si>
  <si>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</si>
  <si>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</si>
  <si>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</si>
  <si>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</si>
  <si>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</si>
  <si>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</si>
  <si>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</si>
  <si>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</si>
  <si>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</si>
  <si>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</si>
  <si>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</si>
  <si>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</si>
  <si>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</si>
  <si>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</si>
  <si>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</si>
  <si>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</si>
  <si>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</si>
  <si>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</si>
  <si>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</si>
  <si>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</si>
  <si>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</si>
  <si>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</si>
  <si>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</si>
  <si>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</si>
  <si>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</si>
  <si>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</si>
  <si>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</si>
  <si>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</si>
  <si>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</si>
  <si>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</si>
  <si>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</si>
  <si>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</si>
  <si>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</si>
  <si>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</si>
  <si>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</si>
  <si>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</si>
  <si>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</si>
  <si>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</si>
  <si>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</si>
  <si>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</si>
  <si>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</si>
  <si>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</si>
  <si>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</si>
  <si>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</si>
  <si>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</si>
  <si>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</si>
  <si>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</si>
  <si>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</si>
  <si>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</si>
  <si>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</si>
  <si>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</si>
  <si>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</si>
  <si>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</si>
  <si>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</si>
  <si>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</si>
  <si>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</si>
  <si>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</si>
  <si>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</si>
  <si>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</si>
  <si>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</si>
  <si>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</si>
  <si>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</si>
  <si>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</si>
  <si>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</si>
  <si>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</si>
  <si>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</si>
  <si>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</si>
  <si>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</si>
  <si>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</si>
  <si>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</si>
  <si>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</si>
  <si>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</si>
  <si>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</si>
  <si>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</si>
  <si>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</si>
  <si>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</si>
  <si>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</si>
  <si>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</si>
  <si>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</si>
  <si>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</si>
  <si>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</si>
  <si>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</si>
  <si>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</si>
  <si>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</si>
  <si>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</si>
  <si>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</si>
  <si>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</si>
  <si>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</si>
  <si>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</si>
  <si>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</si>
  <si>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</si>
  <si>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</si>
  <si>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</si>
  <si>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</si>
  <si>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</si>
  <si>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</si>
  <si>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</si>
  <si>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</si>
  <si>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</si>
  <si>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</si>
  <si>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</si>
  <si>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</si>
  <si>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</si>
  <si>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</si>
  <si>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</si>
  <si>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</si>
  <si>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</si>
  <si>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</si>
  <si>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</si>
  <si>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</si>
  <si>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</si>
  <si>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</si>
  <si>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</si>
  <si>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</si>
  <si>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</si>
  <si>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</si>
  <si>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</si>
  <si>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</si>
  <si>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</si>
  <si>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</si>
  <si>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</si>
  <si>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</si>
  <si>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</si>
  <si>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</si>
  <si>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</si>
  <si>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</si>
  <si>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</si>
  <si>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</si>
  <si>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</si>
  <si>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</si>
  <si>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</si>
  <si>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</si>
  <si>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</si>
  <si>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</si>
  <si>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</si>
  <si>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</si>
  <si>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</si>
  <si>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</si>
  <si>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</si>
  <si>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</si>
  <si>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</si>
  <si>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</si>
  <si>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</si>
  <si>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</si>
  <si>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</si>
  <si>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</si>
  <si>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</si>
  <si>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</si>
  <si>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</si>
  <si>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</si>
  <si>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</si>
  <si>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</si>
  <si>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</si>
  <si>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</si>
  <si>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</si>
  <si>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</si>
  <si>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</si>
  <si>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</si>
  <si>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</si>
  <si>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</si>
  <si>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</si>
  <si>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</si>
  <si>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</si>
  <si>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</si>
  <si>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</si>
  <si>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</si>
  <si>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</si>
  <si>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</si>
  <si>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</si>
  <si>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</si>
  <si>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</si>
  <si>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</si>
  <si>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</si>
  <si>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</si>
  <si>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</si>
  <si>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</si>
  <si>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</si>
  <si>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</si>
  <si>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</si>
  <si>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</si>
  <si>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</si>
  <si>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</si>
  <si>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</si>
  <si>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</si>
  <si>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</si>
  <si>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</si>
  <si>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</si>
  <si>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</si>
  <si>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</si>
  <si>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</si>
  <si>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</si>
  <si>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</si>
  <si>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</si>
  <si>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</si>
  <si>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</si>
  <si>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</si>
  <si>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</si>
  <si>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</si>
  <si>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</si>
  <si>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</si>
  <si>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</si>
  <si>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</si>
  <si>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</si>
  <si>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</si>
  <si>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</si>
  <si>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</si>
  <si>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</si>
  <si>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</si>
  <si>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</si>
  <si>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</si>
  <si>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</si>
  <si>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</si>
  <si>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</si>
  <si>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</si>
  <si>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</si>
  <si>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</si>
  <si>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</si>
  <si>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</si>
  <si>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</si>
  <si>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</si>
  <si>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</si>
  <si>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</si>
  <si>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</si>
  <si>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</si>
  <si>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</si>
  <si>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</si>
  <si>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</si>
  <si>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</si>
  <si>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</si>
  <si>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</si>
  <si>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</si>
  <si>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</si>
  <si>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</si>
  <si>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</si>
  <si>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</si>
  <si>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</si>
  <si>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</si>
  <si>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</si>
  <si>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</si>
  <si>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</si>
  <si>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</si>
  <si>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</si>
  <si>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</si>
  <si>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</si>
  <si>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</si>
  <si>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</si>
  <si>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</si>
  <si>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</si>
  <si>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</si>
  <si>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</si>
  <si>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</si>
  <si>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</si>
  <si>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</si>
  <si>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</si>
  <si>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</si>
  <si>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</si>
  <si>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</si>
  <si>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</si>
  <si>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</si>
  <si>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</si>
  <si>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</si>
  <si>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</si>
  <si>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</si>
  <si>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</si>
  <si>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</si>
  <si>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</si>
  <si>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</si>
  <si>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</si>
  <si>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</si>
  <si>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</si>
  <si>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</si>
  <si>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</si>
  <si>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</si>
  <si>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</si>
  <si>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</si>
  <si>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</si>
  <si>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</si>
  <si>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</si>
  <si>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</si>
  <si>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</si>
  <si>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</si>
  <si>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</si>
  <si>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</si>
  <si>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</si>
  <si>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</si>
  <si>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</si>
  <si>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</si>
  <si>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</si>
  <si>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</si>
  <si>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</si>
  <si>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</si>
  <si>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</si>
  <si>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</si>
  <si>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</si>
  <si>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</si>
  <si>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</si>
  <si>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</si>
  <si>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</si>
  <si>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</si>
  <si>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</si>
  <si>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</si>
  <si>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</si>
  <si>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</si>
  <si>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</si>
  <si>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</si>
  <si>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</si>
  <si>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</si>
  <si>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</si>
  <si>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</si>
  <si>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</si>
  <si>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</si>
  <si>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</si>
  <si>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</si>
  <si>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</si>
  <si>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</si>
  <si>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</si>
  <si>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</si>
  <si>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</si>
  <si>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</si>
  <si>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</si>
  <si>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</si>
  <si>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</si>
  <si>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</si>
  <si>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</si>
  <si>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</si>
  <si>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</si>
  <si>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</si>
  <si>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</si>
  <si>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</si>
  <si>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</si>
  <si>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</si>
  <si>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</si>
  <si>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</si>
  <si>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</si>
  <si>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</si>
  <si>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</si>
  <si>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</si>
  <si>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</si>
  <si>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</si>
  <si>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</si>
  <si>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</si>
  <si>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</si>
  <si>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</si>
  <si>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</si>
  <si>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</si>
  <si>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</si>
  <si>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</si>
  <si>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</si>
  <si>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</si>
  <si>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</si>
  <si>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</si>
  <si>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</si>
  <si>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</si>
  <si>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</si>
  <si>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</si>
  <si>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</si>
  <si>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</si>
  <si>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</si>
  <si>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</si>
  <si>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</si>
  <si>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</si>
  <si>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</si>
  <si>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</si>
  <si>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</si>
  <si>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</si>
  <si>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</si>
  <si>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</si>
  <si>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</si>
  <si>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</si>
  <si>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</si>
  <si>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</si>
  <si>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</si>
  <si>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</si>
  <si>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</si>
  <si>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</si>
  <si>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</si>
  <si>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</si>
  <si>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</si>
  <si>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</si>
  <si>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</si>
  <si>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</si>
  <si>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</si>
  <si>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</si>
  <si>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</si>
  <si>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</si>
  <si>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</si>
  <si>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</si>
  <si>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</si>
  <si>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</si>
  <si>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</si>
  <si>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</si>
  <si>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</si>
  <si>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</si>
  <si>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</si>
  <si>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</si>
  <si>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</si>
  <si>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</si>
  <si>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</si>
  <si>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</si>
  <si>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</si>
  <si>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</si>
  <si>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</si>
  <si>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</si>
  <si>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</si>
  <si>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</si>
  <si>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</si>
  <si>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</si>
  <si>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</si>
  <si>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</si>
  <si>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</si>
  <si>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</si>
  <si>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</si>
  <si>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</si>
  <si>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</si>
  <si>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</si>
  <si>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</si>
  <si>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</si>
  <si>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</si>
  <si>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</si>
  <si>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</si>
  <si>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</si>
  <si>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</si>
  <si>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</si>
  <si>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</si>
  <si>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</si>
  <si>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</si>
  <si>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</si>
  <si>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</si>
  <si>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</si>
  <si>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</si>
  <si>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</si>
  <si>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</si>
  <si>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</si>
  <si>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</si>
  <si>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</si>
  <si>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</si>
  <si>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</si>
  <si>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</si>
  <si>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</si>
  <si>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</si>
  <si>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</si>
  <si>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</si>
  <si>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</si>
  <si>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</si>
  <si>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</si>
  <si>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</si>
  <si>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</si>
  <si>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</si>
  <si>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</si>
  <si>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</si>
  <si>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</si>
  <si>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</si>
  <si>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</si>
  <si>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</si>
  <si>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</si>
  <si>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</si>
  <si>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</si>
  <si>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</si>
  <si>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</si>
  <si>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</si>
  <si>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</si>
  <si>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</si>
  <si>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</si>
  <si>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</si>
  <si>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</si>
  <si>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</si>
  <si>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</si>
  <si>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</si>
  <si>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</si>
  <si>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</si>
  <si>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</si>
  <si>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</si>
  <si>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</si>
  <si>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</si>
  <si>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</si>
  <si>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</si>
  <si>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</si>
  <si>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</si>
  <si>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</si>
  <si>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</si>
  <si>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</si>
  <si>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</si>
  <si>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</si>
  <si>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</si>
  <si>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</si>
  <si>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</si>
  <si>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</si>
  <si>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</si>
  <si>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</si>
  <si>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</si>
  <si>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</si>
  <si>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</si>
  <si>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</si>
  <si>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</si>
  <si>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</si>
  <si>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</si>
  <si>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</si>
  <si>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</si>
  <si>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</si>
  <si>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</si>
  <si>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</si>
  <si>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</si>
  <si>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</si>
  <si>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</si>
  <si>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</si>
  <si>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</si>
  <si>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</si>
  <si>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</si>
  <si>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</si>
  <si>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</si>
  <si>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</si>
  <si>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</si>
  <si>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</si>
  <si>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</si>
  <si>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</si>
  <si>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</si>
  <si>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</si>
  <si>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</si>
  <si>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</si>
  <si>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</si>
  <si>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</si>
  <si>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</si>
  <si>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</si>
  <si>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</si>
  <si>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</si>
  <si>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</si>
  <si>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</si>
  <si>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</si>
  <si>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</si>
  <si>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</si>
  <si>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</si>
  <si>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</si>
  <si>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</si>
  <si>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</si>
  <si>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</si>
  <si>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</si>
  <si>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</si>
  <si>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</si>
  <si>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</si>
  <si>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</si>
  <si>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</si>
  <si>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</si>
  <si>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</si>
  <si>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</si>
  <si>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</si>
  <si>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</si>
  <si>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</si>
  <si>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</si>
  <si>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</si>
  <si>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</si>
  <si>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</si>
  <si>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</si>
  <si>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</si>
  <si>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</si>
  <si>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</si>
  <si>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</si>
  <si>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</si>
  <si>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</si>
  <si>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</si>
  <si>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</si>
  <si>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</si>
  <si>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</si>
  <si>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</si>
  <si>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</si>
  <si>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</si>
  <si>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</si>
  <si>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</si>
  <si>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</si>
  <si>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</si>
  <si>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</si>
  <si>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</si>
  <si>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</si>
  <si>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</si>
  <si>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</si>
  <si>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</si>
  <si>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</si>
  <si>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</si>
  <si>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</si>
  <si>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</si>
  <si>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</si>
  <si>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</si>
  <si>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</si>
  <si>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</si>
  <si>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</si>
  <si>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</si>
  <si>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</si>
  <si>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</si>
  <si>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</si>
  <si>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</si>
  <si>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</si>
  <si>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</si>
  <si>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</si>
  <si>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</si>
  <si>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</si>
  <si>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</si>
  <si>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</si>
  <si>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</si>
  <si>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</si>
  <si>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</si>
  <si>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</si>
  <si>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</si>
  <si>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</si>
  <si>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</si>
  <si>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</si>
  <si>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</si>
  <si>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</si>
  <si>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</si>
  <si>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</si>
  <si>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</si>
  <si>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</si>
  <si>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</si>
  <si>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</si>
  <si>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</si>
  <si>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</si>
  <si>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</si>
  <si>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</si>
  <si>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</si>
  <si>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</si>
  <si>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</si>
  <si>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</si>
  <si>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</si>
  <si>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</si>
  <si>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</si>
  <si>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</si>
  <si>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</si>
  <si>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</si>
  <si>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</si>
  <si>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</si>
  <si>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</si>
  <si>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</si>
  <si>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</si>
  <si>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</si>
  <si>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</si>
  <si>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</si>
  <si>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</si>
  <si>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</si>
  <si>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</si>
  <si>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</si>
  <si>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</si>
  <si>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</si>
  <si>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</si>
  <si>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</si>
  <si>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</si>
  <si>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</si>
  <si>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</si>
  <si>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</si>
  <si>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</si>
  <si>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</si>
  <si>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</si>
  <si>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</si>
  <si>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</si>
  <si>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</si>
  <si>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</si>
  <si>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</si>
  <si>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</si>
  <si>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</si>
  <si>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</si>
  <si>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</si>
  <si>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</si>
  <si>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</si>
  <si>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</si>
  <si>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</si>
  <si>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</si>
  <si>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</si>
  <si>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</si>
  <si>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</si>
  <si>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</si>
  <si>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</si>
  <si>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</si>
  <si>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</si>
  <si>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</si>
  <si>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</si>
  <si>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</si>
  <si>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</si>
  <si>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</si>
  <si>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</si>
  <si>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</si>
  <si>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</si>
  <si>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</si>
  <si>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</si>
  <si>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</si>
  <si>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</si>
  <si>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</si>
  <si>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</si>
  <si>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</si>
  <si>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</si>
  <si>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</si>
  <si>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</si>
  <si>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</si>
  <si>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</si>
  <si>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</si>
  <si>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</si>
  <si>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</si>
  <si>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</si>
  <si>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</si>
  <si>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</si>
  <si>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</si>
  <si>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</si>
  <si>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</si>
  <si>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</si>
  <si>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</si>
  <si>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</si>
  <si>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</si>
  <si>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</si>
  <si>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</si>
  <si>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</si>
  <si>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</si>
  <si>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</si>
  <si>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</si>
  <si>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</si>
  <si>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</si>
  <si>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</si>
  <si>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</si>
  <si>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</si>
  <si>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</si>
  <si>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</si>
  <si>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</si>
  <si>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</si>
  <si>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</si>
  <si>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</si>
  <si>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</si>
  <si>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</si>
  <si>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</si>
  <si>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</si>
  <si>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</si>
  <si>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</si>
  <si>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</si>
  <si>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</si>
  <si>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</si>
  <si>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</si>
  <si>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</si>
  <si>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</si>
  <si>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</si>
  <si>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</si>
  <si>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</si>
  <si>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</si>
  <si>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</si>
  <si>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</si>
  <si>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</si>
  <si>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</si>
  <si>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</si>
  <si>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</si>
  <si>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</si>
  <si>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</si>
  <si>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</si>
  <si>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</si>
  <si>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</si>
  <si>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</si>
  <si>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</si>
  <si>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</si>
  <si>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</si>
  <si>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</si>
  <si>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</si>
  <si>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</si>
  <si>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</si>
  <si>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</si>
  <si>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</si>
  <si>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</si>
  <si>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</si>
  <si>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</si>
  <si>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</si>
  <si>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</si>
  <si>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</si>
  <si>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</si>
  <si>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</si>
  <si>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</si>
  <si>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</si>
  <si>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</si>
  <si>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</si>
  <si>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</si>
  <si>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</si>
  <si>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</si>
  <si>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</si>
  <si>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</si>
  <si>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</si>
  <si>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</si>
  <si>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</si>
  <si>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</si>
  <si>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</si>
  <si>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</si>
  <si>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</si>
  <si>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</si>
  <si>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</si>
  <si>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</si>
  <si>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</si>
  <si>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</si>
  <si>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</si>
  <si>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</si>
  <si>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</si>
  <si>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</si>
  <si>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</si>
  <si>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</si>
  <si>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</si>
  <si>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</si>
  <si>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</si>
  <si>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</si>
  <si>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</si>
  <si>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</si>
  <si>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</si>
  <si>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</si>
  <si>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</si>
  <si>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</si>
  <si>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</si>
  <si>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</si>
  <si>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</si>
  <si>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</si>
  <si>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</si>
  <si>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</si>
  <si>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</si>
  <si>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</si>
  <si>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</si>
  <si>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</si>
  <si>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</si>
  <si>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</si>
  <si>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</si>
  <si>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</si>
  <si>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</si>
  <si>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</si>
  <si>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</si>
  <si>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</si>
  <si>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</si>
  <si>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</si>
  <si>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</si>
  <si>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</si>
  <si>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</si>
  <si>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</si>
  <si>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</si>
  <si>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</si>
  <si>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</si>
  <si>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</si>
  <si>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</si>
  <si>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</si>
  <si>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</si>
  <si>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</si>
  <si>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</si>
  <si>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</si>
  <si>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</si>
  <si>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</si>
  <si>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</si>
  <si>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</si>
  <si>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</si>
  <si>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</si>
  <si>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</si>
  <si>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</si>
  <si>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</si>
  <si>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</si>
  <si>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</si>
  <si>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</si>
  <si>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</si>
  <si>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</si>
  <si>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</si>
  <si>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</si>
  <si>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</si>
  <si>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</si>
  <si>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</si>
  <si>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</si>
  <si>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</si>
  <si>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</si>
  <si>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</si>
  <si>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</si>
  <si>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</si>
  <si>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</si>
  <si>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</si>
  <si>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</si>
  <si>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</si>
  <si>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</si>
  <si>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</si>
  <si>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</si>
  <si>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</si>
  <si>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</si>
  <si>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</si>
  <si>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</si>
  <si>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</si>
  <si>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</si>
  <si>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</si>
  <si>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</si>
  <si>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</si>
  <si>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</si>
  <si>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</si>
  <si>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</si>
  <si>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</si>
  <si>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</si>
  <si>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</si>
  <si>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</si>
  <si>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</si>
  <si>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</si>
  <si>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</si>
  <si>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</si>
  <si>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</si>
  <si>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</si>
  <si>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</si>
  <si>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</si>
  <si>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</si>
  <si>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</si>
  <si>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</si>
  <si>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</si>
  <si>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</si>
  <si>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</si>
  <si>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</si>
  <si>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</si>
  <si>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</si>
  <si>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</si>
  <si>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</si>
  <si>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</si>
  <si>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</si>
  <si>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</si>
  <si>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</si>
  <si>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</si>
  <si>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</si>
  <si>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</si>
  <si>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</si>
  <si>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</si>
  <si>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</si>
  <si>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</si>
  <si>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</si>
  <si>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</si>
  <si>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</si>
  <si>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</si>
  <si>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</si>
  <si>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</si>
  <si>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</si>
  <si>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</si>
  <si>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</si>
  <si>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</si>
  <si>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</si>
  <si>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</si>
  <si>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</si>
  <si>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</si>
  <si>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</si>
  <si>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</si>
  <si>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</si>
  <si>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</si>
  <si>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</si>
  <si>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</si>
  <si>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</si>
  <si>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</si>
  <si>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</si>
  <si>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</si>
  <si>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</si>
  <si>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</si>
  <si>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</si>
  <si>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</si>
  <si>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</si>
  <si>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</si>
  <si>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</si>
  <si>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</si>
  <si>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</si>
  <si>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</si>
  <si>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</si>
  <si>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</si>
  <si>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</si>
  <si>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</si>
  <si>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</si>
  <si>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</si>
  <si>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</si>
  <si>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</si>
  <si>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</si>
  <si>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</si>
  <si>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</si>
  <si>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</si>
  <si>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</si>
  <si>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</si>
  <si>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</si>
  <si>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</si>
  <si>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</si>
  <si>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</si>
  <si>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</si>
  <si>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</si>
  <si>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</si>
  <si>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</si>
  <si>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</si>
  <si>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</si>
  <si>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</si>
  <si>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</si>
  <si>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</si>
  <si>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</si>
  <si>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</si>
  <si>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</si>
  <si>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</si>
  <si>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</si>
  <si>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</si>
  <si>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</si>
  <si>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</si>
  <si>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</si>
  <si>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</si>
  <si>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</si>
  <si>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</si>
  <si>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</si>
  <si>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</si>
  <si>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</si>
  <si>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</si>
  <si>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</si>
  <si>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</si>
  <si>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</si>
  <si>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</si>
  <si>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</si>
  <si>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</si>
  <si>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</si>
  <si>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</si>
  <si>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</si>
  <si>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</si>
  <si>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</si>
  <si>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</si>
  <si>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</si>
  <si>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</si>
  <si>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</si>
  <si>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</si>
  <si>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</si>
  <si>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</si>
  <si>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</si>
  <si>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</si>
  <si>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</si>
  <si>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</si>
  <si>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</si>
  <si>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</si>
  <si>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</si>
  <si>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</si>
  <si>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</si>
  <si>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</si>
  <si>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</si>
  <si>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</si>
  <si>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</si>
  <si>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</si>
  <si>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</si>
  <si>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</si>
  <si>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</si>
  <si>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</si>
  <si>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</si>
  <si>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</si>
  <si>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</si>
  <si>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</si>
  <si>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</si>
  <si>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</si>
  <si>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</si>
  <si>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</si>
  <si>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</si>
  <si>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</si>
  <si>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</si>
  <si>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</si>
  <si>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</si>
  <si>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</si>
  <si>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</si>
  <si>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</si>
  <si>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</si>
  <si>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</si>
  <si>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</si>
  <si>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</si>
  <si>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</si>
  <si>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</si>
  <si>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</si>
  <si>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</si>
  <si>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</si>
  <si>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</si>
  <si>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</si>
  <si>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</si>
  <si>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</si>
  <si>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</si>
  <si>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</si>
  <si>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</si>
  <si>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</si>
  <si>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</si>
  <si>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</si>
  <si>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</si>
  <si>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</si>
  <si>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</si>
  <si>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</si>
  <si>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</si>
  <si>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</si>
  <si>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</si>
  <si>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</si>
  <si>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</si>
  <si>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</si>
  <si>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</si>
  <si>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</si>
  <si>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</si>
  <si>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</si>
  <si>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</si>
  <si>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</si>
  <si>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</si>
  <si>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</si>
  <si>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</si>
  <si>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</si>
  <si>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</si>
  <si>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</si>
  <si>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</si>
  <si>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</si>
  <si>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</si>
  <si>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</si>
  <si>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</si>
  <si>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</si>
  <si>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</si>
  <si>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</si>
  <si>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</si>
  <si>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</si>
  <si>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</si>
  <si>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</si>
  <si>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</si>
  <si>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</si>
  <si>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</si>
  <si>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</si>
  <si>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</si>
  <si>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</si>
  <si>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</si>
  <si>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</si>
  <si>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</si>
  <si>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</si>
  <si>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</si>
  <si>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</si>
  <si>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</si>
  <si>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</si>
  <si>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</si>
  <si>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</si>
  <si>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</si>
  <si>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</si>
  <si>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</si>
  <si>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</si>
  <si>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</si>
  <si>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</si>
  <si>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</si>
  <si>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</si>
  <si>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</si>
  <si>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</si>
  <si>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</si>
  <si>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</si>
  <si>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</si>
  <si>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</si>
  <si>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</si>
  <si>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</si>
  <si>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</si>
  <si>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</si>
  <si>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</si>
  <si>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</si>
  <si>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</si>
  <si>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</si>
  <si>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</si>
  <si>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</si>
  <si>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</si>
  <si>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</si>
  <si>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</si>
  <si>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</si>
  <si>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</si>
  <si>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</si>
  <si>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</si>
  <si>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</si>
  <si>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</si>
  <si>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</si>
  <si>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</si>
  <si>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</si>
  <si>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</si>
  <si>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</si>
  <si>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</si>
  <si>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</si>
  <si>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</si>
  <si>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</si>
  <si>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</si>
  <si>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</si>
  <si>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</si>
  <si>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</si>
  <si>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</si>
  <si>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</si>
  <si>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</si>
  <si>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</si>
  <si>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</si>
  <si>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</si>
  <si>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</si>
  <si>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</si>
  <si>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</si>
  <si>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</si>
  <si>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</si>
  <si>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</si>
  <si>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</si>
  <si>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</si>
  <si>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</si>
  <si>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</si>
  <si>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</si>
  <si>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</si>
  <si>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</si>
  <si>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</si>
  <si>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</si>
  <si>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</si>
  <si>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</si>
  <si>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</si>
  <si>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</si>
  <si>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</si>
  <si>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</si>
  <si>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</si>
  <si>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</si>
  <si>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</si>
  <si>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</si>
  <si>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</si>
  <si>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</si>
  <si>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</si>
  <si>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</si>
  <si>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</si>
  <si>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</si>
  <si>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</si>
  <si>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</si>
  <si>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</si>
  <si>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</si>
  <si>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</si>
  <si>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</si>
  <si>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</si>
  <si>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</si>
  <si>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</si>
  <si>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</si>
  <si>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</si>
  <si>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</si>
  <si>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</si>
  <si>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</si>
  <si>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</si>
  <si>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</si>
  <si>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</si>
  <si>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</si>
  <si>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</si>
  <si>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</si>
  <si>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</si>
  <si>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</si>
  <si>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</si>
  <si>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</si>
  <si>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</si>
  <si>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</si>
  <si>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</si>
  <si>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</si>
  <si>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</si>
  <si>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</si>
  <si>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</si>
  <si>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</si>
  <si>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</si>
  <si>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</si>
  <si>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</si>
  <si>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</si>
  <si>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</si>
  <si>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</si>
  <si>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</si>
  <si>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</si>
  <si>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</si>
  <si>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</si>
  <si>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</si>
  <si>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</si>
  <si>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</si>
  <si>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</si>
  <si>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</si>
  <si>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</si>
  <si>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</si>
  <si>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</si>
  <si>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</si>
  <si>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</si>
  <si>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</si>
  <si>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</si>
  <si>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</si>
  <si>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</si>
  <si>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</si>
  <si>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</si>
  <si>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</si>
  <si>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</si>
  <si>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</si>
  <si>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</si>
  <si>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</si>
  <si>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</si>
  <si>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</si>
  <si>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</si>
  <si>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</si>
  <si>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</si>
  <si>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</si>
  <si>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</si>
  <si>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</si>
  <si>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</si>
  <si>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</si>
  <si>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</si>
  <si>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</si>
  <si>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</si>
  <si>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</si>
  <si>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</si>
  <si>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</si>
  <si>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</si>
  <si>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</si>
  <si>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</si>
  <si>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</si>
  <si>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</si>
  <si>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</si>
  <si>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</si>
  <si>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</si>
  <si>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</si>
  <si>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</si>
  <si>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</si>
  <si>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</si>
  <si>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</si>
  <si>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</si>
  <si>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</si>
  <si>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</si>
  <si>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</si>
  <si>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</si>
  <si>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</si>
  <si>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</si>
  <si>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</si>
  <si>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</si>
  <si>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</si>
  <si>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</si>
  <si>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</si>
  <si>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</si>
  <si>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</si>
  <si>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</si>
  <si>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</si>
  <si>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</si>
  <si>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</si>
  <si>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</si>
  <si>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</si>
  <si>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</si>
  <si>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</si>
  <si>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</si>
  <si>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</si>
  <si>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</si>
  <si>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</si>
  <si>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</si>
  <si>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</si>
  <si>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</si>
  <si>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</si>
  <si>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</si>
  <si>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</si>
  <si>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</si>
  <si>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</si>
  <si>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</si>
  <si>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</si>
  <si>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</si>
  <si>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</si>
  <si>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</si>
  <si>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</si>
  <si>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</si>
  <si>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</si>
  <si>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</si>
  <si>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</si>
  <si>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</si>
  <si>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</si>
  <si>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</si>
  <si>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</si>
  <si>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</si>
  <si>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</si>
  <si>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</si>
  <si>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</si>
  <si>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</si>
  <si>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</si>
  <si>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</si>
  <si>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</si>
  <si>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</si>
  <si>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</si>
  <si>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</si>
  <si>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</si>
  <si>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</si>
  <si>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</si>
  <si>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</si>
  <si>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</si>
  <si>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</si>
  <si>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</si>
  <si>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</si>
  <si>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</si>
  <si>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</si>
  <si>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</si>
  <si>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</si>
  <si>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</si>
  <si>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</si>
  <si>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</si>
  <si>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</si>
  <si>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</si>
  <si>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</si>
  <si>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</si>
  <si>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</si>
  <si>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</si>
  <si>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</si>
  <si>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</si>
  <si>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</si>
  <si>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</si>
  <si>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</si>
  <si>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</si>
  <si>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</si>
  <si>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</si>
  <si>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</si>
  <si>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</si>
  <si>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</si>
  <si>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</si>
  <si>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</si>
  <si>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</si>
  <si>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</si>
  <si>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</si>
  <si>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</si>
  <si>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</si>
  <si>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</si>
  <si>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</si>
  <si>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</si>
  <si>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</si>
  <si>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</si>
  <si>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</si>
  <si>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</si>
  <si>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</si>
  <si>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</si>
  <si>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</si>
  <si>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</si>
  <si>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</si>
  <si>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</si>
  <si>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</si>
  <si>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</si>
  <si>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</si>
  <si>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</si>
  <si>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</si>
  <si>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</si>
  <si>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</si>
  <si>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</si>
  <si>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</si>
  <si>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</si>
  <si>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</si>
  <si>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</si>
  <si>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</si>
  <si>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</si>
  <si>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</si>
  <si>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</si>
  <si>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</si>
  <si>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</si>
  <si>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</si>
  <si>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</si>
  <si>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</si>
  <si>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</si>
  <si>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</si>
  <si>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</si>
  <si>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</si>
  <si>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</si>
  <si>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</si>
  <si>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</si>
  <si>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</si>
  <si>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</si>
  <si>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</si>
  <si>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</si>
  <si>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</si>
  <si>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</si>
  <si>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</si>
  <si>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</si>
  <si>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</si>
  <si>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</si>
  <si>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</si>
  <si>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</si>
  <si>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</si>
  <si>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</si>
  <si>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</si>
  <si>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</si>
  <si>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</si>
  <si>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</si>
  <si>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</si>
  <si>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</si>
  <si>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</si>
  <si>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</si>
  <si>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</si>
  <si>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</si>
  <si>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</si>
  <si>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</si>
  <si>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</si>
  <si>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</si>
  <si>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</si>
  <si>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</si>
  <si>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</si>
  <si>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</si>
  <si>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</si>
  <si>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</si>
  <si>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</si>
  <si>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</si>
  <si>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</si>
  <si>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</si>
  <si>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</si>
  <si>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</si>
  <si>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</si>
  <si>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</si>
  <si>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</si>
  <si>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</si>
  <si>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</si>
  <si>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</si>
  <si>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</si>
  <si>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</si>
  <si>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</si>
  <si>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</si>
  <si>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</si>
  <si>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</si>
  <si>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</si>
  <si>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</si>
  <si>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</si>
  <si>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</si>
  <si>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</si>
  <si>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</si>
  <si>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</si>
  <si>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</si>
  <si>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</si>
  <si>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</si>
  <si>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</si>
  <si>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</si>
  <si>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</si>
  <si>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</si>
  <si>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</si>
  <si>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</si>
  <si>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</si>
  <si>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</si>
  <si>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</si>
  <si>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</si>
  <si>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</si>
  <si>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</si>
  <si>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</si>
  <si>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</si>
  <si>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</si>
  <si>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</si>
  <si>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</si>
  <si>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</si>
  <si>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</si>
  <si>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</si>
  <si>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</si>
  <si>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</si>
  <si>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</si>
  <si>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</si>
  <si>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</si>
  <si>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</si>
  <si>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</si>
  <si>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</si>
  <si>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</si>
  <si>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</si>
  <si>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</si>
  <si>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</si>
  <si>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</si>
  <si>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</si>
  <si>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</si>
  <si>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</si>
  <si>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</si>
  <si>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</si>
  <si>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</si>
  <si>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</si>
  <si>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</si>
  <si>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</si>
  <si>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</si>
  <si>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</si>
  <si>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</si>
  <si>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</si>
  <si>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</si>
  <si>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</si>
  <si>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</si>
  <si>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</si>
  <si>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</si>
  <si>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</si>
  <si>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</si>
  <si>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</si>
  <si>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</si>
  <si>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</si>
  <si>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</si>
  <si>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</si>
  <si>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</si>
  <si>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</si>
  <si>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</si>
  <si>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</si>
  <si>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</si>
  <si>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</si>
  <si>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</si>
  <si>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</si>
  <si>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</si>
  <si>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</si>
  <si>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</si>
  <si>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</si>
  <si>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</si>
  <si>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</si>
  <si>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</si>
  <si>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</si>
  <si>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</si>
  <si>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</si>
  <si>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</si>
  <si>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</si>
  <si>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</si>
  <si>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</si>
  <si>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</si>
  <si>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</si>
  <si>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</si>
  <si>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</si>
  <si>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</si>
  <si>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</si>
  <si>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</si>
  <si>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</si>
  <si>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</si>
  <si>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</si>
  <si>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</si>
  <si>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</si>
  <si>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</si>
  <si>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</si>
  <si>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</si>
  <si>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</si>
  <si>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</si>
  <si>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</si>
  <si>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</si>
  <si>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</si>
  <si>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</si>
  <si>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</si>
  <si>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</si>
  <si>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</si>
  <si>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</si>
  <si>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</si>
  <si>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</si>
  <si>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</si>
  <si>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</si>
  <si>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</si>
  <si>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</si>
  <si>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</si>
  <si>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</si>
  <si>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</si>
  <si>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</si>
  <si>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</si>
  <si>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</si>
  <si>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</si>
  <si>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</si>
  <si>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</si>
  <si>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</si>
  <si>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</si>
  <si>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</si>
  <si>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</si>
  <si>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</si>
  <si>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</si>
  <si>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</si>
  <si>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</si>
  <si>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</si>
  <si>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</si>
  <si>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</si>
  <si>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</si>
  <si>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</si>
  <si>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</si>
  <si>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</si>
  <si>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</si>
  <si>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</si>
  <si>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</si>
  <si>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</si>
  <si>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</si>
  <si>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</si>
  <si>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</si>
  <si>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</si>
  <si>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</si>
  <si>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</si>
  <si>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</si>
  <si>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</si>
  <si>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</si>
  <si>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</si>
  <si>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</si>
  <si>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</si>
  <si>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</si>
  <si>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</si>
  <si>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</si>
  <si>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</si>
  <si>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</si>
  <si>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</si>
  <si>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</si>
  <si>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</si>
  <si>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</si>
  <si>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</si>
  <si>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</si>
  <si>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</si>
  <si>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</si>
  <si>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</si>
  <si>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</si>
  <si>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</si>
  <si>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</si>
  <si>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</si>
  <si>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</si>
  <si>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</si>
  <si>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</si>
  <si>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</si>
  <si>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</si>
  <si>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</si>
  <si>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</si>
  <si>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</si>
  <si>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</si>
  <si>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</si>
  <si>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</si>
  <si>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</si>
  <si>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</si>
  <si>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</si>
  <si>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</si>
  <si>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</si>
  <si>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</si>
  <si>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</si>
  <si>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</si>
  <si>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</si>
  <si>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</si>
  <si>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</si>
  <si>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</si>
  <si>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</si>
  <si>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</si>
  <si>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</si>
  <si>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</si>
  <si>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</si>
  <si>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</si>
  <si>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</si>
  <si>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</si>
  <si>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</si>
  <si>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</si>
  <si>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</si>
  <si>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</si>
  <si>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</si>
  <si>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</si>
  <si>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</si>
  <si>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</si>
  <si>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</si>
  <si>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</si>
  <si>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</si>
  <si>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</si>
  <si>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</si>
  <si>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</si>
  <si>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</si>
  <si>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</si>
  <si>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</si>
  <si>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</si>
  <si>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</si>
  <si>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</si>
  <si>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</si>
  <si>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</si>
  <si>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</si>
  <si>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</si>
  <si>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</si>
  <si>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</si>
  <si>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</si>
  <si>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</si>
  <si>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</si>
  <si>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</si>
  <si>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</si>
  <si>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</si>
  <si>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</si>
  <si>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</si>
  <si>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</si>
  <si>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</si>
  <si>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</si>
  <si>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</si>
  <si>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</si>
  <si>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</si>
  <si>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</si>
  <si>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</si>
  <si>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</si>
  <si>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</si>
  <si>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</si>
  <si>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</si>
  <si>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</si>
  <si>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</si>
  <si>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</si>
  <si>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</si>
  <si>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</si>
  <si>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</si>
  <si>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</si>
  <si>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</si>
  <si>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</si>
  <si>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</si>
  <si>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</si>
  <si>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</si>
  <si>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</si>
  <si>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</si>
  <si>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</si>
  <si>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</si>
  <si>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</si>
  <si>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</si>
  <si>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</si>
  <si>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</si>
  <si>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</si>
  <si>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</si>
  <si>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</si>
  <si>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</si>
  <si>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</si>
  <si>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</si>
  <si>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</si>
  <si>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</si>
  <si>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</si>
  <si>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</si>
  <si>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</si>
  <si>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</si>
  <si>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</si>
  <si>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</si>
  <si>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</si>
  <si>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</si>
  <si>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</si>
  <si>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</si>
  <si>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</si>
  <si>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</si>
  <si>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</si>
  <si>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</si>
  <si>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</si>
  <si>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</si>
  <si>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</si>
  <si>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</si>
  <si>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</si>
  <si>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</si>
  <si>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</si>
  <si>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</si>
  <si>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</si>
  <si>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</si>
  <si>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</si>
  <si>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</si>
  <si>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</si>
  <si>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</si>
  <si>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</si>
  <si>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</si>
  <si>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</si>
  <si>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</si>
  <si>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</si>
  <si>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</si>
  <si>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</si>
  <si>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</si>
  <si>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</si>
  <si>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</si>
  <si>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</si>
  <si>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</si>
  <si>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</si>
  <si>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</si>
  <si>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</si>
  <si>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</si>
  <si>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</si>
  <si>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</si>
  <si>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</si>
  <si>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</si>
  <si>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</si>
  <si>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</si>
  <si>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</si>
  <si>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</si>
  <si>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</si>
  <si>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</si>
  <si>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</si>
  <si>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</si>
  <si>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</si>
  <si>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</si>
  <si>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</si>
  <si>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</si>
  <si>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</si>
  <si>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</si>
  <si>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</si>
  <si>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</si>
  <si>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</si>
  <si>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</si>
  <si>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</si>
  <si>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</si>
  <si>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</si>
  <si>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</si>
  <si>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</si>
  <si>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</si>
  <si>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</si>
  <si>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</si>
  <si>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</si>
  <si>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</si>
  <si>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</si>
  <si>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</si>
  <si>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</si>
  <si>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</si>
  <si>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</si>
  <si>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</si>
  <si>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</si>
  <si>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</si>
  <si>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</si>
  <si>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</si>
  <si>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</si>
  <si>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</si>
  <si>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</si>
  <si>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</si>
  <si>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</si>
  <si>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</si>
  <si>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</si>
  <si>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</si>
  <si>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</si>
  <si>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</si>
  <si>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</si>
  <si>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</si>
  <si>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</si>
  <si>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</si>
  <si>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</si>
  <si>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</si>
  <si>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</si>
  <si>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</si>
  <si>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</si>
  <si>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</si>
  <si>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</si>
  <si>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</si>
  <si>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</si>
  <si>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</si>
  <si>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</si>
  <si>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</si>
  <si>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</si>
  <si>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</si>
  <si>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</si>
  <si>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</si>
  <si>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</si>
  <si>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</si>
  <si>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</si>
  <si>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</si>
  <si>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</si>
  <si>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</si>
  <si>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</si>
  <si>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</si>
  <si>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</si>
  <si>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</si>
  <si>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</si>
  <si>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</si>
  <si>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</si>
  <si>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</si>
  <si>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</si>
  <si>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</si>
  <si>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</si>
  <si>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</si>
  <si>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</si>
  <si>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</si>
  <si>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</si>
  <si>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</si>
  <si>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</si>
  <si>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</si>
  <si>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</si>
  <si>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</si>
  <si>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</si>
  <si>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</si>
  <si>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</si>
  <si>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</si>
  <si>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</si>
  <si>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</si>
  <si>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</si>
  <si>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</si>
  <si>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</si>
  <si>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</si>
  <si>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</si>
  <si>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</si>
  <si>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</si>
  <si>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</si>
  <si>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</si>
  <si>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</si>
  <si>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</si>
  <si>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</si>
  <si>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</si>
  <si>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</si>
  <si>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</si>
  <si>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</si>
  <si>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</si>
  <si>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</si>
  <si>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</si>
  <si>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</si>
  <si>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</si>
  <si>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</si>
  <si>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</si>
  <si>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</si>
  <si>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</si>
  <si>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</si>
  <si>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</si>
  <si>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</si>
  <si>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</si>
  <si>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</si>
  <si>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</si>
  <si>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</si>
  <si>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</si>
  <si>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</si>
  <si>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</si>
  <si>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</si>
  <si>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</si>
  <si>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</si>
  <si>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</si>
  <si>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</si>
  <si>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</si>
  <si>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</si>
  <si>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</si>
  <si>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</si>
  <si>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</si>
  <si>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</si>
  <si>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</si>
  <si>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</si>
  <si>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</si>
  <si>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</si>
  <si>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</si>
  <si>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</si>
  <si>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</si>
  <si>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</si>
  <si>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</si>
  <si>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</si>
  <si>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</si>
  <si>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</si>
  <si>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</si>
  <si>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</si>
  <si>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</si>
  <si>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</si>
  <si>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</si>
  <si>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</si>
  <si>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</si>
  <si>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</si>
  <si>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</si>
  <si>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</si>
  <si>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</si>
  <si>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</si>
  <si>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</si>
  <si>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</si>
  <si>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</si>
  <si>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</si>
  <si>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</si>
  <si>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</si>
  <si>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</si>
  <si>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</si>
  <si>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</si>
  <si>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</si>
  <si>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</si>
  <si>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</si>
  <si>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</si>
  <si>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</si>
  <si>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</si>
  <si>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</si>
  <si>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</si>
  <si>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</si>
  <si>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</si>
  <si>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</si>
  <si>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</si>
  <si>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</si>
  <si>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</si>
  <si>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</si>
  <si>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</si>
  <si>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</si>
  <si>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</si>
  <si>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</si>
  <si>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</si>
  <si>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</si>
  <si>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</si>
  <si>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</si>
  <si>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</si>
  <si>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</si>
  <si>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</si>
  <si>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</si>
  <si>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</si>
  <si>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</si>
  <si>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</si>
  <si>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</si>
  <si>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</si>
  <si>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</si>
  <si>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</si>
  <si>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</si>
  <si>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</si>
  <si>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</si>
  <si>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</si>
  <si>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</si>
  <si>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</si>
  <si>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</si>
  <si>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</si>
  <si>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</si>
  <si>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</si>
  <si>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</si>
  <si>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</si>
  <si>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</si>
  <si>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</si>
  <si>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</si>
  <si>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</si>
  <si>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</si>
  <si>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</si>
  <si>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</si>
  <si>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</si>
  <si>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</si>
  <si>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</si>
  <si>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</si>
  <si>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</si>
  <si>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</si>
  <si>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</si>
  <si>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</si>
  <si>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</si>
  <si>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</si>
  <si>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</si>
  <si>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</si>
  <si>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</si>
  <si>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</si>
  <si>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</si>
  <si>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</si>
  <si>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</si>
  <si>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</si>
  <si>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</si>
  <si>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</si>
  <si>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</si>
  <si>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</si>
  <si>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</si>
  <si>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</si>
  <si>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</si>
  <si>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</si>
  <si>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</si>
  <si>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</si>
  <si>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</si>
  <si>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</si>
  <si>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</si>
  <si>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</si>
  <si>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</si>
  <si>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</si>
  <si>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</si>
  <si>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</si>
  <si>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</si>
  <si>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</si>
  <si>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</si>
  <si>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</si>
  <si>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</si>
  <si>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</si>
  <si>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</si>
  <si>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</si>
  <si>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</si>
  <si>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</si>
  <si>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</si>
  <si>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</si>
  <si>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</si>
  <si>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</si>
  <si>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</si>
  <si>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</si>
  <si>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</si>
  <si>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</si>
  <si>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</si>
  <si>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</si>
  <si>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</si>
  <si>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</si>
  <si>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</si>
  <si>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</si>
  <si>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</si>
  <si>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</si>
  <si>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</si>
  <si>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</si>
  <si>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</si>
  <si>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</si>
  <si>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</si>
  <si>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</si>
  <si>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</si>
  <si>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</si>
  <si>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</si>
  <si>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</si>
  <si>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</si>
  <si>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</si>
  <si>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</si>
  <si>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</si>
  <si>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</si>
  <si>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</si>
  <si>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</si>
  <si>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</si>
  <si>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</si>
  <si>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</si>
  <si>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</si>
  <si>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</si>
  <si>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</si>
  <si>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</si>
  <si>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</si>
  <si>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</si>
  <si>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</si>
  <si>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</si>
  <si>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</si>
  <si>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</si>
  <si>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</si>
  <si>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</si>
  <si>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</si>
  <si>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</si>
  <si>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</si>
  <si>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</si>
  <si>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</si>
  <si>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</si>
  <si>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</si>
  <si>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</si>
  <si>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</si>
  <si>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</si>
  <si>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</si>
  <si>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</si>
  <si>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</si>
  <si>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</si>
  <si>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</si>
  <si>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</si>
  <si>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</si>
  <si>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</si>
  <si>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</si>
  <si>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</si>
  <si>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</si>
  <si>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</si>
  <si>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</si>
  <si>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</si>
  <si>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</si>
  <si>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</si>
  <si>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</si>
  <si>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</si>
  <si>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</si>
  <si>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</si>
  <si>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</si>
  <si>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</si>
  <si>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</si>
  <si>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</si>
  <si>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</si>
  <si>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</si>
  <si>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</si>
  <si>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</si>
  <si>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</si>
  <si>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</si>
  <si>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</si>
  <si>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</si>
  <si>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</si>
  <si>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</si>
  <si>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</si>
  <si>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</si>
  <si>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</si>
  <si>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</si>
  <si>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</si>
  <si>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</si>
  <si>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</si>
  <si>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</si>
  <si>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</si>
  <si>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</si>
  <si>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</si>
  <si>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</si>
  <si>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</si>
  <si>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</si>
  <si>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</si>
  <si>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</si>
  <si>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</si>
  <si>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</si>
  <si>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</si>
  <si>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</si>
  <si>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</si>
  <si>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</si>
  <si>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</si>
  <si>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</si>
  <si>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</si>
  <si>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</si>
  <si>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</si>
  <si>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</si>
  <si>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</si>
  <si>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</si>
  <si>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</si>
  <si>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</si>
  <si>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</si>
  <si>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</si>
  <si>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</si>
  <si>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</si>
  <si>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</si>
  <si>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</si>
  <si>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</si>
  <si>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</si>
  <si>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</si>
  <si>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</si>
  <si>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</si>
  <si>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</si>
  <si>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</si>
  <si>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</si>
  <si>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</si>
  <si>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</si>
  <si>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</si>
  <si>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</si>
  <si>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</si>
  <si>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</si>
  <si>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</si>
  <si>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</si>
  <si>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</si>
  <si>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</si>
  <si>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</si>
  <si>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</si>
  <si>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</si>
  <si>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</si>
  <si>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</si>
  <si>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</si>
  <si>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</si>
  <si>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</si>
  <si>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</si>
  <si>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</si>
  <si>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</si>
  <si>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</si>
  <si>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</si>
  <si>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</si>
  <si>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</si>
  <si>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</si>
  <si>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</si>
  <si>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</si>
  <si>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</si>
  <si>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</si>
  <si>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</si>
  <si>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</si>
  <si>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</si>
  <si>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</si>
  <si>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</si>
  <si>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</si>
  <si>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</si>
  <si>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</si>
  <si>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</si>
  <si>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</si>
  <si>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</si>
  <si>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</si>
  <si>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</si>
  <si>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</si>
  <si>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</si>
  <si>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</si>
  <si>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</si>
  <si>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</si>
  <si>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</si>
  <si>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</si>
  <si>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</si>
  <si>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</si>
  <si>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</si>
  <si>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</si>
  <si>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</si>
  <si>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</si>
  <si>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</si>
  <si>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</si>
  <si>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</si>
  <si>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</si>
  <si>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</si>
  <si>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</si>
  <si>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</si>
  <si>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</si>
  <si>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</si>
  <si>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</si>
  <si>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</si>
  <si>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</si>
  <si>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</si>
  <si>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</si>
  <si>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</si>
  <si>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</si>
  <si>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</si>
  <si>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</si>
  <si>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</si>
  <si>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</si>
  <si>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</si>
  <si>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</si>
  <si>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</si>
  <si>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</si>
  <si>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</si>
  <si>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</si>
  <si>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</si>
  <si>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</si>
  <si>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</si>
  <si>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</si>
  <si>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</si>
  <si>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</si>
  <si>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</si>
  <si>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</si>
  <si>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</si>
  <si>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</si>
  <si>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</si>
  <si>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</si>
  <si>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</si>
  <si>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</si>
  <si>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</si>
  <si>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</si>
  <si>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</si>
  <si>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</si>
  <si>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</si>
  <si>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</si>
  <si>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</si>
  <si>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</si>
  <si>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</si>
  <si>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</si>
  <si>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</si>
  <si>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</si>
  <si>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</si>
  <si>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</si>
  <si>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</si>
  <si>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</si>
  <si>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</si>
  <si>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</si>
  <si>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</si>
  <si>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</si>
  <si>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</si>
  <si>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</si>
  <si>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</si>
  <si>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</si>
  <si>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</si>
  <si>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</si>
  <si>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</si>
  <si>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</si>
  <si>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</si>
  <si>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</si>
  <si>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</si>
  <si>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</si>
  <si>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</si>
  <si>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</si>
  <si>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</si>
  <si>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</si>
  <si>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</si>
  <si>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</si>
  <si>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</si>
  <si>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</si>
  <si>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</si>
  <si>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</si>
  <si>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</si>
  <si>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</si>
  <si>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</si>
  <si>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</si>
  <si>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</si>
  <si>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</si>
  <si>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</si>
  <si>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</si>
  <si>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</si>
  <si>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</si>
  <si>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</si>
  <si>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</si>
  <si>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</si>
  <si>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</si>
  <si>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</si>
  <si>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</si>
  <si>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</si>
  <si>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</si>
  <si>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</si>
  <si>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</si>
  <si>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</si>
  <si>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</si>
  <si>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</si>
  <si>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</si>
  <si>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</si>
  <si>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</si>
  <si>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</si>
  <si>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</si>
  <si>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</si>
  <si>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</si>
  <si>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</si>
  <si>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</si>
  <si>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</si>
  <si>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</si>
  <si>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</si>
  <si>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</si>
  <si>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</si>
  <si>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</si>
  <si>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</si>
  <si>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</si>
  <si>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</si>
  <si>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</si>
  <si>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</si>
  <si>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</si>
  <si>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</si>
  <si>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</si>
  <si>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</si>
  <si>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</si>
  <si>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</si>
  <si>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</si>
  <si>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</si>
  <si>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</si>
  <si>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</si>
  <si>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</si>
  <si>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</si>
  <si>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</si>
  <si>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</si>
  <si>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</si>
  <si>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</si>
  <si>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</si>
  <si>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</si>
  <si>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</si>
  <si>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</si>
  <si>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</si>
  <si>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</si>
  <si>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</si>
  <si>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</si>
  <si>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</si>
  <si>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</si>
  <si>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</si>
  <si>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</si>
  <si>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</si>
  <si>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</si>
  <si>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</si>
  <si>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</si>
  <si>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</si>
  <si>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</si>
  <si>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</si>
  <si>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</si>
  <si>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</si>
  <si>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</si>
  <si>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</si>
  <si>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</si>
  <si>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</si>
  <si>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</si>
  <si>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</si>
  <si>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</si>
  <si>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</si>
  <si>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</si>
  <si>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</si>
  <si>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</si>
  <si>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</si>
  <si>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</si>
  <si>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</si>
  <si>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</si>
  <si>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</si>
  <si>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</si>
  <si>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</si>
  <si>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</si>
  <si>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</si>
  <si>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</si>
  <si>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</si>
  <si>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</si>
  <si>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</si>
  <si>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</si>
  <si>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</si>
  <si>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</si>
  <si>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</si>
  <si>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</si>
  <si>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</si>
  <si>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</si>
  <si>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</si>
  <si>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</si>
  <si>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</si>
  <si>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</si>
  <si>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</si>
  <si>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</si>
  <si>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</si>
  <si>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</si>
  <si>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</si>
  <si>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</si>
  <si>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</si>
  <si>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</si>
  <si>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</si>
  <si>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</si>
  <si>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</si>
  <si>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</si>
  <si>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</si>
  <si>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</si>
  <si>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</si>
  <si>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</si>
  <si>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</si>
  <si>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</si>
  <si>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</si>
  <si>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</si>
  <si>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</si>
  <si>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</si>
  <si>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</si>
  <si>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</si>
  <si>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</si>
  <si>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</si>
  <si>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</si>
  <si>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</si>
  <si>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</si>
  <si>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</si>
  <si>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</si>
  <si>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</si>
  <si>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</si>
  <si>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</si>
  <si>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</si>
  <si>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</si>
  <si>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</si>
  <si>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</si>
  <si>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</si>
  <si>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</si>
  <si>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</si>
  <si>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</si>
  <si>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</si>
  <si>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</si>
  <si>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</si>
  <si>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</si>
  <si>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</si>
  <si>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</si>
  <si>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</si>
  <si>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</si>
  <si>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</si>
  <si>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</si>
  <si>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</si>
  <si>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</si>
  <si>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</si>
  <si>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</si>
  <si>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</si>
  <si>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</si>
  <si>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</si>
  <si>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</si>
  <si>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</si>
  <si>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</si>
  <si>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</si>
  <si>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</si>
  <si>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</si>
  <si>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</si>
  <si>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</si>
  <si>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</si>
  <si>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</si>
  <si>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</si>
  <si>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</si>
  <si>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</si>
  <si>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</si>
  <si>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</si>
  <si>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</si>
  <si>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</si>
  <si>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</si>
  <si>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</si>
  <si>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</si>
  <si>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</si>
  <si>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</si>
  <si>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</si>
  <si>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</si>
  <si>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</si>
  <si>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</si>
  <si>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</si>
  <si>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</si>
  <si>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</si>
  <si>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</si>
  <si>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</si>
  <si>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</si>
  <si>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</si>
  <si>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</si>
  <si>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</si>
  <si>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</si>
  <si>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</si>
  <si>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</si>
  <si>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</si>
  <si>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</si>
  <si>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</si>
  <si>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</si>
  <si>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</si>
  <si>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</si>
  <si>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</si>
  <si>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</si>
  <si>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</si>
  <si>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</si>
  <si>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</si>
  <si>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</si>
  <si>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</si>
  <si>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</si>
  <si>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</si>
  <si>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</si>
  <si>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</si>
  <si>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</si>
  <si>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</si>
  <si>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</si>
  <si>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</si>
  <si>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</si>
  <si>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</si>
  <si>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</si>
  <si>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</si>
  <si>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</si>
  <si>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</si>
  <si>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</si>
  <si>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</si>
  <si>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</si>
  <si>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</si>
  <si>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</si>
  <si>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</si>
  <si>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</si>
  <si>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</si>
  <si>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</si>
  <si>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</si>
  <si>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</si>
  <si>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</si>
  <si>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</si>
  <si>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</si>
  <si>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</si>
  <si>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</si>
  <si>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</si>
  <si>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</si>
  <si>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</si>
  <si>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</si>
  <si>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</si>
  <si>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</si>
  <si>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</si>
  <si>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</si>
  <si>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</si>
  <si>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</si>
  <si>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</si>
  <si>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</si>
  <si>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</si>
  <si>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</si>
  <si>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</si>
  <si>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</si>
  <si>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</si>
  <si>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</si>
  <si>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</si>
  <si>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</si>
  <si>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</si>
  <si>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</si>
  <si>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</si>
  <si>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</si>
  <si>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</si>
  <si>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</si>
  <si>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</si>
  <si>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</si>
  <si>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</si>
  <si>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</si>
  <si>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</si>
  <si>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</si>
  <si>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</si>
  <si>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</si>
  <si>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</si>
  <si>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</si>
  <si>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</si>
  <si>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</si>
  <si>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</si>
  <si>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</si>
  <si>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</si>
  <si>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</si>
  <si>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</si>
  <si>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</si>
  <si>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</si>
  <si>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</si>
  <si>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</si>
  <si>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</si>
  <si>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</si>
  <si>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</si>
  <si>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</si>
  <si>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</si>
  <si>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</si>
  <si>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</si>
  <si>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</si>
  <si>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</si>
  <si>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</si>
  <si>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</si>
  <si>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</si>
  <si>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</si>
  <si>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</si>
  <si>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</si>
  <si>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</si>
  <si>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</si>
  <si>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</si>
  <si>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</si>
  <si>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</si>
  <si>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</si>
  <si>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</si>
  <si>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</si>
  <si>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</si>
  <si>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</si>
  <si>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</si>
  <si>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</si>
  <si>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</si>
  <si>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</si>
  <si>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</si>
  <si>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</si>
  <si>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</si>
  <si>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</si>
  <si>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</si>
  <si>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</si>
  <si>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</si>
  <si>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</si>
  <si>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</si>
  <si>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</si>
  <si>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</si>
  <si>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</si>
  <si>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</si>
  <si>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</si>
  <si>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</si>
  <si>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</si>
  <si>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</si>
  <si>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</si>
  <si>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</si>
  <si>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</si>
  <si>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</si>
  <si>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</si>
  <si>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</si>
  <si>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</si>
  <si>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</si>
  <si>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</si>
  <si>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G000001018</t>
  </si>
  <si>
    <t>G000000944</t>
  </si>
  <si>
    <t>FR7391800</t>
  </si>
  <si>
    <t>Changes were saved for change request 25432822</t>
  </si>
  <si>
    <t>D30011900000000</t>
  </si>
  <si>
    <t>FR7396570</t>
  </si>
  <si>
    <t xml:space="preserve">CLFF_1000$$$DE10594600 </t>
  </si>
  <si>
    <t xml:space="preserve">CLFF_1000$$$DE10629410 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</si>
  <si>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</si>
  <si>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</si>
  <si>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</si>
  <si>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</si>
  <si>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</si>
  <si>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</si>
  <si>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</si>
  <si>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</si>
  <si>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</si>
  <si>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</si>
  <si>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</si>
  <si>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</si>
  <si>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</si>
  <si>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</si>
  <si>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CO not part of TM1 CO dimension</t>
  </si>
  <si>
    <t>FR7403248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</si>
</sst>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9.926861458334" createdVersion="7" refreshedVersion="8" minRefreshableVersion="3" recordCount="2265" xr:uid="{11839AE3-6158-4318-87AD-2C711D0BF451}">
  <cacheSource type="worksheet">
    <worksheetSource name="Proc"/>
  </cacheSource>
  <cacheFields count="19">
    <cacheField name="App" numFmtId="0">
      <sharedItems containsBlank="1" count="143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11T11:32:35"/>
    </cacheField>
    <cacheField name="DateMapped" numFmtId="14">
      <sharedItems containsNonDate="0" containsDate="1" containsString="0" containsBlank="1" minDate="2023-09-01T00:00:00" maxDate="2025-06-12T00:00:00"/>
    </cacheField>
    <cacheField name="DateClosed" numFmtId="14">
      <sharedItems containsNonDate="0" containsDate="1" containsString="0" containsBlank="1" minDate="2023-09-06T00:00:00" maxDate="2025-06-12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2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6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23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94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91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91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91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91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91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91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91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91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91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91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91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91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91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91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91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91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91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91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91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91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91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91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91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91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91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91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91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91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91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91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91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91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91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91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91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91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91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91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91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91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91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90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90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90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90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90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8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8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8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8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8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8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8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8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8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8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8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82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82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82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81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81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81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81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81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6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6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6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71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71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71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71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71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71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71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71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7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7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7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2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61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61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61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7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7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6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6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21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21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21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21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21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21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21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21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21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21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21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21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21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21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21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21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21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21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21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21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8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8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8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8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7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7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7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7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7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7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7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7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7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7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6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6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6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6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6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6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6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6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6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6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12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12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12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12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12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12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71"/>
    <s v="Non-LFF"/>
    <s v=""/>
    <m/>
    <b v="0"/>
    <x v="1"/>
    <x v="3"/>
    <d v="2025-06-03T11:02:55"/>
    <m/>
    <m/>
    <x v="1"/>
    <n v="6"/>
    <s v="Gay Geanuza del Mundo"/>
    <m/>
  </r>
  <r>
    <x v="249"/>
    <x v="0"/>
    <x v="2"/>
    <s v="CSCALA_1042$EDP_P52"/>
    <s v="G000000635 "/>
    <m/>
    <s v="Non-LFF"/>
    <s v=""/>
    <m/>
    <b v="0"/>
    <x v="0"/>
    <x v="3"/>
    <d v="2025-06-03T11:02:55"/>
    <m/>
    <m/>
    <x v="1"/>
    <n v="6"/>
    <s v="Jojeff Tagnong"/>
    <m/>
  </r>
  <r>
    <x v="250"/>
    <x v="0"/>
    <x v="2"/>
    <s v="PNEXT_D300119210201000000"/>
    <s v="L000011451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m/>
    <s v="Non-LFF"/>
    <s v=""/>
    <m/>
    <b v="0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m/>
    <s v="Non-LFF"/>
    <s v=""/>
    <m/>
    <b v="0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527"/>
    <s v="LFF (MDG-F)"/>
    <s v="DE2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79"/>
    <s v="LFF (MDG-F)"/>
    <s v="DE1053835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8"/>
    <s v="LFF (MDG-F)"/>
    <s v="DE1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8"/>
    <s v="LFF (MDG-F)"/>
    <s v="DE1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8"/>
    <s v="LFF (MDG-F)"/>
    <s v="DE1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4"/>
    <s v="LFF (MDG-F)"/>
    <s v="DE20538602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4"/>
    <s v="LFF (MDG-F)"/>
    <s v="DE20538603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4"/>
    <s v="LFF (MDG-F)"/>
    <s v="DE20538604"/>
    <s v="Changes were saved for change request 25432822"/>
    <b v="0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4"/>
    <x v="1"/>
    <x v="6"/>
    <s v="CLFF_1000$$$DE10594600 "/>
    <s v="G000000763"/>
    <m/>
    <s v="LFF (MDG-F)"/>
    <s v="DE10594600"/>
    <m/>
    <b v="0"/>
    <x v="0"/>
    <x v="3"/>
    <d v="2025-06-10T08:51:25"/>
    <m/>
    <m/>
    <x v="0"/>
    <n v="1"/>
    <s v="Jojeff Tagnong"/>
    <m/>
  </r>
  <r>
    <x v="254"/>
    <x v="1"/>
    <x v="6"/>
    <s v="CLFF_1000$$$DE10629410 "/>
    <s v="G000001281"/>
    <m/>
    <s v="LFF (MDG-F)"/>
    <s v="DE10629410"/>
    <m/>
    <b v="0"/>
    <x v="0"/>
    <x v="3"/>
    <d v="2025-06-10T08:51:25"/>
    <m/>
    <m/>
    <x v="0"/>
    <n v="1"/>
    <s v="Jojeff Tagnong"/>
    <m/>
  </r>
  <r>
    <x v="255"/>
    <x v="0"/>
    <x v="2"/>
    <s v="CNOW_7210$$$PC00011060"/>
    <s v="L000012168"/>
    <m/>
    <s v="Non-LFF"/>
    <s v=""/>
    <m/>
    <b v="0"/>
    <x v="2"/>
    <x v="3"/>
    <d v="2025-06-10T08:51:25"/>
    <d v="2025-06-11T00:00:00"/>
    <d v="2025-06-11T00:00:00"/>
    <x v="0"/>
    <n v="1"/>
    <s v="Ruby Grace Garcia"/>
    <m/>
  </r>
  <r>
    <x v="256"/>
    <x v="1"/>
    <x v="5"/>
    <s v="D00128400000000 OLED R&amp;D Transformation"/>
    <s v="P000001239"/>
    <s v="DFLTPGCOH Default - Unmapped Objects"/>
    <s v="Non-LFF"/>
    <s v=""/>
    <m/>
    <b v="0"/>
    <x v="3"/>
    <x v="3"/>
    <d v="2025-06-11T11:32:35"/>
    <m/>
    <m/>
    <x v="0"/>
    <n v="0"/>
    <s v="Roselle Delos Angeles"/>
    <m/>
  </r>
  <r>
    <x v="256"/>
    <x v="1"/>
    <x v="5"/>
    <s v="D00114300000000 LGD-OLED-Automotive-RDF DE"/>
    <s v="P000001232"/>
    <s v="DFLTPGCOH Default - Unmapped Objects"/>
    <s v="Non-LFF"/>
    <s v=""/>
    <m/>
    <b v="0"/>
    <x v="3"/>
    <x v="3"/>
    <d v="2025-06-11T11:32:35"/>
    <m/>
    <m/>
    <x v="0"/>
    <n v="0"/>
    <s v="Roselle Delos Angeles"/>
    <m/>
  </r>
  <r>
    <x v="256"/>
    <x v="1"/>
    <x v="5"/>
    <s v="D00128300000000 LGD-OLED-IT-RDH 2"/>
    <s v="P000001232"/>
    <s v="CO not part of TM1 CO dimension"/>
    <s v="Non-LFF"/>
    <s v=""/>
    <m/>
    <b v="0"/>
    <x v="3"/>
    <x v="3"/>
    <d v="2025-06-11T11:32:35"/>
    <m/>
    <m/>
    <x v="0"/>
    <n v="0"/>
    <s v="Roselle Delos Angeles"/>
    <m/>
  </r>
  <r>
    <x v="256"/>
    <x v="1"/>
    <x v="5"/>
    <s v="D00128700000000 GVO-OLED-mobile-VM11"/>
    <s v="P000001230"/>
    <s v="DFLTPGCOH Default - Unmapped Objects"/>
    <s v="Non-LFF"/>
    <s v=""/>
    <m/>
    <b v="0"/>
    <x v="3"/>
    <x v="3"/>
    <d v="2025-06-11T11:32:35"/>
    <m/>
    <m/>
    <x v="0"/>
    <n v="0"/>
    <s v="Roselle Delos Angeles"/>
    <m/>
  </r>
  <r>
    <x v="256"/>
    <x v="1"/>
    <x v="5"/>
    <s v="D00128800000000 GVO-OLED-mobile-VM11 DE"/>
    <s v="P000001230"/>
    <s v="DFLTPGCOH Default - Unmapped Objects"/>
    <s v="Non-LFF"/>
    <s v=""/>
    <m/>
    <b v="0"/>
    <x v="3"/>
    <x v="3"/>
    <d v="2025-06-11T11:32:35"/>
    <m/>
    <m/>
    <x v="0"/>
    <n v="0"/>
    <s v="Roselle Delos Angeles"/>
    <m/>
  </r>
  <r>
    <x v="256"/>
    <x v="1"/>
    <x v="5"/>
    <s v="D00128900000000 BOE-OLED-mobile-L12"/>
    <s v="P000001228"/>
    <s v="DFLTPGCOH Default - Unmapped Objects"/>
    <s v="Non-LFF"/>
    <s v=""/>
    <m/>
    <b v="0"/>
    <x v="3"/>
    <x v="3"/>
    <d v="2025-06-11T11:32:35"/>
    <m/>
    <m/>
    <x v="0"/>
    <n v="0"/>
    <s v="Roselle Delos Angeles"/>
    <m/>
  </r>
  <r>
    <x v="256"/>
    <x v="1"/>
    <x v="5"/>
    <s v="D00129000000000 BOE-OLED-mobile-L12 DE"/>
    <s v="P000001228"/>
    <s v="DFLTPGCOH Default - Unmapped Objects"/>
    <s v="Non-LFF"/>
    <s v=""/>
    <m/>
    <b v="0"/>
    <x v="3"/>
    <x v="3"/>
    <d v="2025-06-11T11:32:35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m="1"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0" firstHeaderRow="1" firstDataRow="1" firstDataCol="1" rowPageCount="1" colPageCount="1"/>
  <pivotFields count="19">
    <pivotField axis="axisRow" showAll="0" sortType="ascending">
      <items count="1439">
        <item m="1" x="823"/>
        <item x="0"/>
        <item m="1" x="893"/>
        <item m="1" x="1314"/>
        <item m="1" x="476"/>
        <item m="1" x="1331"/>
        <item m="1" x="853"/>
        <item m="1" x="943"/>
        <item m="1" x="1364"/>
        <item m="1" x="1158"/>
        <item m="1" x="846"/>
        <item m="1" x="1430"/>
        <item m="1" x="1176"/>
        <item m="1" x="1420"/>
        <item m="1" x="794"/>
        <item m="1" x="695"/>
        <item m="1" x="399"/>
        <item m="1" x="660"/>
        <item m="1" x="1384"/>
        <item m="1" x="452"/>
        <item m="1" x="760"/>
        <item m="1" x="1128"/>
        <item m="1" x="843"/>
        <item m="1" x="936"/>
        <item m="1" x="1232"/>
        <item m="1" x="1417"/>
        <item m="1" x="878"/>
        <item m="1" x="900"/>
        <item m="1" x="665"/>
        <item m="1" x="1066"/>
        <item m="1" x="825"/>
        <item m="1" x="1371"/>
        <item m="1" x="1028"/>
        <item m="1" x="461"/>
        <item m="1" x="569"/>
        <item m="1" x="1356"/>
        <item m="1" x="1120"/>
        <item m="1" x="374"/>
        <item m="1" x="1206"/>
        <item m="1" x="872"/>
        <item m="1" x="1167"/>
        <item m="1" x="753"/>
        <item m="1" x="1105"/>
        <item m="1" x="364"/>
        <item m="1" x="394"/>
        <item m="1" x="1433"/>
        <item m="1" x="1112"/>
        <item m="1" x="1180"/>
        <item m="1" x="1287"/>
        <item m="1" x="1056"/>
        <item m="1" x="1154"/>
        <item m="1" x="993"/>
        <item m="1" x="448"/>
        <item m="1" x="639"/>
        <item m="1" x="1415"/>
        <item m="1" x="983"/>
        <item m="1" x="1123"/>
        <item m="1" x="651"/>
        <item m="1" x="612"/>
        <item m="1" x="904"/>
        <item m="1" x="796"/>
        <item m="1" x="829"/>
        <item m="1" x="388"/>
        <item m="1" x="527"/>
        <item m="1" x="1189"/>
        <item m="1" x="1406"/>
        <item m="1" x="592"/>
        <item m="1" x="997"/>
        <item m="1" x="1007"/>
        <item m="1" x="1184"/>
        <item m="1" x="1294"/>
        <item m="1" x="1172"/>
        <item m="1" x="467"/>
        <item m="1" x="1315"/>
        <item m="1" x="1045"/>
        <item m="1" x="1032"/>
        <item m="1" x="567"/>
        <item m="1" x="920"/>
        <item m="1" x="1267"/>
        <item m="1" x="385"/>
        <item m="1" x="964"/>
        <item m="1" x="1317"/>
        <item m="1" x="1155"/>
        <item m="1" x="890"/>
        <item m="1" x="932"/>
        <item m="1" x="813"/>
        <item m="1" x="1048"/>
        <item m="1" x="860"/>
        <item m="1" x="1092"/>
        <item m="1" x="576"/>
        <item m="1" x="1405"/>
        <item m="1" x="930"/>
        <item m="1" x="1216"/>
        <item m="1" x="293"/>
        <item m="1" x="1421"/>
        <item m="1" x="957"/>
        <item m="1" x="1246"/>
        <item m="1" x="1159"/>
        <item m="1" x="937"/>
        <item m="1" x="447"/>
        <item m="1" x="454"/>
        <item m="1" x="494"/>
        <item m="1" x="676"/>
        <item m="1" x="1100"/>
        <item m="1" x="861"/>
        <item m="1" x="977"/>
        <item m="1" x="1040"/>
        <item m="1" x="1187"/>
        <item m="1" x="1270"/>
        <item m="1" x="832"/>
        <item m="1" x="553"/>
        <item m="1" x="396"/>
        <item m="1" x="539"/>
        <item m="1" x="1414"/>
        <item m="1" x="571"/>
        <item m="1" x="1252"/>
        <item m="1" x="1181"/>
        <item m="1" x="799"/>
        <item m="1" x="871"/>
        <item m="1" x="737"/>
        <item m="1" x="994"/>
        <item m="1" x="1369"/>
        <item m="1" x="545"/>
        <item m="1" x="493"/>
        <item m="1" x="428"/>
        <item m="1" x="1094"/>
        <item m="1" x="1354"/>
        <item m="1" x="1282"/>
        <item m="1" x="939"/>
        <item m="1" x="463"/>
        <item m="1" x="1188"/>
        <item m="1" x="640"/>
        <item m="1" x="894"/>
        <item m="1" x="1069"/>
        <item m="1" x="1177"/>
        <item m="1" x="297"/>
        <item m="1" x="1126"/>
        <item m="1" x="1089"/>
        <item m="1" x="530"/>
        <item m="1" x="978"/>
        <item m="1" x="866"/>
        <item m="1" x="819"/>
        <item m="1" x="552"/>
        <item m="1" x="488"/>
        <item m="1" x="728"/>
        <item m="1" x="915"/>
        <item m="1" x="322"/>
        <item m="1" x="661"/>
        <item m="1" x="520"/>
        <item m="1" x="262"/>
        <item m="1" x="772"/>
        <item m="1" x="973"/>
        <item m="1" x="855"/>
        <item m="1" x="901"/>
        <item m="1" x="1220"/>
        <item m="1" x="802"/>
        <item m="1" x="1328"/>
        <item m="1" x="1052"/>
        <item m="1" x="991"/>
        <item m="1" x="505"/>
        <item m="1" x="1138"/>
        <item m="1" x="1416"/>
        <item m="1" x="1104"/>
        <item m="1" x="1088"/>
        <item m="1" x="375"/>
        <item m="1" x="423"/>
        <item m="1" x="958"/>
        <item m="1" x="464"/>
        <item m="1" x="1401"/>
        <item m="1" x="1067"/>
        <item m="1" x="992"/>
        <item m="1" x="944"/>
        <item m="1" x="745"/>
        <item m="1" x="373"/>
        <item m="1" x="473"/>
        <item m="1" x="579"/>
        <item m="1" x="1312"/>
        <item m="1" x="1344"/>
        <item m="1" x="1043"/>
        <item m="1" x="770"/>
        <item m="1" x="858"/>
        <item m="1" x="368"/>
        <item m="1" x="408"/>
        <item m="1" x="747"/>
        <item m="1" x="972"/>
        <item m="1" x="885"/>
        <item m="1" x="543"/>
        <item m="1" x="776"/>
        <item m="1" x="490"/>
        <item m="1" x="685"/>
        <item m="1" x="607"/>
        <item m="1" x="442"/>
        <item m="1" x="578"/>
        <item m="1" x="948"/>
        <item m="1" x="358"/>
        <item m="1" x="597"/>
        <item m="1" x="389"/>
        <item m="1" x="1082"/>
        <item m="1" x="1271"/>
        <item m="1" x="881"/>
        <item m="1" x="525"/>
        <item m="1" x="1175"/>
        <item m="1" x="1020"/>
        <item m="1" x="537"/>
        <item m="1" x="538"/>
        <item m="1" x="723"/>
        <item m="1" x="413"/>
        <item m="1" x="602"/>
        <item m="1" x="397"/>
        <item m="1" x="583"/>
        <item m="1" x="1151"/>
        <item m="1" x="662"/>
        <item m="1" x="1029"/>
        <item m="1" x="1079"/>
        <item m="1" x="1213"/>
        <item m="1" x="1217"/>
        <item m="1" x="934"/>
        <item m="1" x="775"/>
        <item m="1" x="814"/>
        <item m="1" x="1381"/>
        <item m="1" x="674"/>
        <item m="1" x="486"/>
        <item m="1" x="864"/>
        <item m="1" x="321"/>
        <item m="1" x="1385"/>
        <item m="1" x="848"/>
        <item m="1" x="282"/>
        <item m="1" x="1303"/>
        <item m="1" x="1346"/>
        <item m="1" x="1183"/>
        <item m="1" x="560"/>
        <item m="1" x="299"/>
        <item m="1" x="1233"/>
        <item m="1" x="624"/>
        <item m="1" x="260"/>
        <item m="1" x="1404"/>
        <item m="1" x="648"/>
        <item m="1" x="803"/>
        <item m="1" x="1248"/>
        <item m="1" x="335"/>
        <item m="1" x="1160"/>
        <item m="1" x="968"/>
        <item m="1" x="833"/>
        <item m="1" x="703"/>
        <item m="1" x="450"/>
        <item m="1" x="951"/>
        <item m="1" x="653"/>
        <item m="1" x="1191"/>
        <item m="1" x="513"/>
        <item m="1" x="1261"/>
        <item m="1" x="1268"/>
        <item m="1" x="952"/>
        <item m="1" x="1142"/>
        <item m="1" x="559"/>
        <item m="1" x="856"/>
        <item m="1" x="1145"/>
        <item m="1" x="729"/>
        <item m="1" x="1019"/>
        <item m="1" x="658"/>
        <item m="1" x="443"/>
        <item m="1" x="647"/>
        <item m="1" x="1413"/>
        <item m="1" x="1355"/>
        <item m="1" x="500"/>
        <item m="1" x="1301"/>
        <item m="1" x="307"/>
        <item m="1" x="1323"/>
        <item m="1" x="342"/>
        <item m="1" x="644"/>
        <item m="1" x="742"/>
        <item m="1" x="689"/>
        <item m="1" x="1296"/>
        <item m="1" x="1199"/>
        <item m="1" x="440"/>
        <item m="1" x="1010"/>
        <item m="1" x="1218"/>
        <item m="1" x="1352"/>
        <item m="1" x="1259"/>
        <item m="1" x="345"/>
        <item m="1" x="1425"/>
        <item m="1" x="496"/>
        <item m="1" x="777"/>
        <item m="1" x="1221"/>
        <item m="1" x="344"/>
        <item m="1" x="1280"/>
        <item m="1" x="509"/>
        <item m="1" x="1153"/>
        <item m="1" x="1017"/>
        <item m="1" x="995"/>
        <item m="1" x="574"/>
        <item m="1" x="536"/>
        <item m="1" x="1348"/>
        <item m="1" x="289"/>
        <item m="1" x="471"/>
        <item m="1" x="1130"/>
        <item m="1" x="1241"/>
        <item m="1" x="1168"/>
        <item m="1" x="1372"/>
        <item m="1" x="876"/>
        <item m="1" x="503"/>
        <item m="1" x="623"/>
        <item m="1" x="942"/>
        <item m="1" x="684"/>
        <item m="1" x="1012"/>
        <item m="1" x="625"/>
        <item m="1" x="427"/>
        <item m="1" x="1080"/>
        <item m="1" x="482"/>
        <item m="1" x="362"/>
        <item m="1" x="1214"/>
        <item m="1" x="1361"/>
        <item m="1" x="1062"/>
        <item m="1" x="327"/>
        <item m="1" x="1253"/>
        <item m="1" x="1051"/>
        <item m="1" x="1161"/>
        <item m="1" x="1300"/>
        <item m="1" x="528"/>
        <item m="1" x="720"/>
        <item m="1" x="558"/>
        <item m="1" x="826"/>
        <item m="1" x="750"/>
        <item m="1" x="780"/>
        <item m="1" x="1316"/>
        <item m="1" x="762"/>
        <item m="1" x="965"/>
        <item m="1" x="497"/>
        <item m="1" x="696"/>
        <item m="1" x="670"/>
        <item m="1" x="1013"/>
        <item m="1" x="916"/>
        <item m="1" x="1144"/>
        <item m="1" x="666"/>
        <item m="1" x="1302"/>
        <item m="1" x="504"/>
        <item m="1" x="430"/>
        <item m="1" x="686"/>
        <item m="1" x="1227"/>
        <item m="1" x="337"/>
        <item m="1" x="338"/>
        <item m="1" x="634"/>
        <item m="1" x="1307"/>
        <item m="1" x="701"/>
        <item m="1" x="346"/>
        <item m="1" x="506"/>
        <item m="1" x="748"/>
        <item m="1" x="1059"/>
        <item m="1" x="1031"/>
        <item m="1" x="702"/>
        <item m="1" x="283"/>
        <item m="1" x="421"/>
        <item m="1" x="633"/>
        <item m="1" x="521"/>
        <item m="1" x="278"/>
        <item m="1" x="1231"/>
        <item m="1" x="1360"/>
        <item m="1" x="830"/>
        <item m="1" x="1260"/>
        <item m="1" x="1320"/>
        <item m="1" x="343"/>
        <item m="1" x="1358"/>
        <item m="1" x="1096"/>
        <item m="1" x="519"/>
        <item m="1" x="705"/>
        <item m="1" x="609"/>
        <item m="1" x="971"/>
        <item m="1" x="542"/>
        <item m="1" x="758"/>
        <item m="1" x="1053"/>
        <item m="1" x="1178"/>
        <item m="1" x="681"/>
        <item m="1" x="809"/>
        <item m="1" x="621"/>
        <item m="1" x="547"/>
        <item m="1" x="1058"/>
        <item m="1" x="1173"/>
        <item m="1" x="1335"/>
        <item m="1" x="377"/>
        <item m="1" x="581"/>
        <item m="1" x="1021"/>
        <item m="1" x="422"/>
        <item m="1" x="709"/>
        <item m="1" x="1090"/>
        <item m="1" x="355"/>
        <item m="1" x="565"/>
        <item m="1" x="675"/>
        <item m="1" x="1281"/>
        <item m="1" x="514"/>
        <item m="1" x="784"/>
        <item m="1" x="1337"/>
        <item m="1" x="465"/>
        <item m="1" x="654"/>
        <item m="1" x="842"/>
        <item m="1" x="1179"/>
        <item m="1" x="477"/>
        <item m="1" x="733"/>
        <item m="1" x="575"/>
        <item m="1" x="1071"/>
        <item m="1" x="1257"/>
        <item m="1" x="383"/>
        <item m="1" x="603"/>
        <item m="1" x="1339"/>
        <item m="1" x="1304"/>
        <item m="1" x="404"/>
        <item m="1" x="721"/>
        <item m="1" x="1245"/>
        <item m="1" x="1376"/>
        <item m="1" x="1247"/>
        <item m="1" x="1222"/>
        <item m="1" x="353"/>
        <item m="1" x="529"/>
        <item m="1" x="611"/>
        <item m="1" x="600"/>
        <item m="1" x="827"/>
        <item m="1" x="315"/>
        <item m="1" x="1014"/>
        <item m="1" x="1085"/>
        <item m="1" x="267"/>
        <item m="1" x="1345"/>
        <item m="1" x="1207"/>
        <item m="1" x="1336"/>
        <item m="1" x="1366"/>
        <item m="1" x="1402"/>
        <item m="1" x="1340"/>
        <item m="1" x="704"/>
        <item m="1" x="1064"/>
        <item m="1" x="671"/>
        <item m="1" x="1077"/>
        <item m="1" x="1042"/>
        <item m="1" x="480"/>
        <item m="1" x="518"/>
        <item m="1" x="656"/>
        <item m="1" x="1121"/>
        <item m="1" x="641"/>
        <item m="1" x="387"/>
        <item m="1" x="1386"/>
        <item m="1" x="1136"/>
        <item m="1" x="969"/>
        <item m="1" x="1001"/>
        <item m="1" x="1050"/>
        <item m="1" x="475"/>
        <item m="1" x="817"/>
        <item m="1" x="1162"/>
        <item m="1" x="313"/>
        <item m="1" x="556"/>
        <item m="1" x="456"/>
        <item m="1" x="453"/>
        <item m="1" x="457"/>
        <item m="1" x="258"/>
        <item m="1" x="479"/>
        <item m="1" x="1276"/>
        <item m="1" x="280"/>
        <item m="1" x="926"/>
        <item m="1" x="1363"/>
        <item m="1" x="1174"/>
        <item m="1" x="434"/>
        <item m="1" x="1434"/>
        <item m="1" x="363"/>
        <item m="1" x="730"/>
        <item m="1" x="953"/>
        <item m="1" x="409"/>
        <item m="1" x="862"/>
        <item m="1" x="1022"/>
        <item m="1" x="1290"/>
        <item m="1" x="1192"/>
        <item m="1" x="271"/>
        <item m="1" x="954"/>
        <item m="1" x="354"/>
        <item m="1" x="590"/>
        <item m="1" x="562"/>
        <item m="1" x="324"/>
        <item m="1" x="917"/>
        <item m="1" x="924"/>
        <item m="1" x="1024"/>
        <item m="1" x="773"/>
        <item m="1" x="1273"/>
        <item m="1" x="682"/>
        <item m="1" x="1392"/>
        <item m="1" x="1027"/>
        <item m="1" x="918"/>
        <item m="1" x="582"/>
        <item m="1" x="990"/>
        <item m="1" x="1288"/>
        <item m="1" x="1353"/>
        <item m="1" x="1332"/>
        <item m="1" x="1262"/>
        <item m="1" x="1011"/>
        <item m="1" x="1124"/>
        <item m="1" x="637"/>
        <item m="1" x="1086"/>
        <item m="1" x="911"/>
        <item m="1" x="870"/>
        <item m="1" x="868"/>
        <item m="1" x="869"/>
        <item m="1" x="566"/>
        <item m="1" x="610"/>
        <item m="1" x="1223"/>
        <item m="1" x="788"/>
        <item m="1" x="630"/>
        <item m="1" x="672"/>
        <item m="1" x="718"/>
        <item m="1" x="970"/>
        <item m="1" x="1308"/>
        <item m="1" x="1397"/>
        <item m="1" x="515"/>
        <item m="1" x="466"/>
        <item m="1" x="303"/>
        <item m="1" x="325"/>
        <item m="1" x="622"/>
        <item m="1" x="410"/>
        <item m="1" x="738"/>
        <item m="1" x="1274"/>
        <item m="1" x="615"/>
        <item m="1" x="407"/>
        <item m="1" x="1166"/>
        <item m="1" x="284"/>
        <item m="1" x="1292"/>
        <item m="1" x="1367"/>
        <item m="1" x="1431"/>
        <item m="1" x="1306"/>
        <item m="1" x="549"/>
        <item m="1" x="326"/>
        <item m="1" x="790"/>
        <item m="1" x="874"/>
        <item m="1" x="1070"/>
        <item m="1" x="1038"/>
        <item m="1" x="1074"/>
        <item m="1" x="851"/>
        <item m="1" x="889"/>
        <item m="1" x="1330"/>
        <item m="1" x="1093"/>
        <item m="1" x="1063"/>
        <item m="1" x="1002"/>
        <item m="1" x="1075"/>
        <item m="1" x="276"/>
        <item m="1" x="281"/>
        <item m="1" x="884"/>
        <item m="1" x="1269"/>
        <item m="1" x="839"/>
        <item m="1" x="1409"/>
        <item m="1" x="808"/>
        <item m="1" x="984"/>
        <item m="1" x="1055"/>
        <item m="1" x="669"/>
        <item m="1" x="501"/>
        <item m="1" x="877"/>
        <item m="1" x="563"/>
        <item m="1" x="1418"/>
        <item m="1" x="1333"/>
        <item m="1" x="1146"/>
        <item m="1" x="403"/>
        <item m="1" x="330"/>
        <item m="1" x="903"/>
        <item m="1" x="1147"/>
        <item m="1" x="1436"/>
        <item m="1" x="782"/>
        <item m="1" x="1383"/>
        <item m="1" x="317"/>
        <item m="1" x="431"/>
        <item m="1" x="743"/>
        <item m="1" x="834"/>
        <item m="1" x="1263"/>
        <item m="1" x="587"/>
        <item m="1" x="1266"/>
        <item m="1" x="683"/>
        <item m="1" x="1255"/>
        <item m="1" x="1419"/>
        <item m="1" x="347"/>
        <item m="1" x="1403"/>
        <item m="1" x="294"/>
        <item m="1" x="1156"/>
        <item m="1" x="774"/>
        <item m="1" x="605"/>
        <item m="1" x="568"/>
        <item m="1" x="712"/>
        <item m="1" x="311"/>
        <item m="1" x="1396"/>
        <item m="1" x="395"/>
        <item m="1" x="416"/>
        <item m="1" x="1289"/>
        <item m="1" x="1368"/>
        <item m="1" x="882"/>
        <item m="1" x="1023"/>
        <item m="1" x="724"/>
        <item m="1" x="837"/>
        <item m="1" x="986"/>
        <item m="1" x="1103"/>
        <item m="1" x="690"/>
        <item m="1" x="966"/>
        <item m="1" x="785"/>
        <item m="1" x="1422"/>
        <item m="1" x="275"/>
        <item m="1" x="714"/>
        <item m="1" x="655"/>
        <item m="1" x="616"/>
        <item m="1" x="1410"/>
        <item m="1" x="1228"/>
        <item m="1" x="1359"/>
        <item m="1" x="372"/>
        <item m="1" x="1370"/>
        <item m="1" x="1357"/>
        <item m="1" x="1234"/>
        <item m="1" x="469"/>
        <item m="1" x="838"/>
        <item m="1" x="931"/>
        <item m="1" x="677"/>
        <item m="1" x="1275"/>
        <item m="1" x="1061"/>
        <item m="1" x="1081"/>
        <item m="1" x="975"/>
        <item m="1" x="318"/>
        <item m="1" x="1148"/>
        <item m="1" x="1310"/>
        <item m="1" x="715"/>
        <item m="1" x="1429"/>
        <item m="1" x="923"/>
        <item m="1" x="510"/>
        <item m="1" x="643"/>
        <item m="1" x="679"/>
        <item m="1" x="1338"/>
        <item m="1" x="1322"/>
        <item m="1" x="382"/>
        <item m="1" x="384"/>
        <item m="1" x="298"/>
        <item m="1" x="1258"/>
        <item m="1" x="300"/>
        <item m="1" x="717"/>
        <item m="1" x="617"/>
        <item m="1" x="1073"/>
        <item m="1" x="1016"/>
        <item m="1" x="1365"/>
        <item m="1" x="1297"/>
        <item m="1" x="789"/>
        <item m="1" x="1003"/>
        <item m="1" x="1238"/>
        <item m="1" x="351"/>
        <item m="1" x="783"/>
        <item m="1" x="713"/>
        <item m="1" x="1407"/>
        <item m="1" x="1374"/>
        <item m="1" x="805"/>
        <item m="1" x="411"/>
        <item m="1" x="706"/>
        <item m="1" x="879"/>
        <item m="1" x="333"/>
        <item m="1" x="1169"/>
        <item m="1" x="763"/>
        <item m="1" x="573"/>
        <item m="1" x="667"/>
        <item m="1" x="1113"/>
        <item m="1" x="1412"/>
        <item m="1" x="491"/>
        <item m="1" x="1264"/>
        <item m="1" x="485"/>
        <item m="1" x="1049"/>
        <item m="1" x="821"/>
        <item m="1" x="752"/>
        <item m="1" x="474"/>
        <item m="1" x="541"/>
        <item m="1" x="329"/>
        <item m="1" x="1129"/>
        <item m="1" x="642"/>
        <item m="1" x="366"/>
        <item m="1" x="980"/>
        <item m="1" x="1295"/>
        <item m="1" x="835"/>
        <item m="1" x="793"/>
        <item m="1" x="264"/>
        <item m="1" x="1400"/>
        <item m="1" x="650"/>
        <item m="1" x="710"/>
        <item m="1" x="1117"/>
        <item m="1" x="1394"/>
        <item m="1" x="1319"/>
        <item m="1" x="1170"/>
        <item m="1" x="1285"/>
        <item m="1" x="446"/>
        <item m="1" x="645"/>
        <item m="1" x="478"/>
        <item m="1" x="270"/>
        <item m="1" x="883"/>
        <item m="1" x="332"/>
        <item m="1" x="554"/>
        <item m="1" x="498"/>
        <item m="1" x="444"/>
        <item m="1" x="1399"/>
        <item m="1" x="495"/>
        <item m="1" x="1097"/>
        <item m="1" x="1309"/>
        <item m="1" x="435"/>
        <item m="1" x="339"/>
        <item m="1" x="1132"/>
        <item m="1" x="1108"/>
        <item m="1" x="1149"/>
        <item m="1" x="1068"/>
        <item m="1" x="412"/>
        <item m="1" x="768"/>
        <item m="1" x="1036"/>
        <item m="1" x="1286"/>
        <item m="1" x="880"/>
        <item m="1" x="998"/>
        <item m="1" x="1342"/>
        <item m="1" x="754"/>
        <item m="1" x="598"/>
        <item m="1" x="831"/>
        <item m="1" x="778"/>
        <item m="1" x="708"/>
        <item m="1" x="1225"/>
        <item m="1" x="912"/>
        <item m="1" x="1008"/>
        <item m="1" x="259"/>
        <item m="1" x="804"/>
        <item m="1" x="406"/>
        <item m="1" x="673"/>
        <item m="1" x="811"/>
        <item m="1" x="341"/>
        <item m="1" x="458"/>
        <item m="1" x="913"/>
        <item m="1" x="1110"/>
        <item m="1" x="1380"/>
        <item m="1" x="1423"/>
        <item m="1" x="1033"/>
        <item m="1" x="381"/>
        <item m="1" x="309"/>
        <item m="1" x="895"/>
        <item m="1" x="517"/>
        <item m="1" x="791"/>
        <item m="1" x="419"/>
        <item m="1" x="522"/>
        <item m="1" x="949"/>
        <item m="1" x="1305"/>
        <item m="1" x="1236"/>
        <item m="1" x="652"/>
        <item m="1" x="687"/>
        <item m="1" x="963"/>
        <item m="1" x="1393"/>
        <item m="1" x="1119"/>
        <item m="1" x="285"/>
        <item m="1" x="1347"/>
        <item m="1" x="393"/>
        <item m="1" x="1039"/>
        <item m="1" x="1084"/>
        <item m="1" x="1087"/>
        <item m="1" x="1427"/>
        <item m="1" x="320"/>
        <item m="1" x="1098"/>
        <item m="1" x="1195"/>
        <item m="1" x="967"/>
        <item m="1" x="1137"/>
        <item m="1" x="379"/>
        <item m="1" x="771"/>
        <item m="1" x="618"/>
        <item m="1" x="1230"/>
        <item m="1" x="1325"/>
        <item m="1" x="854"/>
        <item m="1" x="1293"/>
        <item m="1" x="1341"/>
        <item m="1" x="694"/>
        <item m="1" x="1197"/>
        <item m="1" x="1060"/>
        <item m="1" x="1343"/>
        <item m="1" x="1387"/>
        <item m="1" x="1125"/>
        <item m="1" x="735"/>
        <item m="1" x="540"/>
        <item m="1" x="1375"/>
        <item m="1" x="922"/>
        <item m="1" x="896"/>
        <item m="1" x="905"/>
        <item m="1" x="1426"/>
        <item m="1" x="1150"/>
        <item m="1" x="845"/>
        <item m="1" x="1114"/>
        <item m="1" x="1091"/>
        <item m="1" x="707"/>
        <item m="1" x="608"/>
        <item m="1" x="1107"/>
        <item m="1" x="502"/>
        <item m="1" x="459"/>
        <item m="1" x="401"/>
        <item m="1" x="1388"/>
        <item m="1" x="1004"/>
        <item m="1" x="739"/>
        <item m="1" x="820"/>
        <item m="1" x="301"/>
        <item m="1" x="1377"/>
        <item m="1" x="928"/>
        <item m="1" x="1076"/>
        <item m="1" x="524"/>
        <item m="1" x="1208"/>
        <item m="1" x="711"/>
        <item m="1" x="604"/>
        <item m="1" x="1432"/>
        <item m="1" x="734"/>
        <item m="1" x="1373"/>
        <item m="1" x="959"/>
        <item m="1" x="635"/>
        <item m="1" x="426"/>
        <item m="1" x="369"/>
        <item m="1" x="663"/>
        <item m="1" x="360"/>
        <item m="1" x="331"/>
        <item m="1" x="348"/>
        <item m="1" x="627"/>
        <item m="1" x="472"/>
        <item m="1" x="779"/>
        <item m="1" x="836"/>
        <item m="1" x="935"/>
        <item m="1" x="806"/>
        <item m="1" x="1139"/>
        <item m="1" x="1203"/>
        <item m="1" x="415"/>
        <item m="1" x="425"/>
        <item m="1" x="614"/>
        <item m="1" x="756"/>
        <item m="1" x="546"/>
        <item m="1" x="1099"/>
        <item m="1" x="849"/>
        <item m="1" x="766"/>
        <item m="1" x="899"/>
        <item m="1" x="1205"/>
        <item m="1" x="1143"/>
        <item m="1" x="1229"/>
        <item m="1" x="985"/>
        <item m="1" x="405"/>
        <item m="1" x="1411"/>
        <item m="1" x="824"/>
        <item m="1" x="439"/>
        <item m="1" x="263"/>
        <item m="1" x="1408"/>
        <item m="1" x="892"/>
        <item m="1" x="859"/>
        <item m="1" x="631"/>
        <item m="1" x="511"/>
        <item m="1" x="595"/>
        <item m="1" x="749"/>
        <item m="1" x="1324"/>
        <item m="1" x="1243"/>
        <item m="1" x="619"/>
        <item m="1" x="692"/>
        <item m="1" x="699"/>
        <item m="1" x="1237"/>
        <item m="1" x="840"/>
        <item m="1" x="312"/>
        <item m="1" x="873"/>
        <item m="1" x="1152"/>
        <item m="1" x="1278"/>
        <item m="1" x="1171"/>
        <item m="1" x="979"/>
        <item m="1" x="1277"/>
        <item m="1" x="291"/>
        <item m="1" x="1194"/>
        <item m="1" x="273"/>
        <item m="1" x="613"/>
        <item m="1" x="277"/>
        <item m="1" x="436"/>
        <item m="1" x="526"/>
        <item m="1" x="532"/>
        <item m="1" x="950"/>
        <item m="1" x="1204"/>
        <item m="1" x="731"/>
        <item m="1" x="302"/>
        <item m="1" x="508"/>
        <item m="1" x="296"/>
        <item m="1" x="1291"/>
        <item m="1" x="516"/>
        <item m="1" x="852"/>
        <item m="1" x="1311"/>
        <item m="1" x="638"/>
        <item m="1" x="580"/>
        <item m="1" x="976"/>
        <item m="1" x="533"/>
        <item m="1" x="841"/>
        <item m="1" x="1135"/>
        <item m="1" x="274"/>
        <item m="1" x="787"/>
        <item m="1" x="906"/>
        <item m="1" x="398"/>
        <item m="1" x="740"/>
        <item m="1" x="875"/>
        <item m="1" x="626"/>
        <item m="1" x="664"/>
        <item m="1" x="391"/>
        <item m="1" x="797"/>
        <item m="1" x="261"/>
        <item m="1" x="933"/>
        <item m="1" x="1326"/>
        <item m="1" x="1047"/>
        <item m="1" x="1041"/>
        <item m="1" x="940"/>
        <item m="1" x="266"/>
        <item m="1" x="1072"/>
        <item m="1" x="1115"/>
        <item m="1" x="921"/>
        <item m="1" x="265"/>
        <item m="1" x="1272"/>
        <item m="1" x="1239"/>
        <item m="1" x="269"/>
        <item m="1" x="548"/>
        <item m="1" x="938"/>
        <item m="1" x="1193"/>
        <item m="1" x="390"/>
        <item m="1" x="286"/>
        <item m="1" x="445"/>
        <item m="1" x="336"/>
        <item m="1" x="744"/>
        <item m="1" x="557"/>
        <item m="1" x="555"/>
        <item m="1" x="726"/>
        <item m="1" x="828"/>
        <item m="1" x="732"/>
        <item m="1" x="929"/>
        <item m="1" x="781"/>
        <item m="1" x="646"/>
        <item m="1" x="761"/>
        <item m="1" x="1254"/>
        <item m="1" x="1349"/>
        <item m="1" x="606"/>
        <item m="1" x="1329"/>
        <item m="1" x="371"/>
        <item m="1" x="1318"/>
        <item m="1" x="1015"/>
        <item m="1" x="1186"/>
        <item m="1" x="1265"/>
        <item m="1" x="945"/>
        <item m="1" x="1157"/>
        <item m="1" x="449"/>
        <item m="1" x="432"/>
        <item m="1" x="1054"/>
        <item m="1" x="1026"/>
        <item m="1" x="588"/>
        <item m="1" x="1424"/>
        <item m="1" x="996"/>
        <item m="1" x="736"/>
        <item m="1" x="810"/>
        <item m="1" x="769"/>
        <item m="1" x="1279"/>
        <item m="1" x="1283"/>
        <item m="1" x="279"/>
        <item m="1" x="1163"/>
        <item m="1" x="1209"/>
        <item m="1" x="328"/>
        <item m="1" x="700"/>
        <item m="1" x="691"/>
        <item m="1" x="1198"/>
        <item m="1" x="897"/>
        <item m="1" x="1101"/>
        <item m="1" x="767"/>
        <item m="1" x="1118"/>
        <item m="1" x="306"/>
        <item m="1" x="429"/>
        <item m="1" x="1398"/>
        <item m="1" x="1018"/>
        <item m="1" x="1390"/>
        <item m="1" x="310"/>
        <item m="1" x="570"/>
        <item m="1" x="386"/>
        <item m="1" x="319"/>
        <item m="1" x="334"/>
        <item m="1" x="886"/>
        <item m="1" x="919"/>
        <item m="1" x="591"/>
        <item m="1" x="1009"/>
        <item m="1" x="1327"/>
        <item m="1" x="678"/>
        <item m="1" x="757"/>
        <item m="1" x="907"/>
        <item m="1" x="1395"/>
        <item m="1" x="572"/>
        <item m="1" x="584"/>
        <item m="1" x="594"/>
        <item m="1" x="1215"/>
        <item m="1" x="1351"/>
        <item m="1" x="268"/>
        <item m="1" x="1095"/>
        <item m="1" x="1391"/>
        <item m="1" x="492"/>
        <item m="1" x="807"/>
        <item m="1" x="1428"/>
        <item m="1" x="1334"/>
        <item m="1" x="481"/>
        <item m="1" x="593"/>
        <item m="1" x="680"/>
        <item m="1" x="1005"/>
        <item m="1" x="1202"/>
        <item m="1" x="437"/>
        <item m="1" x="908"/>
        <item m="1" x="433"/>
        <item m="1" x="402"/>
        <item m="1" x="350"/>
        <item m="1" x="1321"/>
        <item m="1" x="914"/>
        <item m="1" x="1362"/>
        <item m="1" x="755"/>
        <item m="1" x="1379"/>
        <item m="1" x="1131"/>
        <item m="1" x="420"/>
        <item m="1" x="1235"/>
        <item m="1" x="1249"/>
        <item m="1" x="909"/>
        <item m="1" x="1284"/>
        <item m="1" x="1122"/>
        <item m="1" x="987"/>
        <item m="1" x="304"/>
        <item m="1" x="1133"/>
        <item m="1" x="865"/>
        <item m="1" x="798"/>
        <item m="1" x="1141"/>
        <item m="1" x="725"/>
        <item m="1" x="359"/>
        <item m="1" x="531"/>
        <item m="1" x="308"/>
        <item m="1" x="657"/>
        <item m="1" x="1035"/>
        <item m="1" x="620"/>
        <item m="1" x="483"/>
        <item m="1" x="698"/>
        <item m="1" x="376"/>
        <item m="1" x="628"/>
        <item m="1" x="499"/>
        <item m="1" x="850"/>
        <item m="1" x="1437"/>
        <item m="1" x="891"/>
        <item m="1" x="487"/>
        <item m="1" x="764"/>
        <item m="1" x="470"/>
        <item m="1" x="523"/>
        <item m="1" x="815"/>
        <item m="1" x="1083"/>
        <item m="1" x="800"/>
        <item m="1" x="1250"/>
        <item m="1" x="812"/>
        <item m="1" x="1046"/>
        <item m="1" x="361"/>
        <item m="1" x="844"/>
        <item m="1" x="484"/>
        <item m="1" x="414"/>
        <item m="1" x="1140"/>
        <item m="1" x="455"/>
        <item m="1" x="1164"/>
        <item m="1" x="356"/>
        <item m="1" x="981"/>
        <item m="1" x="988"/>
        <item m="1" x="392"/>
        <item m="1" x="910"/>
        <item m="1" x="288"/>
        <item m="1" x="1111"/>
        <item m="1" x="816"/>
        <item m="1" x="1037"/>
        <item m="1" x="1006"/>
        <item m="1" x="1226"/>
        <item m="1" x="999"/>
        <item m="1" x="577"/>
        <item m="1" x="1078"/>
        <item m="1" x="1212"/>
        <item m="1" x="902"/>
        <item m="1" x="1034"/>
        <item m="1" x="367"/>
        <item m="1" x="1200"/>
        <item m="1" x="857"/>
        <item m="1" x="722"/>
        <item m="1" x="1106"/>
        <item m="1" x="632"/>
        <item m="1" x="955"/>
        <item m="1" x="489"/>
        <item m="1" x="585"/>
        <item m="1" x="982"/>
        <item m="1" x="751"/>
        <item m="1" x="295"/>
        <item m="1" x="629"/>
        <item m="1" x="1109"/>
        <item m="1" x="1211"/>
        <item m="1" x="314"/>
        <item m="1" x="599"/>
        <item m="1" x="534"/>
        <item m="1" x="867"/>
        <item m="1" x="960"/>
        <item m="1" x="400"/>
        <item m="1" x="1382"/>
        <item m="1" x="365"/>
        <item m="1" x="438"/>
        <item m="1" x="1219"/>
        <item m="1" x="727"/>
        <item m="1" x="741"/>
        <item m="1" x="795"/>
        <item m="1" x="370"/>
        <item m="1" x="649"/>
        <item m="1" x="1044"/>
        <item m="1" x="956"/>
        <item m="1" x="746"/>
        <item m="1" x="693"/>
        <item m="1" x="323"/>
        <item m="1" x="561"/>
        <item m="1" x="1025"/>
        <item m="1" x="659"/>
        <item m="1" x="822"/>
        <item m="1" x="759"/>
        <item m="1" x="941"/>
        <item m="1" x="305"/>
        <item m="1" x="786"/>
        <item m="1" x="460"/>
        <item m="1" x="863"/>
        <item m="1" x="989"/>
        <item m="1" x="1065"/>
        <item m="1" x="1000"/>
        <item m="1" x="961"/>
        <item m="1" x="887"/>
        <item m="1" x="1298"/>
        <item m="1" x="1190"/>
        <item m="1" x="441"/>
        <item m="1" x="1182"/>
        <item m="1" x="636"/>
        <item m="1" x="946"/>
        <item m="1" x="352"/>
        <item m="1" x="925"/>
        <item m="1" x="792"/>
        <item m="1" x="1224"/>
        <item m="1" x="378"/>
        <item m="1" x="1435"/>
        <item m="1" x="417"/>
        <item m="1" x="357"/>
        <item m="1" x="927"/>
        <item m="1" x="1127"/>
        <item m="1" x="1030"/>
        <item m="1" x="316"/>
        <item m="1" x="468"/>
        <item m="1" x="1256"/>
        <item m="1" x="1196"/>
        <item m="1" x="451"/>
        <item m="1" x="424"/>
        <item m="1" x="719"/>
        <item m="1" x="340"/>
        <item m="1" x="947"/>
        <item m="1" x="380"/>
        <item m="1" x="550"/>
        <item m="1" x="847"/>
        <item m="1" x="1378"/>
        <item m="1" x="418"/>
        <item m="1" x="688"/>
        <item m="1" x="535"/>
        <item m="1" x="697"/>
        <item m="1" x="1251"/>
        <item m="1" x="1134"/>
        <item m="1" x="596"/>
        <item m="1" x="349"/>
        <item m="1" x="1299"/>
        <item m="1" x="462"/>
        <item m="1" x="1244"/>
        <item m="1" x="801"/>
        <item m="1" x="1185"/>
        <item m="1" x="544"/>
        <item m="1" x="716"/>
        <item m="1" x="1201"/>
        <item m="1" x="1389"/>
        <item m="1" x="1165"/>
        <item m="1" x="564"/>
        <item m="1" x="507"/>
        <item m="1" x="1210"/>
        <item m="1" x="974"/>
        <item m="1" x="818"/>
        <item m="1" x="1242"/>
        <item m="1" x="290"/>
        <item m="1" x="287"/>
        <item m="1" x="962"/>
        <item m="1" x="1102"/>
        <item m="1" x="1057"/>
        <item m="1" x="1240"/>
        <item m="1" x="765"/>
        <item m="1" x="512"/>
        <item m="1" x="586"/>
        <item m="1" x="1116"/>
        <item m="1" x="668"/>
        <item m="1" x="898"/>
        <item m="1" x="1313"/>
        <item m="1" x="551"/>
        <item m="1" x="888"/>
        <item m="1" x="272"/>
        <item m="1" x="60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m="1" x="589"/>
        <item m="1" x="1350"/>
        <item m="1" x="292"/>
        <item m="1" x="25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6">
    <i>
      <x/>
    </i>
    <i r="1">
      <x v="1431"/>
    </i>
    <i r="2">
      <x v="11"/>
    </i>
    <i r="1">
      <x v="143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9" totalsRowShown="0" totalsRowDxfId="24">
  <autoFilter ref="A1:C117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66" totalsRowShown="0">
  <autoFilter ref="A1:S226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D5" sqref="D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9</v>
      </c>
      <c r="C5"/>
      <c r="D5"/>
      <c r="E5"/>
    </row>
    <row r="6" spans="1:6">
      <c r="A6" s="67" t="s">
        <v>4640</v>
      </c>
      <c r="B6" s="96">
        <v>2</v>
      </c>
      <c r="C6"/>
      <c r="D6"/>
      <c r="E6"/>
    </row>
    <row r="7" spans="1:6">
      <c r="A7" s="68" t="s">
        <v>375</v>
      </c>
      <c r="B7" s="96">
        <v>2</v>
      </c>
      <c r="C7"/>
      <c r="D7"/>
      <c r="E7"/>
    </row>
    <row r="8" spans="1:6">
      <c r="A8" s="67" t="s">
        <v>4655</v>
      </c>
      <c r="B8" s="96">
        <v>7</v>
      </c>
      <c r="C8" s="56"/>
      <c r="D8"/>
      <c r="E8"/>
    </row>
    <row r="9" spans="1:6">
      <c r="A9" s="68" t="s">
        <v>370</v>
      </c>
      <c r="B9" s="96">
        <v>7</v>
      </c>
      <c r="C9"/>
      <c r="D9"/>
    </row>
    <row r="10" spans="1:6">
      <c r="A10" s="17" t="s">
        <v>381</v>
      </c>
      <c r="B10" s="96">
        <v>9</v>
      </c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9"/>
  <sheetViews>
    <sheetView topLeftCell="A1144" workbookViewId="0">
      <selection activeCell="H1176" sqref="H117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  <row r="1170" spans="1:3">
      <c r="A1170" t="s">
        <v>4580</v>
      </c>
      <c r="B1170">
        <v>1</v>
      </c>
      <c r="C1170" s="95" t="s">
        <v>4</v>
      </c>
    </row>
    <row r="1171" spans="1:3">
      <c r="A1171" t="s">
        <v>4583</v>
      </c>
      <c r="B1171">
        <v>5</v>
      </c>
      <c r="C1171" s="95" t="s">
        <v>4</v>
      </c>
    </row>
    <row r="1172" spans="1:3">
      <c r="A1172" t="s">
        <v>4592</v>
      </c>
      <c r="B1172">
        <v>7</v>
      </c>
      <c r="C1172" s="95" t="s">
        <v>4</v>
      </c>
    </row>
    <row r="1173" spans="1:3">
      <c r="A1173" t="s">
        <v>4608</v>
      </c>
      <c r="B1173">
        <v>1</v>
      </c>
      <c r="C1173" s="99" t="s">
        <v>4</v>
      </c>
    </row>
    <row r="1174" spans="1:3">
      <c r="A1174" t="s">
        <v>4614</v>
      </c>
      <c r="B1174">
        <v>1</v>
      </c>
      <c r="C1174" s="99" t="s">
        <v>4</v>
      </c>
    </row>
    <row r="1175" spans="1:3">
      <c r="A1175" t="s">
        <v>4634</v>
      </c>
      <c r="B1175">
        <v>8</v>
      </c>
      <c r="C1175" s="105" t="s">
        <v>4</v>
      </c>
    </row>
    <row r="1176" spans="1:3">
      <c r="A1176" t="s">
        <v>4637</v>
      </c>
      <c r="B1176">
        <v>1</v>
      </c>
      <c r="C1176" s="105" t="s">
        <v>4</v>
      </c>
    </row>
    <row r="1177" spans="1:3">
      <c r="A1177" t="s">
        <v>4644</v>
      </c>
      <c r="B1177">
        <v>1</v>
      </c>
      <c r="C1177" s="105" t="s">
        <v>4</v>
      </c>
    </row>
    <row r="1178" spans="1:3">
      <c r="A1178" t="s">
        <v>4615</v>
      </c>
      <c r="B1178">
        <v>1</v>
      </c>
      <c r="C1178" s="105" t="s">
        <v>4</v>
      </c>
    </row>
    <row r="1179" spans="1:3">
      <c r="A1179" t="s">
        <v>4620</v>
      </c>
      <c r="B1179">
        <v>2</v>
      </c>
      <c r="C1179" s="10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66"/>
  <sheetViews>
    <sheetView zoomScale="85" zoomScaleNormal="85" workbookViewId="0">
      <selection activeCell="C2260" sqref="C2260:C226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123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98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98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98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98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98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98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98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98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98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98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98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94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91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91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91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91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91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91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91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91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91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91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91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91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91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91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91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91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91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91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91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91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91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91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91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91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91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91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91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91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91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91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91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91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91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91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91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91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91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91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91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91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91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90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90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90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90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90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90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90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90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90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90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90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90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90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90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90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90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90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90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90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90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90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90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90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90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90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90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90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90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90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90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90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90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90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90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90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90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90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90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90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90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90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90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90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90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90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90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90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90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90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90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90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90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90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90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90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90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90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90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90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89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89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89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89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89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88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88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86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86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85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82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82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82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82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82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82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82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82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82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82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82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82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82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82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82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82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82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82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82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82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82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81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81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81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81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81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76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76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76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71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71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71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71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71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71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71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71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71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71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71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71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71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71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71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71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71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71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67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67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67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62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61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61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61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61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61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61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61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61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61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61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61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61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47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47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46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46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46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36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21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21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21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21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21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21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21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21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21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21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21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21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21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21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21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21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21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21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21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21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18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18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16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16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yep</v>
      </c>
      <c r="Q1642" s="3">
        <f ca="1">IF(Proc[[#This Row],[DateClosed]]="",ABS(NETWORKDAYS(Proc[[#This Row],[DateOpened]],TODAY()))-1,ABS(NETWORKDAYS(Proc[[#This Row],[DateOpened]],Proc[[#This Row],[DateClosed]]))-1)</f>
        <v>12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yep</v>
      </c>
      <c r="Q1643" s="3">
        <f ca="1">IF(Proc[[#This Row],[DateClosed]]="",ABS(NETWORKDAYS(Proc[[#This Row],[DateOpened]],TODAY()))-1,ABS(NETWORKDAYS(Proc[[#This Row],[DateOpened]],Proc[[#This Row],[DateClosed]]))-1)</f>
        <v>12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yep</v>
      </c>
      <c r="Q1691" s="3">
        <f ca="1">IF(Proc[[#This Row],[DateClosed]]="",ABS(NETWORKDAYS(Proc[[#This Row],[DateOpened]],TODAY()))-1,ABS(NETWORKDAYS(Proc[[#This Row],[DateOpened]],Proc[[#This Row],[DateClosed]]))-1)</f>
        <v>12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yep</v>
      </c>
      <c r="Q1692" s="3">
        <f ca="1">IF(Proc[[#This Row],[DateClosed]]="",ABS(NETWORKDAYS(Proc[[#This Row],[DateOpened]],TODAY()))-1,ABS(NETWORKDAYS(Proc[[#This Row],[DateOpened]],Proc[[#This Row],[DateClosed]]))-1)</f>
        <v>12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yep</v>
      </c>
      <c r="Q1757" s="3">
        <f ca="1">IF(Proc[[#This Row],[DateClosed]]="",ABS(NETWORKDAYS(Proc[[#This Row],[DateOpened]],TODAY()))-1,ABS(NETWORKDAYS(Proc[[#This Row],[DateOpened]],Proc[[#This Row],[DateClosed]]))-1)</f>
        <v>12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yep</v>
      </c>
      <c r="Q1758" s="3">
        <f ca="1">IF(Proc[[#This Row],[DateClosed]]="",ABS(NETWORKDAYS(Proc[[#This Row],[DateOpened]],TODAY()))-1,ABS(NETWORKDAYS(Proc[[#This Row],[DateOpened]],Proc[[#This Row],[DateClosed]]))-1)</f>
        <v>12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 hidden="1">
      <c r="A2230" t="s">
        <v>4580</v>
      </c>
      <c r="B2230" s="96" t="str">
        <f>IFERROR(VLOOKUP(Proc[[#This Row],[App]],Table2[],3,0),"open")</f>
        <v>ok</v>
      </c>
      <c r="C2230" t="s">
        <v>369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>
        <v>45811</v>
      </c>
      <c r="O2230" s="93">
        <v>45811</v>
      </c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7" t="s">
        <v>508</v>
      </c>
      <c r="S2230" s="96"/>
    </row>
    <row r="2231" spans="1:19" hidden="1">
      <c r="A2231" t="s">
        <v>4583</v>
      </c>
      <c r="B2231" s="96" t="str">
        <f>IFERROR(VLOOKUP(Proc[[#This Row],[App]],Table2[],3,0),"open")</f>
        <v>ok</v>
      </c>
      <c r="C2231" t="s">
        <v>369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>
        <v>45811</v>
      </c>
      <c r="O2231" s="93">
        <v>45811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1</v>
      </c>
      <c r="R2231" s="97" t="s">
        <v>538</v>
      </c>
      <c r="S2231" s="96"/>
    </row>
    <row r="2232" spans="1:19" hidden="1">
      <c r="A2232" s="95" t="s">
        <v>4583</v>
      </c>
      <c r="B2232" s="96" t="str">
        <f>IFERROR(VLOOKUP(Proc[[#This Row],[App]],Table2[],3,0),"open")</f>
        <v>ok</v>
      </c>
      <c r="C2232" s="95" t="s">
        <v>369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538</v>
      </c>
      <c r="S2232" s="96"/>
    </row>
    <row r="2233" spans="1:19" hidden="1">
      <c r="A2233" s="95" t="s">
        <v>4583</v>
      </c>
      <c r="B2233" s="96" t="str">
        <f>IFERROR(VLOOKUP(Proc[[#This Row],[App]],Table2[],3,0),"open")</f>
        <v>ok</v>
      </c>
      <c r="C2233" s="95" t="s">
        <v>369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t="s">
        <v>4592</v>
      </c>
      <c r="B2236" s="96" t="str">
        <f>IFERROR(VLOOKUP(Proc[[#This Row],[App]],Table2[],3,0),"open")</f>
        <v>ok</v>
      </c>
      <c r="C2236" t="s">
        <v>369</v>
      </c>
      <c r="D2236" t="s">
        <v>4607</v>
      </c>
      <c r="E2236" t="s">
        <v>689</v>
      </c>
      <c r="F2236" s="96" t="s">
        <v>4599</v>
      </c>
      <c r="G2236" t="s">
        <v>400</v>
      </c>
      <c r="H2236" s="96" t="str">
        <f>IF(Proc[[#This Row],[type]]="LFF (MDG-F)",MID(Proc[[#This Row],[Obj]],13,10),"")</f>
        <v/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45810.524050925924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1530</v>
      </c>
      <c r="S2236" s="96"/>
    </row>
    <row r="2237" spans="1:19" hidden="1">
      <c r="A2237" s="95" t="s">
        <v>4592</v>
      </c>
      <c r="B2237" s="96" t="str">
        <f>IFERROR(VLOOKUP(Proc[[#This Row],[App]],Table2[],3,0),"open")</f>
        <v>ok</v>
      </c>
      <c r="C2237" s="95" t="s">
        <v>369</v>
      </c>
      <c r="D2237" t="s">
        <v>4593</v>
      </c>
      <c r="E2237" t="s">
        <v>2903</v>
      </c>
      <c r="F2237" s="96" t="s">
        <v>4600</v>
      </c>
      <c r="G2237" t="s">
        <v>406</v>
      </c>
      <c r="H2237" s="96" t="str">
        <f>IF(Proc[[#This Row],[type]]="LFF (MDG-F)",MID(Proc[[#This Row],[Obj]],13,10),"")</f>
        <v>CH75GIT060</v>
      </c>
      <c r="I2237" t="s">
        <v>4606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45810.524050925924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1530</v>
      </c>
      <c r="S2237" s="96"/>
    </row>
    <row r="2238" spans="1:19" hidden="1">
      <c r="A2238" s="95" t="s">
        <v>4592</v>
      </c>
      <c r="B2238" s="96" t="str">
        <f>IFERROR(VLOOKUP(Proc[[#This Row],[App]],Table2[],3,0),"open")</f>
        <v>ok</v>
      </c>
      <c r="C2238" s="95" t="s">
        <v>369</v>
      </c>
      <c r="D2238" t="s">
        <v>4594</v>
      </c>
      <c r="E2238" t="s">
        <v>2575</v>
      </c>
      <c r="F2238" s="96" t="s">
        <v>4601</v>
      </c>
      <c r="G2238" s="95" t="s">
        <v>406</v>
      </c>
      <c r="H2238" s="96" t="str">
        <f>IF(Proc[[#This Row],[type]]="LFF (MDG-F)",MID(Proc[[#This Row],[Obj]],13,10),"")</f>
        <v>DE10653700</v>
      </c>
      <c r="I2238" s="95" t="s">
        <v>4606</v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4595</v>
      </c>
      <c r="E2239" t="s">
        <v>2577</v>
      </c>
      <c r="F2239" s="96" t="s">
        <v>4602</v>
      </c>
      <c r="G2239" s="95" t="s">
        <v>400</v>
      </c>
      <c r="H2239" s="96" t="str">
        <f>IF(Proc[[#This Row],[type]]="LFF (MDG-F)",MID(Proc[[#This Row],[Obj]],13,10),"")</f>
        <v/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4596</v>
      </c>
      <c r="E2240" t="s">
        <v>2577</v>
      </c>
      <c r="F2240" s="96" t="s">
        <v>4603</v>
      </c>
      <c r="G2240" s="95" t="s">
        <v>400</v>
      </c>
      <c r="H2240" s="96" t="str">
        <f>IF(Proc[[#This Row],[type]]="LFF (MDG-F)",MID(Proc[[#This Row],[Obj]],13,10),"")</f>
        <v/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4597</v>
      </c>
      <c r="E2241" t="s">
        <v>2577</v>
      </c>
      <c r="F2241" s="96" t="s">
        <v>4604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4598</v>
      </c>
      <c r="E2242" t="s">
        <v>427</v>
      </c>
      <c r="F2242" s="96" t="s">
        <v>4605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 hidden="1">
      <c r="A2243" t="s">
        <v>4608</v>
      </c>
      <c r="B2243" s="96" t="str">
        <f>IFERROR(VLOOKUP(Proc[[#This Row],[App]],Table2[],3,0),"open")</f>
        <v>ok</v>
      </c>
      <c r="C2243" t="s">
        <v>369</v>
      </c>
      <c r="D2243" t="s">
        <v>4609</v>
      </c>
      <c r="E2243" t="s">
        <v>4610</v>
      </c>
      <c r="F2243" s="96" t="s">
        <v>4611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HC</v>
      </c>
      <c r="L2243" s="96"/>
      <c r="M2243" s="93">
        <v>45811.460358796299</v>
      </c>
      <c r="N2243" s="93"/>
      <c r="O2243" s="93"/>
      <c r="P2243" s="97" t="str">
        <f ca="1">IF(Proc[[#This Row],[DaysAgeing]]&gt;5,"yep","on track")</f>
        <v>yep</v>
      </c>
      <c r="Q2243" s="3">
        <f ca="1">IF(Proc[[#This Row],[DateClosed]]="",ABS(NETWORKDAYS(Proc[[#This Row],[DateOpened]],TODAY()))-1,ABS(NETWORKDAYS(Proc[[#This Row],[DateOpened]],Proc[[#This Row],[DateClosed]]))-1)</f>
        <v>6</v>
      </c>
      <c r="R2243" s="97" t="s">
        <v>792</v>
      </c>
      <c r="S2243" s="96"/>
    </row>
    <row r="2244" spans="1:19" hidden="1">
      <c r="A2244" t="s">
        <v>4614</v>
      </c>
      <c r="B2244" s="96" t="str">
        <f>IFERROR(VLOOKUP(Proc[[#This Row],[App]],Table2[],3,0),"open")</f>
        <v>ok</v>
      </c>
      <c r="C2244" s="99" t="s">
        <v>369</v>
      </c>
      <c r="D2244" s="99" t="s">
        <v>4612</v>
      </c>
      <c r="E2244" s="99" t="s">
        <v>4613</v>
      </c>
      <c r="F2244" s="96"/>
      <c r="G2244" s="99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7">
        <v>45811.460358796299</v>
      </c>
      <c r="N2244" s="98"/>
      <c r="O2244" s="98"/>
      <c r="P2244" s="97" t="str">
        <f ca="1">IF(Proc[[#This Row],[DaysAgeing]]&gt;5,"yep","on track")</f>
        <v>yep</v>
      </c>
      <c r="Q2244" s="3">
        <f ca="1">IF(Proc[[#This Row],[DateClosed]]="",ABS(NETWORKDAYS(Proc[[#This Row],[DateOpened]],TODAY()))-1,ABS(NETWORKDAYS(Proc[[#This Row],[DateOpened]],Proc[[#This Row],[DateClosed]]))-1)</f>
        <v>6</v>
      </c>
      <c r="R2244" s="97" t="s">
        <v>538</v>
      </c>
      <c r="S2244" s="96"/>
    </row>
    <row r="2245" spans="1:19" hidden="1">
      <c r="A2245" t="s">
        <v>4615</v>
      </c>
      <c r="B2245" s="96" t="str">
        <f>IFERROR(VLOOKUP(Proc[[#This Row],[App]],Table2[],3,0),"open")</f>
        <v>ok</v>
      </c>
      <c r="C2245" s="105" t="s">
        <v>369</v>
      </c>
      <c r="D2245" t="s">
        <v>4616</v>
      </c>
      <c r="E2245" t="s">
        <v>4617</v>
      </c>
      <c r="F2245" s="96"/>
      <c r="G2245" s="99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LS</v>
      </c>
      <c r="L2245" s="96"/>
      <c r="M2245" s="97">
        <v>45811.460358796299</v>
      </c>
      <c r="N2245" s="98">
        <v>45819</v>
      </c>
      <c r="O2245" s="102">
        <v>45819</v>
      </c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</v>
      </c>
      <c r="R2245" s="97" t="s">
        <v>508</v>
      </c>
      <c r="S2245" s="96"/>
    </row>
    <row r="2246" spans="1:19" hidden="1">
      <c r="A2246" t="s">
        <v>4620</v>
      </c>
      <c r="B2246" s="96" t="str">
        <f>IFERROR(VLOOKUP(Proc[[#This Row],[App]],Table2[],3,0),"open")</f>
        <v>ok</v>
      </c>
      <c r="C2246" s="99" t="s">
        <v>369</v>
      </c>
      <c r="D2246" t="s">
        <v>4621</v>
      </c>
      <c r="E2246" t="s">
        <v>1289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LS</v>
      </c>
      <c r="L2246" s="96"/>
      <c r="M2246" s="97">
        <v>45811.460358796299</v>
      </c>
      <c r="N2246" s="102">
        <v>45819</v>
      </c>
      <c r="O2246" s="102">
        <v>45819</v>
      </c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</v>
      </c>
      <c r="R2246" s="97" t="s">
        <v>508</v>
      </c>
      <c r="S2246" s="96"/>
    </row>
    <row r="2247" spans="1:19" hidden="1">
      <c r="A2247" t="s">
        <v>4620</v>
      </c>
      <c r="B2247" s="96" t="str">
        <f>IFERROR(VLOOKUP(Proc[[#This Row],[App]],Table2[],3,0),"open")</f>
        <v>ok</v>
      </c>
      <c r="C2247" s="99" t="s">
        <v>377</v>
      </c>
      <c r="D2247" t="s">
        <v>4618</v>
      </c>
      <c r="E2247" t="s">
        <v>4619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/>
      <c r="O2247" s="98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508</v>
      </c>
      <c r="S2247" s="96"/>
    </row>
    <row r="2248" spans="1:19" hidden="1">
      <c r="A2248" t="s">
        <v>4634</v>
      </c>
      <c r="B2248" s="96" t="str">
        <f>IFERROR(VLOOKUP(Proc[[#This Row],[App]],Table2[],3,0),"open")</f>
        <v>ok</v>
      </c>
      <c r="C2248" s="105" t="s">
        <v>369</v>
      </c>
      <c r="D2248" t="s">
        <v>4622</v>
      </c>
      <c r="E2248" t="s">
        <v>4630</v>
      </c>
      <c r="F2248" s="96" t="s">
        <v>2192</v>
      </c>
      <c r="G2248" t="s">
        <v>406</v>
      </c>
      <c r="H2248" s="96" t="str">
        <f>IF(Proc[[#This Row],[type]]="LFF (MDG-F)",MID(Proc[[#This Row],[Obj]],13,10),"")</f>
        <v>DE20538353</v>
      </c>
      <c r="I2248" t="s">
        <v>4635</v>
      </c>
      <c r="J2248" s="96" t="b">
        <f>Proc[[#This Row],[Requested]]=Proc[[#This Row],[CurrentParent]]</f>
        <v>0</v>
      </c>
      <c r="K2248" s="96" t="str">
        <f>IF(Proc[[#This Row],[Author]]="Marcela Urrego",VLOOKUP(LEFT(Proc[[#This Row],[Requested]],1),Table3[#All],2,0),VLOOKUP(Proc[[#This Row],[Author]],Table4[],2,0))</f>
        <v>MGF</v>
      </c>
      <c r="L2248" s="96"/>
      <c r="M2248" s="98">
        <v>45814.369039351855</v>
      </c>
      <c r="N2248" s="102">
        <v>45819</v>
      </c>
      <c r="O2248" s="102">
        <v>45819</v>
      </c>
      <c r="P2248" s="100" t="str">
        <f ca="1">IF(Proc[[#This Row],[DaysAgeing]]&gt;5,"yep","on track")</f>
        <v>on track</v>
      </c>
      <c r="Q2248" s="3">
        <f ca="1">IF(Proc[[#This Row],[DateClosed]]="",ABS(NETWORKDAYS(Proc[[#This Row],[DateOpened]],TODAY()))-1,ABS(NETWORKDAYS(Proc[[#This Row],[DateOpened]],Proc[[#This Row],[DateClosed]]))-1)</f>
        <v>3</v>
      </c>
      <c r="R2248" s="100" t="s">
        <v>499</v>
      </c>
      <c r="S2248" s="96"/>
    </row>
    <row r="2249" spans="1:19" hidden="1">
      <c r="A2249" s="99" t="s">
        <v>4634</v>
      </c>
      <c r="B2249" s="96" t="str">
        <f>IFERROR(VLOOKUP(Proc[[#This Row],[App]],Table2[],3,0),"open")</f>
        <v>ok</v>
      </c>
      <c r="C2249" s="105" t="s">
        <v>369</v>
      </c>
      <c r="D2249" t="s">
        <v>4623</v>
      </c>
      <c r="E2249" t="s">
        <v>4631</v>
      </c>
      <c r="F2249" s="96" t="s">
        <v>2193</v>
      </c>
      <c r="G2249" s="99" t="s">
        <v>406</v>
      </c>
      <c r="H2249" s="96" t="str">
        <f>IF(Proc[[#This Row],[type]]="LFF (MDG-F)",MID(Proc[[#This Row],[Obj]],13,10),"")</f>
        <v>DE10538353</v>
      </c>
      <c r="I2249" s="99" t="s">
        <v>4635</v>
      </c>
      <c r="J2249" s="96" t="b">
        <f>Proc[[#This Row],[Requested]]=Proc[[#This Row],[CurrentParent]]</f>
        <v>0</v>
      </c>
      <c r="K2249" s="96" t="str">
        <f>IF(Proc[[#This Row],[Author]]="Marcela Urrego",VLOOKUP(LEFT(Proc[[#This Row],[Requested]],1),Table3[#All],2,0),VLOOKUP(Proc[[#This Row],[Author]],Table4[],2,0))</f>
        <v>MGF</v>
      </c>
      <c r="L2249" s="96"/>
      <c r="M2249" s="98">
        <v>45814.369039351855</v>
      </c>
      <c r="N2249" s="102">
        <v>45819</v>
      </c>
      <c r="O2249" s="102">
        <v>45819</v>
      </c>
      <c r="P2249" s="100" t="str">
        <f ca="1">IF(Proc[[#This Row],[DaysAgeing]]&gt;5,"yep","on track")</f>
        <v>on track</v>
      </c>
      <c r="Q2249" s="3">
        <f ca="1">IF(Proc[[#This Row],[DateClosed]]="",ABS(NETWORKDAYS(Proc[[#This Row],[DateOpened]],TODAY()))-1,ABS(NETWORKDAYS(Proc[[#This Row],[DateOpened]],Proc[[#This Row],[DateClosed]]))-1)</f>
        <v>3</v>
      </c>
      <c r="R2249" s="100" t="s">
        <v>499</v>
      </c>
      <c r="S2249" s="96"/>
    </row>
    <row r="2250" spans="1:19" hidden="1">
      <c r="A2250" s="99" t="s">
        <v>4634</v>
      </c>
      <c r="B2250" s="96" t="str">
        <f>IFERROR(VLOOKUP(Proc[[#This Row],[App]],Table2[],3,0),"open")</f>
        <v>ok</v>
      </c>
      <c r="C2250" s="105" t="s">
        <v>369</v>
      </c>
      <c r="D2250" t="s">
        <v>4624</v>
      </c>
      <c r="E2250" t="s">
        <v>3806</v>
      </c>
      <c r="F2250" s="96" t="s">
        <v>4632</v>
      </c>
      <c r="G2250" s="99" t="s">
        <v>406</v>
      </c>
      <c r="H2250" s="96" t="str">
        <f>IF(Proc[[#This Row],[type]]="LFF (MDG-F)",MID(Proc[[#This Row],[Obj]],13,10),"")</f>
        <v>DE10538602</v>
      </c>
      <c r="I2250" s="99" t="s">
        <v>4635</v>
      </c>
      <c r="J2250" s="96" t="b">
        <f>Proc[[#This Row],[Requested]]=Proc[[#This Row],[CurrentParent]]</f>
        <v>0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499</v>
      </c>
      <c r="S2250" s="96"/>
    </row>
    <row r="2251" spans="1:19" hidden="1">
      <c r="A2251" s="99" t="s">
        <v>4634</v>
      </c>
      <c r="B2251" s="96" t="str">
        <f>IFERROR(VLOOKUP(Proc[[#This Row],[App]],Table2[],3,0),"open")</f>
        <v>ok</v>
      </c>
      <c r="C2251" s="105" t="s">
        <v>369</v>
      </c>
      <c r="D2251" t="s">
        <v>4625</v>
      </c>
      <c r="E2251" t="s">
        <v>3806</v>
      </c>
      <c r="F2251" s="96" t="s">
        <v>4632</v>
      </c>
      <c r="G2251" s="99" t="s">
        <v>406</v>
      </c>
      <c r="H2251" s="96" t="str">
        <f>IF(Proc[[#This Row],[type]]="LFF (MDG-F)",MID(Proc[[#This Row],[Obj]],13,10),"")</f>
        <v>DE10538603</v>
      </c>
      <c r="I2251" s="99" t="s">
        <v>4635</v>
      </c>
      <c r="J2251" s="96" t="b">
        <f>Proc[[#This Row],[Requested]]=Proc[[#This Row],[CurrentParent]]</f>
        <v>0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499</v>
      </c>
      <c r="S2251" s="96"/>
    </row>
    <row r="2252" spans="1:19" hidden="1">
      <c r="A2252" s="99" t="s">
        <v>4634</v>
      </c>
      <c r="B2252" s="96" t="str">
        <f>IFERROR(VLOOKUP(Proc[[#This Row],[App]],Table2[],3,0),"open")</f>
        <v>ok</v>
      </c>
      <c r="C2252" s="105" t="s">
        <v>369</v>
      </c>
      <c r="D2252" t="s">
        <v>4626</v>
      </c>
      <c r="E2252" t="s">
        <v>3806</v>
      </c>
      <c r="F2252" s="96" t="s">
        <v>4632</v>
      </c>
      <c r="G2252" s="99" t="s">
        <v>406</v>
      </c>
      <c r="H2252" s="96" t="str">
        <f>IF(Proc[[#This Row],[type]]="LFF (MDG-F)",MID(Proc[[#This Row],[Obj]],13,10),"")</f>
        <v>DE10538604</v>
      </c>
      <c r="I2252" s="99" t="s">
        <v>4635</v>
      </c>
      <c r="J2252" s="96" t="b">
        <f>Proc[[#This Row],[Requested]]=Proc[[#This Row],[CurrentParent]]</f>
        <v>0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499</v>
      </c>
      <c r="S2252" s="96"/>
    </row>
    <row r="2253" spans="1:19" hidden="1">
      <c r="A2253" s="99" t="s">
        <v>4634</v>
      </c>
      <c r="B2253" s="96" t="str">
        <f>IFERROR(VLOOKUP(Proc[[#This Row],[App]],Table2[],3,0),"open")</f>
        <v>ok</v>
      </c>
      <c r="C2253" s="105" t="s">
        <v>369</v>
      </c>
      <c r="D2253" t="s">
        <v>4627</v>
      </c>
      <c r="E2253" t="s">
        <v>3805</v>
      </c>
      <c r="F2253" s="96" t="s">
        <v>4633</v>
      </c>
      <c r="G2253" s="99" t="s">
        <v>406</v>
      </c>
      <c r="H2253" s="96" t="str">
        <f>IF(Proc[[#This Row],[type]]="LFF (MDG-F)",MID(Proc[[#This Row],[Obj]],13,10),"")</f>
        <v>DE20538602</v>
      </c>
      <c r="I2253" s="99" t="s">
        <v>4635</v>
      </c>
      <c r="J2253" s="96" t="b">
        <f>Proc[[#This Row],[Requested]]=Proc[[#This Row],[CurrentParent]]</f>
        <v>0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499</v>
      </c>
      <c r="S2253" s="96"/>
    </row>
    <row r="2254" spans="1:19" hidden="1">
      <c r="A2254" s="99" t="s">
        <v>4634</v>
      </c>
      <c r="B2254" s="96" t="str">
        <f>IFERROR(VLOOKUP(Proc[[#This Row],[App]],Table2[],3,0),"open")</f>
        <v>ok</v>
      </c>
      <c r="C2254" s="105" t="s">
        <v>369</v>
      </c>
      <c r="D2254" t="s">
        <v>4628</v>
      </c>
      <c r="E2254" t="s">
        <v>3805</v>
      </c>
      <c r="F2254" s="96" t="s">
        <v>4633</v>
      </c>
      <c r="G2254" s="99" t="s">
        <v>406</v>
      </c>
      <c r="H2254" s="96" t="str">
        <f>IF(Proc[[#This Row],[type]]="LFF (MDG-F)",MID(Proc[[#This Row],[Obj]],13,10),"")</f>
        <v>DE20538603</v>
      </c>
      <c r="I2254" s="99" t="s">
        <v>4635</v>
      </c>
      <c r="J2254" s="96" t="b">
        <f>Proc[[#This Row],[Requested]]=Proc[[#This Row],[CurrentParent]]</f>
        <v>0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499</v>
      </c>
      <c r="S2254" s="96"/>
    </row>
    <row r="2255" spans="1:19" hidden="1">
      <c r="A2255" s="99" t="s">
        <v>4634</v>
      </c>
      <c r="B2255" s="96" t="str">
        <f>IFERROR(VLOOKUP(Proc[[#This Row],[App]],Table2[],3,0),"open")</f>
        <v>ok</v>
      </c>
      <c r="C2255" s="105" t="s">
        <v>369</v>
      </c>
      <c r="D2255" t="s">
        <v>4629</v>
      </c>
      <c r="E2255" t="s">
        <v>3805</v>
      </c>
      <c r="F2255" s="96" t="s">
        <v>4633</v>
      </c>
      <c r="G2255" s="99" t="s">
        <v>406</v>
      </c>
      <c r="H2255" s="96" t="str">
        <f>IF(Proc[[#This Row],[type]]="LFF (MDG-F)",MID(Proc[[#This Row],[Obj]],13,10),"")</f>
        <v>DE20538604</v>
      </c>
      <c r="I2255" s="99" t="s">
        <v>4635</v>
      </c>
      <c r="J2255" s="96" t="b">
        <f>Proc[[#This Row],[Requested]]=Proc[[#This Row],[CurrentParent]]</f>
        <v>0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499</v>
      </c>
      <c r="S2255" s="96"/>
    </row>
    <row r="2256" spans="1:19" hidden="1">
      <c r="A2256" t="s">
        <v>4637</v>
      </c>
      <c r="B2256" s="96" t="str">
        <f>IFERROR(VLOOKUP(Proc[[#This Row],[App]],Table2[],3,0),"open")</f>
        <v>ok</v>
      </c>
      <c r="C2256" s="105" t="s">
        <v>369</v>
      </c>
      <c r="D2256" s="101" t="s">
        <v>4636</v>
      </c>
      <c r="E2256" t="s">
        <v>4617</v>
      </c>
      <c r="F2256" s="96"/>
      <c r="G2256" t="s">
        <v>400</v>
      </c>
      <c r="H2256" s="96" t="str">
        <f>IF(Proc[[#This Row],[type]]="LFF (MDG-F)",MID(Proc[[#This Row],[Obj]],13,10),"")</f>
        <v/>
      </c>
      <c r="J2256" s="96" t="b">
        <f>Proc[[#This Row],[Requested]]=Proc[[#This Row],[CurrentParent]]</f>
        <v>0</v>
      </c>
      <c r="K2256" s="96" t="str">
        <f>IF(Proc[[#This Row],[Author]]="Marcela Urrego",VLOOKUP(LEFT(Proc[[#This Row],[Requested]],1),Table3[#All],2,0),VLOOKUP(Proc[[#This Row],[Author]],Table4[],2,0))</f>
        <v>LS</v>
      </c>
      <c r="L2256" s="96"/>
      <c r="M2256" s="100">
        <v>45818.369039351855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1</v>
      </c>
      <c r="R2256" s="100" t="s">
        <v>508</v>
      </c>
      <c r="S2256" s="96"/>
    </row>
    <row r="2257" spans="1:19">
      <c r="A2257" t="s">
        <v>4640</v>
      </c>
      <c r="B2257" s="96" t="str">
        <f>IFERROR(VLOOKUP(Proc[[#This Row],[App]],Table2[],3,0),"open")</f>
        <v>open</v>
      </c>
      <c r="C2257" s="103" t="s">
        <v>375</v>
      </c>
      <c r="D2257" s="103" t="s">
        <v>4638</v>
      </c>
      <c r="E2257" t="s">
        <v>4641</v>
      </c>
      <c r="F2257" s="96"/>
      <c r="G2257" s="103" t="s">
        <v>406</v>
      </c>
      <c r="H2257" s="96" t="str">
        <f>IF(Proc[[#This Row],[type]]="LFF (MDG-F)",MID(Proc[[#This Row],[Obj]],13,10),"")</f>
        <v>DE10594600</v>
      </c>
      <c r="J2257" s="96" t="b">
        <f>Proc[[#This Row],[Requested]]=Proc[[#This Row],[CurrentParent]]</f>
        <v>0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100">
        <v>45818.369039351855</v>
      </c>
      <c r="N2257" s="102"/>
      <c r="O2257" s="102"/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1</v>
      </c>
      <c r="R2257" s="100" t="s">
        <v>538</v>
      </c>
      <c r="S2257" s="96"/>
    </row>
    <row r="2258" spans="1:19">
      <c r="A2258" s="103" t="s">
        <v>4640</v>
      </c>
      <c r="B2258" s="96" t="str">
        <f>IFERROR(VLOOKUP(Proc[[#This Row],[App]],Table2[],3,0),"open")</f>
        <v>open</v>
      </c>
      <c r="C2258" s="103" t="s">
        <v>375</v>
      </c>
      <c r="D2258" s="104" t="s">
        <v>4639</v>
      </c>
      <c r="E2258" t="s">
        <v>4642</v>
      </c>
      <c r="F2258" s="96"/>
      <c r="G2258" s="103" t="s">
        <v>406</v>
      </c>
      <c r="H2258" s="96" t="str">
        <f>IF(Proc[[#This Row],[type]]="LFF (MDG-F)",MID(Proc[[#This Row],[Obj]],13,10),"")</f>
        <v>DE10629410</v>
      </c>
      <c r="J2258" s="96" t="b">
        <f>Proc[[#This Row],[Requested]]=Proc[[#This Row],[CurrentParent]]</f>
        <v>0</v>
      </c>
      <c r="K2258" s="96" t="str">
        <f>IF(Proc[[#This Row],[Author]]="Marcela Urrego",VLOOKUP(LEFT(Proc[[#This Row],[Requested]],1),Table3[#All],2,0),VLOOKUP(Proc[[#This Row],[Author]],Table4[],2,0))</f>
        <v>MGF</v>
      </c>
      <c r="L2258" s="96"/>
      <c r="M2258" s="100">
        <v>45818.369039351855</v>
      </c>
      <c r="N2258" s="102"/>
      <c r="O2258" s="102"/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538</v>
      </c>
      <c r="S2258" s="96"/>
    </row>
    <row r="2259" spans="1:19" hidden="1">
      <c r="A2259" t="s">
        <v>4644</v>
      </c>
      <c r="B2259" s="96" t="str">
        <f>IFERROR(VLOOKUP(Proc[[#This Row],[App]],Table2[],3,0),"open")</f>
        <v>ok</v>
      </c>
      <c r="C2259" s="105" t="s">
        <v>369</v>
      </c>
      <c r="D2259" s="101" t="s">
        <v>4643</v>
      </c>
      <c r="E2259" s="105" t="s">
        <v>3664</v>
      </c>
      <c r="F2259" s="96"/>
      <c r="G2259" t="s">
        <v>400</v>
      </c>
      <c r="H2259" s="96" t="str">
        <f>IF(Proc[[#This Row],[type]]="LFF (MDG-F)",MID(Proc[[#This Row],[Obj]],13,10),"")</f>
        <v/>
      </c>
      <c r="J2259" s="96" t="b">
        <f>Proc[[#This Row],[Requested]]=Proc[[#This Row],[CurrentParent]]</f>
        <v>0</v>
      </c>
      <c r="K2259" s="96" t="str">
        <f>IF(Proc[[#This Row],[Author]]="Marcela Urrego",VLOOKUP(LEFT(Proc[[#This Row],[Requested]],1),Table3[#All],2,0),VLOOKUP(Proc[[#This Row],[Author]],Table4[],2,0))</f>
        <v>LS</v>
      </c>
      <c r="L2259" s="96"/>
      <c r="M2259" s="100">
        <v>45818.369039351855</v>
      </c>
      <c r="N2259" s="102">
        <v>45819</v>
      </c>
      <c r="O2259" s="102">
        <v>45819</v>
      </c>
      <c r="P2259" s="100" t="str">
        <f ca="1">IF(Proc[[#This Row],[DaysAgeing]]&gt;5,"yep","on track")</f>
        <v>on track</v>
      </c>
      <c r="Q2259" s="3">
        <f ca="1">IF(Proc[[#This Row],[DateClosed]]="",ABS(NETWORKDAYS(Proc[[#This Row],[DateOpened]],TODAY()))-1,ABS(NETWORKDAYS(Proc[[#This Row],[DateOpened]],Proc[[#This Row],[DateClosed]]))-1)</f>
        <v>1</v>
      </c>
      <c r="R2259" s="100" t="s">
        <v>508</v>
      </c>
      <c r="S2259" s="96"/>
    </row>
    <row r="2260" spans="1:19">
      <c r="A2260" t="s">
        <v>4655</v>
      </c>
      <c r="B2260" s="96" t="str">
        <f>IFERROR(VLOOKUP(Proc[[#This Row],[App]],Table2[],3,0),"open")</f>
        <v>open</v>
      </c>
      <c r="C2260" t="s">
        <v>370</v>
      </c>
      <c r="D2260" t="s">
        <v>4645</v>
      </c>
      <c r="E2260" t="s">
        <v>1266</v>
      </c>
      <c r="F2260" s="96" t="s">
        <v>1098</v>
      </c>
      <c r="G2260" t="s">
        <v>400</v>
      </c>
      <c r="H2260" s="96" t="str">
        <f>IF(Proc[[#This Row],[type]]="LFF (MDG-F)",MID(Proc[[#This Row],[Obj]],13,10),"")</f>
        <v/>
      </c>
      <c r="J2260" s="96" t="b">
        <f>Proc[[#This Row],[Requested]]=Proc[[#This Row],[CurrentParent]]</f>
        <v>0</v>
      </c>
      <c r="K2260" s="96" t="str">
        <f>IF(Proc[[#This Row],[Author]]="Marcela Urrego",VLOOKUP(LEFT(Proc[[#This Row],[Requested]],1),Table3[#All],2,0),VLOOKUP(Proc[[#This Row],[Author]],Table4[],2,0))</f>
        <v>EL</v>
      </c>
      <c r="L2260" s="96"/>
      <c r="M2260" s="102">
        <v>45819.48096064815</v>
      </c>
      <c r="N2260" s="102"/>
      <c r="O2260" s="102"/>
      <c r="P2260" s="106" t="str">
        <f ca="1">IF(Proc[[#This Row],[DaysAgeing]]&gt;5,"yep","on track")</f>
        <v>on track</v>
      </c>
      <c r="Q2260" s="3">
        <f ca="1">IF(Proc[[#This Row],[DateClosed]]="",ABS(NETWORKDAYS(Proc[[#This Row],[DateOpened]],TODAY()))-1,ABS(NETWORKDAYS(Proc[[#This Row],[DateOpened]],Proc[[#This Row],[DateClosed]]))-1)</f>
        <v>0</v>
      </c>
      <c r="R2260" s="106" t="s">
        <v>808</v>
      </c>
      <c r="S2260" s="96"/>
    </row>
    <row r="2261" spans="1:19">
      <c r="A2261" s="105" t="s">
        <v>4655</v>
      </c>
      <c r="B2261" s="96" t="str">
        <f>IFERROR(VLOOKUP(Proc[[#This Row],[App]],Table2[],3,0),"open")</f>
        <v>open</v>
      </c>
      <c r="C2261" s="105" t="s">
        <v>370</v>
      </c>
      <c r="D2261" t="s">
        <v>4646</v>
      </c>
      <c r="E2261" t="s">
        <v>1267</v>
      </c>
      <c r="F2261" s="96" t="s">
        <v>1098</v>
      </c>
      <c r="G2261" s="105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0</v>
      </c>
      <c r="K2261" s="96" t="str">
        <f>IF(Proc[[#This Row],[Author]]="Marcela Urrego",VLOOKUP(LEFT(Proc[[#This Row],[Requested]],1),Table3[#All],2,0),VLOOKUP(Proc[[#This Row],[Author]],Table4[],2,0))</f>
        <v>EL</v>
      </c>
      <c r="L2261" s="96"/>
      <c r="M2261" s="102">
        <v>45819.48096064815</v>
      </c>
      <c r="N2261" s="102"/>
      <c r="O2261" s="102"/>
      <c r="P2261" s="106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0</v>
      </c>
      <c r="R2261" s="106" t="s">
        <v>808</v>
      </c>
      <c r="S2261" s="96"/>
    </row>
    <row r="2262" spans="1:19">
      <c r="A2262" s="105" t="s">
        <v>4655</v>
      </c>
      <c r="B2262" s="96" t="str">
        <f>IFERROR(VLOOKUP(Proc[[#This Row],[App]],Table2[],3,0),"open")</f>
        <v>open</v>
      </c>
      <c r="C2262" s="105" t="s">
        <v>370</v>
      </c>
      <c r="D2262" t="s">
        <v>4647</v>
      </c>
      <c r="E2262" t="s">
        <v>1267</v>
      </c>
      <c r="F2262" s="96" t="s">
        <v>4654</v>
      </c>
      <c r="G2262" s="105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0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/>
      <c r="M2262" s="102">
        <v>45819.48096064815</v>
      </c>
      <c r="N2262" s="102"/>
      <c r="O2262" s="102"/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0</v>
      </c>
      <c r="R2262" s="106" t="s">
        <v>808</v>
      </c>
      <c r="S2262" s="96"/>
    </row>
    <row r="2263" spans="1:19">
      <c r="A2263" s="105" t="s">
        <v>4655</v>
      </c>
      <c r="B2263" s="96" t="str">
        <f>IFERROR(VLOOKUP(Proc[[#This Row],[App]],Table2[],3,0),"open")</f>
        <v>open</v>
      </c>
      <c r="C2263" s="105" t="s">
        <v>370</v>
      </c>
      <c r="D2263" t="s">
        <v>4648</v>
      </c>
      <c r="E2263" t="s">
        <v>4652</v>
      </c>
      <c r="F2263" s="96" t="s">
        <v>1098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0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/>
      <c r="M2263" s="102">
        <v>45819.48096064815</v>
      </c>
      <c r="N2263" s="102"/>
      <c r="O2263" s="102"/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0</v>
      </c>
      <c r="R2263" s="106" t="s">
        <v>808</v>
      </c>
      <c r="S2263" s="96"/>
    </row>
    <row r="2264" spans="1:19">
      <c r="A2264" s="105" t="s">
        <v>4655</v>
      </c>
      <c r="B2264" s="96" t="str">
        <f>IFERROR(VLOOKUP(Proc[[#This Row],[App]],Table2[],3,0),"open")</f>
        <v>open</v>
      </c>
      <c r="C2264" s="105" t="s">
        <v>370</v>
      </c>
      <c r="D2264" t="s">
        <v>4649</v>
      </c>
      <c r="E2264" t="s">
        <v>4652</v>
      </c>
      <c r="F2264" s="96" t="s">
        <v>1098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0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/>
      <c r="M2264" s="102">
        <v>45819.48096064815</v>
      </c>
      <c r="N2264" s="102"/>
      <c r="O2264" s="102"/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0</v>
      </c>
      <c r="R2264" s="106" t="s">
        <v>808</v>
      </c>
      <c r="S2264" s="96"/>
    </row>
    <row r="2265" spans="1:19">
      <c r="A2265" s="105" t="s">
        <v>4655</v>
      </c>
      <c r="B2265" s="96" t="str">
        <f>IFERROR(VLOOKUP(Proc[[#This Row],[App]],Table2[],3,0),"open")</f>
        <v>open</v>
      </c>
      <c r="C2265" s="105" t="s">
        <v>370</v>
      </c>
      <c r="D2265" t="s">
        <v>4650</v>
      </c>
      <c r="E2265" t="s">
        <v>4653</v>
      </c>
      <c r="F2265" s="96" t="s">
        <v>1098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0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/>
      <c r="M2265" s="102">
        <v>45819.48096064815</v>
      </c>
      <c r="N2265" s="102"/>
      <c r="O2265" s="102"/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0</v>
      </c>
      <c r="R2265" s="106" t="s">
        <v>808</v>
      </c>
      <c r="S2265" s="96"/>
    </row>
    <row r="2266" spans="1:19">
      <c r="A2266" s="105" t="s">
        <v>4655</v>
      </c>
      <c r="B2266" s="96" t="str">
        <f>IFERROR(VLOOKUP(Proc[[#This Row],[App]],Table2[],3,0),"open")</f>
        <v>open</v>
      </c>
      <c r="C2266" s="105" t="s">
        <v>370</v>
      </c>
      <c r="D2266" t="s">
        <v>4651</v>
      </c>
      <c r="E2266" t="s">
        <v>4653</v>
      </c>
      <c r="F2266" s="96" t="s">
        <v>1098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0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/>
      <c r="M2266" s="102">
        <v>45819.48096064815</v>
      </c>
      <c r="N2266" s="102"/>
      <c r="O2266" s="102"/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0</v>
      </c>
      <c r="R2266" s="106" t="s">
        <v>808</v>
      </c>
      <c r="S2266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G2:G2266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2025-06-11T14:14:44Z</dcterms:modified>
  <cp:category/>
  <cp:contentStatus/>
</cp:coreProperties>
</file>